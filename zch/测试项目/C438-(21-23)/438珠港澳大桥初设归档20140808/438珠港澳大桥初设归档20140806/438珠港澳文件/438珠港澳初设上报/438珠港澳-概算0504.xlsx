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externalLinks/externalLink10.xml" ContentType="application/vnd.openxmlformats-officedocument.spreadsheetml.externalLink+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0" yWindow="105" windowWidth="15480" windowHeight="9120" tabRatio="859"/>
  </bookViews>
  <sheets>
    <sheet name="总概" sheetId="2" r:id="rId1"/>
    <sheet name="其他" sheetId="3" r:id="rId2"/>
    <sheet name="工艺设备" sheetId="359" r:id="rId3"/>
    <sheet name="公用设备表" sheetId="362" r:id="rId4"/>
    <sheet name="新增工艺设备" sheetId="361" r:id="rId5"/>
    <sheet name="汇总表" sheetId="6" r:id="rId6"/>
    <sheet name="土费" sheetId="373" r:id="rId7"/>
    <sheet name="土" sheetId="374" r:id="rId8"/>
    <sheet name="土措" sheetId="375" r:id="rId9"/>
    <sheet name="土差" sheetId="376" r:id="rId10"/>
    <sheet name="水费" sheetId="363" r:id="rId11"/>
    <sheet name="水" sheetId="364" r:id="rId12"/>
    <sheet name="暖费" sheetId="365" r:id="rId13"/>
    <sheet name="暖" sheetId="366" r:id="rId14"/>
    <sheet name="电费" sheetId="367" r:id="rId15"/>
    <sheet name="电" sheetId="368" r:id="rId16"/>
    <sheet name="外电费" sheetId="369" r:id="rId17"/>
    <sheet name="外电" sheetId="370" r:id="rId18"/>
    <sheet name="外水费" sheetId="371" r:id="rId19"/>
    <sheet name="外水" sheetId="372"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 localSheetId="4">#REF!</definedName>
    <definedName name="_">#REF!</definedName>
    <definedName name="____________fe1" localSheetId="2" hidden="1">{"'设备表'!$A$1:$K$6"}</definedName>
    <definedName name="____________fe1" hidden="1">{"'设备表'!$A$1:$K$6"}</definedName>
    <definedName name="____________fe2" localSheetId="2" hidden="1">{"'设备表'!$A$1:$K$6"}</definedName>
    <definedName name="____________fe2" hidden="1">{"'设备表'!$A$1:$K$6"}</definedName>
    <definedName name="____________fe3" localSheetId="2" hidden="1">{"'设备表'!$A$1:$K$6"}</definedName>
    <definedName name="____________fe3" hidden="1">{"'设备表'!$A$1:$K$6"}</definedName>
    <definedName name="____________fe4" localSheetId="2" hidden="1">{"'设备表'!$A$1:$K$6"}</definedName>
    <definedName name="____________fe4" hidden="1">{"'设备表'!$A$1:$K$6"}</definedName>
    <definedName name="___________fe1" localSheetId="2" hidden="1">{"'设备表'!$A$1:$K$6"}</definedName>
    <definedName name="___________fe1" hidden="1">{"'设备表'!$A$1:$K$6"}</definedName>
    <definedName name="___________fe2" localSheetId="2" hidden="1">{"'设备表'!$A$1:$K$6"}</definedName>
    <definedName name="___________fe2" hidden="1">{"'设备表'!$A$1:$K$6"}</definedName>
    <definedName name="___________fe3" localSheetId="2" hidden="1">{"'设备表'!$A$1:$K$6"}</definedName>
    <definedName name="___________fe3" hidden="1">{"'设备表'!$A$1:$K$6"}</definedName>
    <definedName name="___________fe4" localSheetId="2" hidden="1">{"'设备表'!$A$1:$K$6"}</definedName>
    <definedName name="___________fe4" hidden="1">{"'设备表'!$A$1:$K$6"}</definedName>
    <definedName name="__________s1" localSheetId="2" hidden="1">{"'设备表'!$A$1:$K$6"}</definedName>
    <definedName name="__________s1" hidden="1">{"'设备表'!$A$1:$K$6"}</definedName>
    <definedName name="_________fe1" localSheetId="2" hidden="1">{"'设备表'!$A$1:$K$6"}</definedName>
    <definedName name="_________fe1" hidden="1">{"'设备表'!$A$1:$K$6"}</definedName>
    <definedName name="_________fe2" localSheetId="2" hidden="1">{"'设备表'!$A$1:$K$6"}</definedName>
    <definedName name="_________fe2" hidden="1">{"'设备表'!$A$1:$K$6"}</definedName>
    <definedName name="_________fe3" localSheetId="2" hidden="1">{"'设备表'!$A$1:$K$6"}</definedName>
    <definedName name="_________fe3" hidden="1">{"'设备表'!$A$1:$K$6"}</definedName>
    <definedName name="_________fe4" localSheetId="2" hidden="1">{"'设备表'!$A$1:$K$6"}</definedName>
    <definedName name="_________fe4" hidden="1">{"'设备表'!$A$1:$K$6"}</definedName>
    <definedName name="________fe1" localSheetId="2" hidden="1">{"'设备表'!$A$1:$K$6"}</definedName>
    <definedName name="________fe1" hidden="1">{"'设备表'!$A$1:$K$6"}</definedName>
    <definedName name="________fe2" localSheetId="2" hidden="1">{"'设备表'!$A$1:$K$6"}</definedName>
    <definedName name="________fe2" hidden="1">{"'设备表'!$A$1:$K$6"}</definedName>
    <definedName name="________fe3" localSheetId="2" hidden="1">{"'设备表'!$A$1:$K$6"}</definedName>
    <definedName name="________fe3" hidden="1">{"'设备表'!$A$1:$K$6"}</definedName>
    <definedName name="________fe4" localSheetId="2" hidden="1">{"'设备表'!$A$1:$K$6"}</definedName>
    <definedName name="________fe4" hidden="1">{"'设备表'!$A$1:$K$6"}</definedName>
    <definedName name="________s1" localSheetId="2" hidden="1">{"'设备表'!$A$1:$K$6"}</definedName>
    <definedName name="________s1" hidden="1">{"'设备表'!$A$1:$K$6"}</definedName>
    <definedName name="_______fe1" localSheetId="2" hidden="1">{"'设备表'!$A$1:$K$6"}</definedName>
    <definedName name="_______fe1" hidden="1">{"'设备表'!$A$1:$K$6"}</definedName>
    <definedName name="_______fe2" localSheetId="2" hidden="1">{"'设备表'!$A$1:$K$6"}</definedName>
    <definedName name="_______fe2" hidden="1">{"'设备表'!$A$1:$K$6"}</definedName>
    <definedName name="_______fe3" localSheetId="2" hidden="1">{"'设备表'!$A$1:$K$6"}</definedName>
    <definedName name="_______fe3" hidden="1">{"'设备表'!$A$1:$K$6"}</definedName>
    <definedName name="_______fe4" localSheetId="2" hidden="1">{"'设备表'!$A$1:$K$6"}</definedName>
    <definedName name="_______fe4" hidden="1">{"'设备表'!$A$1:$K$6"}</definedName>
    <definedName name="_______s1" localSheetId="2" hidden="1">{"'设备表'!$A$1:$K$6"}</definedName>
    <definedName name="_______s1" hidden="1">{"'设备表'!$A$1:$K$6"}</definedName>
    <definedName name="______fe1" localSheetId="2" hidden="1">{"'设备表'!$A$1:$K$6"}</definedName>
    <definedName name="______fe1" hidden="1">{"'设备表'!$A$1:$K$6"}</definedName>
    <definedName name="______fe2" localSheetId="2" hidden="1">{"'设备表'!$A$1:$K$6"}</definedName>
    <definedName name="______fe2" hidden="1">{"'设备表'!$A$1:$K$6"}</definedName>
    <definedName name="______fe3" localSheetId="2" hidden="1">{"'设备表'!$A$1:$K$6"}</definedName>
    <definedName name="______fe3" hidden="1">{"'设备表'!$A$1:$K$6"}</definedName>
    <definedName name="______fe4" localSheetId="2" hidden="1">{"'设备表'!$A$1:$K$6"}</definedName>
    <definedName name="______fe4" hidden="1">{"'设备表'!$A$1:$K$6"}</definedName>
    <definedName name="______s1" localSheetId="2" hidden="1">{"'设备表'!$A$1:$K$6"}</definedName>
    <definedName name="______s1" hidden="1">{"'设备表'!$A$1:$K$6"}</definedName>
    <definedName name="_____fe1" localSheetId="2" hidden="1">{"'设备表'!$A$1:$K$6"}</definedName>
    <definedName name="_____fe1" hidden="1">{"'设备表'!$A$1:$K$6"}</definedName>
    <definedName name="_____fe2" localSheetId="2" hidden="1">{"'设备表'!$A$1:$K$6"}</definedName>
    <definedName name="_____fe2" hidden="1">{"'设备表'!$A$1:$K$6"}</definedName>
    <definedName name="_____fe3" localSheetId="2" hidden="1">{"'设备表'!$A$1:$K$6"}</definedName>
    <definedName name="_____fe3" hidden="1">{"'设备表'!$A$1:$K$6"}</definedName>
    <definedName name="_____fe4" localSheetId="2" hidden="1">{"'设备表'!$A$1:$K$6"}</definedName>
    <definedName name="_____fe4" hidden="1">{"'设备表'!$A$1:$K$6"}</definedName>
    <definedName name="_____s1" localSheetId="2" hidden="1">{"'设备表'!$A$1:$K$6"}</definedName>
    <definedName name="_____s1" hidden="1">{"'设备表'!$A$1:$K$6"}</definedName>
    <definedName name="____fe1" localSheetId="2" hidden="1">{"'设备表'!$A$1:$K$6"}</definedName>
    <definedName name="____fe1" hidden="1">{"'设备表'!$A$1:$K$6"}</definedName>
    <definedName name="____fe2" localSheetId="2" hidden="1">{"'设备表'!$A$1:$K$6"}</definedName>
    <definedName name="____fe2" hidden="1">{"'设备表'!$A$1:$K$6"}</definedName>
    <definedName name="____fe3" localSheetId="2" hidden="1">{"'设备表'!$A$1:$K$6"}</definedName>
    <definedName name="____fe3" hidden="1">{"'设备表'!$A$1:$K$6"}</definedName>
    <definedName name="____fe4" localSheetId="2" hidden="1">{"'设备表'!$A$1:$K$6"}</definedName>
    <definedName name="____fe4" hidden="1">{"'设备表'!$A$1:$K$6"}</definedName>
    <definedName name="____s1" localSheetId="2" hidden="1">{"'设备表'!$A$1:$K$6"}</definedName>
    <definedName name="____s1" hidden="1">{"'设备表'!$A$1:$K$6"}</definedName>
    <definedName name="___fe1" localSheetId="2" hidden="1">{"'设备表'!$A$1:$K$6"}</definedName>
    <definedName name="___fe1" hidden="1">{"'设备表'!$A$1:$K$6"}</definedName>
    <definedName name="___fe2" localSheetId="2" hidden="1">{"'设备表'!$A$1:$K$6"}</definedName>
    <definedName name="___fe2" hidden="1">{"'设备表'!$A$1:$K$6"}</definedName>
    <definedName name="___fe3" localSheetId="2" hidden="1">{"'设备表'!$A$1:$K$6"}</definedName>
    <definedName name="___fe3" hidden="1">{"'设备表'!$A$1:$K$6"}</definedName>
    <definedName name="___fe4" localSheetId="2" hidden="1">{"'设备表'!$A$1:$K$6"}</definedName>
    <definedName name="___fe4" hidden="1">{"'设备表'!$A$1:$K$6"}</definedName>
    <definedName name="___s1" localSheetId="2" hidden="1">{"'设备表'!$A$1:$K$6"}</definedName>
    <definedName name="___s1" hidden="1">{"'设备表'!$A$1:$K$6"}</definedName>
    <definedName name="__12fe4_" localSheetId="3" hidden="1">{"'设备表'!$A$1:$K$6"}</definedName>
    <definedName name="__12fe4_" hidden="1">{"'设备表'!$A$1:$K$6"}</definedName>
    <definedName name="__3fe1_" localSheetId="3" hidden="1">{"'设备表'!$A$1:$K$6"}</definedName>
    <definedName name="__3fe1_" hidden="1">{"'设备表'!$A$1:$K$6"}</definedName>
    <definedName name="__6fe2_" localSheetId="3" hidden="1">{"'设备表'!$A$1:$K$6"}</definedName>
    <definedName name="__6fe2_" hidden="1">{"'设备表'!$A$1:$K$6"}</definedName>
    <definedName name="__9fe3_" localSheetId="3" hidden="1">{"'设备表'!$A$1:$K$6"}</definedName>
    <definedName name="__9fe3_" hidden="1">{"'设备表'!$A$1:$K$6"}</definedName>
    <definedName name="__bli3">#REF!</definedName>
    <definedName name="__bli5">#REF!</definedName>
    <definedName name="__bzz240">#REF!</definedName>
    <definedName name="__clt176">#REF!</definedName>
    <definedName name="__clt221">#REF!</definedName>
    <definedName name="__clt29">#REF!</definedName>
    <definedName name="__clt88">#REF!</definedName>
    <definedName name="__cyc272">#REF!</definedName>
    <definedName name="__cyy10">#REF!</definedName>
    <definedName name="__dhj25">#REF!</definedName>
    <definedName name="__dlg1">#REF!</definedName>
    <definedName name="__dwb100">#REF!</definedName>
    <definedName name="__dwb25">#REF!</definedName>
    <definedName name="__dwb50">#REF!</definedName>
    <definedName name="__dwc80">#REF!</definedName>
    <definedName name="__dzc40">#REF!</definedName>
    <definedName name="__dzc50">#REF!</definedName>
    <definedName name="__dzc60">#REF!</definedName>
    <definedName name="__dzc70">#REF!</definedName>
    <definedName name="__dzc80">#REF!</definedName>
    <definedName name="__dzj4">#REF!</definedName>
    <definedName name="__fe1" localSheetId="2" hidden="1">{"'设备表'!$A$1:$K$6"}</definedName>
    <definedName name="__fe1" localSheetId="3" hidden="1">{"'设备表'!$A$1:$K$6"}</definedName>
    <definedName name="__fe1" localSheetId="4" hidden="1">{"'设备表'!$A$1:$K$6"}</definedName>
    <definedName name="__fe1" hidden="1">{"'设备表'!$A$1:$K$6"}</definedName>
    <definedName name="__fe2" localSheetId="2" hidden="1">{"'设备表'!$A$1:$K$6"}</definedName>
    <definedName name="__fe2" localSheetId="3" hidden="1">{"'设备表'!$A$1:$K$6"}</definedName>
    <definedName name="__fe2" localSheetId="4" hidden="1">{"'设备表'!$A$1:$K$6"}</definedName>
    <definedName name="__fe2" hidden="1">{"'设备表'!$A$1:$K$6"}</definedName>
    <definedName name="__fe3" localSheetId="2" hidden="1">{"'设备表'!$A$1:$K$6"}</definedName>
    <definedName name="__fe3" localSheetId="3" hidden="1">{"'设备表'!$A$1:$K$6"}</definedName>
    <definedName name="__fe3" localSheetId="4" hidden="1">{"'设备表'!$A$1:$K$6"}</definedName>
    <definedName name="__fe3" hidden="1">{"'设备表'!$A$1:$K$6"}</definedName>
    <definedName name="__fe4" localSheetId="2" hidden="1">{"'设备表'!$A$1:$K$6"}</definedName>
    <definedName name="__fe4" localSheetId="3" hidden="1">{"'设备表'!$A$1:$K$6"}</definedName>
    <definedName name="__fe4" localSheetId="4" hidden="1">{"'设备表'!$A$1:$K$6"}</definedName>
    <definedName name="__fe4" hidden="1">{"'设备表'!$A$1:$K$6"}</definedName>
    <definedName name="__fmt1000">#REF!</definedName>
    <definedName name="__fmt350">#REF!</definedName>
    <definedName name="__fmt400">#REF!</definedName>
    <definedName name="__gbz16">#REF!</definedName>
    <definedName name="__gfl100">#REF!</definedName>
    <definedName name="__gfl15">#REF!</definedName>
    <definedName name="__gfl150">#REF!</definedName>
    <definedName name="__gfl20">#REF!</definedName>
    <definedName name="__gfl200">#REF!</definedName>
    <definedName name="__gfl25">#REF!</definedName>
    <definedName name="__gfl250">#REF!</definedName>
    <definedName name="__gfl300">#REF!</definedName>
    <definedName name="__gfl32">#REF!</definedName>
    <definedName name="__gfl350">#REF!</definedName>
    <definedName name="__gfl40">#REF!</definedName>
    <definedName name="__gfl400">#REF!</definedName>
    <definedName name="__gfl450">#REF!</definedName>
    <definedName name="__gfl50">#REF!</definedName>
    <definedName name="__gfl80">#REF!</definedName>
    <definedName name="__ggd43">#REF!</definedName>
    <definedName name="__gkz100">#REF!</definedName>
    <definedName name="__gkz20">#REF!</definedName>
    <definedName name="__gkz32">#REF!</definedName>
    <definedName name="__gkz50">#REF!</definedName>
    <definedName name="__gpc176">#REF!</definedName>
    <definedName name="__gpc221">#REF!</definedName>
    <definedName name="__gpc279">#REF!</definedName>
    <definedName name="__gyb100">#REF!</definedName>
    <definedName name="__gyb200">#REF!</definedName>
    <definedName name="__gyb30">#REF!</definedName>
    <definedName name="__gyb60">#REF!</definedName>
    <definedName name="__hlt1">#REF!</definedName>
    <definedName name="__hlt10">#REF!</definedName>
    <definedName name="__hlt11">#REF!</definedName>
    <definedName name="__hlt12">#REF!</definedName>
    <definedName name="__hlt13">#REF!</definedName>
    <definedName name="__hlt14">#REF!</definedName>
    <definedName name="__hlt15">#REF!</definedName>
    <definedName name="__hlt18">#REF!</definedName>
    <definedName name="__hlt2">#REF!</definedName>
    <definedName name="__hlt20">#REF!</definedName>
    <definedName name="__hlt21">#REF!</definedName>
    <definedName name="__hlt22">#REF!</definedName>
    <definedName name="__hlt23">#REF!</definedName>
    <definedName name="__hlt24">#REF!</definedName>
    <definedName name="__hlt25">#REF!</definedName>
    <definedName name="__hlt26">#REF!</definedName>
    <definedName name="__hlt27">#REF!</definedName>
    <definedName name="__hlt28">#REF!</definedName>
    <definedName name="__hlt29">#REF!</definedName>
    <definedName name="__hlt3">#REF!</definedName>
    <definedName name="__hlt30">#REF!</definedName>
    <definedName name="__hlt4">#REF!</definedName>
    <definedName name="__hlt5">#REF!</definedName>
    <definedName name="__hlt6">#REF!</definedName>
    <definedName name="__hlt7">#REF!</definedName>
    <definedName name="__hlt8">#REF!</definedName>
    <definedName name="__hlt9">#REF!</definedName>
    <definedName name="__hpc100">#REF!</definedName>
    <definedName name="__hpc50">#REF!</definedName>
    <definedName name="__hpc60">#REF!</definedName>
    <definedName name="__jbc3">#REF!</definedName>
    <definedName name="__jbc6">#REF!</definedName>
    <definedName name="__jbj20">#REF!</definedName>
    <definedName name="__jbj50">#REF!</definedName>
    <definedName name="__jbz15">#REF!</definedName>
    <definedName name="__jdb15">#REF!</definedName>
    <definedName name="__jdb60">#REF!</definedName>
    <definedName name="__jdb80">#REF!</definedName>
    <definedName name="__jdj15">#REF!</definedName>
    <definedName name="__jdj50">#REF!</definedName>
    <definedName name="__jdj75">#REF!</definedName>
    <definedName name="__jdt18">#REF!</definedName>
    <definedName name="__jdt29">#REF!</definedName>
    <definedName name="__jdt44">#REF!</definedName>
    <definedName name="__jdt59">#REF!</definedName>
    <definedName name="__jdt7">#REF!</definedName>
    <definedName name="__jdt88">#REF!</definedName>
    <definedName name="__jyj1">#REF!</definedName>
    <definedName name="__jyj10">#REF!</definedName>
    <definedName name="__jyj3">#REF!</definedName>
    <definedName name="__jyj5">#REF!</definedName>
    <definedName name="__kkq91">#REF!</definedName>
    <definedName name="__kyj12">#REF!</definedName>
    <definedName name="__kyj3">#REF!</definedName>
    <definedName name="__kyj6">#REF!</definedName>
    <definedName name="__kyj9">#REF!</definedName>
    <definedName name="__lg19">#REF!</definedName>
    <definedName name="__lg45">#REF!</definedName>
    <definedName name="__lmd10">#REF!</definedName>
    <definedName name="__lmd80">#REF!</definedName>
    <definedName name="__ls16">#REF!</definedName>
    <definedName name="__ls18">#REF!</definedName>
    <definedName name="__ls8">#REF!</definedName>
    <definedName name="__ltd16">#REF!</definedName>
    <definedName name="__ltn16">#REF!</definedName>
    <definedName name="__ltx10">#REF!</definedName>
    <definedName name="__ltx35">#REF!</definedName>
    <definedName name="__ltx6">#REF!</definedName>
    <definedName name="__mc10">#REF!</definedName>
    <definedName name="__mc20">#REF!</definedName>
    <definedName name="__mc33">#REF!</definedName>
    <definedName name="__mm1">#REF!</definedName>
    <definedName name="__nb20">#REF!</definedName>
    <definedName name="__nb500">#REF!</definedName>
    <definedName name="__pbc100">#REF!</definedName>
    <definedName name="__pbc20">#REF!</definedName>
    <definedName name="__pbc30">#REF!</definedName>
    <definedName name="__pbc40">#REF!</definedName>
    <definedName name="__pbc60">#REF!</definedName>
    <definedName name="__pbj12">#REF!</definedName>
    <definedName name="__pmb1">#REF!</definedName>
    <definedName name="__pmb2">#REF!</definedName>
    <definedName name="__ps2">#REF!</definedName>
    <definedName name="__qd10">#REF!</definedName>
    <definedName name="__qd16">#REF!</definedName>
    <definedName name="__qd20">#REF!</definedName>
    <definedName name="__qd25">#REF!</definedName>
    <definedName name="__qd30">#REF!</definedName>
    <definedName name="__qd40">#REF!</definedName>
    <definedName name="__qd5">#REF!</definedName>
    <definedName name="__qd50">#REF!</definedName>
    <definedName name="__qd70">#REF!</definedName>
    <definedName name="__qd8">#REF!</definedName>
    <definedName name="__qj15">#REF!</definedName>
    <definedName name="__qj180">#REF!</definedName>
    <definedName name="__qj250">#REF!</definedName>
    <definedName name="__qj32">#REF!</definedName>
    <definedName name="__qj5">#REF!</definedName>
    <definedName name="__qkz100">#REF!</definedName>
    <definedName name="__qmt110">#REF!</definedName>
    <definedName name="__qmt176">#REF!</definedName>
    <definedName name="__qmt18">#REF!</definedName>
    <definedName name="__qmt29">#REF!</definedName>
    <definedName name="__qmt59">#REF!</definedName>
    <definedName name="__qs20">#REF!</definedName>
    <definedName name="__qy93">#REF!</definedName>
    <definedName name="__qzc100">#REF!</definedName>
    <definedName name="__qzc130">#REF!</definedName>
    <definedName name="__qzc15">#REF!</definedName>
    <definedName name="__qzc30">#REF!</definedName>
    <definedName name="__qzc40">#REF!</definedName>
    <definedName name="__qzc50">#REF!</definedName>
    <definedName name="__qzc60">#REF!</definedName>
    <definedName name="__s1" localSheetId="2" hidden="1">{"'设备表'!$A$1:$K$6"}</definedName>
    <definedName name="__s1" localSheetId="3" hidden="1">{"'设备表'!$A$1:$K$6"}</definedName>
    <definedName name="__s1" localSheetId="4" hidden="1">{"'设备表'!$A$1:$K$6"}</definedName>
    <definedName name="__s1" hidden="1">{"'设备表'!$A$1:$K$6"}</definedName>
    <definedName name="__sb120">#REF!</definedName>
    <definedName name="__sb60">#REF!</definedName>
    <definedName name="__shi20">#REF!</definedName>
    <definedName name="__shi40">#REF!</definedName>
    <definedName name="__slg50">#REF!</definedName>
    <definedName name="__slg90">#REF!</definedName>
    <definedName name="__slp200">#REF!</definedName>
    <definedName name="__slp500">#REF!</definedName>
    <definedName name="__sz1">#REF!</definedName>
    <definedName name="__tb10">#REF!</definedName>
    <definedName name="__tb100">#REF!</definedName>
    <definedName name="__tb20">#REF!</definedName>
    <definedName name="__tb30">#REF!</definedName>
    <definedName name="__tb40">#REF!</definedName>
    <definedName name="__tb60">#REF!</definedName>
    <definedName name="__tb80">#REF!</definedName>
    <definedName name="__tc80">#REF!</definedName>
    <definedName name="__tl118">#REF!</definedName>
    <definedName name="__tl1228">#REF!</definedName>
    <definedName name="__tl176">#REF!</definedName>
    <definedName name="__tl1940">#REF!</definedName>
    <definedName name="__tl198">#REF!</definedName>
    <definedName name="__tl221">#REF!</definedName>
    <definedName name="__tl294">#REF!</definedName>
    <definedName name="__tl441">#REF!</definedName>
    <definedName name="__tl662">#REF!</definedName>
    <definedName name="__tl794">#REF!</definedName>
    <definedName name="__tl96">#REF!</definedName>
    <definedName name="__tlj74">#REF!</definedName>
    <definedName name="__ttj59">#REF!</definedName>
    <definedName name="__ttj60">#REF!</definedName>
    <definedName name="__ttj74">#REF!</definedName>
    <definedName name="__ttj75">#REF!</definedName>
    <definedName name="__tyc25">#REF!</definedName>
    <definedName name="__wj1">#REF!</definedName>
    <definedName name="__wsb100">#REF!</definedName>
    <definedName name="__xc53">#REF!</definedName>
    <definedName name="__xcz550">#REF!</definedName>
    <definedName name="__xy401">#REF!</definedName>
    <definedName name="__yq1">#REF!</definedName>
    <definedName name="__zg42">#REF!</definedName>
    <definedName name="__zm1">#REF!</definedName>
    <definedName name="_10fe2_" localSheetId="2" hidden="1">{"'设备表'!$A$1:$K$6"}</definedName>
    <definedName name="_10fe2_" localSheetId="3" hidden="1">{"'设备表'!$A$1:$K$6"}</definedName>
    <definedName name="_10fe2_" localSheetId="4" hidden="1">{"'设备表'!$A$1:$K$6"}</definedName>
    <definedName name="_10fe2_" hidden="1">{"'设备表'!$A$1:$K$6"}</definedName>
    <definedName name="_10fe4_" localSheetId="2" hidden="1">{"'设备表'!$A$1:$K$6"}</definedName>
    <definedName name="_10s1_" localSheetId="2" hidden="1">{"'设备表'!$A$1:$K$6"}</definedName>
    <definedName name="_10s1_" hidden="1">{"'设备表'!$A$1:$K$6"}</definedName>
    <definedName name="_11fe4_" localSheetId="1" hidden="1">{"'设备表'!$A$1:$K$6"}</definedName>
    <definedName name="_12fe3_" localSheetId="2" hidden="1">{"'设备表'!$A$1:$K$6"}</definedName>
    <definedName name="_12fe3_" localSheetId="3" hidden="1">{"'设备表'!$A$1:$K$6"}</definedName>
    <definedName name="_12fe3_" localSheetId="4" hidden="1">{"'设备表'!$A$1:$K$6"}</definedName>
    <definedName name="_12fe3_" hidden="1">{"'设备表'!$A$1:$K$6"}</definedName>
    <definedName name="_12fe4_" localSheetId="2" hidden="1">{"'设备表'!$A$1:$K$6"}</definedName>
    <definedName name="_12fe4_" localSheetId="3" hidden="1">{"'设备表'!$A$1:$K$6"}</definedName>
    <definedName name="_12fe4_" localSheetId="4" hidden="1">{"'设备表'!$A$1:$K$6"}</definedName>
    <definedName name="_12fe4_" hidden="1">{"'设备表'!$A$1:$K$6"}</definedName>
    <definedName name="_13fe4_" localSheetId="3" hidden="1">{"'设备表'!$A$1:$K$6"}</definedName>
    <definedName name="_13s1_" localSheetId="2" hidden="1">{"'设备表'!$A$1:$K$6"}</definedName>
    <definedName name="_14s1_" localSheetId="2" hidden="1">{"'设备表'!$A$1:$K$6"}</definedName>
    <definedName name="_14s1_" hidden="1">{"'设备表'!$A$1:$K$6"}</definedName>
    <definedName name="_15fe3_" localSheetId="2" hidden="1">{"'设备表'!$A$1:$K$6"}</definedName>
    <definedName name="_15fe3_" localSheetId="3" hidden="1">{"'设备表'!$A$1:$K$6"}</definedName>
    <definedName name="_15fe3_" localSheetId="4" hidden="1">{"'设备表'!$A$1:$K$6"}</definedName>
    <definedName name="_15fe3_" hidden="1">{"'设备表'!$A$1:$K$6"}</definedName>
    <definedName name="_15s1_" localSheetId="3" hidden="1">{"'设备表'!$A$1:$K$6"}</definedName>
    <definedName name="_15s1_" hidden="1">{"'设备表'!$A$1:$K$6"}</definedName>
    <definedName name="_16fe4_" localSheetId="2" hidden="1">{"'设备表'!$A$1:$K$6"}</definedName>
    <definedName name="_16fe4_" localSheetId="3" hidden="1">{"'设备表'!$A$1:$K$6"}</definedName>
    <definedName name="_16fe4_" localSheetId="4" hidden="1">{"'设备表'!$A$1:$K$6"}</definedName>
    <definedName name="_16fe4_" hidden="1">{"'设备表'!$A$1:$K$6"}</definedName>
    <definedName name="_17s1_" localSheetId="3" hidden="1">{"'设备表'!$A$1:$K$6"}</definedName>
    <definedName name="_18s1_" localSheetId="2" hidden="1">{"'设备表'!$A$1:$K$6"}</definedName>
    <definedName name="_18s1_" hidden="1">{"'设备表'!$A$1:$K$6"}</definedName>
    <definedName name="_19s1_" localSheetId="2" hidden="1">{"'设备表'!$A$1:$K$6"}</definedName>
    <definedName name="_19s1_" localSheetId="3" hidden="1">{"'设备表'!$A$1:$K$6"}</definedName>
    <definedName name="_19s1_" localSheetId="4" hidden="1">{"'设备表'!$A$1:$K$6"}</definedName>
    <definedName name="_19s1_" hidden="1">{"'设备表'!$A$1:$K$6"}</definedName>
    <definedName name="_1fe1_" localSheetId="2" hidden="1">{"'设备表'!$A$1:$K$6"}</definedName>
    <definedName name="_1fe1_" localSheetId="3" hidden="1">{"'设备表'!$A$1:$K$6"}</definedName>
    <definedName name="_1fe1_" hidden="1">{"'设备表'!$A$1:$K$6"}</definedName>
    <definedName name="_20fe4_" localSheetId="2" hidden="1">{"'设备表'!$A$1:$K$6"}</definedName>
    <definedName name="_20fe4_" localSheetId="3" hidden="1">{"'设备表'!$A$1:$K$6"}</definedName>
    <definedName name="_20fe4_" localSheetId="4" hidden="1">{"'设备表'!$A$1:$K$6"}</definedName>
    <definedName name="_20fe4_" hidden="1">{"'设备表'!$A$1:$K$6"}</definedName>
    <definedName name="_21s1_" localSheetId="2" hidden="1">{"'设备表'!$A$1:$K$6"}</definedName>
    <definedName name="_21s1_" localSheetId="3" hidden="1">{"'设备表'!$A$1:$K$6"}</definedName>
    <definedName name="_21s1_" localSheetId="4" hidden="1">{"'设备表'!$A$1:$K$6"}</definedName>
    <definedName name="_21s1_" hidden="1">{"'设备表'!$A$1:$K$6"}</definedName>
    <definedName name="_2fe1_" localSheetId="2" hidden="1">{"'设备表'!$A$1:$K$6"}</definedName>
    <definedName name="_2fe1_" localSheetId="3" hidden="1">{"'设备表'!$A$1:$K$6"}</definedName>
    <definedName name="_2fe1_" localSheetId="1" hidden="1">{"'设备表'!$A$1:$K$6"}</definedName>
    <definedName name="_2fe1_" localSheetId="4" hidden="1">{"'设备表'!$A$1:$K$6"}</definedName>
    <definedName name="_2fe1_" hidden="1">{"'设备表'!$A$1:$K$6"}</definedName>
    <definedName name="_2fe2_" localSheetId="2" hidden="1">{"'设备表'!$A$1:$K$6"}</definedName>
    <definedName name="_2fe2_" hidden="1">{"'设备表'!$A$1:$K$6"}</definedName>
    <definedName name="_3fe1_" localSheetId="2" hidden="1">{"'设备表'!$A$1:$K$6"}</definedName>
    <definedName name="_3fe1_" localSheetId="3" hidden="1">{"'设备表'!$A$1:$K$6"}</definedName>
    <definedName name="_3fe1_" localSheetId="4" hidden="1">{"'设备表'!$A$1:$K$6"}</definedName>
    <definedName name="_3fe1_" hidden="1">{"'设备表'!$A$1:$K$6"}</definedName>
    <definedName name="_3fe3_" localSheetId="2" hidden="1">{"'设备表'!$A$1:$K$6"}</definedName>
    <definedName name="_3fe3_" hidden="1">{"'设备表'!$A$1:$K$6"}</definedName>
    <definedName name="_4fe1_" localSheetId="2" hidden="1">{"'设备表'!$A$1:$K$6"}</definedName>
    <definedName name="_4fe1_" localSheetId="3" hidden="1">{"'设备表'!$A$1:$K$6"}</definedName>
    <definedName name="_4fe1_" localSheetId="4" hidden="1">{"'设备表'!$A$1:$K$6"}</definedName>
    <definedName name="_4fe1_" hidden="1">{"'设备表'!$A$1:$K$6"}</definedName>
    <definedName name="_4fe2_" localSheetId="2" hidden="1">{"'设备表'!$A$1:$K$6"}</definedName>
    <definedName name="_4fe2_" localSheetId="3" hidden="1">{"'设备表'!$A$1:$K$6"}</definedName>
    <definedName name="_4fe2_" localSheetId="4" hidden="1">{"'设备表'!$A$1:$K$6"}</definedName>
    <definedName name="_4fe2_" hidden="1">{"'设备表'!$A$1:$K$6"}</definedName>
    <definedName name="_4fe4_" localSheetId="2" hidden="1">{"'设备表'!$A$1:$K$6"}</definedName>
    <definedName name="_4fe4_" hidden="1">{"'设备表'!$A$1:$K$6"}</definedName>
    <definedName name="_5fe1_" localSheetId="2" hidden="1">{"'设备表'!$A$1:$K$6"}</definedName>
    <definedName name="_5fe1_" localSheetId="3" hidden="1">{"'设备表'!$A$1:$K$6"}</definedName>
    <definedName name="_5fe1_" localSheetId="4" hidden="1">{"'设备表'!$A$1:$K$6"}</definedName>
    <definedName name="_5fe1_" hidden="1">{"'设备表'!$A$1:$K$6"}</definedName>
    <definedName name="_5fe2_" localSheetId="3" hidden="1">{"'设备表'!$A$1:$K$6"}</definedName>
    <definedName name="_5fe2_" localSheetId="1" hidden="1">{"'设备表'!$A$1:$K$6"}</definedName>
    <definedName name="_5s1_" localSheetId="2" hidden="1">{"'设备表'!$A$1:$K$6"}</definedName>
    <definedName name="_5s1_" hidden="1">{"'设备表'!$A$1:$K$6"}</definedName>
    <definedName name="_6fe2_" localSheetId="2" hidden="1">{"'设备表'!$A$1:$K$6"}</definedName>
    <definedName name="_6fe2_" localSheetId="3" hidden="1">{"'设备表'!$A$1:$K$6"}</definedName>
    <definedName name="_6fe2_" localSheetId="4" hidden="1">{"'设备表'!$A$1:$K$6"}</definedName>
    <definedName name="_6fe2_" hidden="1">{"'设备表'!$A$1:$K$6"}</definedName>
    <definedName name="_6fe3_" localSheetId="2" hidden="1">{"'设备表'!$A$1:$K$6"}</definedName>
    <definedName name="_6fe3_" localSheetId="3" hidden="1">{"'设备表'!$A$1:$K$6"}</definedName>
    <definedName name="_6fe3_" localSheetId="4" hidden="1">{"'设备表'!$A$1:$K$6"}</definedName>
    <definedName name="_6fe3_" hidden="1">{"'设备表'!$A$1:$K$6"}</definedName>
    <definedName name="_7fe3_" localSheetId="2" hidden="1">{"'设备表'!$A$1:$K$6"}</definedName>
    <definedName name="_8fe2_" localSheetId="2" hidden="1">{"'设备表'!$A$1:$K$6"}</definedName>
    <definedName name="_8fe2_" localSheetId="3" hidden="1">{"'设备表'!$A$1:$K$6"}</definedName>
    <definedName name="_8fe2_" localSheetId="4" hidden="1">{"'设备表'!$A$1:$K$6"}</definedName>
    <definedName name="_8fe2_" hidden="1">{"'设备表'!$A$1:$K$6"}</definedName>
    <definedName name="_8fe3_" localSheetId="1" hidden="1">{"'设备表'!$A$1:$K$6"}</definedName>
    <definedName name="_8fe4_" localSheetId="2" hidden="1">{"'设备表'!$A$1:$K$6"}</definedName>
    <definedName name="_8fe4_" localSheetId="3" hidden="1">{"'设备表'!$A$1:$K$6"}</definedName>
    <definedName name="_8fe4_" localSheetId="4" hidden="1">{"'设备表'!$A$1:$K$6"}</definedName>
    <definedName name="_8fe4_" hidden="1">{"'设备表'!$A$1:$K$6"}</definedName>
    <definedName name="_9fe3_" localSheetId="2" hidden="1">{"'设备表'!$A$1:$K$6"}</definedName>
    <definedName name="_9fe3_" localSheetId="3" hidden="1">{"'设备表'!$A$1:$K$6"}</definedName>
    <definedName name="_9fe3_" localSheetId="4" hidden="1">{"'设备表'!$A$1:$K$6"}</definedName>
    <definedName name="_9fe3_" hidden="1">{"'设备表'!$A$1:$K$6"}</definedName>
    <definedName name="_9s1_" localSheetId="2" hidden="1">{"'设备表'!$A$1:$K$6"}</definedName>
    <definedName name="_9s1_" hidden="1">{"'设备表'!$A$1:$K$6"}</definedName>
    <definedName name="_bli3">#REF!</definedName>
    <definedName name="_bli5">#REF!</definedName>
    <definedName name="_bzz240">#REF!</definedName>
    <definedName name="_clt176">#REF!</definedName>
    <definedName name="_clt221">#REF!</definedName>
    <definedName name="_clt29">#REF!</definedName>
    <definedName name="_clt88">#REF!</definedName>
    <definedName name="_cyc272">#REF!</definedName>
    <definedName name="_cyy10">#REF!</definedName>
    <definedName name="_dhj25">#REF!</definedName>
    <definedName name="_dlg1">#REF!</definedName>
    <definedName name="_dwb100">#REF!</definedName>
    <definedName name="_dwb25">#REF!</definedName>
    <definedName name="_dwb50">#REF!</definedName>
    <definedName name="_dwc80">#REF!</definedName>
    <definedName name="_dzc40">#REF!</definedName>
    <definedName name="_dzc50">#REF!</definedName>
    <definedName name="_dzc60">#REF!</definedName>
    <definedName name="_dzc70">#REF!</definedName>
    <definedName name="_dzc80">#REF!</definedName>
    <definedName name="_dzj4">#REF!</definedName>
    <definedName name="_fe1" localSheetId="2" hidden="1">{"'设备表'!$A$1:$K$6"}</definedName>
    <definedName name="_fe1" localSheetId="3" hidden="1">{"'设备表'!$A$1:$K$6"}</definedName>
    <definedName name="_fe1" localSheetId="4" hidden="1">{"'设备表'!$A$1:$K$6"}</definedName>
    <definedName name="_fe1" hidden="1">{"'设备表'!$A$1:$K$6"}</definedName>
    <definedName name="_fe2" localSheetId="2" hidden="1">{"'设备表'!$A$1:$K$6"}</definedName>
    <definedName name="_fe2" localSheetId="3" hidden="1">{"'设备表'!$A$1:$K$6"}</definedName>
    <definedName name="_fe2" localSheetId="4" hidden="1">{"'设备表'!$A$1:$K$6"}</definedName>
    <definedName name="_fe2" hidden="1">{"'设备表'!$A$1:$K$6"}</definedName>
    <definedName name="_fe3" localSheetId="2" hidden="1">{"'设备表'!$A$1:$K$6"}</definedName>
    <definedName name="_fe3" localSheetId="3" hidden="1">{"'设备表'!$A$1:$K$6"}</definedName>
    <definedName name="_fe3" localSheetId="4" hidden="1">{"'设备表'!$A$1:$K$6"}</definedName>
    <definedName name="_fe3" hidden="1">{"'设备表'!$A$1:$K$6"}</definedName>
    <definedName name="_fe4" localSheetId="2" hidden="1">{"'设备表'!$A$1:$K$6"}</definedName>
    <definedName name="_fe4" localSheetId="3" hidden="1">{"'设备表'!$A$1:$K$6"}</definedName>
    <definedName name="_fe4" localSheetId="4" hidden="1">{"'设备表'!$A$1:$K$6"}</definedName>
    <definedName name="_fe4" hidden="1">{"'设备表'!$A$1:$K$6"}</definedName>
    <definedName name="_Fill" localSheetId="4" hidden="1">[1]eqpmad2!#REF!</definedName>
    <definedName name="_Fill" hidden="1">[1]eqpmad2!#REF!</definedName>
    <definedName name="_xlnm._FilterDatabase" localSheetId="4" hidden="1">新增工艺设备!$I$1:$I$64</definedName>
    <definedName name="_fmt1000" localSheetId="2">#REF!</definedName>
    <definedName name="_fmt1000">#REF!</definedName>
    <definedName name="_fmt350" localSheetId="2">#REF!</definedName>
    <definedName name="_fmt350">#REF!</definedName>
    <definedName name="_fmt400" localSheetId="2">#REF!</definedName>
    <definedName name="_fmt400">#REF!</definedName>
    <definedName name="_gbz16">#REF!</definedName>
    <definedName name="_gfl100">#REF!</definedName>
    <definedName name="_gfl15">#REF!</definedName>
    <definedName name="_gfl150">#REF!</definedName>
    <definedName name="_gfl20">#REF!</definedName>
    <definedName name="_gfl200">#REF!</definedName>
    <definedName name="_gfl25">#REF!</definedName>
    <definedName name="_gfl250">#REF!</definedName>
    <definedName name="_gfl300">#REF!</definedName>
    <definedName name="_gfl32">#REF!</definedName>
    <definedName name="_gfl350">#REF!</definedName>
    <definedName name="_gfl40">#REF!</definedName>
    <definedName name="_gfl400">#REF!</definedName>
    <definedName name="_gfl450">#REF!</definedName>
    <definedName name="_gfl50">#REF!</definedName>
    <definedName name="_gfl80">#REF!</definedName>
    <definedName name="_ggd43">#REF!</definedName>
    <definedName name="_gkz100">#REF!</definedName>
    <definedName name="_gkz20">#REF!</definedName>
    <definedName name="_gkz32">#REF!</definedName>
    <definedName name="_gkz50">#REF!</definedName>
    <definedName name="_gpc176">#REF!</definedName>
    <definedName name="_gpc221">#REF!</definedName>
    <definedName name="_gpc279">#REF!</definedName>
    <definedName name="_gyb100">#REF!</definedName>
    <definedName name="_gyb200">#REF!</definedName>
    <definedName name="_gyb30">#REF!</definedName>
    <definedName name="_gyb60">#REF!</definedName>
    <definedName name="_hlt1">#REF!</definedName>
    <definedName name="_hlt10">#REF!</definedName>
    <definedName name="_hlt11">#REF!</definedName>
    <definedName name="_hlt12">#REF!</definedName>
    <definedName name="_hlt13">#REF!</definedName>
    <definedName name="_hlt14">#REF!</definedName>
    <definedName name="_hlt15">#REF!</definedName>
    <definedName name="_hlt18">#REF!</definedName>
    <definedName name="_hlt2">#REF!</definedName>
    <definedName name="_hlt20">#REF!</definedName>
    <definedName name="_hlt21">#REF!</definedName>
    <definedName name="_hlt22">#REF!</definedName>
    <definedName name="_hlt23">#REF!</definedName>
    <definedName name="_hlt24">#REF!</definedName>
    <definedName name="_hlt25">#REF!</definedName>
    <definedName name="_hlt26">#REF!</definedName>
    <definedName name="_hlt27">#REF!</definedName>
    <definedName name="_hlt28">#REF!</definedName>
    <definedName name="_hlt29">#REF!</definedName>
    <definedName name="_hlt3">#REF!</definedName>
    <definedName name="_hlt30">#REF!</definedName>
    <definedName name="_hlt4">#REF!</definedName>
    <definedName name="_hlt5">#REF!</definedName>
    <definedName name="_hlt6">#REF!</definedName>
    <definedName name="_hlt7">#REF!</definedName>
    <definedName name="_hlt8">#REF!</definedName>
    <definedName name="_hlt9">#REF!</definedName>
    <definedName name="_hpc100">#REF!</definedName>
    <definedName name="_hpc50">#REF!</definedName>
    <definedName name="_hpc60">#REF!</definedName>
    <definedName name="_jbc3">#REF!</definedName>
    <definedName name="_jbc6">#REF!</definedName>
    <definedName name="_jbj20">#REF!</definedName>
    <definedName name="_jbj50">#REF!</definedName>
    <definedName name="_jbz15">#REF!</definedName>
    <definedName name="_jdb15">#REF!</definedName>
    <definedName name="_jdb60">#REF!</definedName>
    <definedName name="_jdb80">#REF!</definedName>
    <definedName name="_jdj15">#REF!</definedName>
    <definedName name="_jdj50">#REF!</definedName>
    <definedName name="_jdj75">#REF!</definedName>
    <definedName name="_jdt18">#REF!</definedName>
    <definedName name="_jdt29">#REF!</definedName>
    <definedName name="_jdt44">#REF!</definedName>
    <definedName name="_jdt59">#REF!</definedName>
    <definedName name="_jdt7">#REF!</definedName>
    <definedName name="_jdt88">#REF!</definedName>
    <definedName name="_jyj1">#REF!</definedName>
    <definedName name="_jyj10">#REF!</definedName>
    <definedName name="_jyj3">#REF!</definedName>
    <definedName name="_jyj5">#REF!</definedName>
    <definedName name="_kkq91">#REF!</definedName>
    <definedName name="_kyj12">#REF!</definedName>
    <definedName name="_kyj3">#REF!</definedName>
    <definedName name="_kyj6">#REF!</definedName>
    <definedName name="_kyj9">#REF!</definedName>
    <definedName name="_lg19">#REF!</definedName>
    <definedName name="_lg45">#REF!</definedName>
    <definedName name="_lmd10">#REF!</definedName>
    <definedName name="_lmd80">#REF!</definedName>
    <definedName name="_ls16">#REF!</definedName>
    <definedName name="_ls18">#REF!</definedName>
    <definedName name="_ls8">#REF!</definedName>
    <definedName name="_ltd16">#REF!</definedName>
    <definedName name="_ltn16">#REF!</definedName>
    <definedName name="_ltx10">#REF!</definedName>
    <definedName name="_ltx35">#REF!</definedName>
    <definedName name="_ltx6">#REF!</definedName>
    <definedName name="_mc10">#REF!</definedName>
    <definedName name="_mc20">#REF!</definedName>
    <definedName name="_mc33">#REF!</definedName>
    <definedName name="_mm1">#REF!</definedName>
    <definedName name="_nb20">#REF!</definedName>
    <definedName name="_nb500">#REF!</definedName>
    <definedName name="_PA7" localSheetId="4">'[2]SW-TEO'!#REF!</definedName>
    <definedName name="_PA7">'[2]SW-TEO'!#REF!</definedName>
    <definedName name="_PA8" localSheetId="4">'[2]SW-TEO'!#REF!</definedName>
    <definedName name="_PA8">'[2]SW-TEO'!#REF!</definedName>
    <definedName name="_pbc100" localSheetId="2">#REF!</definedName>
    <definedName name="_pbc100">#REF!</definedName>
    <definedName name="_pbc20" localSheetId="2">#REF!</definedName>
    <definedName name="_pbc20">#REF!</definedName>
    <definedName name="_pbc30" localSheetId="2">#REF!</definedName>
    <definedName name="_pbc30">#REF!</definedName>
    <definedName name="_pbc40">#REF!</definedName>
    <definedName name="_pbc60">#REF!</definedName>
    <definedName name="_pbj12">#REF!</definedName>
    <definedName name="_PD1" localSheetId="4">'[2]SW-TEO'!#REF!</definedName>
    <definedName name="_PD1">'[2]SW-TEO'!#REF!</definedName>
    <definedName name="_PE12" localSheetId="4">'[2]SW-TEO'!#REF!</definedName>
    <definedName name="_PE12">'[2]SW-TEO'!#REF!</definedName>
    <definedName name="_PE13" localSheetId="4">'[2]SW-TEO'!#REF!</definedName>
    <definedName name="_PE13">'[2]SW-TEO'!#REF!</definedName>
    <definedName name="_PE6" localSheetId="4">'[2]SW-TEO'!#REF!</definedName>
    <definedName name="_PE6">'[2]SW-TEO'!#REF!</definedName>
    <definedName name="_PE7" localSheetId="4">'[2]SW-TEO'!#REF!</definedName>
    <definedName name="_PE7">'[2]SW-TEO'!#REF!</definedName>
    <definedName name="_PE8" localSheetId="4">'[2]SW-TEO'!#REF!</definedName>
    <definedName name="_PE8">'[2]SW-TEO'!#REF!</definedName>
    <definedName name="_PE9" localSheetId="4">'[2]SW-TEO'!#REF!</definedName>
    <definedName name="_PE9">'[2]SW-TEO'!#REF!</definedName>
    <definedName name="_PH1" localSheetId="4">'[2]SW-TEO'!#REF!</definedName>
    <definedName name="_PH1">'[2]SW-TEO'!#REF!</definedName>
    <definedName name="_PI1" localSheetId="4">'[2]SW-TEO'!#REF!</definedName>
    <definedName name="_PI1">'[2]SW-TEO'!#REF!</definedName>
    <definedName name="_PK1" localSheetId="4">'[2]SW-TEO'!#REF!</definedName>
    <definedName name="_PK1">'[2]SW-TEO'!#REF!</definedName>
    <definedName name="_PK3" localSheetId="4">'[2]SW-TEO'!#REF!</definedName>
    <definedName name="_PK3">'[2]SW-TEO'!#REF!</definedName>
    <definedName name="_pmb1" localSheetId="2">#REF!</definedName>
    <definedName name="_pmb1">#REF!</definedName>
    <definedName name="_pmb2" localSheetId="2">#REF!</definedName>
    <definedName name="_pmb2">#REF!</definedName>
    <definedName name="_ps2" localSheetId="2">#REF!</definedName>
    <definedName name="_ps2">#REF!</definedName>
    <definedName name="_qd10">#REF!</definedName>
    <definedName name="_qd16">#REF!</definedName>
    <definedName name="_qd20">#REF!</definedName>
    <definedName name="_qd25">#REF!</definedName>
    <definedName name="_qd30">#REF!</definedName>
    <definedName name="_qd40">#REF!</definedName>
    <definedName name="_qd5">#REF!</definedName>
    <definedName name="_qd50">#REF!</definedName>
    <definedName name="_qd70">#REF!</definedName>
    <definedName name="_qd8">#REF!</definedName>
    <definedName name="_qj15">#REF!</definedName>
    <definedName name="_qj180">#REF!</definedName>
    <definedName name="_qj250">#REF!</definedName>
    <definedName name="_qj32">#REF!</definedName>
    <definedName name="_qj5">#REF!</definedName>
    <definedName name="_qkz100">#REF!</definedName>
    <definedName name="_qmt110">#REF!</definedName>
    <definedName name="_qmt176">#REF!</definedName>
    <definedName name="_qmt18">#REF!</definedName>
    <definedName name="_qmt29">#REF!</definedName>
    <definedName name="_qmt59">#REF!</definedName>
    <definedName name="_qs20">#REF!</definedName>
    <definedName name="_qy93">#REF!</definedName>
    <definedName name="_qzc100">#REF!</definedName>
    <definedName name="_qzc130">#REF!</definedName>
    <definedName name="_qzc15">#REF!</definedName>
    <definedName name="_qzc30">#REF!</definedName>
    <definedName name="_qzc40">#REF!</definedName>
    <definedName name="_qzc50">#REF!</definedName>
    <definedName name="_qzc60">#REF!</definedName>
    <definedName name="_s1" localSheetId="2" hidden="1">{"'设备表'!$A$1:$K$6"}</definedName>
    <definedName name="_s1" localSheetId="3" hidden="1">{"'设备表'!$A$1:$K$6"}</definedName>
    <definedName name="_s1" localSheetId="4" hidden="1">{"'设备表'!$A$1:$K$6"}</definedName>
    <definedName name="_s1" hidden="1">{"'设备表'!$A$1:$K$6"}</definedName>
    <definedName name="_sb120">#REF!</definedName>
    <definedName name="_sb60">#REF!</definedName>
    <definedName name="_shi20">#REF!</definedName>
    <definedName name="_shi40">#REF!</definedName>
    <definedName name="_slg50">#REF!</definedName>
    <definedName name="_slg90">#REF!</definedName>
    <definedName name="_slp200">#REF!</definedName>
    <definedName name="_slp500">#REF!</definedName>
    <definedName name="_sz1">#REF!</definedName>
    <definedName name="_tb10">#REF!</definedName>
    <definedName name="_tb100">#REF!</definedName>
    <definedName name="_tb20">#REF!</definedName>
    <definedName name="_tb30">#REF!</definedName>
    <definedName name="_tb40">#REF!</definedName>
    <definedName name="_tb60">#REF!</definedName>
    <definedName name="_tb80">#REF!</definedName>
    <definedName name="_tc80">#REF!</definedName>
    <definedName name="_tl118">#REF!</definedName>
    <definedName name="_tl1228">#REF!</definedName>
    <definedName name="_tl176">#REF!</definedName>
    <definedName name="_tl1940">#REF!</definedName>
    <definedName name="_tl198">#REF!</definedName>
    <definedName name="_tl221">#REF!</definedName>
    <definedName name="_tl294">#REF!</definedName>
    <definedName name="_tl441">#REF!</definedName>
    <definedName name="_tl662">#REF!</definedName>
    <definedName name="_tl794">#REF!</definedName>
    <definedName name="_tl96">#REF!</definedName>
    <definedName name="_tlj74">#REF!</definedName>
    <definedName name="_Toc146509935" localSheetId="4">#REF!</definedName>
    <definedName name="_Toc146509935">#REF!</definedName>
    <definedName name="_ttj59">#REF!</definedName>
    <definedName name="_ttj60">#REF!</definedName>
    <definedName name="_ttj74">#REF!</definedName>
    <definedName name="_ttj75">#REF!</definedName>
    <definedName name="_tyc25">#REF!</definedName>
    <definedName name="_wj1">#REF!</definedName>
    <definedName name="_wsb100">#REF!</definedName>
    <definedName name="_xc53">#REF!</definedName>
    <definedName name="_xcz550">#REF!</definedName>
    <definedName name="_xy401">#REF!</definedName>
    <definedName name="_yq1">#REF!</definedName>
    <definedName name="_zg42">#REF!</definedName>
    <definedName name="_zm1">#REF!</definedName>
    <definedName name="aa" localSheetId="2" hidden="1">{"'设备表'!$A$1:$K$6"}</definedName>
    <definedName name="aa" localSheetId="3" hidden="1">{"'设备表'!$A$1:$K$6"}</definedName>
    <definedName name="aa" localSheetId="4" hidden="1">{"'设备表'!$A$1:$K$6"}</definedName>
    <definedName name="aa" hidden="1">{"'设备表'!$A$1:$K$6"}</definedName>
    <definedName name="aaa" localSheetId="2" hidden="1">{"'设备表'!$A$1:$K$6"}</definedName>
    <definedName name="aaa" localSheetId="3" hidden="1">{"'设备表'!$A$1:$K$6"}</definedName>
    <definedName name="aaa" localSheetId="4" hidden="1">{"'设备表'!$A$1:$K$6"}</definedName>
    <definedName name="aaa" hidden="1">{"'设备表'!$A$1:$K$6"}</definedName>
    <definedName name="aaaaa" localSheetId="3">'[3]#REF!'!$A$1</definedName>
    <definedName name="aaaaa" localSheetId="4">'[3]#REF!'!$A$1</definedName>
    <definedName name="aaaaa">#REF!</definedName>
    <definedName name="aiu_bottom" localSheetId="4">'[4]Financ. Overview'!#REF!</definedName>
    <definedName name="aiu_bottom">'[4]Financ. Overview'!#REF!</definedName>
    <definedName name="aqw" localSheetId="2">#REF!</definedName>
    <definedName name="aqw">#REF!</definedName>
    <definedName name="ASD" localSheetId="2" hidden="1">{"'设备表'!$A$1:$K$6"}</definedName>
    <definedName name="ASD" localSheetId="3" hidden="1">{"'设备表'!$A$1:$K$6"}</definedName>
    <definedName name="ASD" localSheetId="4" hidden="1">{"'设备表'!$A$1:$K$6"}</definedName>
    <definedName name="ASD" hidden="1">{"'设备表'!$A$1:$K$6"}</definedName>
    <definedName name="b">#REF!</definedName>
    <definedName name="bb" localSheetId="2" hidden="1">{"'设备表'!$A$1:$K$6"}</definedName>
    <definedName name="bb" localSheetId="3" hidden="1">{"'设备表'!$A$1:$K$6"}</definedName>
    <definedName name="bb" localSheetId="4" hidden="1">{"'设备表'!$A$1:$K$6"}</definedName>
    <definedName name="bb" hidden="1">{"'设备表'!$A$1:$K$6"}</definedName>
    <definedName name="bbqq">#REF!</definedName>
    <definedName name="bd" localSheetId="4">#REF!</definedName>
    <definedName name="bd">#REF!</definedName>
    <definedName name="bdb" localSheetId="4">#REF!</definedName>
    <definedName name="bdb">#REF!</definedName>
    <definedName name="bfc">#REF!</definedName>
    <definedName name="bg">#REF!</definedName>
    <definedName name="bgfxs">#REF!</definedName>
    <definedName name="bhpfhb">#REF!</definedName>
    <definedName name="bhpjmb">#REF!</definedName>
    <definedName name="bk">#REF!</definedName>
    <definedName name="bl">#REF!</definedName>
    <definedName name="blb">#REF!</definedName>
    <definedName name="bld">#REF!</definedName>
    <definedName name="bli">#REF!</definedName>
    <definedName name="blj">#REF!</definedName>
    <definedName name="bls">#REF!</definedName>
    <definedName name="blsb">#REF!</definedName>
    <definedName name="blsd">#REF!</definedName>
    <definedName name="bpzdq">#REF!</definedName>
    <definedName name="bsd">#REF!</definedName>
    <definedName name="bslg">#REF!</definedName>
    <definedName name="bsn">#REF!</definedName>
    <definedName name="bsz">#REF!</definedName>
    <definedName name="btp">#REF!</definedName>
    <definedName name="bv2.5">#REF!</definedName>
    <definedName name="bx">#REF!</definedName>
    <definedName name="bxgdmls">#REF!</definedName>
    <definedName name="bxgfl">#REF!</definedName>
    <definedName name="bxgfl250">#REF!</definedName>
    <definedName name="bxgfl400">#REF!</definedName>
    <definedName name="bxgfl450">#REF!</definedName>
    <definedName name="bxgfl50">#REF!</definedName>
    <definedName name="bxgfl80">#REF!</definedName>
    <definedName name="bxgflp">#REF!</definedName>
    <definedName name="bxgg">#REF!</definedName>
    <definedName name="bxgg60">#REF!</definedName>
    <definedName name="bxggfs">#REF!</definedName>
    <definedName name="bxgglg">#REF!</definedName>
    <definedName name="bxggmg">#REF!</definedName>
    <definedName name="bxghs">#REF!</definedName>
    <definedName name="bxght">#REF!</definedName>
    <definedName name="bxgls">#REF!</definedName>
    <definedName name="bxguxk">#REF!</definedName>
    <definedName name="bxgwf">#REF!</definedName>
    <definedName name="byqy">#REF!</definedName>
    <definedName name="bzp">#REF!</definedName>
    <definedName name="CAILIAO" localSheetId="4">#REF!</definedName>
    <definedName name="CAILIAO">#REF!</definedName>
    <definedName name="cb" localSheetId="4">#REF!</definedName>
    <definedName name="cb">#REF!</definedName>
    <definedName name="cbfxs">#REF!</definedName>
    <definedName name="cc5t">#REF!</definedName>
    <definedName name="ccc">[5]引进设备!$A$1</definedName>
    <definedName name="cd" localSheetId="2">#REF!</definedName>
    <definedName name="cd">#REF!</definedName>
    <definedName name="cdwnc.25" localSheetId="2">#REF!</definedName>
    <definedName name="cdwnc.25">#REF!</definedName>
    <definedName name="cdwnc.5" localSheetId="2">#REF!</definedName>
    <definedName name="cdwnc.5">#REF!</definedName>
    <definedName name="cdwnc1.0">#REF!</definedName>
    <definedName name="cfjt">#REF!</definedName>
    <definedName name="cg">#REF!</definedName>
    <definedName name="cgb">#REF!</definedName>
    <definedName name="cggxb">#REF!</definedName>
    <definedName name="cgj">#REF!</definedName>
    <definedName name="cgl">#REF!</definedName>
    <definedName name="chui4">#REF!</definedName>
    <definedName name="chui5">#REF!</definedName>
    <definedName name="chui6">#REF!</definedName>
    <definedName name="chxq">#REF!</definedName>
    <definedName name="cjq">#REF!</definedName>
    <definedName name="cjt">#REF!</definedName>
    <definedName name="cjzt">#REF!</definedName>
    <definedName name="ckdlxgb">#REF!</definedName>
    <definedName name="cls">#REF!</definedName>
    <definedName name="clsh">#REF!</definedName>
    <definedName name="cltzd">#REF!</definedName>
    <definedName name="cltzj">#REF!</definedName>
    <definedName name="cltzt">#REF!</definedName>
    <definedName name="cltzx">#REF!</definedName>
    <definedName name="cp">#REF!</definedName>
    <definedName name="cq">#REF!</definedName>
    <definedName name="cs">#REF!</definedName>
    <definedName name="csbl">#REF!</definedName>
    <definedName name="csbtsj">#REF!</definedName>
    <definedName name="csqzj3">#REF!</definedName>
    <definedName name="csqzj5">#REF!</definedName>
    <definedName name="csxlb1">#REF!</definedName>
    <definedName name="csxlb2">#REF!</definedName>
    <definedName name="csxlb3">#REF!</definedName>
    <definedName name="csxlb4">#REF!</definedName>
    <definedName name="csxlb5">#REF!</definedName>
    <definedName name="ctls10">#REF!</definedName>
    <definedName name="ctls16">#REF!</definedName>
    <definedName name="cxblm">#REF!</definedName>
    <definedName name="cxpsj">#REF!</definedName>
    <definedName name="cy">#REF!</definedName>
    <definedName name="cydzc4">#REF!</definedName>
    <definedName name="cygpw">#REF!</definedName>
    <definedName name="cz">#REF!</definedName>
    <definedName name="czh">#REF!</definedName>
    <definedName name="czkxz">#REF!</definedName>
    <definedName name="d">#REF!</definedName>
    <definedName name="dbgdj">#REF!</definedName>
    <definedName name="ddhl15t">#REF!</definedName>
    <definedName name="ddkqysj">#REF!</definedName>
    <definedName name="ddkqysj6">#REF!</definedName>
    <definedName name="ddqzj15t">#REF!</definedName>
    <definedName name="ddx">#REF!</definedName>
    <definedName name="ddytc">#REF!</definedName>
    <definedName name="dg">#REF!</definedName>
    <definedName name="dguan">#REF!</definedName>
    <definedName name="dh">#REF!</definedName>
    <definedName name="dhj">#REF!</definedName>
    <definedName name="dhji">#REF!</definedName>
    <definedName name="dhjl">#REF!</definedName>
    <definedName name="dhs">#REF!</definedName>
    <definedName name="dht">#REF!</definedName>
    <definedName name="dhthx">#REF!</definedName>
    <definedName name="diancui">#REF!</definedName>
    <definedName name="diaogan">#REF!</definedName>
    <definedName name="diaojian">#REF!</definedName>
    <definedName name="dj">#REF!</definedName>
    <definedName name="djls10">#REF!</definedName>
    <definedName name="djls14">#REF!</definedName>
    <definedName name="djls18">#REF!</definedName>
    <definedName name="djls20">#REF!</definedName>
    <definedName name="djls22">#REF!</definedName>
    <definedName name="djlxb100">#REF!</definedName>
    <definedName name="djlxb150">#REF!</definedName>
    <definedName name="dkmb">#REF!</definedName>
    <definedName name="dkz">#REF!</definedName>
    <definedName name="dl" localSheetId="4">#REF!</definedName>
    <definedName name="dl">#REF!</definedName>
    <definedName name="dlb" localSheetId="4">#REF!</definedName>
    <definedName name="dlb">#REF!</definedName>
    <definedName name="dldg">#REF!</definedName>
    <definedName name="dlfhz">#REF!</definedName>
    <definedName name="dlg">#REF!</definedName>
    <definedName name="dlkz1.5">#REF!</definedName>
    <definedName name="dlkz350">#REF!</definedName>
    <definedName name="dlkz380">#REF!</definedName>
    <definedName name="dls">#REF!</definedName>
    <definedName name="dlzqgj">#REF!</definedName>
    <definedName name="dq">#REF!</definedName>
    <definedName name="dqdht">#REF!</definedName>
    <definedName name="ds">#REF!</definedName>
    <definedName name="dsjyz">#REF!</definedName>
    <definedName name="dsy">#REF!</definedName>
    <definedName name="dsyt">#REF!</definedName>
    <definedName name="dt">#REF!</definedName>
    <definedName name="dx2c">#REF!</definedName>
    <definedName name="dxbg">#REF!</definedName>
    <definedName name="dxgb">#REF!</definedName>
    <definedName name="dxgg">#REF!</definedName>
    <definedName name="dxggy">#REF!</definedName>
    <definedName name="dxgjt32">#REF!</definedName>
    <definedName name="dxgjt50">#REF!</definedName>
    <definedName name="dxgjt70">#REF!</definedName>
    <definedName name="dxjg">#REF!</definedName>
    <definedName name="dxjgy">#REF!</definedName>
    <definedName name="dxls">#REF!</definedName>
    <definedName name="dxls14">#REF!</definedName>
    <definedName name="dxls18">#REF!</definedName>
    <definedName name="dxls22">#REF!</definedName>
    <definedName name="dxls26">#REF!</definedName>
    <definedName name="dxls8">#REF!</definedName>
    <definedName name="dxmb">#REF!</definedName>
    <definedName name="dxwfgg">#REF!</definedName>
    <definedName name="dyj">#REF!</definedName>
    <definedName name="dzc">#REF!</definedName>
    <definedName name="dzjx">#REF!</definedName>
    <definedName name="dzls">#REF!</definedName>
    <definedName name="dzzj150">#REF!</definedName>
    <definedName name="dzzj300">#REF!</definedName>
    <definedName name="edline" localSheetId="2">#REF!</definedName>
    <definedName name="edline" localSheetId="4">#REF!</definedName>
    <definedName name="edline">#REF!</definedName>
    <definedName name="erl">#REF!</definedName>
    <definedName name="f">#REF!</definedName>
    <definedName name="falan80">#REF!</definedName>
    <definedName name="fb">#REF!</definedName>
    <definedName name="fb1000t">#REF!</definedName>
    <definedName name="fb2000t">#REF!</definedName>
    <definedName name="fb200t">#REF!</definedName>
    <definedName name="fb300t">#REF!</definedName>
    <definedName name="fb400t">#REF!</definedName>
    <definedName name="fbzzcds1.0">#REF!</definedName>
    <definedName name="fbzzzds1">#REF!</definedName>
    <definedName name="fbzzzds1.5">#REF!</definedName>
    <definedName name="fc1.6t">#REF!</definedName>
    <definedName name="fc1t">#REF!</definedName>
    <definedName name="fc2t">#REF!</definedName>
    <definedName name="fdjz12">#REF!</definedName>
    <definedName name="fdjz75">#REF!</definedName>
    <definedName name="fdlg">#REF!</definedName>
    <definedName name="ff" localSheetId="4">#REF!</definedName>
    <definedName name="ff">#REF!</definedName>
    <definedName name="ffy">#REF!</definedName>
    <definedName name="fhdzh">#REF!</definedName>
    <definedName name="fhgb">#REF!</definedName>
    <definedName name="fhjl">#REF!</definedName>
    <definedName name="fhtl">#REF!</definedName>
    <definedName name="fhym">#REF!</definedName>
    <definedName name="fjcyb">#REF!</definedName>
    <definedName name="fjkc">#REF!</definedName>
    <definedName name="fl">#REF!</definedName>
    <definedName name="fmh">#REF!</definedName>
    <definedName name="fmjkc">#REF!</definedName>
    <definedName name="FRC">[6]Main!$C$9</definedName>
    <definedName name="fsczh" localSheetId="2">#REF!</definedName>
    <definedName name="fsczh">#REF!</definedName>
    <definedName name="fsj" localSheetId="2">#REF!</definedName>
    <definedName name="fsj">#REF!</definedName>
    <definedName name="fsq" localSheetId="2">#REF!</definedName>
    <definedName name="fsq">#REF!</definedName>
    <definedName name="fssj">#REF!</definedName>
    <definedName name="fstl">#REF!</definedName>
    <definedName name="fxf">#REF!</definedName>
    <definedName name="fxq">#REF!</definedName>
    <definedName name="fz" localSheetId="3">#REF!</definedName>
    <definedName name="fz" localSheetId="4">#REF!</definedName>
    <definedName name="fz">#REF!</definedName>
    <definedName name="g" localSheetId="2" hidden="1">{"'设备表'!$A$1:$K$6"}</definedName>
    <definedName name="g" localSheetId="3" hidden="1">{"'设备表'!$A$1:$K$6"}</definedName>
    <definedName name="g" localSheetId="4" hidden="1">{"'设备表'!$A$1:$K$6"}</definedName>
    <definedName name="g" hidden="1">{"'设备表'!$A$1:$K$6"}</definedName>
    <definedName name="gamgjin2">#REF!</definedName>
    <definedName name="gangjin">#REF!</definedName>
    <definedName name="gangjin1">#REF!</definedName>
    <definedName name="gb">#REF!</definedName>
    <definedName name="gbg">#REF!</definedName>
    <definedName name="gbjpj">#REF!</definedName>
    <definedName name="gbs">#REF!</definedName>
    <definedName name="gbt">#REF!</definedName>
    <definedName name="gbz">#REF!</definedName>
    <definedName name="gdbgqzc15">#REF!</definedName>
    <definedName name="gdbl">#REF!</definedName>
    <definedName name="gdjj">#REF!</definedName>
    <definedName name="gdpc">#REF!</definedName>
    <definedName name="gdyzcsyf">#REF!</definedName>
    <definedName name="gf">#REF!</definedName>
    <definedName name="gfj">#REF!</definedName>
    <definedName name="gg">#REF!</definedName>
    <definedName name="ggd">#REF!</definedName>
    <definedName name="ggdz">#REF!</definedName>
    <definedName name="ggpj">#REF!</definedName>
    <definedName name="ggxfj">#REF!</definedName>
    <definedName name="ggy">#REF!</definedName>
    <definedName name="gj">#REF!</definedName>
    <definedName name="gjb">#REF!</definedName>
    <definedName name="gjg">#REF!</definedName>
    <definedName name="gjj">#REF!</definedName>
    <definedName name="gjqdj">#REF!</definedName>
    <definedName name="gjsb">#REF!</definedName>
    <definedName name="gjslg">#REF!</definedName>
    <definedName name="gjtzj">#REF!</definedName>
    <definedName name="gjwqj">#REF!</definedName>
    <definedName name="gjy">#REF!</definedName>
    <definedName name="gjzdjly">#REF!</definedName>
    <definedName name="glf">#REF!</definedName>
    <definedName name="glg">#REF!</definedName>
    <definedName name="glylj12">#REF!</definedName>
    <definedName name="glylj8">#REF!</definedName>
    <definedName name="gmb">#REF!</definedName>
    <definedName name="gq">#REF!</definedName>
    <definedName name="gqb">#REF!</definedName>
    <definedName name="gqw">#REF!</definedName>
    <definedName name="gs">#REF!</definedName>
    <definedName name="gsb">#REF!</definedName>
    <definedName name="gsfhg40">#REF!</definedName>
    <definedName name="gsfhg80">#REF!</definedName>
    <definedName name="gslj40">#REF!</definedName>
    <definedName name="gslj80">#REF!</definedName>
    <definedName name="gss">#REF!</definedName>
    <definedName name="gsw">#REF!</definedName>
    <definedName name="gtjbj">#REF!</definedName>
    <definedName name="gxjyz">#REF!</definedName>
    <definedName name="gxljx">#REF!</definedName>
    <definedName name="gy" localSheetId="4">#REF!</definedName>
    <definedName name="gy">#REF!</definedName>
    <definedName name="gyb" localSheetId="4">#REF!</definedName>
    <definedName name="gyb">#REF!</definedName>
    <definedName name="gyg" localSheetId="4">#REF!</definedName>
    <definedName name="gyg">#REF!</definedName>
    <definedName name="gyy">#REF!</definedName>
    <definedName name="gzcd">#REF!</definedName>
    <definedName name="gzl">#REF!</definedName>
    <definedName name="gzqdj">#REF!</definedName>
    <definedName name="hdq">#REF!</definedName>
    <definedName name="hdx">#REF!</definedName>
    <definedName name="hgy">#REF!</definedName>
    <definedName name="hj">#REF!</definedName>
    <definedName name="hjb">#REF!</definedName>
    <definedName name="hjgg100">#REF!</definedName>
    <definedName name="hjgg150">#REF!</definedName>
    <definedName name="hjgg200">#REF!</definedName>
    <definedName name="hjgg80">#REF!</definedName>
    <definedName name="hjjbj">#REF!</definedName>
    <definedName name="hjjbj400">#REF!</definedName>
    <definedName name="hjp">#REF!</definedName>
    <definedName name="hjssb">#REF!</definedName>
    <definedName name="hjzgzt">#REF!</definedName>
    <definedName name="hjzt">#REF!</definedName>
    <definedName name="hl">[5]参数!$D$68</definedName>
    <definedName name="hlg" localSheetId="2">#REF!</definedName>
    <definedName name="hlg">#REF!</definedName>
    <definedName name="hlt12a" localSheetId="2">#REF!</definedName>
    <definedName name="hlt12a">#REF!</definedName>
    <definedName name="hlt12b" localSheetId="2">#REF!</definedName>
    <definedName name="hlt12b">#REF!</definedName>
    <definedName name="hlt16a">#REF!</definedName>
    <definedName name="hlt16b">#REF!</definedName>
    <definedName name="hlt16c">#REF!</definedName>
    <definedName name="hlt16d">#REF!</definedName>
    <definedName name="hlt16e">#REF!</definedName>
    <definedName name="hlt16f">#REF!</definedName>
    <definedName name="hlt16g">#REF!</definedName>
    <definedName name="hntbz">#REF!</definedName>
    <definedName name="hostfee">'[4]Financ. Overview'!$H$12</definedName>
    <definedName name="hraiu_bottom" localSheetId="2">'[4]Financ. Overview'!#REF!</definedName>
    <definedName name="hraiu_bottom" localSheetId="3">'[4]Financ. Overview'!#REF!</definedName>
    <definedName name="hraiu_bottom" localSheetId="4">'[4]Financ. Overview'!#REF!</definedName>
    <definedName name="hraiu_bottom">'[4]Financ. Overview'!#REF!</definedName>
    <definedName name="hs" localSheetId="2">#REF!</definedName>
    <definedName name="hs">#REF!</definedName>
    <definedName name="hsf" localSheetId="2">#REF!</definedName>
    <definedName name="hsf">#REF!</definedName>
    <definedName name="HTML_CodePage" hidden="1">936</definedName>
    <definedName name="HTML_Control" localSheetId="2" hidden="1">{"'设备表'!$A$1:$K$6"}</definedName>
    <definedName name="HTML_Control" localSheetId="3" hidden="1">{"'设备表'!$A$1:$K$6"}</definedName>
    <definedName name="HTML_Control" localSheetId="1" hidden="1">{"'设备表'!$A$1:$K$6"}</definedName>
    <definedName name="HTML_Control" localSheetId="4" hidden="1">{"'设备表'!$A$1:$K$6"}</definedName>
    <definedName name="HTML_Control" hidden="1">{"'设备表'!$A$1:$K$6"}</definedName>
    <definedName name="HTML_Description" hidden="1">""</definedName>
    <definedName name="HTML_Email" hidden="1">""</definedName>
    <definedName name="HTML_Header" hidden="1">"设备表"</definedName>
    <definedName name="HTML_LastUpdate" hidden="1">"00-9-30"</definedName>
    <definedName name="HTML_LineAfter" hidden="1">FALSE</definedName>
    <definedName name="HTML_LineBefore" hidden="1">FALSE</definedName>
    <definedName name="HTML_Name" hidden="1">"yh"</definedName>
    <definedName name="HTML_OBDlg2" hidden="1">TRUE</definedName>
    <definedName name="HTML_OBDlg4" hidden="1">TRUE</definedName>
    <definedName name="HTML_OS" hidden="1">0</definedName>
    <definedName name="HTML_PathFile" hidden="1">"C:\My Documents\MyHTML.htm"</definedName>
    <definedName name="HTML_Title" hidden="1">"新增工艺设备汇总表"</definedName>
    <definedName name="hts" localSheetId="2">#REF!</definedName>
    <definedName name="hts">#REF!</definedName>
    <definedName name="huamo" localSheetId="2">#REF!</definedName>
    <definedName name="huamo">#REF!</definedName>
    <definedName name="hvac" localSheetId="2">'[4]Financ. Overview'!#REF!</definedName>
    <definedName name="hvac" localSheetId="3">'[4]Financ. Overview'!#REF!</definedName>
    <definedName name="hvac" localSheetId="4">'[4]Financ. Overview'!#REF!</definedName>
    <definedName name="hvac">'[4]Financ. Overview'!#REF!</definedName>
    <definedName name="HWSheet">1</definedName>
    <definedName name="hx" localSheetId="2">#REF!</definedName>
    <definedName name="hx">#REF!</definedName>
    <definedName name="hxg" localSheetId="2">#REF!</definedName>
    <definedName name="hxg">#REF!</definedName>
    <definedName name="hxs" localSheetId="2">#REF!</definedName>
    <definedName name="hxs">#REF!</definedName>
    <definedName name="hy">#REF!</definedName>
    <definedName name="hyc">#REF!</definedName>
    <definedName name="hysz">#REF!</definedName>
    <definedName name="IF">#REF!</definedName>
    <definedName name="jb">#REF!</definedName>
    <definedName name="jbj">#REF!</definedName>
    <definedName name="jbj0.5">#REF!</definedName>
    <definedName name="jbmm">#REF!</definedName>
    <definedName name="jbxqw">#REF!</definedName>
    <definedName name="jcsyxry">#REF!</definedName>
    <definedName name="jdfdc">#REF!</definedName>
    <definedName name="jdj">#REF!</definedName>
    <definedName name="jdmc10">#REF!</definedName>
    <definedName name="jdmc100">#REF!</definedName>
    <definedName name="jdsb">#REF!</definedName>
    <definedName name="jfhm">#REF!</definedName>
    <definedName name="jgj">#REF!</definedName>
    <definedName name="jgs">#REF!</definedName>
    <definedName name="jgss">#REF!</definedName>
    <definedName name="jgszt76">#REF!</definedName>
    <definedName name="jgszt91">#REF!</definedName>
    <definedName name="jhb">#REF!</definedName>
    <definedName name="jiao107">#REF!</definedName>
    <definedName name="jiao309">#REF!</definedName>
    <definedName name="jj">#REF!</definedName>
    <definedName name="jjf">#REF!</definedName>
    <definedName name="jjfdz">#REF!</definedName>
    <definedName name="jjfhnt">#REF!</definedName>
    <definedName name="jjfjc">#REF!</definedName>
    <definedName name="jjfqt">#REF!</definedName>
    <definedName name="jjfsg">#REF!</definedName>
    <definedName name="jjft">#REF!</definedName>
    <definedName name="jjqws">#REF!</definedName>
    <definedName name="jlc">#REF!</definedName>
    <definedName name="jldhj30">#REF!</definedName>
    <definedName name="jldhj40">#REF!</definedName>
    <definedName name="jlmddzz">#REF!</definedName>
    <definedName name="jmb">#REF!</definedName>
    <definedName name="jmbl1">#REF!</definedName>
    <definedName name="jmx">#REF!</definedName>
    <definedName name="jmxj">#REF!</definedName>
    <definedName name="jqhlt">#REF!</definedName>
    <definedName name="jst">#REF!</definedName>
    <definedName name="jxasz">#REF!</definedName>
    <definedName name="jxrx">#REF!</definedName>
    <definedName name="jxtzd">#REF!</definedName>
    <definedName name="jxtzj">#REF!</definedName>
    <definedName name="jxtzt">#REF!</definedName>
    <definedName name="jxtzx">#REF!</definedName>
    <definedName name="jy">#REF!</definedName>
    <definedName name="jydx">#REF!</definedName>
    <definedName name="jyxb">#REF!</definedName>
    <definedName name="jyzc">#REF!</definedName>
    <definedName name="jzx">#REF!</definedName>
    <definedName name="kd">#REF!</definedName>
    <definedName name="kh">#REF!</definedName>
    <definedName name="kj">#REF!</definedName>
    <definedName name="kkj">#REF!</definedName>
    <definedName name="kkq">#REF!</definedName>
    <definedName name="kmb0">#REF!</definedName>
    <definedName name="ks">#REF!</definedName>
    <definedName name="kxz">#REF!</definedName>
    <definedName name="lamo">#REF!</definedName>
    <definedName name="lbw">#REF!</definedName>
    <definedName name="lc">#REF!</definedName>
    <definedName name="ld10T">#REF!</definedName>
    <definedName name="ldd10t">#REF!</definedName>
    <definedName name="ldd15t">#REF!</definedName>
    <definedName name="ldd40t">#REF!</definedName>
    <definedName name="ldsqzj15">#REF!</definedName>
    <definedName name="lfhl">#REF!</definedName>
    <definedName name="lgb">#REF!</definedName>
    <definedName name="lgcjj">#REF!</definedName>
    <definedName name="lgdg">#REF!</definedName>
    <definedName name="lghc19">#REF!</definedName>
    <definedName name="lgljj">#REF!</definedName>
    <definedName name="lgzjj">#REF!</definedName>
    <definedName name="lhf">#REF!</definedName>
    <definedName name="lhjb">#REF!</definedName>
    <definedName name="lhjbyc">#REF!</definedName>
    <definedName name="lhjfb">#REF!</definedName>
    <definedName name="lhjfb１">#REF!</definedName>
    <definedName name="lhjlg">#REF!</definedName>
    <definedName name="lhjxc">#REF!</definedName>
    <definedName name="lhsj">#REF!</definedName>
    <definedName name="lht">#REF!</definedName>
    <definedName name="ljgdj">#REF!</definedName>
    <definedName name="ljxdz185">#REF!</definedName>
    <definedName name="ljxdz35">#REF!</definedName>
    <definedName name="ljxdz95">#REF!</definedName>
    <definedName name="lll" localSheetId="3">[7]Sheet3!$B$1:$B$258</definedName>
    <definedName name="lll" localSheetId="1">[8]Sheet3!$B$1:$B$258</definedName>
    <definedName name="lll" localSheetId="4">[7]Sheet3!$B$1:$B$258</definedName>
    <definedName name="lll">[9]Sheet3!$B$1:$B$258</definedName>
    <definedName name="llmd" localSheetId="2">#REF!</definedName>
    <definedName name="llmd">#REF!</definedName>
    <definedName name="lls" localSheetId="2">#REF!</definedName>
    <definedName name="lls">#REF!</definedName>
    <definedName name="lmpc" localSheetId="2">#REF!</definedName>
    <definedName name="lmpc">#REF!</definedName>
    <definedName name="lq">#REF!</definedName>
    <definedName name="lqjyj">#REF!</definedName>
    <definedName name="lqldzy">#REF!</definedName>
    <definedName name="lqq">#REF!</definedName>
    <definedName name="lr">#REF!</definedName>
    <definedName name="lrt">#REF!</definedName>
    <definedName name="ls">#REF!</definedName>
    <definedName name="ls16x140">#REF!</definedName>
    <definedName name="lsb">#REF!</definedName>
    <definedName name="lscc">#REF!</definedName>
    <definedName name="lsdj">#REF!</definedName>
    <definedName name="lsq">#REF!</definedName>
    <definedName name="lsyzk">#REF!</definedName>
    <definedName name="ltd16t">#REF!</definedName>
    <definedName name="ltd30t">#REF!</definedName>
    <definedName name="ltg">#REF!</definedName>
    <definedName name="lxbdj100">#REF!</definedName>
    <definedName name="lxbdj50">#REF!</definedName>
    <definedName name="lxssj">#REF!</definedName>
    <definedName name="lyj">#REF!</definedName>
    <definedName name="lyyq">#REF!</definedName>
    <definedName name="lyz">#REF!</definedName>
    <definedName name="lzlg">#REF!</definedName>
    <definedName name="madai">#REF!</definedName>
    <definedName name="mccc">#REF!</definedName>
    <definedName name="mfd">#REF!</definedName>
    <definedName name="mfg">#REF!</definedName>
    <definedName name="mfjy">#REF!</definedName>
    <definedName name="mfyg">#REF!</definedName>
    <definedName name="MG">#REF!</definedName>
    <definedName name="mgyjj">#REF!</definedName>
    <definedName name="mgypcdm">#REF!</definedName>
    <definedName name="mhd">#REF!</definedName>
    <definedName name="mlg">#REF!</definedName>
    <definedName name="mls">#REF!</definedName>
    <definedName name="mmb">#REF!</definedName>
    <definedName name="Module.Prix_SMC" localSheetId="2">工艺设备!Module.Prix_SMC</definedName>
    <definedName name="Module.Prix_SMC" localSheetId="3">公用设备表!Module.Prix_SMC</definedName>
    <definedName name="Module.Prix_SMC" localSheetId="4">新增工艺设备!Module.Prix_SMC</definedName>
    <definedName name="Module.Prix_SMC">工艺设备!Module.Prix_SMC</definedName>
    <definedName name="ms" localSheetId="2">#REF!</definedName>
    <definedName name="ms">#REF!</definedName>
    <definedName name="msqzj10" localSheetId="2">#REF!</definedName>
    <definedName name="msqzj10">#REF!</definedName>
    <definedName name="msqzj30" localSheetId="2">#REF!</definedName>
    <definedName name="msqzj30">#REF!</definedName>
    <definedName name="mts">#REF!</definedName>
    <definedName name="mtz">#REF!</definedName>
    <definedName name="mxcd">#REF!</definedName>
    <definedName name="mxjj">#REF!</definedName>
    <definedName name="mxjjmcn">#REF!</definedName>
    <definedName name="mxjjp1">#REF!</definedName>
    <definedName name="mxjjp2">#REF!</definedName>
    <definedName name="mxjjp3">#REF!</definedName>
    <definedName name="mxjjp4">#REF!</definedName>
    <definedName name="my">#REF!</definedName>
    <definedName name="mzhddb">#REF!</definedName>
    <definedName name="njb">#REF!</definedName>
    <definedName name="nlslp">#REF!</definedName>
    <definedName name="nrdhj">#REF!</definedName>
    <definedName name="nsb">#REF!</definedName>
    <definedName name="nscb">#REF!</definedName>
    <definedName name="nt" localSheetId="3">#REF!</definedName>
    <definedName name="nt" localSheetId="4">#REF!</definedName>
    <definedName name="nt">#REF!</definedName>
    <definedName name="ntb" localSheetId="3">#REF!</definedName>
    <definedName name="ntb" localSheetId="4">#REF!</definedName>
    <definedName name="ntb">#REF!</definedName>
    <definedName name="OLE_LINK1" localSheetId="3">#REF!</definedName>
    <definedName name="OLE_LINK1" localSheetId="4">#REF!</definedName>
    <definedName name="OLE_LINK1">#REF!</definedName>
    <definedName name="OS" localSheetId="3">[10]Open!#REF!</definedName>
    <definedName name="OS" localSheetId="4">[10]Open!#REF!</definedName>
    <definedName name="OS">[10]Open!#REF!</definedName>
    <definedName name="pb" localSheetId="2">#REF!</definedName>
    <definedName name="pb">#REF!</definedName>
    <definedName name="pbtc15" localSheetId="2">#REF!</definedName>
    <definedName name="pbtc15">#REF!</definedName>
    <definedName name="pbtc8" localSheetId="2">#REF!</definedName>
    <definedName name="pbtc8">#REF!</definedName>
    <definedName name="pg">#REF!</definedName>
    <definedName name="pgj">#REF!</definedName>
    <definedName name="phcgz500AB">#REF!</definedName>
    <definedName name="phcgz500ABj">#REF!</definedName>
    <definedName name="phcgz600AB">#REF!</definedName>
    <definedName name="phcgz600ABj">#REF!</definedName>
    <definedName name="phcgz600B">#REF!</definedName>
    <definedName name="phcgz800B">#REF!</definedName>
    <definedName name="pmmsj">#REF!</definedName>
    <definedName name="pr_toolbox">[4]Toolbox!$A$3:$I$80</definedName>
    <definedName name="_xlnm.Print_Area" localSheetId="2">工艺设备!$A$1:$L$96</definedName>
    <definedName name="_xlnm.Print_Area" localSheetId="3">公用设备表!$A$1:$H$59</definedName>
    <definedName name="_xlnm.Print_Area" localSheetId="5">汇总表!$B$1:$I$21</definedName>
    <definedName name="_xlnm.Print_Area" localSheetId="1">其他!$A$1:$G$20</definedName>
    <definedName name="_xlnm.Print_Area" localSheetId="4">新增工艺设备!$A$1:$K$97</definedName>
    <definedName name="_xlnm.Print_Area" localSheetId="0">总概!$A$1:$U$45</definedName>
    <definedName name="_xlnm.Print_Area">#REF!</definedName>
    <definedName name="Print_Area1" localSheetId="2">#REF!</definedName>
    <definedName name="Print_Area1" localSheetId="3">#REF!</definedName>
    <definedName name="Print_Area1" localSheetId="4">#REF!</definedName>
    <definedName name="Print_Area1">#REF!</definedName>
    <definedName name="_xlnm.Print_Titles" localSheetId="2">工艺设备!$1:$6</definedName>
    <definedName name="_xlnm.Print_Titles" localSheetId="3">公用设备表!$1:$4</definedName>
    <definedName name="_xlnm.Print_Titles" localSheetId="4">新增工艺设备!$1:$5</definedName>
    <definedName name="_xlnm.Print_Titles" localSheetId="0">总概!$1:$5</definedName>
    <definedName name="Prix_SMC" localSheetId="2">工艺设备!Prix_SMC</definedName>
    <definedName name="Prix_SMC" localSheetId="3">公用设备表!Prix_SMC</definedName>
    <definedName name="Prix_SMC" localSheetId="4">新增工艺设备!Prix_SMC</definedName>
    <definedName name="Prix_SMC">工艺设备!Prix_SMC</definedName>
    <definedName name="ps" localSheetId="2">#REF!</definedName>
    <definedName name="ps">#REF!</definedName>
    <definedName name="psb" localSheetId="2">#REF!</definedName>
    <definedName name="psb">#REF!</definedName>
    <definedName name="psj" localSheetId="2">#REF!</definedName>
    <definedName name="psj">#REF!</definedName>
    <definedName name="psjg">#REF!</definedName>
    <definedName name="psz">#REF!</definedName>
    <definedName name="ptcc">#REF!</definedName>
    <definedName name="ptpc">#REF!</definedName>
    <definedName name="pzls">#REF!</definedName>
    <definedName name="pzls0">#REF!</definedName>
    <definedName name="pzxjd">#REF!</definedName>
    <definedName name="qb">#REF!</definedName>
    <definedName name="qc10t">#REF!</definedName>
    <definedName name="qc15t">#REF!</definedName>
    <definedName name="qc18t">#REF!</definedName>
    <definedName name="qc2t">#REF!</definedName>
    <definedName name="qc4t">#REF!</definedName>
    <definedName name="qc5t">#REF!</definedName>
    <definedName name="qc8t">#REF!</definedName>
    <definedName name="qctct20">#REF!</definedName>
    <definedName name="qglg1">#REF!</definedName>
    <definedName name="qglg2">#REF!</definedName>
    <definedName name="qht">#REF!</definedName>
    <definedName name="qjy">#REF!</definedName>
    <definedName name="qkzt">#REF!</definedName>
    <definedName name="qq" localSheetId="3">#REF!</definedName>
    <definedName name="qq" localSheetId="4">#REF!</definedName>
    <definedName name="qq">#REF!</definedName>
    <definedName name="qqq" localSheetId="2">#REF!</definedName>
    <definedName name="qqq" localSheetId="3">#REF!</definedName>
    <definedName name="qqq" localSheetId="4">#REF!</definedName>
    <definedName name="qqq">#REF!</definedName>
    <definedName name="qsz">#REF!</definedName>
    <definedName name="qtftx">#REF!</definedName>
    <definedName name="qtgh">#REF!</definedName>
    <definedName name="qtkc">#REF!</definedName>
    <definedName name="qtz">#REF!</definedName>
    <definedName name="qtzjf">#REF!</definedName>
    <definedName name="qtzjft">#REF!</definedName>
    <definedName name="qxyb">#REF!</definedName>
    <definedName name="qy">#REF!</definedName>
    <definedName name="qyq">#REF!</definedName>
    <definedName name="qzbhz60">#REF!</definedName>
    <definedName name="qzbhz75">#REF!</definedName>
    <definedName name="rbx">#REF!</definedName>
    <definedName name="rg">#REF!</definedName>
    <definedName name="rgjx">#REF!</definedName>
    <definedName name="rgtj">#REF!</definedName>
    <definedName name="rgtzd">#REF!</definedName>
    <definedName name="rgtzhnt">#REF!</definedName>
    <definedName name="rgtzj">#REF!</definedName>
    <definedName name="rgtzjc">#REF!</definedName>
    <definedName name="rgtzqt">#REF!</definedName>
    <definedName name="rgtzt">#REF!</definedName>
    <definedName name="rgtztsf">#REF!</definedName>
    <definedName name="rgtzx">#REF!</definedName>
    <definedName name="rjq">#REF!</definedName>
    <definedName name="rl">#REF!</definedName>
    <definedName name="rsthrg50">#REF!</definedName>
    <definedName name="rstsg">#REF!</definedName>
    <definedName name="rtl">#REF!</definedName>
    <definedName name="rtx">#REF!</definedName>
    <definedName name="s" localSheetId="2" hidden="1">{"'设备表'!$A$1:$K$6"}</definedName>
    <definedName name="s" localSheetId="3" hidden="1">{"'设备表'!$A$1:$K$6"}</definedName>
    <definedName name="s" localSheetId="4" hidden="1">{"'设备表'!$A$1:$K$6"}</definedName>
    <definedName name="s" hidden="1">{"'设备表'!$A$1:$K$6"}</definedName>
    <definedName name="s_c_list">[11]Toolbox!$A$7:$H$969</definedName>
    <definedName name="SAD" localSheetId="2" hidden="1">{"'设备表'!$A$1:$K$6"}</definedName>
    <definedName name="SAD" localSheetId="3" hidden="1">{"'设备表'!$A$1:$K$6"}</definedName>
    <definedName name="SAD" localSheetId="4" hidden="1">{"'设备表'!$A$1:$K$6"}</definedName>
    <definedName name="SAD" hidden="1">{"'设备表'!$A$1:$K$6"}</definedName>
    <definedName name="SADAD" localSheetId="2" hidden="1">{"'设备表'!$A$1:$K$6"}</definedName>
    <definedName name="SADAD" localSheetId="3" hidden="1">{"'设备表'!$A$1:$K$6"}</definedName>
    <definedName name="SADAD" localSheetId="4" hidden="1">{"'设备表'!$A$1:$K$6"}</definedName>
    <definedName name="SADAD" hidden="1">{"'设备表'!$A$1:$K$6"}</definedName>
    <definedName name="sb" localSheetId="4">#REF!</definedName>
    <definedName name="sb">#REF!</definedName>
    <definedName name="SCG" localSheetId="4">'[12]G.1R-Shou COP Gf'!#REF!</definedName>
    <definedName name="SCG">'[12]G.1R-Shou COP Gf'!#REF!</definedName>
    <definedName name="sd" localSheetId="2">#REF!</definedName>
    <definedName name="sd">#REF!</definedName>
    <definedName name="sdlfee">'[4]Financ. Overview'!$H$13</definedName>
    <definedName name="sf" localSheetId="2">#REF!</definedName>
    <definedName name="sf">#REF!</definedName>
    <definedName name="sfz" localSheetId="2">#REF!</definedName>
    <definedName name="sfz">#REF!</definedName>
    <definedName name="sgb" localSheetId="2">#REF!</definedName>
    <definedName name="sgb">#REF!</definedName>
    <definedName name="sgf">#REF!</definedName>
    <definedName name="sha">#REF!</definedName>
    <definedName name="shg">#REF!</definedName>
    <definedName name="shi">#REF!</definedName>
    <definedName name="shnegchanfuhe" localSheetId="3">#REF!</definedName>
    <definedName name="shnegchanfuhe" localSheetId="4">#REF!</definedName>
    <definedName name="shnegchanfuhe">#REF!</definedName>
    <definedName name="shouru" localSheetId="3">#REF!</definedName>
    <definedName name="shouru" localSheetId="4">#REF!</definedName>
    <definedName name="shouru">#REF!</definedName>
    <definedName name="shui1">#REF!</definedName>
    <definedName name="shui2">#REF!</definedName>
    <definedName name="shui3">#REF!</definedName>
    <definedName name="sj">#REF!</definedName>
    <definedName name="sjdf" localSheetId="2" hidden="1">{"'设备表'!$A$1:$K$6"}</definedName>
    <definedName name="sjdf" localSheetId="3" hidden="1">{"'设备表'!$A$1:$K$6"}</definedName>
    <definedName name="sjdf" localSheetId="4" hidden="1">{"'设备表'!$A$1:$K$6"}</definedName>
    <definedName name="sjdf" hidden="1">{"'设备表'!$A$1:$K$6"}</definedName>
    <definedName name="sjt">#REF!</definedName>
    <definedName name="sjy">#REF!</definedName>
    <definedName name="sjzdhj">#REF!</definedName>
    <definedName name="skqgj">#REF!</definedName>
    <definedName name="slcpgd">#REF!</definedName>
    <definedName name="sld">#REF!</definedName>
    <definedName name="slg">#REF!</definedName>
    <definedName name="slhk15">#REF!</definedName>
    <definedName name="slhk20">#REF!</definedName>
    <definedName name="slhk30">#REF!</definedName>
    <definedName name="slht">#REF!</definedName>
    <definedName name="slj">#REF!</definedName>
    <definedName name="sljyx">#REF!</definedName>
    <definedName name="sljzd">#REF!</definedName>
    <definedName name="slrg">#REF!</definedName>
    <definedName name="slzg">#REF!</definedName>
    <definedName name="smb">#REF!</definedName>
    <definedName name="smpg">#REF!</definedName>
    <definedName name="sms">#REF!</definedName>
    <definedName name="smxjb">#REF!</definedName>
    <definedName name="sn325d">#REF!</definedName>
    <definedName name="sn325s">#REF!</definedName>
    <definedName name="sn425d">#REF!</definedName>
    <definedName name="sn425s">#REF!</definedName>
    <definedName name="snbszj2">#REF!</definedName>
    <definedName name="snj">#REF!</definedName>
    <definedName name="snji">#REF!</definedName>
    <definedName name="snjj">#REF!</definedName>
    <definedName name="snshj0.2">#REF!</definedName>
    <definedName name="snshj0.5">#REF!</definedName>
    <definedName name="snshj2">#REF!</definedName>
    <definedName name="snshj3">#REF!</definedName>
    <definedName name="snshjm5">#REF!</definedName>
    <definedName name="snsj1">#REF!</definedName>
    <definedName name="snsj10">#REF!</definedName>
    <definedName name="snsj2">#REF!</definedName>
    <definedName name="snsj2.5">#REF!</definedName>
    <definedName name="snsj250">#REF!</definedName>
    <definedName name="snsj3">#REF!</definedName>
    <definedName name="snsj4">#REF!</definedName>
    <definedName name="snsjm100">#REF!</definedName>
    <definedName name="snsjm200">#REF!</definedName>
    <definedName name="snsjm5">#REF!</definedName>
    <definedName name="snsjm75">#REF!</definedName>
    <definedName name="solar_ratio">'[13]POWER ASSUMPTIONS'!$H$7</definedName>
    <definedName name="spdzc120" localSheetId="2">#REF!</definedName>
    <definedName name="spdzc120">#REF!</definedName>
    <definedName name="spdzc20" localSheetId="2">#REF!</definedName>
    <definedName name="spdzc20">#REF!</definedName>
    <definedName name="spdzc80" localSheetId="2">#REF!</definedName>
    <definedName name="spdzc80">#REF!</definedName>
    <definedName name="spqzc20">#REF!</definedName>
    <definedName name="spscc10">#REF!</definedName>
    <definedName name="spscc20">#REF!</definedName>
    <definedName name="spscc5">#REF!</definedName>
    <definedName name="sptyc10">#REF!</definedName>
    <definedName name="spzkzjc10">#REF!</definedName>
    <definedName name="spzkzjc60">#REF!</definedName>
    <definedName name="sr" localSheetId="3">#REF!</definedName>
    <definedName name="sr" localSheetId="4">#REF!</definedName>
    <definedName name="sr">#REF!</definedName>
    <definedName name="ss" localSheetId="2" hidden="1">{"'设备表'!$A$1:$K$6"}</definedName>
    <definedName name="ss" localSheetId="3" hidden="1">{"'设备表'!$A$1:$K$6"}</definedName>
    <definedName name="ss" localSheetId="4" hidden="1">{"'设备表'!$A$1:$K$6"}</definedName>
    <definedName name="ss" hidden="1">{"'设备表'!$A$1:$K$6"}</definedName>
    <definedName name="ss7fee">'[4]Financ. Overview'!$H$18</definedName>
    <definedName name="sss" localSheetId="2">#REF!</definedName>
    <definedName name="sss" localSheetId="3">#REF!</definedName>
    <definedName name="sss" localSheetId="4">#REF!</definedName>
    <definedName name="sss">#REF!</definedName>
    <definedName name="sty" localSheetId="2">#REF!</definedName>
    <definedName name="sty">#REF!</definedName>
    <definedName name="subsfee">'[4]Financ. Overview'!$H$14</definedName>
    <definedName name="sunj" localSheetId="2">#REF!</definedName>
    <definedName name="sunj">#REF!</definedName>
    <definedName name="sxpx" localSheetId="2">#REF!</definedName>
    <definedName name="sxpx">#REF!</definedName>
    <definedName name="syb" localSheetId="2">#REF!</definedName>
    <definedName name="syb">#REF!</definedName>
    <definedName name="sylq">#REF!</definedName>
    <definedName name="sys">#REF!</definedName>
    <definedName name="sz">#REF!</definedName>
    <definedName name="t">#REF!</definedName>
    <definedName name="taiche">#REF!</definedName>
    <definedName name="tbx">#REF!</definedName>
    <definedName name="tbzzcds.5">#REF!</definedName>
    <definedName name="tbzzcds1.0">#REF!</definedName>
    <definedName name="tc">#REF!</definedName>
    <definedName name="td">#REF!</definedName>
    <definedName name="td10t">#REF!</definedName>
    <definedName name="td15t">#REF!</definedName>
    <definedName name="tds">#REF!</definedName>
    <definedName name="tgb">#REF!</definedName>
    <definedName name="thq">#REF!</definedName>
    <definedName name="tht">#REF!</definedName>
    <definedName name="tied">#REF!</definedName>
    <definedName name="tj" localSheetId="3">#REF!</definedName>
    <definedName name="tj" localSheetId="4">#REF!</definedName>
    <definedName name="tj">#REF!</definedName>
    <definedName name="tjb">#REF!</definedName>
    <definedName name="tjxdz">#REF!</definedName>
    <definedName name="tjymj">#REF!</definedName>
    <definedName name="tl">#REF!</definedName>
    <definedName name="tlhjgs">#REF!</definedName>
    <definedName name="tmj">#REF!</definedName>
    <definedName name="toolbox">[14]Toolbox!$C$5:$T$1578</definedName>
    <definedName name="touzi" localSheetId="2">#REF!</definedName>
    <definedName name="touzi" localSheetId="3">#REF!</definedName>
    <definedName name="touzi" localSheetId="4">#REF!</definedName>
    <definedName name="touzi">#REF!</definedName>
    <definedName name="tpy" localSheetId="2">#REF!</definedName>
    <definedName name="tpy">#REF!</definedName>
    <definedName name="ts" localSheetId="2">#REF!</definedName>
    <definedName name="ts">#REF!</definedName>
    <definedName name="tsbx">#REF!</definedName>
    <definedName name="tscl">#REF!</definedName>
    <definedName name="tsj">#REF!</definedName>
    <definedName name="tsqn">#REF!</definedName>
    <definedName name="ttr" localSheetId="2" hidden="1">{"'设备表'!$A$1:$K$6"}</definedName>
    <definedName name="ttr" hidden="1">{"'设备表'!$A$1:$K$6"}</definedName>
    <definedName name="tw">#REF!</definedName>
    <definedName name="twjb">#REF!</definedName>
    <definedName name="tz" localSheetId="3">#REF!</definedName>
    <definedName name="tz" localSheetId="4">#REF!</definedName>
    <definedName name="tz">#REF!</definedName>
    <definedName name="tzsp">#REF!</definedName>
    <definedName name="upvc15">#REF!</definedName>
    <definedName name="upvc250">#REF!</definedName>
    <definedName name="upvc40">#REF!</definedName>
    <definedName name="upvc50">#REF!</definedName>
    <definedName name="upvc90">#REF!</definedName>
    <definedName name="uxh">#REF!</definedName>
    <definedName name="V5.1Fee">'[4]Financ. Overview'!$H$15</definedName>
    <definedName name="vve" localSheetId="2" hidden="1">{"'设备表'!$A$1:$K$6"}</definedName>
    <definedName name="vve" localSheetId="3" hidden="1">{"'设备表'!$A$1:$K$6"}</definedName>
    <definedName name="vve" localSheetId="1" hidden="1">{"'设备表'!$A$1:$K$6"}</definedName>
    <definedName name="vve" localSheetId="4" hidden="1">{"'设备表'!$A$1:$K$6"}</definedName>
    <definedName name="vve" hidden="1">{"'设备表'!$A$1:$K$6"}</definedName>
    <definedName name="vvr" localSheetId="2" hidden="1">{"'设备表'!$A$1:$K$6"}</definedName>
    <definedName name="vvr" localSheetId="3" hidden="1">{"'设备表'!$A$1:$K$6"}</definedName>
    <definedName name="vvr" localSheetId="1" hidden="1">{"'设备表'!$A$1:$K$6"}</definedName>
    <definedName name="vvr" localSheetId="4" hidden="1">{"'设备表'!$A$1:$K$6"}</definedName>
    <definedName name="vvr" hidden="1">{"'设备表'!$A$1:$K$6"}</definedName>
    <definedName name="vvs" localSheetId="2" hidden="1">{"'设备表'!$A$1:$K$6"}</definedName>
    <definedName name="vvs" localSheetId="3" hidden="1">{"'设备表'!$A$1:$K$6"}</definedName>
    <definedName name="vvs" localSheetId="1" hidden="1">{"'设备表'!$A$1:$K$6"}</definedName>
    <definedName name="vvs" localSheetId="4" hidden="1">{"'设备表'!$A$1:$K$6"}</definedName>
    <definedName name="vvs" hidden="1">{"'设备表'!$A$1:$K$6"}</definedName>
    <definedName name="vvw" localSheetId="2" hidden="1">{"'设备表'!$A$1:$K$6"}</definedName>
    <definedName name="vvw" localSheetId="3" hidden="1">{"'设备表'!$A$1:$K$6"}</definedName>
    <definedName name="vvw" localSheetId="1" hidden="1">{"'设备表'!$A$1:$K$6"}</definedName>
    <definedName name="vvw" localSheetId="4" hidden="1">{"'设备表'!$A$1:$K$6"}</definedName>
    <definedName name="vvw" hidden="1">{"'设备表'!$A$1:$K$6"}</definedName>
    <definedName name="wb">#REF!</definedName>
    <definedName name="wfgg">#REF!</definedName>
    <definedName name="wfggy">#REF!</definedName>
    <definedName name="wgj">#REF!</definedName>
    <definedName name="wjb">#REF!</definedName>
    <definedName name="wjdtb">#REF!</definedName>
    <definedName name="wjdyb">#REF!</definedName>
    <definedName name="wjfhdl">#REF!</definedName>
    <definedName name="wjj">#REF!</definedName>
    <definedName name="wshsj2.8">#REF!</definedName>
    <definedName name="wtgh">#REF!</definedName>
    <definedName name="wylj">#REF!</definedName>
    <definedName name="wyljt">#REF!</definedName>
    <definedName name="xbmb">#REF!</definedName>
    <definedName name="xcjf">#REF!</definedName>
    <definedName name="xg">#REF!</definedName>
    <definedName name="xgbk">#REF!</definedName>
    <definedName name="xgjdj">#REF!</definedName>
    <definedName name="xgy">#REF!</definedName>
    <definedName name="xhjpzt91">#REF!</definedName>
    <definedName name="xjb">#REF!</definedName>
    <definedName name="xjhx">#REF!</definedName>
    <definedName name="xjmft">#REF!</definedName>
    <definedName name="xjs">#REF!</definedName>
    <definedName name="xjt">#REF!</definedName>
    <definedName name="xjzsd">#REF!</definedName>
    <definedName name="xpjyx">#REF!</definedName>
    <definedName name="xpzj">#REF!</definedName>
    <definedName name="xqsb">#REF!</definedName>
    <definedName name="xs" localSheetId="4">#REF!</definedName>
    <definedName name="xs">#REF!</definedName>
    <definedName name="xsj">#REF!</definedName>
    <definedName name="xsj1">#REF!</definedName>
    <definedName name="xsj2">#REF!</definedName>
    <definedName name="xtsj">#REF!</definedName>
    <definedName name="ybj">#REF!</definedName>
    <definedName name="ybjzz">#REF!</definedName>
    <definedName name="ybl">#REF!</definedName>
    <definedName name="ybzc50">#REF!</definedName>
    <definedName name="ydq">#REF!</definedName>
    <definedName name="yf" localSheetId="4">#REF!</definedName>
    <definedName name="yf">#REF!</definedName>
    <definedName name="yfxs">#REF!</definedName>
    <definedName name="yg">#REF!</definedName>
    <definedName name="yh">#REF!</definedName>
    <definedName name="yhhj">#REF!</definedName>
    <definedName name="yjfhdl">#REF!</definedName>
    <definedName name="yjfhm">#REF!</definedName>
    <definedName name="yjrdq">#REF!</definedName>
    <definedName name="ykbjb">#REF!</definedName>
    <definedName name="ykdtb">#REF!</definedName>
    <definedName name="ylj400t">#REF!</definedName>
    <definedName name="yllyj">#REF!</definedName>
    <definedName name="ym">#REF!</definedName>
    <definedName name="ymbb">#REF!</definedName>
    <definedName name="ymg">#REF!</definedName>
    <definedName name="yms">#REF!</definedName>
    <definedName name="ymt150">#REF!</definedName>
    <definedName name="ymt275">#REF!</definedName>
    <definedName name="ymt450">#REF!</definedName>
    <definedName name="ymt63">#REF!</definedName>
    <definedName name="ymtj">#REF!</definedName>
    <definedName name="ymxyb">#REF!</definedName>
    <definedName name="ymz">#REF!</definedName>
    <definedName name="youq">#REF!</definedName>
    <definedName name="yq">#REF!</definedName>
    <definedName name="yqq">#REF!</definedName>
    <definedName name="yqrjy">#REF!</definedName>
    <definedName name="yqt">#REF!</definedName>
    <definedName name="ysb30">#REF!</definedName>
    <definedName name="ysb60">#REF!</definedName>
    <definedName name="ysbxf">#REF!</definedName>
    <definedName name="ysddj10">#REF!</definedName>
    <definedName name="ysddj20">#REF!</definedName>
    <definedName name="ysddj30">#REF!</definedName>
    <definedName name="ysddj5">#REF!</definedName>
    <definedName name="ysddj50">#REF!</definedName>
    <definedName name="ysddj70">#REF!</definedName>
    <definedName name="yspzzsd">#REF!</definedName>
    <definedName name="ystz">#REF!</definedName>
    <definedName name="yuancailiao" localSheetId="4">#REF!</definedName>
    <definedName name="yuancailiao">#REF!</definedName>
    <definedName name="yuanm">#REF!</definedName>
    <definedName name="yuanmu">#REF!</definedName>
    <definedName name="yxg">#REF!</definedName>
    <definedName name="yxg89">#REF!</definedName>
    <definedName name="yxslg">#REF!</definedName>
    <definedName name="yxslrg">#REF!</definedName>
    <definedName name="yxx">#REF!</definedName>
    <definedName name="yyj100">#REF!</definedName>
    <definedName name="yyjcp">#REF!</definedName>
    <definedName name="yzfxs">#REF!</definedName>
    <definedName name="yzm">#REF!</definedName>
    <definedName name="yzsmsb">#REF!</definedName>
    <definedName name="Z32_Cost_red" localSheetId="4">'[4]Financ. Overview'!#REF!</definedName>
    <definedName name="Z32_Cost_red">'[4]Financ. Overview'!#REF!</definedName>
    <definedName name="zbb10" localSheetId="2">#REF!</definedName>
    <definedName name="zbb10">#REF!</definedName>
    <definedName name="zbgdj" localSheetId="2">#REF!</definedName>
    <definedName name="zbgdj">#REF!</definedName>
    <definedName name="zbj" localSheetId="2">#REF!</definedName>
    <definedName name="zbj" localSheetId="3">#REF!</definedName>
    <definedName name="zbj" localSheetId="4">#REF!</definedName>
    <definedName name="zbj">#REF!</definedName>
    <definedName name="zc">#REF!</definedName>
    <definedName name="zcg">#REF!</definedName>
    <definedName name="zckj">#REF!</definedName>
    <definedName name="zdaoq">#REF!</definedName>
    <definedName name="zdc55t">#REF!</definedName>
    <definedName name="zdongq">#REF!</definedName>
    <definedName name="zds">#REF!</definedName>
    <definedName name="zdtkz">#REF!</definedName>
    <definedName name="zdwnc.25">#REF!</definedName>
    <definedName name="zdwnc1.0">#REF!</definedName>
    <definedName name="zdwnc1.5">#REF!</definedName>
    <definedName name="zdwnc2.0">#REF!</definedName>
    <definedName name="zdwnc4.0">#REF!</definedName>
    <definedName name="zdwnc8">#REF!</definedName>
    <definedName name="zfxs">#REF!</definedName>
    <definedName name="zg">#REF!</definedName>
    <definedName name="zgls">#REF!</definedName>
    <definedName name="zgz">#REF!</definedName>
    <definedName name="zgzt">#REF!</definedName>
    <definedName name="zh" localSheetId="2" hidden="1">{"'设备表'!$A$1:$K$6"}</definedName>
    <definedName name="zh" localSheetId="3" hidden="1">{"'设备表'!$A$1:$K$6"}</definedName>
    <definedName name="zh" localSheetId="4" hidden="1">{"'设备表'!$A$1:$K$6"}</definedName>
    <definedName name="zh" hidden="1">{"'设备表'!$A$1:$K$6"}</definedName>
    <definedName name="zhzds.25">#REF!</definedName>
    <definedName name="zjgb">#REF!</definedName>
    <definedName name="zjsb">#REF!</definedName>
    <definedName name="zk" localSheetId="4">#REF!</definedName>
    <definedName name="zk">#REF!</definedName>
    <definedName name="zkb" localSheetId="4">#REF!</definedName>
    <definedName name="zkb">#REF!</definedName>
    <definedName name="zkzjc120">#REF!</definedName>
    <definedName name="zkzjc200">#REF!</definedName>
    <definedName name="zkzjc80">#REF!</definedName>
    <definedName name="zldhj30">#REF!</definedName>
    <definedName name="zlfj7.5">#REF!</definedName>
    <definedName name="zls">#REF!</definedName>
    <definedName name="zm">#REF!</definedName>
    <definedName name="zsc30">#REF!</definedName>
    <definedName name="zsc40">#REF!</definedName>
    <definedName name="zsc60">#REF!</definedName>
    <definedName name="zsc70">#REF!</definedName>
    <definedName name="zsd">#REF!</definedName>
    <definedName name="zsd625">#REF!</definedName>
    <definedName name="zsdb">#REF!</definedName>
    <definedName name="zsjyz">#REF!</definedName>
    <definedName name="ztjg">#REF!</definedName>
    <definedName name="ztjp">#REF!</definedName>
    <definedName name="ztp">#REF!</definedName>
    <definedName name="zuan">#REF!</definedName>
    <definedName name="zxc10t">#REF!</definedName>
    <definedName name="zxc12t">#REF!</definedName>
    <definedName name="zxc15t">#REF!</definedName>
    <definedName name="zxc5t">#REF!</definedName>
    <definedName name="zy2h">#REF!</definedName>
    <definedName name="zy4h">#REF!</definedName>
    <definedName name="zzj2">#REF!</definedName>
    <definedName name="zztyc15">#REF!</definedName>
    <definedName name="zztyc25">#REF!</definedName>
    <definedName name="zzxxjd">#REF!</definedName>
    <definedName name="安装工程费" localSheetId="2">#REF!</definedName>
    <definedName name="安装工程费" localSheetId="4">#REF!</definedName>
    <definedName name="安装工程费">#REF!</definedName>
    <definedName name="办公" localSheetId="2" hidden="1">{"'设备表'!$A$1:$K$6"}</definedName>
    <definedName name="办公" localSheetId="3" hidden="1">{"'设备表'!$A$1:$K$6"}</definedName>
    <definedName name="办公" localSheetId="4" hidden="1">{"'设备表'!$A$1:$K$6"}</definedName>
    <definedName name="办公" hidden="1">{"'设备表'!$A$1:$K$6"}</definedName>
    <definedName name="不" localSheetId="2" hidden="1">{"'设备表'!$A$1:$K$6"}</definedName>
    <definedName name="不" localSheetId="3" hidden="1">{"'设备表'!$A$1:$K$6"}</definedName>
    <definedName name="不" localSheetId="4" hidden="1">{"'设备表'!$A$1:$K$6"}</definedName>
    <definedName name="不" hidden="1">{"'设备表'!$A$1:$K$6"}</definedName>
    <definedName name="厂用电费" localSheetId="2">#REF!</definedName>
    <definedName name="厂用电费" localSheetId="4">#REF!</definedName>
    <definedName name="厂用电费">#REF!</definedName>
    <definedName name="齿轮箱分厂2" localSheetId="2" hidden="1">{"'设备表'!$A$1:$K$6"}</definedName>
    <definedName name="齿轮箱分厂2" localSheetId="3" hidden="1">{"'设备表'!$A$1:$K$6"}</definedName>
    <definedName name="齿轮箱分厂2" localSheetId="4" hidden="1">{"'设备表'!$A$1:$K$6"}</definedName>
    <definedName name="齿轮箱分厂2" hidden="1">{"'设备表'!$A$1:$K$6"}</definedName>
    <definedName name="代理名录" localSheetId="4">#REF!</definedName>
    <definedName name="代理名录">#REF!</definedName>
    <definedName name="道" localSheetId="2" hidden="1">{"'设备表'!$A$1:$K$6"}</definedName>
    <definedName name="道" localSheetId="3" hidden="1">{"'设备表'!$A$1:$K$6"}</definedName>
    <definedName name="道" localSheetId="4" hidden="1">{"'设备表'!$A$1:$K$6"}</definedName>
    <definedName name="道" hidden="1">{"'设备表'!$A$1:$K$6"}</definedName>
    <definedName name="道概" localSheetId="4">#REF!</definedName>
    <definedName name="道概">#REF!</definedName>
    <definedName name="道取" localSheetId="4">#REF!</definedName>
    <definedName name="道取">#REF!</definedName>
    <definedName name="地方" localSheetId="2" hidden="1">{"'设备表'!$A$1:$K$6"}</definedName>
    <definedName name="地方" hidden="1">{"'设备表'!$A$1:$K$6"}</definedName>
    <definedName name="电梯" localSheetId="2" hidden="1">{"'设备表'!$A$1:$K$6"}</definedName>
    <definedName name="电梯" localSheetId="3" hidden="1">{"'设备表'!$A$1:$K$6"}</definedName>
    <definedName name="电梯" localSheetId="1" hidden="1">{"'设备表'!$A$1:$K$6"}</definedName>
    <definedName name="电梯" localSheetId="4" hidden="1">{"'设备表'!$A$1:$K$6"}</definedName>
    <definedName name="电梯" hidden="1">{"'设备表'!$A$1:$K$6"}</definedName>
    <definedName name="调试费" localSheetId="2">#REF!</definedName>
    <definedName name="调试费" localSheetId="4">#REF!</definedName>
    <definedName name="调试费">#REF!</definedName>
    <definedName name="对照" localSheetId="2" hidden="1">{"'设备表'!$A$1:$K$6"}</definedName>
    <definedName name="对照" localSheetId="3" hidden="1">{"'设备表'!$A$1:$K$6"}</definedName>
    <definedName name="对照" localSheetId="4" hidden="1">{"'设备表'!$A$1:$K$6"}</definedName>
    <definedName name="对照" hidden="1">{"'设备表'!$A$1:$K$6"}</definedName>
    <definedName name="风电铸件1" localSheetId="2" hidden="1">{"'设备表'!$A$1:$K$6"}</definedName>
    <definedName name="风电铸件1" localSheetId="3" hidden="1">{"'设备表'!$A$1:$K$6"}</definedName>
    <definedName name="风电铸件1" localSheetId="4" hidden="1">{"'设备表'!$A$1:$K$6"}</definedName>
    <definedName name="风电铸件1" hidden="1">{"'设备表'!$A$1:$K$6"}</definedName>
    <definedName name="概" localSheetId="2" hidden="1">{"'设备表'!$A$1:$K$6"}</definedName>
    <definedName name="概" localSheetId="3" hidden="1">{"'设备表'!$A$1:$K$6"}</definedName>
    <definedName name="概" localSheetId="4" hidden="1">{"'设备表'!$A$1:$K$6"}</definedName>
    <definedName name="概" hidden="1">{"'设备表'!$A$1:$K$6"}</definedName>
    <definedName name="工程静态总投资" localSheetId="2">#REF!</definedName>
    <definedName name="工程静态总投资" localSheetId="4">#REF!</definedName>
    <definedName name="工程静态总投资">#REF!</definedName>
    <definedName name="公用" localSheetId="2" hidden="1">{"'设备表'!$A$1:$K$6"}</definedName>
    <definedName name="公用" localSheetId="3" hidden="1">{"'设备表'!$A$1:$K$6"}</definedName>
    <definedName name="公用" localSheetId="1" hidden="1">{"'设备表'!$A$1:$K$6"}</definedName>
    <definedName name="公用" localSheetId="4" hidden="1">{"'设备表'!$A$1:$K$6"}</definedName>
    <definedName name="公用" hidden="1">{"'设备表'!$A$1:$K$6"}</definedName>
    <definedName name="海明公司" localSheetId="2" hidden="1">{"'设备表'!$A$1:$K$6"}</definedName>
    <definedName name="海明公司" localSheetId="3" hidden="1">{"'设备表'!$A$1:$K$6"}</definedName>
    <definedName name="海明公司" localSheetId="1" hidden="1">{"'设备表'!$A$1:$K$6"}</definedName>
    <definedName name="海明公司" localSheetId="4" hidden="1">{"'设备表'!$A$1:$K$6"}</definedName>
    <definedName name="海明公司" hidden="1">{"'设备表'!$A$1:$K$6"}</definedName>
    <definedName name="核电土建G" localSheetId="4">#REF!</definedName>
    <definedName name="核电土建G">#REF!</definedName>
    <definedName name="核电土建Q" localSheetId="2" hidden="1">{"'设备表'!$A$1:$K$6"}</definedName>
    <definedName name="核电土建Q" localSheetId="3" hidden="1">{"'设备表'!$A$1:$K$6"}</definedName>
    <definedName name="核电土建Q" localSheetId="4" hidden="1">{"'设备表'!$A$1:$K$6"}</definedName>
    <definedName name="核电土建Q" hidden="1">{"'设备表'!$A$1:$K$6"}</definedName>
    <definedName name="核电站应急发电机组试验车间土建" localSheetId="4">#REF!</definedName>
    <definedName name="核电站应急发电机组试验车间土建">#REF!</definedName>
    <definedName name="护坡" localSheetId="2" hidden="1">{"'设备表'!$A$1:$K$6"}</definedName>
    <definedName name="护坡" hidden="1">{"'设备表'!$A$1:$K$6"}</definedName>
    <definedName name="护坡1" localSheetId="2" hidden="1">{"'设备表'!$A$1:$K$6"}</definedName>
    <definedName name="护坡1" hidden="1">{"'设备表'!$A$1:$K$6"}</definedName>
    <definedName name="汇率" localSheetId="2">#REF!</definedName>
    <definedName name="汇率" localSheetId="4">#REF!</definedName>
    <definedName name="汇率">#REF!</definedName>
    <definedName name="基本预备费" localSheetId="2">#REF!</definedName>
    <definedName name="基本预备费" localSheetId="4">#REF!</definedName>
    <definedName name="基本预备费">#REF!</definedName>
    <definedName name="监控系统综合联调试验室" localSheetId="4">#REF!</definedName>
    <definedName name="监控系统综合联调试验室">#REF!</definedName>
    <definedName name="建筑工程费" localSheetId="2">#REF!</definedName>
    <definedName name="建筑工程费" localSheetId="4">#REF!</definedName>
    <definedName name="建筑工程费">#REF!</definedName>
    <definedName name="进口设备表" localSheetId="2" hidden="1">{"'设备表'!$A$1:$K$6"}</definedName>
    <definedName name="进口设备表" localSheetId="3" hidden="1">{"'设备表'!$A$1:$K$6"}</definedName>
    <definedName name="进口设备表" localSheetId="1" hidden="1">{"'设备表'!$A$1:$K$6"}</definedName>
    <definedName name="进口设备表" localSheetId="4" hidden="1">{"'设备表'!$A$1:$K$6"}</definedName>
    <definedName name="进口设备表" hidden="1">{"'设备表'!$A$1:$K$6"}</definedName>
    <definedName name="科目余额表">#REF!</definedName>
    <definedName name="没" localSheetId="2" hidden="1">{"'设备表'!$A$1:$K$6"}</definedName>
    <definedName name="没" localSheetId="3" hidden="1">{"'设备表'!$A$1:$K$6"}</definedName>
    <definedName name="没" localSheetId="4" hidden="1">{"'设备表'!$A$1:$K$6"}</definedName>
    <definedName name="没" hidden="1">{"'设备表'!$A$1:$K$6"}</definedName>
    <definedName name="母女女色" localSheetId="4">#REF!</definedName>
    <definedName name="母女女色">#REF!</definedName>
    <definedName name="其他费用" localSheetId="2">#REF!</definedName>
    <definedName name="其他费用" localSheetId="4">#REF!</definedName>
    <definedName name="其他费用">#REF!</definedName>
    <definedName name="气体消防" localSheetId="2" hidden="1">{"'设备表'!$A$1:$K$6"}</definedName>
    <definedName name="气体消防" localSheetId="3" hidden="1">{"'设备表'!$A$1:$K$6"}</definedName>
    <definedName name="气体消防" localSheetId="1" hidden="1">{"'设备表'!$A$1:$K$6"}</definedName>
    <definedName name="气体消防" localSheetId="4" hidden="1">{"'设备表'!$A$1:$K$6"}</definedName>
    <definedName name="气体消防" hidden="1">{"'设备表'!$A$1:$K$6"}</definedName>
    <definedName name="燃料费" localSheetId="2">#REF!</definedName>
    <definedName name="燃料费" localSheetId="4">#REF!</definedName>
    <definedName name="燃料费">#REF!</definedName>
    <definedName name="弱电3" localSheetId="2" hidden="1">{"'设备表'!$A$1:$K$6"}</definedName>
    <definedName name="弱电3" localSheetId="3" hidden="1">{"'设备表'!$A$1:$K$6"}</definedName>
    <definedName name="弱电3" localSheetId="1" hidden="1">{"'设备表'!$A$1:$K$6"}</definedName>
    <definedName name="弱电3" localSheetId="4" hidden="1">{"'设备表'!$A$1:$K$6"}</definedName>
    <definedName name="弱电3" hidden="1">{"'设备表'!$A$1:$K$6"}</definedName>
    <definedName name="三代" localSheetId="2" hidden="1">{"'设备表'!$A$1:$K$6"}</definedName>
    <definedName name="三代" hidden="1">{"'设备表'!$A$1:$K$6"}</definedName>
    <definedName name="上" localSheetId="2" hidden="1">{"'设备表'!$A$1:$K$6"}</definedName>
    <definedName name="上" localSheetId="3" hidden="1">{"'设备表'!$A$1:$K$6"}</definedName>
    <definedName name="上" localSheetId="4" hidden="1">{"'设备表'!$A$1:$K$6"}</definedName>
    <definedName name="上" hidden="1">{"'设备表'!$A$1:$K$6"}</definedName>
    <definedName name="设备购置费" localSheetId="2">#REF!</definedName>
    <definedName name="设备购置费" localSheetId="4">#REF!</definedName>
    <definedName name="设备购置费">#REF!</definedName>
    <definedName name="设计费" localSheetId="2">#REF!</definedName>
    <definedName name="设计费" localSheetId="4">#REF!</definedName>
    <definedName name="设计费">#REF!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施工单位参加整套启动试运费" localSheetId="2">#REF!</definedName>
    <definedName name="施工单位参加整套启动试运费" localSheetId="4">#REF!</definedName>
    <definedName name="施工单位参加整套启动试运费">#REF!</definedName>
    <definedName name="事实" localSheetId="2" hidden="1">{"'设备表'!$A$1:$K$6"}</definedName>
    <definedName name="事实" localSheetId="3" hidden="1">{"'设备表'!$A$1:$K$6"}</definedName>
    <definedName name="事实" localSheetId="4" hidden="1">{"'设备表'!$A$1:$K$6"}</definedName>
    <definedName name="事实" hidden="1">{"'设备表'!$A$1:$K$6"}</definedName>
    <definedName name="是" localSheetId="2" hidden="1">{"'设备表'!$A$1:$K$6"}</definedName>
    <definedName name="是" localSheetId="3" hidden="1">{"'设备表'!$A$1:$K$6"}</definedName>
    <definedName name="是" localSheetId="4" hidden="1">{"'设备表'!$A$1:$K$6"}</definedName>
    <definedName name="是" hidden="1">{"'设备表'!$A$1:$K$6"}</definedName>
    <definedName name="售出电费" localSheetId="2">#REF!</definedName>
    <definedName name="售出电费" localSheetId="4">#REF!</definedName>
    <definedName name="售出电费">#REF!</definedName>
    <definedName name="售出蒸汽费" localSheetId="2">#REF!</definedName>
    <definedName name="售出蒸汽费" localSheetId="4">#REF!</definedName>
    <definedName name="售出蒸汽费">#REF!</definedName>
    <definedName name="水" localSheetId="2" hidden="1">{"'设备表'!$A$1:$K$6"}</definedName>
    <definedName name="水" localSheetId="3" hidden="1">{"'设备表'!$A$1:$K$6"}</definedName>
    <definedName name="水" localSheetId="1" hidden="1">{"'设备表'!$A$1:$K$6"}</definedName>
    <definedName name="水" localSheetId="4" hidden="1">{"'设备表'!$A$1:$K$6"}</definedName>
    <definedName name="水" hidden="1">{"'设备表'!$A$1:$K$6"}</definedName>
    <definedName name="速动" localSheetId="2" hidden="1">{"'设备表'!$A$1:$K$6"}</definedName>
    <definedName name="速动" localSheetId="3" hidden="1">{"'设备表'!$A$1:$K$6"}</definedName>
    <definedName name="速动" localSheetId="4" hidden="1">{"'设备表'!$A$1:$K$6"}</definedName>
    <definedName name="速动" hidden="1">{"'设备表'!$A$1:$K$6"}</definedName>
    <definedName name="塑" localSheetId="2" hidden="1">{"'设备表'!$A$1:$K$6"}</definedName>
    <definedName name="塑" localSheetId="3" hidden="1">{"'设备表'!$A$1:$K$6"}</definedName>
    <definedName name="塑" localSheetId="4" hidden="1">{"'设备表'!$A$1:$K$6"}</definedName>
    <definedName name="塑" hidden="1">{"'设备表'!$A$1:$K$6"}</definedName>
    <definedName name="塑的" localSheetId="4">#REF!</definedName>
    <definedName name="塑的">#REF!</definedName>
    <definedName name="所" localSheetId="2" hidden="1">{"'设备表'!$A$1:$K$6"}</definedName>
    <definedName name="所" localSheetId="3" hidden="1">{"'设备表'!$A$1:$K$6"}</definedName>
    <definedName name="所" localSheetId="4" hidden="1">{"'设备表'!$A$1:$K$6"}</definedName>
    <definedName name="所" hidden="1">{"'设备表'!$A$1:$K$6"}</definedName>
    <definedName name="所速" localSheetId="4">#REF!</definedName>
    <definedName name="所速">#REF!</definedName>
    <definedName name="所速撒" localSheetId="2" hidden="1">{"'设备表'!$A$1:$K$6"}</definedName>
    <definedName name="所速撒" localSheetId="3" hidden="1">{"'设备表'!$A$1:$K$6"}</definedName>
    <definedName name="所速撒" localSheetId="4" hidden="1">{"'设备表'!$A$1:$K$6"}</definedName>
    <definedName name="所速撒" hidden="1">{"'设备表'!$A$1:$K$6"}</definedName>
    <definedName name="铜合金铸造厂房" localSheetId="2" hidden="1">{"'设备表'!$A$1:$K$6"}</definedName>
    <definedName name="铜合金铸造厂房" localSheetId="3" hidden="1">{"'设备表'!$A$1:$K$6"}</definedName>
    <definedName name="铜合金铸造厂房" localSheetId="1" hidden="1">{"'设备表'!$A$1:$K$6"}</definedName>
    <definedName name="铜合金铸造厂房" localSheetId="4" hidden="1">{"'设备表'!$A$1:$K$6"}</definedName>
    <definedName name="铜合金铸造厂房" hidden="1">{"'设备表'!$A$1:$K$6"}</definedName>
    <definedName name="投资构成" localSheetId="2" hidden="1">{"'设备表'!$A$1:$K$6"}</definedName>
    <definedName name="投资构成" localSheetId="3" hidden="1">{"'设备表'!$A$1:$K$6"}</definedName>
    <definedName name="投资构成" localSheetId="1" hidden="1">{"'设备表'!$A$1:$K$6"}</definedName>
    <definedName name="投资构成" localSheetId="4" hidden="1">{"'设备表'!$A$1:$K$6"}</definedName>
    <definedName name="投资构成" hidden="1">{"'设备表'!$A$1:$K$6"}</definedName>
    <definedName name="图1" localSheetId="3">'[15]#REF!'!$A$1</definedName>
    <definedName name="图1" localSheetId="4">'[15]#REF!'!$A$1</definedName>
    <definedName name="图1">#REF!</definedName>
    <definedName name="图2">[16]工程量屋面屋架柱!$A$1</definedName>
    <definedName name="土建" localSheetId="2" hidden="1">{"'设备表'!$A$1:$K$6"}</definedName>
    <definedName name="土建" localSheetId="3" hidden="1">{"'设备表'!$A$1:$K$6"}</definedName>
    <definedName name="土建" localSheetId="4" hidden="1">{"'设备表'!$A$1:$K$6"}</definedName>
    <definedName name="土建" hidden="1">{"'设备表'!$A$1:$K$6"}</definedName>
    <definedName name="土建概" localSheetId="4">#REF!</definedName>
    <definedName name="土建概">#REF!</definedName>
    <definedName name="外电" localSheetId="2" hidden="1">{"'设备表'!$A$1:$K$6"}</definedName>
    <definedName name="外电" localSheetId="3" hidden="1">{"'设备表'!$A$1:$K$6"}</definedName>
    <definedName name="外电" localSheetId="4" hidden="1">{"'设备表'!$A$1:$K$6"}</definedName>
    <definedName name="外电" hidden="1">{"'设备表'!$A$1:$K$6"}</definedName>
    <definedName name="卧式旋铆机" localSheetId="2">#REF!</definedName>
    <definedName name="卧式旋铆机" localSheetId="1">#REF!</definedName>
    <definedName name="卧式旋铆机" localSheetId="4">#REF!</definedName>
    <definedName name="卧式旋铆机">#REF!</definedName>
    <definedName name="下" localSheetId="2" hidden="1">{"'设备表'!$A$1:$K$6"}</definedName>
    <definedName name="下" hidden="1">{"'设备表'!$A$1:$K$6"}</definedName>
    <definedName name="项目名称_淄博蓄电池厂牵引电池150万KVAH技术改造建设项目" localSheetId="4">#REF!</definedName>
    <definedName name="项目名称_淄博蓄电池厂牵引电池150万KVAH技术改造建设项目">#REF!</definedName>
    <definedName name="新增设备表" localSheetId="2" hidden="1">{"'设备表'!$A$1:$K$6"}</definedName>
    <definedName name="新增设备表" localSheetId="3" hidden="1">{"'设备表'!$A$1:$K$6"}</definedName>
    <definedName name="新增设备表" localSheetId="4" hidden="1">{"'设备表'!$A$1:$K$6"}</definedName>
    <definedName name="新增设备表" hidden="1">{"'设备表'!$A$1:$K$6"}</definedName>
    <definedName name="一个一切工作" localSheetId="2" hidden="1">{"'设备表'!$A$1:$K$6"}</definedName>
    <definedName name="一个一切工作" localSheetId="3" hidden="1">{"'设备表'!$A$1:$K$6"}</definedName>
    <definedName name="一个一切工作" localSheetId="4" hidden="1">{"'设备表'!$A$1:$K$6"}</definedName>
    <definedName name="一个一切工作" hidden="1">{"'设备表'!$A$1:$K$6"}</definedName>
    <definedName name="原设备表" localSheetId="2" hidden="1">{"'设备表'!$A$1:$K$6"}</definedName>
    <definedName name="原设备表" hidden="1">{"'设备表'!$A$1:$K$6"}</definedName>
    <definedName name="蒸汽动力装置仿真中心" localSheetId="4">#REF!</definedName>
    <definedName name="蒸汽动力装置仿真中心">#REF!</definedName>
    <definedName name="止" localSheetId="2" hidden="1">{"'设备表'!$A$1:$K$6"}</definedName>
    <definedName name="止" localSheetId="3" hidden="1">{"'设备表'!$A$1:$K$6"}</definedName>
    <definedName name="止" localSheetId="4" hidden="1">{"'设备表'!$A$1:$K$6"}</definedName>
    <definedName name="止" hidden="1">{"'设备表'!$A$1:$K$6"}</definedName>
    <definedName name="主机电液监控系统试验室" localSheetId="4">#REF!</definedName>
    <definedName name="主机电液监控系统试验室">#REF!</definedName>
    <definedName name="装饰工程预算表" localSheetId="4">[17]装饰工程预算表!#REF!</definedName>
    <definedName name="装饰工程预算表">[17]装饰工程预算表!#REF!</definedName>
  </definedNames>
  <calcPr calcId="125725"/>
</workbook>
</file>

<file path=xl/calcChain.xml><?xml version="1.0" encoding="utf-8"?>
<calcChain xmlns="http://schemas.openxmlformats.org/spreadsheetml/2006/main">
  <c r="G19" i="2"/>
  <c r="H19"/>
  <c r="J19"/>
  <c r="K19"/>
  <c r="F15"/>
  <c r="G47" i="362" l="1"/>
  <c r="D8" i="6"/>
  <c r="D7"/>
  <c r="I16" i="2"/>
  <c r="I19" s="1"/>
  <c r="L17"/>
  <c r="M17" s="1"/>
  <c r="E16" i="6"/>
  <c r="L8" i="2" s="1"/>
  <c r="E15" i="6"/>
  <c r="E14"/>
  <c r="C25" i="2"/>
  <c r="C26"/>
  <c r="C27"/>
  <c r="C28"/>
  <c r="C29"/>
  <c r="C30"/>
  <c r="C31"/>
  <c r="C32"/>
  <c r="C24"/>
  <c r="J8"/>
  <c r="G17" i="6"/>
  <c r="F17"/>
  <c r="M16" i="2" l="1"/>
  <c r="E19" i="6"/>
  <c r="I8" i="2"/>
  <c r="J29" i="362"/>
  <c r="G8" i="6"/>
  <c r="G7"/>
  <c r="G7" i="362"/>
  <c r="G8"/>
  <c r="G13" s="1"/>
  <c r="G56" s="1"/>
  <c r="N8" i="2" s="1"/>
  <c r="G9" i="362"/>
  <c r="G54"/>
  <c r="F11"/>
  <c r="G11"/>
  <c r="F12"/>
  <c r="G12"/>
  <c r="G16"/>
  <c r="G17"/>
  <c r="G18"/>
  <c r="G19"/>
  <c r="G20"/>
  <c r="G21"/>
  <c r="G22"/>
  <c r="G23"/>
  <c r="G24"/>
  <c r="G25"/>
  <c r="G26"/>
  <c r="G27"/>
  <c r="G28"/>
  <c r="G29"/>
  <c r="G30"/>
  <c r="G31"/>
  <c r="G32"/>
  <c r="G33"/>
  <c r="G34"/>
  <c r="G35"/>
  <c r="G36"/>
  <c r="G37"/>
  <c r="G38"/>
  <c r="G39"/>
  <c r="G40"/>
  <c r="G41"/>
  <c r="G42"/>
  <c r="G43"/>
  <c r="G44"/>
  <c r="G45"/>
  <c r="G46"/>
  <c r="G50"/>
  <c r="G51"/>
  <c r="J56" l="1"/>
  <c r="J47"/>
  <c r="G52"/>
  <c r="F14" i="6" s="1"/>
  <c r="G14" s="1"/>
  <c r="F15"/>
  <c r="G15" s="1"/>
  <c r="H7"/>
  <c r="T13" i="2"/>
  <c r="T16"/>
  <c r="T17"/>
  <c r="F14"/>
  <c r="M15"/>
  <c r="T15" s="1"/>
  <c r="E58" i="359"/>
  <c r="F58"/>
  <c r="I58"/>
  <c r="I30"/>
  <c r="J30"/>
  <c r="K30"/>
  <c r="I25"/>
  <c r="J25"/>
  <c r="L25"/>
  <c r="D27"/>
  <c r="C27"/>
  <c r="B27"/>
  <c r="A27"/>
  <c r="K18"/>
  <c r="K13"/>
  <c r="G23"/>
  <c r="G18"/>
  <c r="G13"/>
  <c r="D30"/>
  <c r="E30"/>
  <c r="F30"/>
  <c r="C40"/>
  <c r="C37"/>
  <c r="G37" s="1"/>
  <c r="C39"/>
  <c r="K39" s="1"/>
  <c r="C38"/>
  <c r="G38" s="1"/>
  <c r="C35"/>
  <c r="G35" s="1"/>
  <c r="C36"/>
  <c r="G36" s="1"/>
  <c r="C34"/>
  <c r="G34" s="1"/>
  <c r="E25"/>
  <c r="F25"/>
  <c r="L95"/>
  <c r="I93"/>
  <c r="K93"/>
  <c r="E93"/>
  <c r="F93"/>
  <c r="G93"/>
  <c r="E67"/>
  <c r="F67"/>
  <c r="G67"/>
  <c r="I67"/>
  <c r="J67"/>
  <c r="K67"/>
  <c r="A9"/>
  <c r="A8"/>
  <c r="B8"/>
  <c r="C8"/>
  <c r="D8"/>
  <c r="B9"/>
  <c r="C9"/>
  <c r="K9" s="1"/>
  <c r="D9"/>
  <c r="A10"/>
  <c r="B10"/>
  <c r="C10"/>
  <c r="D10"/>
  <c r="A11"/>
  <c r="B11"/>
  <c r="C11"/>
  <c r="K11" s="1"/>
  <c r="D11"/>
  <c r="A12"/>
  <c r="B12"/>
  <c r="C12"/>
  <c r="K12" s="1"/>
  <c r="D12"/>
  <c r="A13"/>
  <c r="B13"/>
  <c r="C13"/>
  <c r="D13"/>
  <c r="A14"/>
  <c r="B14"/>
  <c r="C14"/>
  <c r="K14" s="1"/>
  <c r="D14"/>
  <c r="A15"/>
  <c r="B15"/>
  <c r="C15"/>
  <c r="D15"/>
  <c r="A16"/>
  <c r="B16"/>
  <c r="C16"/>
  <c r="K16" s="1"/>
  <c r="D16"/>
  <c r="A17"/>
  <c r="B17"/>
  <c r="C17"/>
  <c r="K17" s="1"/>
  <c r="D17"/>
  <c r="A18"/>
  <c r="B18"/>
  <c r="C18"/>
  <c r="D18"/>
  <c r="A19"/>
  <c r="B19"/>
  <c r="C19"/>
  <c r="K19" s="1"/>
  <c r="D19"/>
  <c r="A20"/>
  <c r="B20"/>
  <c r="C20"/>
  <c r="G20" s="1"/>
  <c r="D20"/>
  <c r="A21"/>
  <c r="B21"/>
  <c r="C21"/>
  <c r="G21" s="1"/>
  <c r="D21"/>
  <c r="A22"/>
  <c r="B22"/>
  <c r="C22"/>
  <c r="D22"/>
  <c r="A23"/>
  <c r="B23"/>
  <c r="C23"/>
  <c r="D23"/>
  <c r="A24"/>
  <c r="B24"/>
  <c r="C24"/>
  <c r="G24" s="1"/>
  <c r="D24"/>
  <c r="A25"/>
  <c r="B25"/>
  <c r="A26"/>
  <c r="B26"/>
  <c r="C26"/>
  <c r="K26" s="1"/>
  <c r="D26"/>
  <c r="D25" s="1"/>
  <c r="A28"/>
  <c r="B28"/>
  <c r="C28"/>
  <c r="K28" s="1"/>
  <c r="D28"/>
  <c r="A29"/>
  <c r="B29"/>
  <c r="C29"/>
  <c r="G29" s="1"/>
  <c r="D29"/>
  <c r="A30"/>
  <c r="B30"/>
  <c r="A31"/>
  <c r="B31"/>
  <c r="C31"/>
  <c r="G31" s="1"/>
  <c r="D31"/>
  <c r="A32"/>
  <c r="B32"/>
  <c r="C32"/>
  <c r="G32" s="1"/>
  <c r="D32"/>
  <c r="A33"/>
  <c r="B33"/>
  <c r="C33"/>
  <c r="D33"/>
  <c r="A34"/>
  <c r="B34"/>
  <c r="D34"/>
  <c r="A35"/>
  <c r="B35"/>
  <c r="D35"/>
  <c r="A36"/>
  <c r="B36"/>
  <c r="D36"/>
  <c r="A37"/>
  <c r="B37"/>
  <c r="D37"/>
  <c r="A38"/>
  <c r="B38"/>
  <c r="D38"/>
  <c r="A39"/>
  <c r="B39"/>
  <c r="D39"/>
  <c r="A40"/>
  <c r="B40"/>
  <c r="D40"/>
  <c r="A41"/>
  <c r="B41"/>
  <c r="C41"/>
  <c r="G41" s="1"/>
  <c r="D41"/>
  <c r="A42"/>
  <c r="B42"/>
  <c r="C42"/>
  <c r="K42" s="1"/>
  <c r="D42"/>
  <c r="A43"/>
  <c r="B43"/>
  <c r="C43"/>
  <c r="K43" s="1"/>
  <c r="D43"/>
  <c r="A44"/>
  <c r="B44"/>
  <c r="C44"/>
  <c r="K44" s="1"/>
  <c r="D44"/>
  <c r="A45"/>
  <c r="B45"/>
  <c r="C45"/>
  <c r="D45"/>
  <c r="A46"/>
  <c r="B46"/>
  <c r="C46"/>
  <c r="K46" s="1"/>
  <c r="D46"/>
  <c r="A47"/>
  <c r="B47"/>
  <c r="C47"/>
  <c r="D47"/>
  <c r="A48"/>
  <c r="B48"/>
  <c r="C48"/>
  <c r="G48" s="1"/>
  <c r="D48"/>
  <c r="A49"/>
  <c r="B49"/>
  <c r="C49"/>
  <c r="K49" s="1"/>
  <c r="D49"/>
  <c r="A50"/>
  <c r="B50"/>
  <c r="C50"/>
  <c r="D50"/>
  <c r="A51"/>
  <c r="B51"/>
  <c r="C51"/>
  <c r="G51" s="1"/>
  <c r="D51"/>
  <c r="A52"/>
  <c r="B52"/>
  <c r="C52"/>
  <c r="J52" s="1"/>
  <c r="D52"/>
  <c r="A53"/>
  <c r="B53"/>
  <c r="C53"/>
  <c r="D53"/>
  <c r="A54"/>
  <c r="B54"/>
  <c r="C54"/>
  <c r="H54" s="1"/>
  <c r="D54"/>
  <c r="A55"/>
  <c r="B55"/>
  <c r="C55"/>
  <c r="D55"/>
  <c r="A56"/>
  <c r="B56"/>
  <c r="C56"/>
  <c r="H56" s="1"/>
  <c r="D56"/>
  <c r="A57"/>
  <c r="B57"/>
  <c r="C57"/>
  <c r="D57"/>
  <c r="A58"/>
  <c r="B58"/>
  <c r="A59"/>
  <c r="B59"/>
  <c r="C59"/>
  <c r="H59" s="1"/>
  <c r="D59"/>
  <c r="A60"/>
  <c r="B60"/>
  <c r="C60"/>
  <c r="H60" s="1"/>
  <c r="D60"/>
  <c r="A61"/>
  <c r="B61"/>
  <c r="C61"/>
  <c r="H61" s="1"/>
  <c r="D61"/>
  <c r="A62"/>
  <c r="B62"/>
  <c r="C62"/>
  <c r="D62"/>
  <c r="A63"/>
  <c r="B63"/>
  <c r="C63"/>
  <c r="H63" s="1"/>
  <c r="D63"/>
  <c r="A64"/>
  <c r="B64"/>
  <c r="C64"/>
  <c r="H64" s="1"/>
  <c r="D64"/>
  <c r="A65"/>
  <c r="B65"/>
  <c r="C65"/>
  <c r="H65" s="1"/>
  <c r="D65"/>
  <c r="A66"/>
  <c r="B66"/>
  <c r="C66"/>
  <c r="D66"/>
  <c r="A67"/>
  <c r="B67"/>
  <c r="A68"/>
  <c r="B68"/>
  <c r="C68"/>
  <c r="H68" s="1"/>
  <c r="D68"/>
  <c r="A69"/>
  <c r="B69"/>
  <c r="C69"/>
  <c r="D69"/>
  <c r="A70"/>
  <c r="B70"/>
  <c r="A71"/>
  <c r="B71"/>
  <c r="C71"/>
  <c r="H71" s="1"/>
  <c r="D71"/>
  <c r="A72"/>
  <c r="B72"/>
  <c r="C72"/>
  <c r="H72" s="1"/>
  <c r="D72"/>
  <c r="A73"/>
  <c r="B73"/>
  <c r="C73"/>
  <c r="H73" s="1"/>
  <c r="D73"/>
  <c r="A74"/>
  <c r="B74"/>
  <c r="C74"/>
  <c r="D74"/>
  <c r="A75"/>
  <c r="B75"/>
  <c r="C75"/>
  <c r="H75" s="1"/>
  <c r="D75"/>
  <c r="A76"/>
  <c r="B76"/>
  <c r="C76"/>
  <c r="H76" s="1"/>
  <c r="D76"/>
  <c r="A77"/>
  <c r="B77"/>
  <c r="C77"/>
  <c r="H77" s="1"/>
  <c r="D77"/>
  <c r="A78"/>
  <c r="B78"/>
  <c r="C78"/>
  <c r="D78"/>
  <c r="A79"/>
  <c r="B79"/>
  <c r="C79"/>
  <c r="H79" s="1"/>
  <c r="D79"/>
  <c r="A80"/>
  <c r="B80"/>
  <c r="C80"/>
  <c r="H80" s="1"/>
  <c r="D80"/>
  <c r="A81"/>
  <c r="B81"/>
  <c r="C81"/>
  <c r="H81" s="1"/>
  <c r="D81"/>
  <c r="A82"/>
  <c r="B82"/>
  <c r="C82"/>
  <c r="D82"/>
  <c r="A83"/>
  <c r="B83"/>
  <c r="C83"/>
  <c r="H83" s="1"/>
  <c r="D83"/>
  <c r="A84"/>
  <c r="B84"/>
  <c r="C84"/>
  <c r="H84" s="1"/>
  <c r="D84"/>
  <c r="A85"/>
  <c r="B85"/>
  <c r="C85"/>
  <c r="H85" s="1"/>
  <c r="D85"/>
  <c r="A86"/>
  <c r="B86"/>
  <c r="C86"/>
  <c r="H86" s="1"/>
  <c r="D86"/>
  <c r="A87"/>
  <c r="B87"/>
  <c r="C87"/>
  <c r="H87" s="1"/>
  <c r="D87"/>
  <c r="A88"/>
  <c r="B88"/>
  <c r="C88"/>
  <c r="H88" s="1"/>
  <c r="D88"/>
  <c r="A89"/>
  <c r="B89"/>
  <c r="C89"/>
  <c r="H89" s="1"/>
  <c r="D89"/>
  <c r="A90"/>
  <c r="B90"/>
  <c r="C90"/>
  <c r="D90"/>
  <c r="A91"/>
  <c r="B91"/>
  <c r="C91"/>
  <c r="H91" s="1"/>
  <c r="D91"/>
  <c r="A92"/>
  <c r="B92"/>
  <c r="C92"/>
  <c r="H92" s="1"/>
  <c r="D92"/>
  <c r="A93"/>
  <c r="B93"/>
  <c r="A94"/>
  <c r="B94"/>
  <c r="C94"/>
  <c r="D94"/>
  <c r="D7"/>
  <c r="C7"/>
  <c r="B7"/>
  <c r="A7"/>
  <c r="F92" i="361"/>
  <c r="F94" s="1"/>
  <c r="H90"/>
  <c r="H89"/>
  <c r="H88"/>
  <c r="H87"/>
  <c r="H86"/>
  <c r="H85"/>
  <c r="H84"/>
  <c r="H83"/>
  <c r="H82"/>
  <c r="H81"/>
  <c r="H80"/>
  <c r="H79"/>
  <c r="H78"/>
  <c r="H77"/>
  <c r="H76"/>
  <c r="H75"/>
  <c r="H74"/>
  <c r="H73"/>
  <c r="H72"/>
  <c r="H71"/>
  <c r="H70"/>
  <c r="H69"/>
  <c r="H92" s="1"/>
  <c r="F66"/>
  <c r="H64"/>
  <c r="H63"/>
  <c r="H62"/>
  <c r="H61"/>
  <c r="H60"/>
  <c r="H66" s="1"/>
  <c r="F57"/>
  <c r="H55"/>
  <c r="H54"/>
  <c r="H53"/>
  <c r="H51"/>
  <c r="H50"/>
  <c r="H49"/>
  <c r="H48"/>
  <c r="H47"/>
  <c r="H45"/>
  <c r="H43"/>
  <c r="H42"/>
  <c r="H41"/>
  <c r="H40"/>
  <c r="H38"/>
  <c r="G38"/>
  <c r="H37"/>
  <c r="G37"/>
  <c r="H36"/>
  <c r="G35"/>
  <c r="H35" s="1"/>
  <c r="G34"/>
  <c r="H34" s="1"/>
  <c r="H33"/>
  <c r="H31"/>
  <c r="H30"/>
  <c r="H29"/>
  <c r="H28"/>
  <c r="H27"/>
  <c r="G27"/>
  <c r="H26"/>
  <c r="G25"/>
  <c r="H25" s="1"/>
  <c r="H24" s="1"/>
  <c r="H23"/>
  <c r="G23"/>
  <c r="H22"/>
  <c r="G22"/>
  <c r="H20"/>
  <c r="H19"/>
  <c r="H18"/>
  <c r="H17"/>
  <c r="H16"/>
  <c r="H15"/>
  <c r="H13"/>
  <c r="H12"/>
  <c r="H11"/>
  <c r="H10"/>
  <c r="H8"/>
  <c r="A3"/>
  <c r="B95" i="359"/>
  <c r="A95"/>
  <c r="H94"/>
  <c r="H90"/>
  <c r="H82"/>
  <c r="H78"/>
  <c r="H74"/>
  <c r="H69"/>
  <c r="H66"/>
  <c r="H62"/>
  <c r="H57"/>
  <c r="H55"/>
  <c r="R32" i="2"/>
  <c r="F7" i="3"/>
  <c r="G7"/>
  <c r="R24" i="2" s="1"/>
  <c r="I13" i="3"/>
  <c r="H13"/>
  <c r="M14" i="2"/>
  <c r="T14" s="1"/>
  <c r="D19"/>
  <c r="E11" i="6"/>
  <c r="F11"/>
  <c r="C51"/>
  <c r="C41"/>
  <c r="C31"/>
  <c r="C28"/>
  <c r="F51" s="1"/>
  <c r="D19"/>
  <c r="J16"/>
  <c r="J15"/>
  <c r="J14"/>
  <c r="D11" i="2"/>
  <c r="P10"/>
  <c r="E11"/>
  <c r="J11"/>
  <c r="K11"/>
  <c r="K21" s="1"/>
  <c r="K35" s="1"/>
  <c r="K45" s="1"/>
  <c r="R11"/>
  <c r="R21" s="1"/>
  <c r="S11"/>
  <c r="S21" s="1"/>
  <c r="S35" s="1"/>
  <c r="S45" s="1"/>
  <c r="I11"/>
  <c r="I21" s="1"/>
  <c r="I35" s="1"/>
  <c r="I45" s="1"/>
  <c r="M10"/>
  <c r="G17" i="359" l="1"/>
  <c r="G49"/>
  <c r="J20"/>
  <c r="J58" s="1"/>
  <c r="G44"/>
  <c r="D58"/>
  <c r="G30"/>
  <c r="C30"/>
  <c r="G12"/>
  <c r="G43"/>
  <c r="T19" i="2"/>
  <c r="G39" i="359"/>
  <c r="H93"/>
  <c r="C25"/>
  <c r="C58" s="1"/>
  <c r="G9"/>
  <c r="G14"/>
  <c r="H14" s="1"/>
  <c r="G19"/>
  <c r="G46"/>
  <c r="K38"/>
  <c r="H67"/>
  <c r="G28"/>
  <c r="H28" s="1"/>
  <c r="G11"/>
  <c r="H11" s="1"/>
  <c r="G16"/>
  <c r="G26"/>
  <c r="H26" s="1"/>
  <c r="G42"/>
  <c r="H8" i="6"/>
  <c r="I7"/>
  <c r="D21" i="2"/>
  <c r="D35" s="1"/>
  <c r="D45" s="1"/>
  <c r="I95" i="359"/>
  <c r="G27"/>
  <c r="K27"/>
  <c r="K25" s="1"/>
  <c r="K58" s="1"/>
  <c r="K95" s="1"/>
  <c r="H9" i="2" s="1"/>
  <c r="F95" i="359"/>
  <c r="E95"/>
  <c r="C93"/>
  <c r="J93" s="1"/>
  <c r="J95" s="1"/>
  <c r="Q9" i="2" s="1"/>
  <c r="C67" i="359"/>
  <c r="D93"/>
  <c r="D67"/>
  <c r="H57" i="361"/>
  <c r="H94" s="1"/>
  <c r="H100"/>
  <c r="H8" i="359"/>
  <c r="H9"/>
  <c r="H10"/>
  <c r="H12"/>
  <c r="H13"/>
  <c r="H15"/>
  <c r="H16"/>
  <c r="H17"/>
  <c r="H18"/>
  <c r="H19"/>
  <c r="H20"/>
  <c r="H21"/>
  <c r="H22"/>
  <c r="H23"/>
  <c r="H24"/>
  <c r="H29"/>
  <c r="H31"/>
  <c r="H32"/>
  <c r="H33"/>
  <c r="H34"/>
  <c r="H35"/>
  <c r="H36"/>
  <c r="H37"/>
  <c r="H38"/>
  <c r="H39"/>
  <c r="H40"/>
  <c r="H41"/>
  <c r="H42"/>
  <c r="H43"/>
  <c r="H44"/>
  <c r="H45"/>
  <c r="H46"/>
  <c r="H47"/>
  <c r="H48"/>
  <c r="H49"/>
  <c r="H50"/>
  <c r="H51"/>
  <c r="H52"/>
  <c r="H53"/>
  <c r="E21" i="6"/>
  <c r="R30" i="2"/>
  <c r="M19"/>
  <c r="F8" i="3"/>
  <c r="G8" s="1"/>
  <c r="R25" i="2" s="1"/>
  <c r="F14" i="3"/>
  <c r="G14" s="1"/>
  <c r="L11" i="2"/>
  <c r="C26" i="6"/>
  <c r="H26" s="1"/>
  <c r="E31"/>
  <c r="C38"/>
  <c r="E41"/>
  <c r="E51"/>
  <c r="F26"/>
  <c r="D31"/>
  <c r="F31"/>
  <c r="D41"/>
  <c r="F41"/>
  <c r="D51"/>
  <c r="C52" s="1"/>
  <c r="T10" i="2"/>
  <c r="M9" l="1"/>
  <c r="H11"/>
  <c r="H21" s="1"/>
  <c r="H35" s="1"/>
  <c r="H45" s="1"/>
  <c r="G25" i="359"/>
  <c r="G58" s="1"/>
  <c r="G95" s="1"/>
  <c r="H96" i="361" s="1"/>
  <c r="H97" s="1"/>
  <c r="E26" i="6"/>
  <c r="H9"/>
  <c r="D9" s="1"/>
  <c r="D26"/>
  <c r="I8"/>
  <c r="H14"/>
  <c r="H27" i="359"/>
  <c r="H25" s="1"/>
  <c r="H58" s="1"/>
  <c r="H30"/>
  <c r="D95"/>
  <c r="C95"/>
  <c r="R31" i="2"/>
  <c r="C36" i="6"/>
  <c r="C48"/>
  <c r="C46" s="1"/>
  <c r="F28"/>
  <c r="D28"/>
  <c r="E27"/>
  <c r="E28"/>
  <c r="F27"/>
  <c r="D27"/>
  <c r="C42"/>
  <c r="C32"/>
  <c r="B28" s="1"/>
  <c r="G11" i="2"/>
  <c r="G21" s="1"/>
  <c r="G35" s="1"/>
  <c r="G45" s="1"/>
  <c r="G9" i="6" l="1"/>
  <c r="G11" s="1"/>
  <c r="D11"/>
  <c r="D21" s="1"/>
  <c r="H15"/>
  <c r="I14"/>
  <c r="K14"/>
  <c r="H95" i="359"/>
  <c r="O9" i="2" s="1"/>
  <c r="B27" i="6"/>
  <c r="B38"/>
  <c r="E36"/>
  <c r="F36"/>
  <c r="D36"/>
  <c r="B48"/>
  <c r="E46"/>
  <c r="F46"/>
  <c r="D46"/>
  <c r="Q11" i="2"/>
  <c r="Q21" s="1"/>
  <c r="Q35" s="1"/>
  <c r="Q45" s="1"/>
  <c r="D51" s="1"/>
  <c r="P9" l="1"/>
  <c r="T9" s="1"/>
  <c r="O11"/>
  <c r="O21" s="1"/>
  <c r="O35" s="1"/>
  <c r="O45" s="1"/>
  <c r="F8"/>
  <c r="I11" i="6"/>
  <c r="H16"/>
  <c r="K16" s="1"/>
  <c r="M16" s="1"/>
  <c r="I15"/>
  <c r="K15"/>
  <c r="M15" s="1"/>
  <c r="F48"/>
  <c r="D48"/>
  <c r="E47"/>
  <c r="E48"/>
  <c r="F47"/>
  <c r="D47"/>
  <c r="F38"/>
  <c r="D38"/>
  <c r="E37"/>
  <c r="E38"/>
  <c r="F37"/>
  <c r="D37"/>
  <c r="F11" i="2" l="1"/>
  <c r="M8"/>
  <c r="H19" i="6"/>
  <c r="B37"/>
  <c r="B47"/>
  <c r="F54" i="2"/>
  <c r="M11" l="1"/>
  <c r="M21" s="1"/>
  <c r="M35" s="1"/>
  <c r="M45" s="1"/>
  <c r="F9" i="3" s="1"/>
  <c r="G9" s="1"/>
  <c r="AB8" i="2"/>
  <c r="W8"/>
  <c r="Y8"/>
  <c r="AA8"/>
  <c r="V8"/>
  <c r="X8"/>
  <c r="Z8"/>
  <c r="U11" l="1"/>
  <c r="U21" s="1"/>
  <c r="E19" l="1"/>
  <c r="T32"/>
  <c r="T41"/>
  <c r="T43" s="1"/>
  <c r="L19"/>
  <c r="F19"/>
  <c r="V11"/>
  <c r="V21" s="1"/>
  <c r="V35" s="1"/>
  <c r="Z11"/>
  <c r="Z21" s="1"/>
  <c r="Z35" s="1"/>
  <c r="AA11"/>
  <c r="AA21" s="1"/>
  <c r="AA35" s="1"/>
  <c r="R43"/>
  <c r="F12" i="3"/>
  <c r="G12" s="1"/>
  <c r="N19" i="2"/>
  <c r="P19"/>
  <c r="T24"/>
  <c r="X11"/>
  <c r="X21" s="1"/>
  <c r="X35" s="1"/>
  <c r="W11"/>
  <c r="W21" s="1"/>
  <c r="W35" s="1"/>
  <c r="L21" l="1"/>
  <c r="L35" s="1"/>
  <c r="L45" s="1"/>
  <c r="E21"/>
  <c r="E35" s="1"/>
  <c r="E45" s="1"/>
  <c r="F21"/>
  <c r="F35" s="1"/>
  <c r="F45" s="1"/>
  <c r="J21"/>
  <c r="J35" s="1"/>
  <c r="J45" s="1"/>
  <c r="U35"/>
  <c r="U45" s="1"/>
  <c r="Y11"/>
  <c r="Y21" s="1"/>
  <c r="Y35" s="1"/>
  <c r="R29" l="1"/>
  <c r="T25" l="1"/>
  <c r="T31"/>
  <c r="AB27" l="1"/>
  <c r="D49" l="1"/>
  <c r="AC50"/>
  <c r="R26" l="1"/>
  <c r="P8"/>
  <c r="T8" s="1"/>
  <c r="N11"/>
  <c r="N21" l="1"/>
  <c r="N35" s="1"/>
  <c r="N45" s="1"/>
  <c r="H10" i="3" s="1"/>
  <c r="T26" i="2"/>
  <c r="P11"/>
  <c r="P21" s="1"/>
  <c r="P35" s="1"/>
  <c r="P45" s="1"/>
  <c r="AC21"/>
  <c r="AC27" l="1"/>
  <c r="AB28"/>
  <c r="AC8"/>
  <c r="T11"/>
  <c r="T21" l="1"/>
  <c r="F10" i="3" s="1"/>
  <c r="G10" s="1"/>
  <c r="T30" i="2"/>
  <c r="F11" i="3" l="1"/>
  <c r="R27" i="2"/>
  <c r="T27" s="1"/>
  <c r="D50"/>
  <c r="G11" i="3" l="1"/>
  <c r="R28" i="2" s="1"/>
  <c r="T29"/>
  <c r="G6" i="3" l="1"/>
  <c r="R33" i="2"/>
  <c r="R35" s="1"/>
  <c r="T28"/>
  <c r="T33" l="1"/>
  <c r="T35" l="1"/>
  <c r="R37" s="1"/>
  <c r="D52"/>
  <c r="AB48"/>
  <c r="F18" i="3"/>
  <c r="R45" i="2" l="1"/>
  <c r="D53"/>
  <c r="D54" s="1"/>
  <c r="E51" s="1"/>
  <c r="T37"/>
  <c r="T45" s="1"/>
  <c r="T48" s="1"/>
  <c r="G18" i="3" l="1"/>
  <c r="E52" i="2"/>
  <c r="E49"/>
  <c r="E50"/>
  <c r="E53"/>
  <c r="E18" i="3" l="1"/>
  <c r="G20"/>
  <c r="E54" i="2"/>
  <c r="F16" i="6"/>
  <c r="F19" l="1"/>
  <c r="F21" s="1"/>
  <c r="G16"/>
  <c r="G19" s="1"/>
  <c r="I19" s="1"/>
  <c r="I21" s="1"/>
  <c r="G21" l="1"/>
  <c r="K21" s="1"/>
  <c r="I16"/>
</calcChain>
</file>

<file path=xl/comments1.xml><?xml version="1.0" encoding="utf-8"?>
<comments xmlns="http://schemas.openxmlformats.org/spreadsheetml/2006/main">
  <authors>
    <author>User</author>
  </authors>
  <commentList>
    <comment ref="A2" authorId="0">
      <text>
        <r>
          <rPr>
            <sz val="9"/>
            <rFont val="宋体"/>
            <family val="3"/>
            <charset val="134"/>
          </rPr>
          <t>User:
宋体16号字</t>
        </r>
      </text>
    </comment>
    <comment ref="A3" authorId="0">
      <text>
        <r>
          <rPr>
            <sz val="9"/>
            <rFont val="宋体"/>
            <family val="3"/>
            <charset val="134"/>
          </rPr>
          <t xml:space="preserve">User:
宋体12号字
</t>
        </r>
      </text>
    </comment>
    <comment ref="G3" authorId="0">
      <text>
        <r>
          <rPr>
            <sz val="9"/>
            <rFont val="宋体"/>
            <family val="3"/>
            <charset val="134"/>
          </rPr>
          <t xml:space="preserve">User:
右靠齐
</t>
        </r>
      </text>
    </comment>
  </commentList>
</comments>
</file>

<file path=xl/sharedStrings.xml><?xml version="1.0" encoding="utf-8"?>
<sst xmlns="http://schemas.openxmlformats.org/spreadsheetml/2006/main" count="10877" uniqueCount="1241">
  <si>
    <t xml:space="preserve">单位：万元、万美元  </t>
  </si>
  <si>
    <t>第一部分：工程费用项目</t>
  </si>
  <si>
    <t>第二部分：其他费用</t>
  </si>
  <si>
    <t>综合预备费(动态预备费)</t>
  </si>
  <si>
    <t>建筑工程费</t>
  </si>
  <si>
    <t>基本预备费</t>
  </si>
  <si>
    <t>前期工作费</t>
  </si>
  <si>
    <t>总    概    算    表</t>
    <phoneticPr fontId="34" type="noConversion"/>
  </si>
  <si>
    <t xml:space="preserve"> </t>
    <phoneticPr fontId="34" type="noConversion"/>
  </si>
  <si>
    <t>序
号</t>
    <phoneticPr fontId="34" type="noConversion"/>
  </si>
  <si>
    <t>总图
编号</t>
    <phoneticPr fontId="34" type="noConversion"/>
  </si>
  <si>
    <t>工程项目和费用名称</t>
    <phoneticPr fontId="34" type="noConversion"/>
  </si>
  <si>
    <t>建        筑        工        程</t>
    <phoneticPr fontId="34" type="noConversion"/>
  </si>
  <si>
    <t>设备工程</t>
    <phoneticPr fontId="34" type="noConversion"/>
  </si>
  <si>
    <t xml:space="preserve">安装
工程   </t>
    <phoneticPr fontId="34" type="noConversion"/>
  </si>
  <si>
    <t>其他   
费用</t>
    <phoneticPr fontId="34" type="noConversion"/>
  </si>
  <si>
    <t>工具器
具及生
产家具</t>
    <phoneticPr fontId="34" type="noConversion"/>
  </si>
  <si>
    <t>合计</t>
    <phoneticPr fontId="34" type="noConversion"/>
  </si>
  <si>
    <t>外汇
额度</t>
    <phoneticPr fontId="34" type="noConversion"/>
  </si>
  <si>
    <t>建筑物</t>
    <phoneticPr fontId="34" type="noConversion"/>
  </si>
  <si>
    <t>构筑物</t>
    <phoneticPr fontId="34" type="noConversion"/>
  </si>
  <si>
    <t>设备
基础</t>
    <phoneticPr fontId="34" type="noConversion"/>
  </si>
  <si>
    <t>给排水</t>
    <phoneticPr fontId="34" type="noConversion"/>
  </si>
  <si>
    <t>采暖
通风</t>
    <phoneticPr fontId="34" type="noConversion"/>
  </si>
  <si>
    <t>动力
工程</t>
    <phoneticPr fontId="34" type="noConversion"/>
  </si>
  <si>
    <t>电气
工程</t>
    <phoneticPr fontId="34" type="noConversion"/>
  </si>
  <si>
    <t>小计</t>
    <phoneticPr fontId="34" type="noConversion"/>
  </si>
  <si>
    <t>公用
设备</t>
    <phoneticPr fontId="34" type="noConversion"/>
  </si>
  <si>
    <t>工艺
设备</t>
    <phoneticPr fontId="34" type="noConversion"/>
  </si>
  <si>
    <t>第二部分小计</t>
    <phoneticPr fontId="34" type="noConversion"/>
  </si>
  <si>
    <t>建设期贷款利息</t>
    <phoneticPr fontId="34" type="noConversion"/>
  </si>
  <si>
    <t>固定资产投资方向调节税</t>
    <phoneticPr fontId="34" type="noConversion"/>
  </si>
  <si>
    <t>动态投资合计</t>
    <phoneticPr fontId="34" type="noConversion"/>
  </si>
  <si>
    <t>序号</t>
    <phoneticPr fontId="34" type="noConversion"/>
  </si>
  <si>
    <t>电气工程</t>
    <phoneticPr fontId="34" type="noConversion"/>
  </si>
  <si>
    <r>
      <rPr>
        <b/>
        <sz val="10"/>
        <rFont val="宋体"/>
        <family val="3"/>
        <charset val="134"/>
      </rPr>
      <t>小  计</t>
    </r>
    <phoneticPr fontId="34" type="noConversion"/>
  </si>
  <si>
    <r>
      <rPr>
        <b/>
        <sz val="10"/>
        <rFont val="宋体"/>
        <family val="3"/>
        <charset val="134"/>
      </rPr>
      <t>小       计</t>
    </r>
    <phoneticPr fontId="34" type="noConversion"/>
  </si>
  <si>
    <r>
      <rPr>
        <sz val="10"/>
        <rFont val="宋体"/>
        <family val="3"/>
        <charset val="134"/>
      </rPr>
      <t>建筑面积</t>
    </r>
    <r>
      <rPr>
        <sz val="10"/>
        <rFont val="Times New Roman"/>
        <family val="1"/>
      </rPr>
      <t>(m</t>
    </r>
    <r>
      <rPr>
        <vertAlign val="superscript"/>
        <sz val="10"/>
        <rFont val="Times New Roman"/>
        <family val="1"/>
      </rPr>
      <t>2</t>
    </r>
    <r>
      <rPr>
        <sz val="10"/>
        <rFont val="Times New Roman"/>
        <family val="1"/>
      </rPr>
      <t>)</t>
    </r>
    <phoneticPr fontId="34" type="noConversion"/>
  </si>
  <si>
    <t>新建</t>
    <phoneticPr fontId="34" type="noConversion"/>
  </si>
  <si>
    <t>改造</t>
    <phoneticPr fontId="34" type="noConversion"/>
  </si>
  <si>
    <t>建筑工程</t>
    <phoneticPr fontId="34" type="noConversion"/>
  </si>
  <si>
    <t>第四部分：动态投资</t>
    <phoneticPr fontId="34" type="noConversion"/>
  </si>
  <si>
    <t>序号</t>
  </si>
  <si>
    <t>工程费名称</t>
  </si>
  <si>
    <r>
      <rPr>
        <sz val="10"/>
        <rFont val="宋体"/>
        <family val="3"/>
        <charset val="134"/>
      </rPr>
      <t>投资额</t>
    </r>
    <r>
      <rPr>
        <sz val="10"/>
        <rFont val="Times New Roman"/>
        <family val="1"/>
      </rPr>
      <t xml:space="preserve">            (</t>
    </r>
    <r>
      <rPr>
        <sz val="10"/>
        <rFont val="宋体"/>
        <family val="3"/>
        <charset val="134"/>
      </rPr>
      <t>万元</t>
    </r>
    <r>
      <rPr>
        <sz val="10"/>
        <rFont val="Times New Roman"/>
        <family val="1"/>
      </rPr>
      <t>)</t>
    </r>
    <phoneticPr fontId="34" type="noConversion"/>
  </si>
  <si>
    <t>占投资数（%）</t>
  </si>
  <si>
    <t>其中外汇（万美元）</t>
  </si>
  <si>
    <t>设备工程费</t>
  </si>
  <si>
    <t>工程建设其他费用</t>
  </si>
  <si>
    <t>合       计</t>
  </si>
  <si>
    <t>第一部分合计</t>
    <phoneticPr fontId="34" type="noConversion"/>
  </si>
  <si>
    <t>一</t>
  </si>
  <si>
    <t>地上</t>
    <phoneticPr fontId="34" type="noConversion"/>
  </si>
  <si>
    <t>地下</t>
    <phoneticPr fontId="34" type="noConversion"/>
  </si>
  <si>
    <t>工程费用名称</t>
  </si>
  <si>
    <t>估算价值（万元）</t>
    <phoneticPr fontId="34" type="noConversion"/>
  </si>
  <si>
    <t>技术经济指标</t>
  </si>
  <si>
    <t>现</t>
    <phoneticPr fontId="34" type="noConversion"/>
  </si>
  <si>
    <t>安装工程</t>
    <phoneticPr fontId="34" type="noConversion"/>
  </si>
  <si>
    <t>数量 M2</t>
    <phoneticPr fontId="34" type="noConversion"/>
  </si>
  <si>
    <t>单位价值 元/M2</t>
    <phoneticPr fontId="34" type="noConversion"/>
  </si>
  <si>
    <t>一</t>
    <phoneticPr fontId="34" type="noConversion"/>
  </si>
  <si>
    <t>工程费用</t>
    <phoneticPr fontId="34" type="noConversion"/>
  </si>
  <si>
    <t>建筑装饰工程</t>
    <phoneticPr fontId="34" type="noConversion"/>
  </si>
  <si>
    <t>小计</t>
    <phoneticPr fontId="34" type="noConversion"/>
  </si>
  <si>
    <t>给排水及消防工程</t>
    <phoneticPr fontId="34" type="noConversion"/>
  </si>
  <si>
    <t>合计</t>
    <phoneticPr fontId="34" type="noConversion"/>
  </si>
  <si>
    <t>建设期利息</t>
    <phoneticPr fontId="34" type="noConversion"/>
  </si>
  <si>
    <t>自筹</t>
    <phoneticPr fontId="34" type="noConversion"/>
  </si>
  <si>
    <t>建筑工程</t>
    <phoneticPr fontId="34" type="noConversion"/>
  </si>
  <si>
    <t>装饰工程</t>
    <phoneticPr fontId="34" type="noConversion"/>
  </si>
  <si>
    <t>暖通动力工程</t>
    <phoneticPr fontId="34" type="noConversion"/>
  </si>
  <si>
    <t>其它费用估算表</t>
    <phoneticPr fontId="34" type="noConversion"/>
  </si>
  <si>
    <t>序号</t>
    <phoneticPr fontId="34" type="noConversion"/>
  </si>
  <si>
    <t>工程或费用名称</t>
    <phoneticPr fontId="34" type="noConversion"/>
  </si>
  <si>
    <t>收费依据</t>
    <phoneticPr fontId="34" type="noConversion"/>
  </si>
  <si>
    <t>单位</t>
    <phoneticPr fontId="34" type="noConversion"/>
  </si>
  <si>
    <t>单位指标</t>
    <phoneticPr fontId="34" type="noConversion"/>
  </si>
  <si>
    <t>计算基数</t>
    <phoneticPr fontId="34" type="noConversion"/>
  </si>
  <si>
    <t>投资                              （万元）</t>
    <phoneticPr fontId="34" type="noConversion"/>
  </si>
  <si>
    <t>一</t>
    <phoneticPr fontId="34" type="noConversion"/>
  </si>
  <si>
    <t>其他费用</t>
    <phoneticPr fontId="34" type="noConversion"/>
  </si>
  <si>
    <t>建设单位管理费</t>
  </si>
  <si>
    <t>财建[2002]394号文</t>
    <phoneticPr fontId="34" type="noConversion"/>
  </si>
  <si>
    <t>万元</t>
  </si>
  <si>
    <t>计价格[1999]1283号文</t>
    <phoneticPr fontId="34" type="noConversion"/>
  </si>
  <si>
    <t>插入法</t>
  </si>
  <si>
    <t>工程建设监理费</t>
    <phoneticPr fontId="34" type="noConversion"/>
  </si>
  <si>
    <t>发改价格[2007]670号文</t>
    <phoneticPr fontId="34" type="noConversion"/>
  </si>
  <si>
    <t>工程设计费</t>
    <phoneticPr fontId="34" type="noConversion"/>
  </si>
  <si>
    <t>计价格[2002]10号文</t>
  </si>
  <si>
    <t>施工图审查费</t>
    <phoneticPr fontId="34" type="noConversion"/>
  </si>
  <si>
    <t>发改价格[2011]534号文</t>
    <phoneticPr fontId="34" type="noConversion"/>
  </si>
  <si>
    <t>工程勘察费</t>
    <phoneticPr fontId="34" type="noConversion"/>
  </si>
  <si>
    <t>工程</t>
    <phoneticPr fontId="34" type="noConversion"/>
  </si>
  <si>
    <t>公用设备</t>
    <phoneticPr fontId="34" type="noConversion"/>
  </si>
  <si>
    <t>工艺设备</t>
    <phoneticPr fontId="34" type="noConversion"/>
  </si>
  <si>
    <t>招标代理服务费</t>
    <phoneticPr fontId="34" type="noConversion"/>
  </si>
  <si>
    <t>计价格[2002]1980号文</t>
  </si>
  <si>
    <t>环境评价收费</t>
    <phoneticPr fontId="34" type="noConversion"/>
  </si>
  <si>
    <t>计价格[2002]125号文</t>
  </si>
  <si>
    <t>劳动安全卫生评价费</t>
    <phoneticPr fontId="34" type="noConversion"/>
  </si>
  <si>
    <t>地方有关规定</t>
    <phoneticPr fontId="34" type="noConversion"/>
  </si>
  <si>
    <t>二</t>
    <phoneticPr fontId="34" type="noConversion"/>
  </si>
  <si>
    <t>三</t>
    <phoneticPr fontId="34" type="noConversion"/>
  </si>
  <si>
    <t xml:space="preserve">基本预备费  </t>
    <phoneticPr fontId="34" type="noConversion"/>
  </si>
  <si>
    <t>科工法［2005］496号</t>
    <phoneticPr fontId="34" type="noConversion"/>
  </si>
  <si>
    <t>合计</t>
    <phoneticPr fontId="34" type="noConversion"/>
  </si>
  <si>
    <t>2601#</t>
  </si>
  <si>
    <t>一、生产性项目</t>
    <phoneticPr fontId="34" type="noConversion"/>
  </si>
  <si>
    <t>二、总图设施项目</t>
    <phoneticPr fontId="34" type="noConversion"/>
  </si>
  <si>
    <t>绿化</t>
  </si>
  <si>
    <t>室外给排水工程</t>
  </si>
  <si>
    <t>室外电气工程</t>
  </si>
  <si>
    <t>工艺设备明细及概算表</t>
    <phoneticPr fontId="34" type="noConversion"/>
  </si>
  <si>
    <t>设备名称</t>
    <phoneticPr fontId="34" type="noConversion"/>
  </si>
  <si>
    <r>
      <rPr>
        <sz val="10"/>
        <rFont val="宋体"/>
        <family val="3"/>
        <charset val="134"/>
      </rPr>
      <t>设</t>
    </r>
    <r>
      <rPr>
        <sz val="10"/>
        <rFont val="Times New Roman"/>
        <family val="1"/>
      </rPr>
      <t xml:space="preserve">  </t>
    </r>
    <r>
      <rPr>
        <sz val="10"/>
        <rFont val="宋体"/>
        <family val="3"/>
        <charset val="134"/>
      </rPr>
      <t>备</t>
    </r>
    <r>
      <rPr>
        <sz val="10"/>
        <rFont val="Times New Roman"/>
        <family val="1"/>
      </rPr>
      <t xml:space="preserve">  </t>
    </r>
    <r>
      <rPr>
        <sz val="10"/>
        <rFont val="宋体"/>
        <family val="3"/>
        <charset val="134"/>
      </rPr>
      <t>购</t>
    </r>
    <r>
      <rPr>
        <sz val="10"/>
        <rFont val="Times New Roman"/>
        <family val="1"/>
      </rPr>
      <t xml:space="preserve">  </t>
    </r>
    <r>
      <rPr>
        <sz val="10"/>
        <rFont val="宋体"/>
        <family val="3"/>
        <charset val="134"/>
      </rPr>
      <t>置</t>
    </r>
    <r>
      <rPr>
        <sz val="10"/>
        <rFont val="Times New Roman"/>
        <family val="1"/>
      </rPr>
      <t xml:space="preserve">  </t>
    </r>
    <r>
      <rPr>
        <sz val="10"/>
        <rFont val="宋体"/>
        <family val="3"/>
        <charset val="134"/>
      </rPr>
      <t>费</t>
    </r>
    <phoneticPr fontId="34" type="noConversion"/>
  </si>
  <si>
    <r>
      <rPr>
        <sz val="10"/>
        <rFont val="宋体"/>
        <family val="3"/>
        <charset val="134"/>
      </rPr>
      <t>安装
调试费</t>
    </r>
    <phoneticPr fontId="34" type="noConversion"/>
  </si>
  <si>
    <r>
      <rPr>
        <sz val="10"/>
        <rFont val="宋体"/>
        <family val="3"/>
        <charset val="134"/>
      </rPr>
      <t>设备
基础费</t>
    </r>
    <phoneticPr fontId="34" type="noConversion"/>
  </si>
  <si>
    <t>备注</t>
    <phoneticPr fontId="34" type="noConversion"/>
  </si>
  <si>
    <r>
      <rPr>
        <sz val="10"/>
        <rFont val="宋体"/>
        <family val="3"/>
        <charset val="134"/>
      </rPr>
      <t>设备价格</t>
    </r>
    <r>
      <rPr>
        <sz val="10"/>
        <rFont val="Times New Roman"/>
        <family val="1"/>
      </rPr>
      <t>(</t>
    </r>
    <r>
      <rPr>
        <sz val="10"/>
        <rFont val="宋体"/>
        <family val="3"/>
        <charset val="134"/>
      </rPr>
      <t>万元、万美元</t>
    </r>
    <r>
      <rPr>
        <sz val="10"/>
        <rFont val="Times New Roman"/>
        <family val="1"/>
      </rPr>
      <t>)</t>
    </r>
    <phoneticPr fontId="34" type="noConversion"/>
  </si>
  <si>
    <r>
      <rPr>
        <sz val="10"/>
        <rFont val="宋体"/>
        <family val="3"/>
        <charset val="134"/>
      </rPr>
      <t>关税
增值税</t>
    </r>
    <phoneticPr fontId="34" type="noConversion"/>
  </si>
  <si>
    <r>
      <rPr>
        <sz val="10"/>
        <rFont val="宋体"/>
        <family val="3"/>
        <charset val="134"/>
      </rPr>
      <t>进口
费用</t>
    </r>
    <phoneticPr fontId="34" type="noConversion"/>
  </si>
  <si>
    <r>
      <rPr>
        <sz val="10"/>
        <rFont val="宋体"/>
        <family val="3"/>
        <charset val="134"/>
      </rPr>
      <t>国内
运杂费</t>
    </r>
    <phoneticPr fontId="34" type="noConversion"/>
  </si>
  <si>
    <t>合价</t>
    <phoneticPr fontId="34" type="noConversion"/>
  </si>
  <si>
    <t>其中：
外币</t>
  </si>
  <si>
    <t>共计</t>
    <phoneticPr fontId="34" type="noConversion"/>
  </si>
  <si>
    <t>其中外汇</t>
    <phoneticPr fontId="34" type="noConversion"/>
  </si>
  <si>
    <r>
      <rPr>
        <sz val="12"/>
        <rFont val="宋体"/>
        <family val="3"/>
        <charset val="134"/>
      </rPr>
      <t>附表</t>
    </r>
    <r>
      <rPr>
        <sz val="12"/>
        <rFont val="Times New Roman"/>
        <family val="1"/>
      </rPr>
      <t xml:space="preserve">2 </t>
    </r>
  </si>
  <si>
    <r>
      <rPr>
        <sz val="12"/>
        <rFont val="宋体"/>
        <family val="3"/>
        <charset val="134"/>
      </rPr>
      <t>单位：万元、万美元</t>
    </r>
  </si>
  <si>
    <r>
      <rPr>
        <sz val="12"/>
        <rFont val="宋体"/>
        <family val="3"/>
        <charset val="134"/>
      </rPr>
      <t>序号</t>
    </r>
  </si>
  <si>
    <r>
      <rPr>
        <sz val="12"/>
        <rFont val="宋体"/>
        <family val="3"/>
        <charset val="134"/>
      </rPr>
      <t>设</t>
    </r>
    <r>
      <rPr>
        <sz val="12"/>
        <rFont val="Times New Roman"/>
        <family val="1"/>
      </rPr>
      <t xml:space="preserve">  </t>
    </r>
    <r>
      <rPr>
        <sz val="12"/>
        <rFont val="宋体"/>
        <family val="3"/>
        <charset val="134"/>
      </rPr>
      <t>备</t>
    </r>
    <r>
      <rPr>
        <sz val="12"/>
        <rFont val="Times New Roman"/>
        <family val="1"/>
      </rPr>
      <t xml:space="preserve">  </t>
    </r>
    <r>
      <rPr>
        <sz val="12"/>
        <rFont val="宋体"/>
        <family val="3"/>
        <charset val="134"/>
      </rPr>
      <t>名</t>
    </r>
    <r>
      <rPr>
        <sz val="12"/>
        <rFont val="Times New Roman"/>
        <family val="1"/>
      </rPr>
      <t xml:space="preserve">  </t>
    </r>
    <r>
      <rPr>
        <sz val="12"/>
        <rFont val="宋体"/>
        <family val="3"/>
        <charset val="134"/>
      </rPr>
      <t>称</t>
    </r>
  </si>
  <si>
    <t>规格型号或参考型号
及其主要技术（性能）指标</t>
    <phoneticPr fontId="34" type="noConversion"/>
  </si>
  <si>
    <r>
      <rPr>
        <sz val="12"/>
        <rFont val="宋体"/>
        <family val="3"/>
        <charset val="134"/>
      </rPr>
      <t>国别</t>
    </r>
  </si>
  <si>
    <r>
      <rPr>
        <sz val="12"/>
        <rFont val="宋体"/>
        <family val="3"/>
        <charset val="134"/>
      </rPr>
      <t>单位</t>
    </r>
  </si>
  <si>
    <r>
      <rPr>
        <sz val="12"/>
        <rFont val="宋体"/>
        <family val="3"/>
        <charset val="134"/>
      </rPr>
      <t>数量</t>
    </r>
  </si>
  <si>
    <r>
      <rPr>
        <sz val="12"/>
        <rFont val="宋体"/>
        <family val="3"/>
        <charset val="134"/>
      </rPr>
      <t>设</t>
    </r>
    <r>
      <rPr>
        <sz val="12"/>
        <rFont val="Times New Roman"/>
        <family val="1"/>
      </rPr>
      <t xml:space="preserve">  </t>
    </r>
    <r>
      <rPr>
        <sz val="12"/>
        <rFont val="宋体"/>
        <family val="3"/>
        <charset val="134"/>
      </rPr>
      <t>备</t>
    </r>
    <r>
      <rPr>
        <sz val="12"/>
        <rFont val="Times New Roman"/>
        <family val="1"/>
      </rPr>
      <t xml:space="preserve">  </t>
    </r>
    <r>
      <rPr>
        <sz val="12"/>
        <rFont val="宋体"/>
        <family val="3"/>
        <charset val="134"/>
      </rPr>
      <t>价</t>
    </r>
    <r>
      <rPr>
        <sz val="12"/>
        <rFont val="Times New Roman"/>
        <family val="1"/>
      </rPr>
      <t xml:space="preserve">  </t>
    </r>
    <r>
      <rPr>
        <sz val="12"/>
        <rFont val="宋体"/>
        <family val="3"/>
        <charset val="134"/>
      </rPr>
      <t>格</t>
    </r>
  </si>
  <si>
    <r>
      <rPr>
        <sz val="12"/>
        <rFont val="宋体"/>
        <family val="3"/>
        <charset val="134"/>
      </rPr>
      <t>招标情况</t>
    </r>
  </si>
  <si>
    <r>
      <rPr>
        <sz val="12"/>
        <rFont val="宋体"/>
        <family val="3"/>
        <charset val="134"/>
      </rPr>
      <t>备注</t>
    </r>
  </si>
  <si>
    <r>
      <rPr>
        <sz val="12"/>
        <rFont val="宋体"/>
        <family val="3"/>
        <charset val="134"/>
      </rPr>
      <t>单价</t>
    </r>
  </si>
  <si>
    <r>
      <rPr>
        <sz val="12"/>
        <rFont val="宋体"/>
        <family val="3"/>
        <charset val="134"/>
      </rPr>
      <t>合计</t>
    </r>
  </si>
  <si>
    <r>
      <rPr>
        <sz val="12"/>
        <rFont val="宋体"/>
        <family val="3"/>
        <charset val="134"/>
      </rPr>
      <t>其中外汇</t>
    </r>
  </si>
  <si>
    <r>
      <rPr>
        <b/>
        <sz val="12"/>
        <color indexed="8"/>
        <rFont val="宋体"/>
        <family val="3"/>
        <charset val="134"/>
      </rPr>
      <t>板单元生产线</t>
    </r>
    <phoneticPr fontId="34" type="noConversion"/>
  </si>
  <si>
    <t>（一）</t>
  </si>
  <si>
    <t>钢材预处理生产线</t>
    <phoneticPr fontId="34" type="noConversion"/>
  </si>
  <si>
    <r>
      <rPr>
        <sz val="12"/>
        <rFont val="宋体"/>
        <family val="3"/>
        <charset val="134"/>
      </rPr>
      <t>钢板矫平机</t>
    </r>
  </si>
  <si>
    <r>
      <t>加工板厚10-40mm</t>
    </r>
    <r>
      <rPr>
        <sz val="12"/>
        <rFont val="宋体"/>
        <family val="3"/>
        <charset val="134"/>
      </rPr>
      <t xml:space="preserve"> 最大板宽</t>
    </r>
    <r>
      <rPr>
        <sz val="12"/>
        <rFont val="宋体"/>
        <family val="3"/>
        <charset val="134"/>
      </rPr>
      <t>4500mm，数控七辊</t>
    </r>
    <phoneticPr fontId="34" type="noConversion"/>
  </si>
  <si>
    <r>
      <rPr>
        <sz val="12"/>
        <color indexed="8"/>
        <rFont val="宋体"/>
        <family val="3"/>
        <charset val="134"/>
      </rPr>
      <t>国产</t>
    </r>
  </si>
  <si>
    <r>
      <rPr>
        <sz val="12"/>
        <color indexed="8"/>
        <rFont val="新宋体"/>
        <family val="3"/>
        <charset val="134"/>
      </rPr>
      <t>台</t>
    </r>
  </si>
  <si>
    <t>不招标</t>
    <phoneticPr fontId="34" type="noConversion"/>
  </si>
  <si>
    <t>非标集成</t>
    <phoneticPr fontId="34" type="noConversion"/>
  </si>
  <si>
    <t>（二）</t>
    <phoneticPr fontId="34" type="noConversion"/>
  </si>
  <si>
    <r>
      <rPr>
        <sz val="12"/>
        <color indexed="8"/>
        <rFont val="宋体"/>
        <family val="3"/>
        <charset val="134"/>
      </rPr>
      <t>下料切割生产线</t>
    </r>
    <phoneticPr fontId="34" type="noConversion"/>
  </si>
  <si>
    <r>
      <rPr>
        <sz val="12"/>
        <rFont val="宋体"/>
        <family val="3"/>
        <charset val="134"/>
      </rPr>
      <t>数控等离子切割机</t>
    </r>
  </si>
  <si>
    <r>
      <t>30x6000x40000,</t>
    </r>
    <r>
      <rPr>
        <sz val="12"/>
        <rFont val="宋体"/>
        <family val="3"/>
        <charset val="134"/>
      </rPr>
      <t>自动编程、自动划线、坡口开制、喷码打标</t>
    </r>
    <phoneticPr fontId="34" type="noConversion"/>
  </si>
  <si>
    <r>
      <rPr>
        <sz val="12"/>
        <rFont val="宋体"/>
        <family val="3"/>
        <charset val="134"/>
      </rPr>
      <t>数控火焰切割机</t>
    </r>
  </si>
  <si>
    <r>
      <t>100x6000x40000,</t>
    </r>
    <r>
      <rPr>
        <sz val="12"/>
        <rFont val="宋体"/>
        <family val="3"/>
        <charset val="134"/>
      </rPr>
      <t>自动编程、自动划线、坡口开制、喷码打标</t>
    </r>
    <phoneticPr fontId="34" type="noConversion"/>
  </si>
  <si>
    <r>
      <rPr>
        <sz val="12"/>
        <rFont val="宋体"/>
        <family val="3"/>
        <charset val="134"/>
      </rPr>
      <t>门式多头火焰切割机</t>
    </r>
  </si>
  <si>
    <r>
      <t>100x6000x40000,</t>
    </r>
    <r>
      <rPr>
        <sz val="12"/>
        <rFont val="宋体"/>
        <family val="3"/>
        <charset val="134"/>
      </rPr>
      <t>横向割炬</t>
    </r>
    <r>
      <rPr>
        <sz val="12"/>
        <rFont val="Times New Roman"/>
        <family val="1"/>
      </rPr>
      <t>2</t>
    </r>
    <r>
      <rPr>
        <sz val="12"/>
        <rFont val="宋体"/>
        <family val="3"/>
        <charset val="134"/>
      </rPr>
      <t>付、纵向割炬</t>
    </r>
    <r>
      <rPr>
        <sz val="12"/>
        <rFont val="Times New Roman"/>
        <family val="1"/>
      </rPr>
      <t>15</t>
    </r>
    <r>
      <rPr>
        <sz val="12"/>
        <rFont val="宋体"/>
        <family val="3"/>
        <charset val="134"/>
      </rPr>
      <t>付</t>
    </r>
    <phoneticPr fontId="34" type="noConversion"/>
  </si>
  <si>
    <r>
      <rPr>
        <sz val="12"/>
        <rFont val="宋体"/>
        <family val="3"/>
        <charset val="134"/>
      </rPr>
      <t>数控划线号料机</t>
    </r>
  </si>
  <si>
    <r>
      <t>6000x40000,</t>
    </r>
    <r>
      <rPr>
        <sz val="12"/>
        <rFont val="宋体"/>
        <family val="3"/>
        <charset val="134"/>
      </rPr>
      <t>自动编程、自动划线、喷码打标</t>
    </r>
    <phoneticPr fontId="34" type="noConversion"/>
  </si>
  <si>
    <t>（三）</t>
  </si>
  <si>
    <r>
      <t>U</t>
    </r>
    <r>
      <rPr>
        <sz val="12"/>
        <rFont val="宋体"/>
        <family val="3"/>
        <charset val="134"/>
      </rPr>
      <t>肋生产线</t>
    </r>
    <phoneticPr fontId="34" type="noConversion"/>
  </si>
  <si>
    <r>
      <rPr>
        <sz val="12"/>
        <color indexed="8"/>
        <rFont val="新宋体"/>
        <family val="3"/>
        <charset val="134"/>
      </rPr>
      <t>坡口铣边机</t>
    </r>
  </si>
  <si>
    <r>
      <rPr>
        <sz val="12"/>
        <color indexed="8"/>
        <rFont val="宋体"/>
        <family val="3"/>
        <charset val="134"/>
      </rPr>
      <t>双</t>
    </r>
    <r>
      <rPr>
        <sz val="12"/>
        <color indexed="8"/>
        <rFont val="Times New Roman"/>
        <family val="1"/>
      </rPr>
      <t>45°</t>
    </r>
    <r>
      <rPr>
        <sz val="12"/>
        <color indexed="8"/>
        <rFont val="宋体"/>
        <family val="3"/>
        <charset val="134"/>
      </rPr>
      <t>坡口</t>
    </r>
    <r>
      <rPr>
        <sz val="12"/>
        <color indexed="8"/>
        <rFont val="Times New Roman"/>
        <family val="1"/>
      </rPr>
      <t xml:space="preserve">  </t>
    </r>
    <r>
      <rPr>
        <sz val="12"/>
        <color indexed="8"/>
        <rFont val="宋体"/>
        <family val="3"/>
        <charset val="134"/>
      </rPr>
      <t>宽度</t>
    </r>
    <r>
      <rPr>
        <sz val="12"/>
        <color indexed="8"/>
        <rFont val="Times New Roman"/>
        <family val="1"/>
      </rPr>
      <t>100-500mm</t>
    </r>
    <phoneticPr fontId="34" type="noConversion"/>
  </si>
  <si>
    <r>
      <rPr>
        <sz val="12"/>
        <color indexed="8"/>
        <rFont val="新宋体"/>
        <family val="3"/>
        <charset val="134"/>
      </rPr>
      <t>双头坡口铣边机</t>
    </r>
  </si>
  <si>
    <r>
      <rPr>
        <sz val="12"/>
        <color indexed="8"/>
        <rFont val="宋体"/>
        <family val="3"/>
        <charset val="134"/>
      </rPr>
      <t>最大长度</t>
    </r>
    <r>
      <rPr>
        <sz val="12"/>
        <color indexed="8"/>
        <rFont val="Times New Roman"/>
        <family val="1"/>
      </rPr>
      <t xml:space="preserve">15m </t>
    </r>
    <r>
      <rPr>
        <sz val="12"/>
        <color indexed="8"/>
        <rFont val="宋体"/>
        <family val="3"/>
        <charset val="134"/>
      </rPr>
      <t>最大宽度</t>
    </r>
    <r>
      <rPr>
        <sz val="12"/>
        <color indexed="8"/>
        <rFont val="Times New Roman"/>
        <family val="1"/>
      </rPr>
      <t>5000m</t>
    </r>
    <phoneticPr fontId="34" type="noConversion"/>
  </si>
  <si>
    <r>
      <t>R2</t>
    </r>
    <r>
      <rPr>
        <sz val="12"/>
        <color indexed="8"/>
        <rFont val="新宋体"/>
        <family val="3"/>
        <charset val="134"/>
      </rPr>
      <t>倒角机</t>
    </r>
  </si>
  <si>
    <t>宽度100-500mm 速度10m/min</t>
    <phoneticPr fontId="34" type="noConversion"/>
  </si>
  <si>
    <r>
      <t>U</t>
    </r>
    <r>
      <rPr>
        <sz val="12"/>
        <rFont val="新宋体"/>
        <family val="3"/>
        <charset val="134"/>
      </rPr>
      <t>肋板矫平机</t>
    </r>
  </si>
  <si>
    <r>
      <rPr>
        <sz val="12"/>
        <rFont val="宋体"/>
        <family val="3"/>
        <charset val="134"/>
      </rPr>
      <t>矫平厚度</t>
    </r>
    <r>
      <rPr>
        <sz val="12"/>
        <rFont val="Times New Roman"/>
        <family val="1"/>
      </rPr>
      <t xml:space="preserve">4-16mm </t>
    </r>
    <r>
      <rPr>
        <sz val="12"/>
        <rFont val="宋体"/>
        <family val="3"/>
        <charset val="134"/>
      </rPr>
      <t>最大宽度</t>
    </r>
    <r>
      <rPr>
        <sz val="12"/>
        <rFont val="Times New Roman"/>
        <family val="1"/>
      </rPr>
      <t>1100mm</t>
    </r>
    <phoneticPr fontId="34" type="noConversion"/>
  </si>
  <si>
    <r>
      <rPr>
        <sz val="12"/>
        <rFont val="新宋体"/>
        <family val="3"/>
        <charset val="134"/>
      </rPr>
      <t>数控多边坡口成型机</t>
    </r>
  </si>
  <si>
    <r>
      <rPr>
        <sz val="12"/>
        <rFont val="新宋体"/>
        <family val="3"/>
        <charset val="134"/>
      </rPr>
      <t>最大加工长度：</t>
    </r>
    <r>
      <rPr>
        <sz val="12"/>
        <rFont val="Times New Roman"/>
        <family val="1"/>
      </rPr>
      <t>17000mm</t>
    </r>
    <r>
      <rPr>
        <sz val="12"/>
        <rFont val="新宋体"/>
        <family val="3"/>
        <charset val="134"/>
      </rPr>
      <t>，最大加工板料宽度：</t>
    </r>
    <r>
      <rPr>
        <sz val="12"/>
        <rFont val="Times New Roman"/>
        <family val="1"/>
      </rPr>
      <t xml:space="preserve"> 1100mm</t>
    </r>
    <r>
      <rPr>
        <sz val="12"/>
        <rFont val="新宋体"/>
        <family val="3"/>
        <charset val="134"/>
      </rPr>
      <t>，最大加工板料厚度：</t>
    </r>
    <r>
      <rPr>
        <sz val="12"/>
        <rFont val="Times New Roman"/>
        <family val="1"/>
      </rPr>
      <t xml:space="preserve">10mm </t>
    </r>
    <phoneticPr fontId="34" type="noConversion"/>
  </si>
  <si>
    <r>
      <rPr>
        <sz val="12"/>
        <rFont val="新宋体"/>
        <family val="3"/>
        <charset val="134"/>
      </rPr>
      <t>双台联动电液伺服数控折弯机</t>
    </r>
  </si>
  <si>
    <r>
      <rPr>
        <sz val="12"/>
        <rFont val="新宋体"/>
        <family val="3"/>
        <charset val="134"/>
      </rPr>
      <t>最大加工长度：</t>
    </r>
    <r>
      <rPr>
        <sz val="12"/>
        <rFont val="Times New Roman"/>
        <family val="1"/>
      </rPr>
      <t>18000m</t>
    </r>
    <r>
      <rPr>
        <sz val="12"/>
        <rFont val="新宋体"/>
        <family val="3"/>
        <charset val="134"/>
      </rPr>
      <t>，最大加工板料厚度：</t>
    </r>
    <r>
      <rPr>
        <sz val="12"/>
        <rFont val="Times New Roman"/>
        <family val="1"/>
      </rPr>
      <t>12mm</t>
    </r>
  </si>
  <si>
    <t>（四）</t>
    <phoneticPr fontId="34" type="noConversion"/>
  </si>
  <si>
    <r>
      <t>U</t>
    </r>
    <r>
      <rPr>
        <sz val="12"/>
        <rFont val="新宋体"/>
        <family val="3"/>
        <charset val="134"/>
      </rPr>
      <t>肋板单元生产线</t>
    </r>
    <phoneticPr fontId="34" type="noConversion"/>
  </si>
  <si>
    <r>
      <t>U</t>
    </r>
    <r>
      <rPr>
        <sz val="12"/>
        <rFont val="宋体"/>
        <family val="3"/>
        <charset val="134"/>
      </rPr>
      <t>肋端口栓孔定位装置</t>
    </r>
    <phoneticPr fontId="34" type="noConversion"/>
  </si>
  <si>
    <r>
      <rPr>
        <sz val="12"/>
        <rFont val="宋体"/>
        <family val="3"/>
        <charset val="134"/>
      </rPr>
      <t>轨距</t>
    </r>
    <r>
      <rPr>
        <sz val="12"/>
        <rFont val="Times New Roman"/>
        <family val="1"/>
      </rPr>
      <t>4500×2000</t>
    </r>
    <r>
      <rPr>
        <sz val="12"/>
        <rFont val="宋体"/>
        <family val="3"/>
        <charset val="134"/>
      </rPr>
      <t>，前后移动范围</t>
    </r>
    <r>
      <rPr>
        <sz val="12"/>
        <rFont val="Times New Roman"/>
        <family val="1"/>
      </rPr>
      <t>500</t>
    </r>
    <phoneticPr fontId="34" type="noConversion"/>
  </si>
  <si>
    <r>
      <rPr>
        <sz val="12"/>
        <color indexed="8"/>
        <rFont val="新宋体"/>
        <family val="3"/>
        <charset val="134"/>
      </rPr>
      <t>套</t>
    </r>
  </si>
  <si>
    <r>
      <rPr>
        <sz val="12"/>
        <rFont val="宋体"/>
        <family val="3"/>
        <charset val="134"/>
      </rPr>
      <t>移动式</t>
    </r>
    <r>
      <rPr>
        <sz val="12"/>
        <rFont val="Times New Roman"/>
        <family val="1"/>
      </rPr>
      <t>U</t>
    </r>
    <r>
      <rPr>
        <sz val="12"/>
        <rFont val="宋体"/>
        <family val="3"/>
        <charset val="134"/>
      </rPr>
      <t>肋装配机</t>
    </r>
  </si>
  <si>
    <r>
      <rPr>
        <sz val="12"/>
        <rFont val="宋体"/>
        <family val="3"/>
        <charset val="134"/>
      </rPr>
      <t>轨距</t>
    </r>
    <r>
      <rPr>
        <sz val="12"/>
        <rFont val="Times New Roman"/>
        <family val="1"/>
      </rPr>
      <t>6000×40000,</t>
    </r>
    <r>
      <rPr>
        <sz val="12"/>
        <rFont val="宋体"/>
        <family val="3"/>
        <charset val="134"/>
      </rPr>
      <t>总压力</t>
    </r>
    <r>
      <rPr>
        <sz val="12"/>
        <rFont val="Times New Roman"/>
        <family val="1"/>
      </rPr>
      <t>15t,</t>
    </r>
    <r>
      <rPr>
        <sz val="12"/>
        <rFont val="宋体"/>
        <family val="3"/>
        <charset val="134"/>
      </rPr>
      <t>行走速度</t>
    </r>
    <r>
      <rPr>
        <sz val="12"/>
        <rFont val="Times New Roman"/>
        <family val="1"/>
      </rPr>
      <t>10m/min</t>
    </r>
    <phoneticPr fontId="34" type="noConversion"/>
  </si>
  <si>
    <t>U肋龙门焊接系统</t>
    <phoneticPr fontId="34" type="noConversion"/>
  </si>
  <si>
    <r>
      <t>U</t>
    </r>
    <r>
      <rPr>
        <sz val="12"/>
        <rFont val="宋体"/>
        <family val="3"/>
        <charset val="134"/>
      </rPr>
      <t>肋龙门焊接机</t>
    </r>
  </si>
  <si>
    <r>
      <rPr>
        <sz val="12"/>
        <rFont val="宋体"/>
        <family val="3"/>
        <charset val="134"/>
      </rPr>
      <t>轨距</t>
    </r>
    <r>
      <rPr>
        <sz val="12"/>
        <rFont val="Times New Roman"/>
        <family val="1"/>
      </rPr>
      <t>6000×40000,</t>
    </r>
    <r>
      <rPr>
        <sz val="12"/>
        <rFont val="宋体"/>
        <family val="3"/>
        <charset val="134"/>
      </rPr>
      <t>行走速度</t>
    </r>
    <r>
      <rPr>
        <sz val="12"/>
        <rFont val="Times New Roman"/>
        <family val="1"/>
      </rPr>
      <t xml:space="preserve">V=10m/min
</t>
    </r>
    <r>
      <rPr>
        <sz val="12"/>
        <rFont val="宋体"/>
        <family val="3"/>
        <charset val="134"/>
      </rPr>
      <t>焊接速度</t>
    </r>
    <r>
      <rPr>
        <sz val="12"/>
        <rFont val="Times New Roman"/>
        <family val="1"/>
      </rPr>
      <t>V=250-1000mm/min</t>
    </r>
    <phoneticPr fontId="34" type="noConversion"/>
  </si>
  <si>
    <t>（台）</t>
    <phoneticPr fontId="34" type="noConversion"/>
  </si>
  <si>
    <t>逆变埋弧自动焊机</t>
  </si>
  <si>
    <t>1250A</t>
    <phoneticPr fontId="34" type="noConversion"/>
  </si>
  <si>
    <r>
      <t>U</t>
    </r>
    <r>
      <rPr>
        <sz val="12"/>
        <rFont val="宋体"/>
        <family val="3"/>
        <charset val="134"/>
      </rPr>
      <t>肋板单元机械滚压矫正机</t>
    </r>
  </si>
  <si>
    <r>
      <rPr>
        <sz val="12"/>
        <rFont val="宋体"/>
        <family val="3"/>
        <charset val="134"/>
      </rPr>
      <t>工作速度</t>
    </r>
    <r>
      <rPr>
        <sz val="12"/>
        <rFont val="Times New Roman"/>
        <family val="1"/>
      </rPr>
      <t>6m/min,</t>
    </r>
    <r>
      <rPr>
        <sz val="12"/>
        <rFont val="宋体"/>
        <family val="3"/>
        <charset val="134"/>
      </rPr>
      <t>上辊矫正力</t>
    </r>
    <r>
      <rPr>
        <sz val="12"/>
        <rFont val="Times New Roman"/>
        <family val="1"/>
      </rPr>
      <t>100</t>
    </r>
    <r>
      <rPr>
        <sz val="12"/>
        <rFont val="宋体"/>
        <family val="3"/>
        <charset val="134"/>
      </rPr>
      <t>吨</t>
    </r>
    <r>
      <rPr>
        <sz val="12"/>
        <rFont val="Times New Roman"/>
        <family val="1"/>
      </rPr>
      <t>/</t>
    </r>
    <r>
      <rPr>
        <sz val="12"/>
        <rFont val="宋体"/>
        <family val="3"/>
        <charset val="134"/>
      </rPr>
      <t>个，前后各</t>
    </r>
    <r>
      <rPr>
        <sz val="12"/>
        <rFont val="Times New Roman"/>
        <family val="1"/>
      </rPr>
      <t>15</t>
    </r>
    <r>
      <rPr>
        <sz val="12"/>
        <rFont val="宋体"/>
        <family val="3"/>
        <charset val="134"/>
      </rPr>
      <t>米输送辊道</t>
    </r>
    <phoneticPr fontId="34" type="noConversion"/>
  </si>
  <si>
    <r>
      <rPr>
        <sz val="12"/>
        <rFont val="宋体"/>
        <family val="3"/>
        <charset val="134"/>
      </rPr>
      <t>底板对齐装配胎架</t>
    </r>
  </si>
  <si>
    <r>
      <rPr>
        <sz val="12"/>
        <rFont val="宋体"/>
        <family val="3"/>
        <charset val="134"/>
      </rPr>
      <t>轨距</t>
    </r>
    <r>
      <rPr>
        <sz val="12"/>
        <rFont val="Times New Roman"/>
        <family val="1"/>
      </rPr>
      <t>5000×40000,</t>
    </r>
    <r>
      <rPr>
        <sz val="12"/>
        <rFont val="宋体"/>
        <family val="3"/>
        <charset val="134"/>
      </rPr>
      <t>每隔</t>
    </r>
    <r>
      <rPr>
        <sz val="12"/>
        <rFont val="Times New Roman"/>
        <family val="1"/>
      </rPr>
      <t>4</t>
    </r>
    <r>
      <rPr>
        <sz val="12"/>
        <rFont val="宋体"/>
        <family val="3"/>
        <charset val="134"/>
      </rPr>
      <t>米放置一个侧边对齐装置</t>
    </r>
    <phoneticPr fontId="34" type="noConversion"/>
  </si>
  <si>
    <t>U肋反变形焊接系统</t>
    <phoneticPr fontId="34" type="noConversion"/>
  </si>
  <si>
    <r>
      <rPr>
        <sz val="12"/>
        <rFont val="宋体"/>
        <family val="3"/>
        <charset val="134"/>
      </rPr>
      <t>可调式液压反变形胎架</t>
    </r>
  </si>
  <si>
    <r>
      <rPr>
        <sz val="12"/>
        <rFont val="宋体"/>
        <family val="3"/>
        <charset val="134"/>
      </rPr>
      <t>正后方向倾斜</t>
    </r>
    <r>
      <rPr>
        <sz val="12"/>
        <rFont val="Times New Roman"/>
        <family val="1"/>
      </rPr>
      <t>0</t>
    </r>
    <r>
      <rPr>
        <sz val="12"/>
        <rFont val="宋体"/>
        <family val="3"/>
        <charset val="134"/>
      </rPr>
      <t>～</t>
    </r>
    <r>
      <rPr>
        <sz val="12"/>
        <rFont val="Times New Roman"/>
        <family val="1"/>
      </rPr>
      <t>±30°</t>
    </r>
    <phoneticPr fontId="34" type="noConversion"/>
  </si>
  <si>
    <t>（套）</t>
    <phoneticPr fontId="34" type="noConversion"/>
  </si>
  <si>
    <t>CO2气体保护焊机</t>
  </si>
  <si>
    <t>500A</t>
  </si>
  <si>
    <t>（五）</t>
    <phoneticPr fontId="34" type="noConversion"/>
  </si>
  <si>
    <r>
      <rPr>
        <sz val="12"/>
        <rFont val="宋体"/>
        <family val="3"/>
        <charset val="134"/>
      </rPr>
      <t>板肋板单元生产线</t>
    </r>
    <phoneticPr fontId="34" type="noConversion"/>
  </si>
  <si>
    <r>
      <rPr>
        <sz val="12"/>
        <rFont val="宋体"/>
        <family val="3"/>
        <charset val="134"/>
      </rPr>
      <t>钢板对齐装配胎架</t>
    </r>
  </si>
  <si>
    <r>
      <rPr>
        <sz val="12"/>
        <rFont val="宋体"/>
        <family val="3"/>
        <charset val="134"/>
      </rPr>
      <t>轨距</t>
    </r>
    <r>
      <rPr>
        <sz val="12"/>
        <rFont val="Times New Roman"/>
        <family val="1"/>
      </rPr>
      <t>5000×40000</t>
    </r>
    <r>
      <rPr>
        <sz val="12"/>
        <rFont val="宋体"/>
        <family val="3"/>
        <charset val="134"/>
      </rPr>
      <t>，每隔</t>
    </r>
    <r>
      <rPr>
        <sz val="12"/>
        <rFont val="Times New Roman"/>
        <family val="1"/>
      </rPr>
      <t>4m</t>
    </r>
    <r>
      <rPr>
        <sz val="12"/>
        <rFont val="宋体"/>
        <family val="3"/>
        <charset val="134"/>
      </rPr>
      <t>放置一个侧边对齐压紧装置</t>
    </r>
    <phoneticPr fontId="34" type="noConversion"/>
  </si>
  <si>
    <r>
      <rPr>
        <sz val="12"/>
        <rFont val="宋体"/>
        <family val="3"/>
        <charset val="134"/>
      </rPr>
      <t>板肋定位装置</t>
    </r>
  </si>
  <si>
    <r>
      <rPr>
        <sz val="12"/>
        <rFont val="宋体"/>
        <family val="3"/>
        <charset val="134"/>
      </rPr>
      <t>轨距</t>
    </r>
    <r>
      <rPr>
        <sz val="12"/>
        <rFont val="Times New Roman"/>
        <family val="1"/>
      </rPr>
      <t>4500</t>
    </r>
    <r>
      <rPr>
        <sz val="12"/>
        <rFont val="宋体"/>
        <family val="3"/>
        <charset val="134"/>
      </rPr>
      <t>，前后行程</t>
    </r>
    <r>
      <rPr>
        <sz val="12"/>
        <rFont val="Times New Roman"/>
        <family val="1"/>
      </rPr>
      <t xml:space="preserve">500mm </t>
    </r>
    <phoneticPr fontId="34" type="noConversion"/>
  </si>
  <si>
    <r>
      <rPr>
        <sz val="12"/>
        <rFont val="宋体"/>
        <family val="3"/>
        <charset val="134"/>
      </rPr>
      <t>移动式板肋装配机</t>
    </r>
  </si>
  <si>
    <r>
      <rPr>
        <sz val="12"/>
        <rFont val="宋体"/>
        <family val="3"/>
        <charset val="134"/>
      </rPr>
      <t>轨距</t>
    </r>
    <r>
      <rPr>
        <sz val="12"/>
        <rFont val="Times New Roman"/>
        <family val="1"/>
      </rPr>
      <t>6000×20000</t>
    </r>
    <r>
      <rPr>
        <sz val="12"/>
        <rFont val="宋体"/>
        <family val="3"/>
        <charset val="134"/>
      </rPr>
      <t>，行走速度</t>
    </r>
    <r>
      <rPr>
        <sz val="12"/>
        <rFont val="Times New Roman"/>
        <family val="1"/>
      </rPr>
      <t>V=2-10m/min</t>
    </r>
    <r>
      <rPr>
        <sz val="12"/>
        <rFont val="宋体"/>
        <family val="3"/>
        <charset val="134"/>
      </rPr>
      <t>，多根板肋双面自动点焊</t>
    </r>
    <phoneticPr fontId="34" type="noConversion"/>
  </si>
  <si>
    <r>
      <rPr>
        <sz val="12"/>
        <rFont val="宋体"/>
        <family val="3"/>
        <charset val="134"/>
      </rPr>
      <t>板肋板单元对齐压紧焊接胎架</t>
    </r>
  </si>
  <si>
    <r>
      <rPr>
        <sz val="12"/>
        <rFont val="宋体"/>
        <family val="3"/>
        <charset val="134"/>
      </rPr>
      <t>每隔</t>
    </r>
    <r>
      <rPr>
        <sz val="12"/>
        <rFont val="Times New Roman"/>
        <family val="1"/>
      </rPr>
      <t>3m</t>
    </r>
    <r>
      <rPr>
        <sz val="12"/>
        <rFont val="宋体"/>
        <family val="3"/>
        <charset val="134"/>
      </rPr>
      <t>放置一个侧边对齐压紧装置，行程</t>
    </r>
    <r>
      <rPr>
        <sz val="12"/>
        <rFont val="Times New Roman"/>
        <family val="1"/>
      </rPr>
      <t>2000mm</t>
    </r>
    <phoneticPr fontId="34" type="noConversion"/>
  </si>
  <si>
    <r>
      <rPr>
        <sz val="12"/>
        <rFont val="宋体"/>
        <family val="3"/>
        <charset val="134"/>
      </rPr>
      <t>十头双丝双边板肋龙门焊接机</t>
    </r>
  </si>
  <si>
    <r>
      <rPr>
        <sz val="12"/>
        <rFont val="宋体"/>
        <family val="3"/>
        <charset val="134"/>
      </rPr>
      <t>行走速度</t>
    </r>
    <r>
      <rPr>
        <sz val="12"/>
        <rFont val="Times New Roman"/>
        <family val="1"/>
      </rPr>
      <t>V=10m/min</t>
    </r>
    <r>
      <rPr>
        <sz val="12"/>
        <rFont val="宋体"/>
        <family val="3"/>
        <charset val="134"/>
      </rPr>
      <t>，双丝焊，焊接速度</t>
    </r>
    <r>
      <rPr>
        <sz val="12"/>
        <rFont val="Times New Roman"/>
        <family val="1"/>
      </rPr>
      <t>V=250-1000mm/min</t>
    </r>
    <phoneticPr fontId="34" type="noConversion"/>
  </si>
  <si>
    <r>
      <rPr>
        <sz val="12"/>
        <rFont val="宋体"/>
        <family val="3"/>
        <charset val="134"/>
      </rPr>
      <t>板肋板单元机械滚压矫正机</t>
    </r>
  </si>
  <si>
    <r>
      <t>V=6m/min,</t>
    </r>
    <r>
      <rPr>
        <sz val="12"/>
        <rFont val="宋体"/>
        <family val="3"/>
        <charset val="134"/>
      </rPr>
      <t>矫正力</t>
    </r>
    <r>
      <rPr>
        <sz val="12"/>
        <rFont val="Times New Roman"/>
        <family val="1"/>
      </rPr>
      <t>100</t>
    </r>
    <r>
      <rPr>
        <sz val="12"/>
        <rFont val="宋体"/>
        <family val="3"/>
        <charset val="134"/>
      </rPr>
      <t>吨</t>
    </r>
    <r>
      <rPr>
        <sz val="12"/>
        <rFont val="Times New Roman"/>
        <family val="1"/>
      </rPr>
      <t>/</t>
    </r>
    <r>
      <rPr>
        <sz val="12"/>
        <rFont val="宋体"/>
        <family val="3"/>
        <charset val="134"/>
      </rPr>
      <t>个，前后辊道各</t>
    </r>
    <r>
      <rPr>
        <sz val="12"/>
        <rFont val="Times New Roman"/>
        <family val="1"/>
      </rPr>
      <t>15</t>
    </r>
    <r>
      <rPr>
        <sz val="12"/>
        <rFont val="宋体"/>
        <family val="3"/>
        <charset val="134"/>
      </rPr>
      <t>米</t>
    </r>
    <phoneticPr fontId="34" type="noConversion"/>
  </si>
  <si>
    <t>（六）</t>
    <phoneticPr fontId="34" type="noConversion"/>
  </si>
  <si>
    <r>
      <rPr>
        <sz val="12"/>
        <rFont val="宋体"/>
        <family val="3"/>
        <charset val="134"/>
      </rPr>
      <t>横隔板单元件生产线</t>
    </r>
    <phoneticPr fontId="34" type="noConversion"/>
  </si>
  <si>
    <r>
      <rPr>
        <sz val="12"/>
        <rFont val="宋体"/>
        <family val="3"/>
        <charset val="134"/>
      </rPr>
      <t>主要由</t>
    </r>
    <r>
      <rPr>
        <sz val="12"/>
        <rFont val="Times New Roman"/>
        <family val="1"/>
      </rPr>
      <t>450×450</t>
    </r>
    <r>
      <rPr>
        <sz val="12"/>
        <rFont val="宋体"/>
        <family val="3"/>
        <charset val="134"/>
      </rPr>
      <t>梅花排放的活动套管组成，一侧面设有板边定位死挡和钢板压紧装置</t>
    </r>
    <phoneticPr fontId="34" type="noConversion"/>
  </si>
  <si>
    <r>
      <rPr>
        <sz val="12"/>
        <rFont val="宋体"/>
        <family val="3"/>
        <charset val="134"/>
      </rPr>
      <t>焊机存放移动龙门架</t>
    </r>
  </si>
  <si>
    <r>
      <rPr>
        <sz val="12"/>
        <rFont val="宋体"/>
        <family val="3"/>
        <charset val="134"/>
      </rPr>
      <t>行走速度</t>
    </r>
    <r>
      <rPr>
        <sz val="12"/>
        <rFont val="Times New Roman"/>
        <family val="1"/>
      </rPr>
      <t>V=10m/min</t>
    </r>
    <phoneticPr fontId="34" type="noConversion"/>
  </si>
  <si>
    <r>
      <rPr>
        <sz val="12"/>
        <rFont val="宋体"/>
        <family val="3"/>
        <charset val="134"/>
      </rPr>
      <t>压点可移动油压矫正机</t>
    </r>
  </si>
  <si>
    <r>
      <rPr>
        <sz val="12"/>
        <rFont val="宋体"/>
        <family val="3"/>
        <charset val="134"/>
      </rPr>
      <t>横隔板焊接机器人系统</t>
    </r>
  </si>
  <si>
    <r>
      <rPr>
        <sz val="12"/>
        <rFont val="宋体"/>
        <family val="3"/>
        <charset val="134"/>
      </rPr>
      <t>行走速度</t>
    </r>
    <r>
      <rPr>
        <sz val="12"/>
        <rFont val="Times New Roman"/>
        <family val="1"/>
      </rPr>
      <t>V=10m/min</t>
    </r>
    <r>
      <rPr>
        <sz val="12"/>
        <rFont val="宋体"/>
        <family val="3"/>
        <charset val="134"/>
      </rPr>
      <t>，焊接速度</t>
    </r>
    <r>
      <rPr>
        <sz val="12"/>
        <rFont val="Times New Roman"/>
        <family val="1"/>
      </rPr>
      <t>V=250-600mm/min</t>
    </r>
    <r>
      <rPr>
        <sz val="12"/>
        <rFont val="宋体"/>
        <family val="3"/>
        <charset val="134"/>
      </rPr>
      <t>，龙门架结构，配置适宜用于中厚板弧焊的六轴焊接机器人，精确稳定的控制系统，重复定位精度</t>
    </r>
    <r>
      <rPr>
        <sz val="12"/>
        <rFont val="Times New Roman"/>
        <family val="1"/>
      </rPr>
      <t>±0.1mm</t>
    </r>
    <phoneticPr fontId="34" type="noConversion"/>
  </si>
  <si>
    <t>（七）</t>
  </si>
  <si>
    <r>
      <t>T</t>
    </r>
    <r>
      <rPr>
        <sz val="12"/>
        <rFont val="宋体"/>
        <family val="3"/>
        <charset val="134"/>
      </rPr>
      <t>型梁单元件生产线</t>
    </r>
    <phoneticPr fontId="34" type="noConversion"/>
  </si>
  <si>
    <r>
      <t>T</t>
    </r>
    <r>
      <rPr>
        <sz val="12"/>
        <rFont val="宋体"/>
        <family val="3"/>
        <charset val="134"/>
      </rPr>
      <t>型梁装焊矫正机</t>
    </r>
  </si>
  <si>
    <r>
      <rPr>
        <sz val="12"/>
        <rFont val="宋体"/>
        <family val="3"/>
        <charset val="134"/>
      </rPr>
      <t>腹板高度</t>
    </r>
    <r>
      <rPr>
        <sz val="12"/>
        <rFont val="Times New Roman"/>
        <family val="1"/>
      </rPr>
      <t xml:space="preserve">200-1500mm </t>
    </r>
    <r>
      <rPr>
        <sz val="12"/>
        <rFont val="宋体"/>
        <family val="3"/>
        <charset val="134"/>
      </rPr>
      <t>厚度</t>
    </r>
    <r>
      <rPr>
        <sz val="12"/>
        <rFont val="Times New Roman"/>
        <family val="1"/>
      </rPr>
      <t xml:space="preserve">8-20mm </t>
    </r>
    <r>
      <rPr>
        <sz val="12"/>
        <rFont val="宋体"/>
        <family val="3"/>
        <charset val="134"/>
      </rPr>
      <t>翼缘板宽度</t>
    </r>
    <r>
      <rPr>
        <sz val="12"/>
        <rFont val="Times New Roman"/>
        <family val="1"/>
      </rPr>
      <t xml:space="preserve">200-800mm </t>
    </r>
    <r>
      <rPr>
        <sz val="12"/>
        <rFont val="宋体"/>
        <family val="3"/>
        <charset val="134"/>
      </rPr>
      <t>厚度</t>
    </r>
    <r>
      <rPr>
        <sz val="12"/>
        <rFont val="Times New Roman"/>
        <family val="1"/>
      </rPr>
      <t xml:space="preserve">8-30mm </t>
    </r>
    <r>
      <rPr>
        <sz val="12"/>
        <rFont val="宋体"/>
        <family val="3"/>
        <charset val="134"/>
      </rPr>
      <t>焊接速度</t>
    </r>
    <r>
      <rPr>
        <sz val="12"/>
        <rFont val="Times New Roman"/>
        <family val="1"/>
      </rPr>
      <t>V=400-1000mm/min</t>
    </r>
    <phoneticPr fontId="34" type="noConversion"/>
  </si>
  <si>
    <t>（八）</t>
  </si>
  <si>
    <r>
      <rPr>
        <sz val="12"/>
        <color indexed="8"/>
        <rFont val="宋体"/>
        <family val="3"/>
        <charset val="134"/>
      </rPr>
      <t>钢塔生产线</t>
    </r>
    <phoneticPr fontId="34" type="noConversion"/>
  </si>
  <si>
    <r>
      <rPr>
        <sz val="12"/>
        <color indexed="8"/>
        <rFont val="宋体"/>
        <family val="3"/>
        <charset val="134"/>
      </rPr>
      <t>数控落地铣镗床</t>
    </r>
  </si>
  <si>
    <r>
      <rPr>
        <sz val="12"/>
        <color indexed="8"/>
        <rFont val="宋体"/>
        <family val="3"/>
        <charset val="134"/>
      </rPr>
      <t>立柱行程</t>
    </r>
    <r>
      <rPr>
        <sz val="12"/>
        <color indexed="8"/>
        <rFont val="Times New Roman"/>
        <family val="1"/>
      </rPr>
      <t xml:space="preserve">14m </t>
    </r>
    <r>
      <rPr>
        <sz val="12"/>
        <color indexed="8"/>
        <rFont val="宋体"/>
        <family val="3"/>
        <charset val="134"/>
      </rPr>
      <t>给进范围</t>
    </r>
    <r>
      <rPr>
        <sz val="12"/>
        <color indexed="8"/>
        <rFont val="Times New Roman"/>
        <family val="1"/>
      </rPr>
      <t xml:space="preserve">0-6000mm </t>
    </r>
    <r>
      <rPr>
        <sz val="12"/>
        <color indexed="8"/>
        <rFont val="宋体"/>
        <family val="3"/>
        <charset val="134"/>
      </rPr>
      <t>主动力头功率</t>
    </r>
    <r>
      <rPr>
        <sz val="12"/>
        <color indexed="8"/>
        <rFont val="Times New Roman"/>
        <family val="1"/>
      </rPr>
      <t>71KW</t>
    </r>
    <phoneticPr fontId="34" type="noConversion"/>
  </si>
  <si>
    <r>
      <rPr>
        <sz val="12"/>
        <rFont val="宋体"/>
        <family val="3"/>
        <charset val="134"/>
      </rPr>
      <t>龙门数控钻床</t>
    </r>
  </si>
  <si>
    <t>Φ60×5000×10000</t>
    <phoneticPr fontId="34" type="noConversion"/>
  </si>
  <si>
    <r>
      <rPr>
        <sz val="12"/>
        <color indexed="8"/>
        <rFont val="宋体"/>
        <family val="3"/>
        <charset val="134"/>
      </rPr>
      <t>铣镗床加工调整平台</t>
    </r>
  </si>
  <si>
    <r>
      <rPr>
        <sz val="12"/>
        <color indexed="8"/>
        <rFont val="宋体"/>
        <family val="3"/>
        <charset val="134"/>
      </rPr>
      <t>垂直顶升力</t>
    </r>
    <r>
      <rPr>
        <sz val="12"/>
        <color indexed="8"/>
        <rFont val="Times New Roman"/>
        <family val="1"/>
      </rPr>
      <t>200</t>
    </r>
    <r>
      <rPr>
        <sz val="12"/>
        <color indexed="8"/>
        <rFont val="宋体"/>
        <family val="3"/>
        <charset val="134"/>
      </rPr>
      <t>吨</t>
    </r>
    <r>
      <rPr>
        <sz val="12"/>
        <color indexed="8"/>
        <rFont val="Times New Roman"/>
        <family val="1"/>
      </rPr>
      <t>*6</t>
    </r>
    <r>
      <rPr>
        <sz val="12"/>
        <color indexed="8"/>
        <rFont val="宋体"/>
        <family val="3"/>
        <charset val="134"/>
      </rPr>
      <t>个</t>
    </r>
    <r>
      <rPr>
        <sz val="12"/>
        <color indexed="8"/>
        <rFont val="Times New Roman"/>
        <family val="1"/>
      </rPr>
      <t xml:space="preserve"> </t>
    </r>
    <r>
      <rPr>
        <sz val="12"/>
        <color indexed="8"/>
        <rFont val="宋体"/>
        <family val="3"/>
        <charset val="134"/>
      </rPr>
      <t>行程</t>
    </r>
    <r>
      <rPr>
        <sz val="12"/>
        <color indexed="8"/>
        <rFont val="Times New Roman"/>
        <family val="1"/>
      </rPr>
      <t xml:space="preserve">200mm  </t>
    </r>
    <r>
      <rPr>
        <sz val="12"/>
        <color indexed="8"/>
        <rFont val="宋体"/>
        <family val="3"/>
        <charset val="134"/>
      </rPr>
      <t>水平调整力</t>
    </r>
    <r>
      <rPr>
        <sz val="12"/>
        <color indexed="8"/>
        <rFont val="Times New Roman"/>
        <family val="1"/>
      </rPr>
      <t>100</t>
    </r>
    <r>
      <rPr>
        <sz val="12"/>
        <color indexed="8"/>
        <rFont val="宋体"/>
        <family val="3"/>
        <charset val="134"/>
      </rPr>
      <t>吨</t>
    </r>
    <r>
      <rPr>
        <sz val="12"/>
        <color indexed="8"/>
        <rFont val="Times New Roman"/>
        <family val="1"/>
      </rPr>
      <t xml:space="preserve"> </t>
    </r>
    <r>
      <rPr>
        <sz val="12"/>
        <color indexed="8"/>
        <rFont val="宋体"/>
        <family val="3"/>
        <charset val="134"/>
      </rPr>
      <t>行程</t>
    </r>
    <r>
      <rPr>
        <sz val="12"/>
        <color indexed="8"/>
        <rFont val="Times New Roman"/>
        <family val="1"/>
      </rPr>
      <t>150mm</t>
    </r>
    <phoneticPr fontId="34" type="noConversion"/>
  </si>
  <si>
    <r>
      <rPr>
        <sz val="12"/>
        <rFont val="新宋体"/>
        <family val="3"/>
        <charset val="134"/>
      </rPr>
      <t>摇臂转床</t>
    </r>
  </si>
  <si>
    <r>
      <rPr>
        <sz val="12"/>
        <rFont val="新宋体"/>
        <family val="3"/>
        <charset val="134"/>
      </rPr>
      <t>最大钻孔直径：</t>
    </r>
    <r>
      <rPr>
        <sz val="12"/>
        <rFont val="Times New Roman"/>
        <family val="1"/>
      </rPr>
      <t>50mm</t>
    </r>
    <phoneticPr fontId="34" type="noConversion"/>
  </si>
  <si>
    <t>桥式起重机220t</t>
  </si>
  <si>
    <r>
      <rPr>
        <sz val="12"/>
        <color indexed="8"/>
        <rFont val="宋体"/>
        <family val="3"/>
        <charset val="134"/>
      </rPr>
      <t>不招标</t>
    </r>
  </si>
  <si>
    <r>
      <rPr>
        <sz val="12"/>
        <color indexed="8"/>
        <rFont val="宋体"/>
        <family val="3"/>
        <charset val="134"/>
      </rPr>
      <t>非标自制</t>
    </r>
  </si>
  <si>
    <t>（九）</t>
    <phoneticPr fontId="34" type="noConversion"/>
  </si>
  <si>
    <t>焊接切割小型设备</t>
    <phoneticPr fontId="34" type="noConversion"/>
  </si>
  <si>
    <t>全位置焊接小车</t>
  </si>
  <si>
    <t>半自动切割机</t>
  </si>
  <si>
    <r>
      <rPr>
        <sz val="12"/>
        <color indexed="8"/>
        <rFont val="宋体"/>
        <family val="3"/>
        <charset val="134"/>
      </rPr>
      <t>切割速度</t>
    </r>
    <r>
      <rPr>
        <sz val="12"/>
        <color indexed="8"/>
        <rFont val="Times New Roman"/>
        <family val="1"/>
      </rPr>
      <t xml:space="preserve">150-700mm/min </t>
    </r>
    <r>
      <rPr>
        <sz val="12"/>
        <color indexed="8"/>
        <rFont val="宋体"/>
        <family val="3"/>
        <charset val="134"/>
      </rPr>
      <t>切割厚度</t>
    </r>
    <r>
      <rPr>
        <sz val="12"/>
        <color indexed="8"/>
        <rFont val="Times New Roman"/>
        <family val="1"/>
      </rPr>
      <t xml:space="preserve">5-30mm </t>
    </r>
    <r>
      <rPr>
        <sz val="12"/>
        <color indexed="8"/>
        <rFont val="宋体"/>
        <family val="3"/>
        <charset val="134"/>
      </rPr>
      <t>角度</t>
    </r>
    <r>
      <rPr>
        <sz val="12"/>
        <color indexed="8"/>
        <rFont val="Times New Roman"/>
        <family val="1"/>
      </rPr>
      <t>0-45°</t>
    </r>
    <phoneticPr fontId="34" type="noConversion"/>
  </si>
  <si>
    <t>全位置切割机</t>
  </si>
  <si>
    <r>
      <rPr>
        <sz val="12"/>
        <color indexed="8"/>
        <rFont val="宋体"/>
        <family val="3"/>
        <charset val="134"/>
      </rPr>
      <t>切割速度</t>
    </r>
    <r>
      <rPr>
        <sz val="12"/>
        <color indexed="8"/>
        <rFont val="Times New Roman"/>
        <family val="1"/>
      </rPr>
      <t xml:space="preserve">150-800mm/min </t>
    </r>
    <r>
      <rPr>
        <sz val="12"/>
        <color indexed="8"/>
        <rFont val="宋体"/>
        <family val="3"/>
        <charset val="134"/>
      </rPr>
      <t>切割厚度</t>
    </r>
    <r>
      <rPr>
        <sz val="12"/>
        <color indexed="8"/>
        <rFont val="Times New Roman"/>
        <family val="1"/>
      </rPr>
      <t xml:space="preserve">5-30mm </t>
    </r>
    <phoneticPr fontId="34" type="noConversion"/>
  </si>
  <si>
    <r>
      <rPr>
        <b/>
        <sz val="12"/>
        <color indexed="8"/>
        <rFont val="宋体"/>
        <family val="3"/>
        <charset val="134"/>
      </rPr>
      <t>小</t>
    </r>
    <r>
      <rPr>
        <b/>
        <sz val="12"/>
        <color indexed="8"/>
        <rFont val="Times New Roman"/>
        <family val="1"/>
      </rPr>
      <t xml:space="preserve">   </t>
    </r>
    <r>
      <rPr>
        <b/>
        <sz val="12"/>
        <color indexed="8"/>
        <rFont val="宋体"/>
        <family val="3"/>
        <charset val="134"/>
      </rPr>
      <t>计</t>
    </r>
  </si>
  <si>
    <r>
      <rPr>
        <b/>
        <sz val="12"/>
        <color indexed="8"/>
        <rFont val="宋体"/>
        <family val="3"/>
        <charset val="134"/>
      </rPr>
      <t>测量设备</t>
    </r>
    <phoneticPr fontId="34" type="noConversion"/>
  </si>
  <si>
    <t>油漆干膜测厚仪</t>
    <phoneticPr fontId="34" type="noConversion"/>
  </si>
  <si>
    <t>456FBS，4Hz</t>
  </si>
  <si>
    <t>激光经纬仪</t>
    <phoneticPr fontId="34" type="noConversion"/>
  </si>
  <si>
    <t>J1</t>
    <phoneticPr fontId="34" type="noConversion"/>
  </si>
  <si>
    <t>电子全站仪</t>
    <phoneticPr fontId="34" type="noConversion"/>
  </si>
  <si>
    <t>±0.5/1mm+1ppm</t>
  </si>
  <si>
    <t>拉拔（附着力测试）仪</t>
    <phoneticPr fontId="34" type="noConversion"/>
  </si>
  <si>
    <t>X1003</t>
  </si>
  <si>
    <t>露点测试仪</t>
  </si>
  <si>
    <t>监控设备</t>
    <phoneticPr fontId="34" type="noConversion"/>
  </si>
  <si>
    <r>
      <rPr>
        <sz val="12"/>
        <color indexed="8"/>
        <rFont val="宋体"/>
        <family val="3"/>
        <charset val="134"/>
      </rPr>
      <t>监控系统</t>
    </r>
  </si>
  <si>
    <t>红外摄像头</t>
  </si>
  <si>
    <r>
      <t>540</t>
    </r>
    <r>
      <rPr>
        <sz val="12"/>
        <color indexed="8"/>
        <rFont val="宋体"/>
        <family val="3"/>
        <charset val="134"/>
      </rPr>
      <t>线</t>
    </r>
    <phoneticPr fontId="34" type="noConversion"/>
  </si>
  <si>
    <t>摄像头电源</t>
  </si>
  <si>
    <r>
      <t>12V</t>
    </r>
    <r>
      <rPr>
        <sz val="12"/>
        <color indexed="8"/>
        <rFont val="宋体"/>
        <family val="3"/>
        <charset val="134"/>
      </rPr>
      <t>，</t>
    </r>
    <r>
      <rPr>
        <sz val="12"/>
        <color indexed="8"/>
        <rFont val="Times New Roman"/>
        <family val="1"/>
      </rPr>
      <t>2A</t>
    </r>
    <phoneticPr fontId="34" type="noConversion"/>
  </si>
  <si>
    <t>红外摄像头支架</t>
  </si>
  <si>
    <t>BS201</t>
  </si>
  <si>
    <t>一体化摄像机</t>
  </si>
  <si>
    <r>
      <rPr>
        <sz val="12"/>
        <color indexed="8"/>
        <rFont val="宋体"/>
        <family val="3"/>
        <charset val="134"/>
      </rPr>
      <t>水平清晰度</t>
    </r>
    <r>
      <rPr>
        <sz val="12"/>
        <color indexed="8"/>
        <rFont val="Times New Roman"/>
        <family val="1"/>
      </rPr>
      <t>480</t>
    </r>
    <r>
      <rPr>
        <sz val="12"/>
        <color indexed="8"/>
        <rFont val="宋体"/>
        <family val="3"/>
        <charset val="134"/>
      </rPr>
      <t>，镜头</t>
    </r>
    <r>
      <rPr>
        <sz val="12"/>
        <color indexed="8"/>
        <rFont val="Times New Roman"/>
        <family val="1"/>
      </rPr>
      <t>3.6mm</t>
    </r>
    <r>
      <rPr>
        <sz val="12"/>
        <color indexed="8"/>
        <rFont val="宋体"/>
        <family val="3"/>
        <charset val="134"/>
      </rPr>
      <t>，有效像素</t>
    </r>
    <r>
      <rPr>
        <sz val="12"/>
        <color indexed="8"/>
        <rFont val="Times New Roman"/>
        <family val="1"/>
      </rPr>
      <t>44</t>
    </r>
    <r>
      <rPr>
        <sz val="12"/>
        <color indexed="8"/>
        <rFont val="宋体"/>
        <family val="3"/>
        <charset val="134"/>
      </rPr>
      <t>万</t>
    </r>
    <phoneticPr fontId="34" type="noConversion"/>
  </si>
  <si>
    <t>红外灯板</t>
  </si>
  <si>
    <t>IWILL DB200</t>
  </si>
  <si>
    <t>重型云台</t>
  </si>
  <si>
    <t>IWILL YT361</t>
  </si>
  <si>
    <t>摄像机外壳</t>
  </si>
  <si>
    <t>BS101</t>
  </si>
  <si>
    <r>
      <rPr>
        <sz val="12"/>
        <color indexed="8"/>
        <rFont val="宋体"/>
        <family val="3"/>
        <charset val="134"/>
      </rPr>
      <t>解码器</t>
    </r>
  </si>
  <si>
    <r>
      <rPr>
        <sz val="12"/>
        <color indexed="8"/>
        <rFont val="宋体"/>
        <family val="3"/>
        <charset val="134"/>
      </rPr>
      <t>可扩充</t>
    </r>
    <r>
      <rPr>
        <sz val="12"/>
        <color indexed="8"/>
        <rFont val="Times New Roman"/>
        <family val="1"/>
      </rPr>
      <t>255</t>
    </r>
    <r>
      <rPr>
        <sz val="12"/>
        <color indexed="8"/>
        <rFont val="宋体"/>
        <family val="3"/>
        <charset val="134"/>
      </rPr>
      <t>个地址，对云台实现</t>
    </r>
    <r>
      <rPr>
        <sz val="12"/>
        <color indexed="8"/>
        <rFont val="Times New Roman"/>
        <family val="1"/>
      </rPr>
      <t>64</t>
    </r>
    <r>
      <rPr>
        <sz val="12"/>
        <color indexed="8"/>
        <rFont val="宋体"/>
        <family val="3"/>
        <charset val="134"/>
      </rPr>
      <t>至</t>
    </r>
    <r>
      <rPr>
        <sz val="12"/>
        <color indexed="8"/>
        <rFont val="Times New Roman"/>
        <family val="1"/>
      </rPr>
      <t>128</t>
    </r>
    <r>
      <rPr>
        <sz val="12"/>
        <color indexed="8"/>
        <rFont val="宋体"/>
        <family val="3"/>
        <charset val="134"/>
      </rPr>
      <t>个预置精确定位</t>
    </r>
    <phoneticPr fontId="34" type="noConversion"/>
  </si>
  <si>
    <t>光端机</t>
  </si>
  <si>
    <r>
      <t>8</t>
    </r>
    <r>
      <rPr>
        <sz val="12"/>
        <rFont val="宋体"/>
        <family val="3"/>
        <charset val="134"/>
      </rPr>
      <t>位数字编码及无压缩式视频传输，自适应</t>
    </r>
    <r>
      <rPr>
        <sz val="12"/>
        <rFont val="Times New Roman"/>
        <family val="1"/>
      </rPr>
      <t>PAL</t>
    </r>
    <r>
      <rPr>
        <sz val="12"/>
        <rFont val="宋体"/>
        <family val="3"/>
        <charset val="134"/>
      </rPr>
      <t>、</t>
    </r>
    <r>
      <rPr>
        <sz val="12"/>
        <rFont val="Times New Roman"/>
        <family val="1"/>
      </rPr>
      <t>NTSC</t>
    </r>
    <r>
      <rPr>
        <sz val="12"/>
        <rFont val="宋体"/>
        <family val="3"/>
        <charset val="134"/>
      </rPr>
      <t>、</t>
    </r>
    <r>
      <rPr>
        <sz val="12"/>
        <rFont val="Times New Roman"/>
        <family val="1"/>
      </rPr>
      <t>SECAM</t>
    </r>
    <r>
      <rPr>
        <sz val="12"/>
        <rFont val="宋体"/>
        <family val="3"/>
        <charset val="134"/>
      </rPr>
      <t>视频制式</t>
    </r>
    <phoneticPr fontId="34" type="noConversion"/>
  </si>
  <si>
    <t>防水终端箱</t>
  </si>
  <si>
    <t>BS408</t>
  </si>
  <si>
    <t>云台支架</t>
  </si>
  <si>
    <t>BS308</t>
  </si>
  <si>
    <t>熔纤盒</t>
  </si>
  <si>
    <t>BS301</t>
  </si>
  <si>
    <t>法兰盘</t>
  </si>
  <si>
    <t>IWILL F01</t>
  </si>
  <si>
    <t>视频编码器</t>
  </si>
  <si>
    <t>IWILL WS-6</t>
  </si>
  <si>
    <t>硬盘录像机</t>
  </si>
  <si>
    <r>
      <rPr>
        <sz val="12"/>
        <color indexed="8"/>
        <rFont val="宋体"/>
        <family val="3"/>
        <charset val="134"/>
      </rPr>
      <t>标配</t>
    </r>
    <r>
      <rPr>
        <sz val="12"/>
        <color indexed="8"/>
        <rFont val="Times New Roman"/>
        <family val="1"/>
      </rPr>
      <t>1000GB</t>
    </r>
    <r>
      <rPr>
        <sz val="12"/>
        <color indexed="8"/>
        <rFont val="宋体"/>
        <family val="3"/>
        <charset val="134"/>
      </rPr>
      <t>，最大可接</t>
    </r>
    <r>
      <rPr>
        <sz val="12"/>
        <color indexed="8"/>
        <rFont val="Times New Roman"/>
        <family val="1"/>
      </rPr>
      <t>8</t>
    </r>
    <r>
      <rPr>
        <sz val="12"/>
        <color indexed="8"/>
        <rFont val="宋体"/>
        <family val="3"/>
        <charset val="134"/>
      </rPr>
      <t>块大容量硬盘</t>
    </r>
    <phoneticPr fontId="34" type="noConversion"/>
  </si>
  <si>
    <t>操作台</t>
  </si>
  <si>
    <t>1200*800*700</t>
  </si>
  <si>
    <t>显示器</t>
  </si>
  <si>
    <r>
      <t>17</t>
    </r>
    <r>
      <rPr>
        <sz val="12"/>
        <rFont val="宋体"/>
        <family val="3"/>
        <charset val="134"/>
      </rPr>
      <t>寸，液晶</t>
    </r>
    <phoneticPr fontId="34" type="noConversion"/>
  </si>
  <si>
    <t>交换机</t>
  </si>
  <si>
    <r>
      <t>4</t>
    </r>
    <r>
      <rPr>
        <sz val="12"/>
        <rFont val="宋体"/>
        <family val="3"/>
        <charset val="134"/>
      </rPr>
      <t>口</t>
    </r>
    <phoneticPr fontId="34" type="noConversion"/>
  </si>
  <si>
    <r>
      <rPr>
        <sz val="12"/>
        <rFont val="宋体"/>
        <family val="3"/>
        <charset val="134"/>
      </rPr>
      <t>距阵</t>
    </r>
  </si>
  <si>
    <r>
      <rPr>
        <sz val="12"/>
        <rFont val="宋体"/>
        <family val="3"/>
        <charset val="134"/>
      </rPr>
      <t>输入通道</t>
    </r>
    <r>
      <rPr>
        <sz val="12"/>
        <rFont val="Times New Roman"/>
        <family val="1"/>
      </rPr>
      <t>32</t>
    </r>
    <r>
      <rPr>
        <sz val="12"/>
        <rFont val="宋体"/>
        <family val="3"/>
        <charset val="134"/>
      </rPr>
      <t>个，输出通道</t>
    </r>
    <r>
      <rPr>
        <sz val="12"/>
        <rFont val="Times New Roman"/>
        <family val="1"/>
      </rPr>
      <t>8</t>
    </r>
    <r>
      <rPr>
        <sz val="12"/>
        <rFont val="宋体"/>
        <family val="3"/>
        <charset val="134"/>
      </rPr>
      <t>个</t>
    </r>
    <phoneticPr fontId="34" type="noConversion"/>
  </si>
  <si>
    <r>
      <rPr>
        <sz val="12"/>
        <rFont val="宋体"/>
        <family val="3"/>
        <charset val="134"/>
      </rPr>
      <t>距阵键盘</t>
    </r>
  </si>
  <si>
    <r>
      <t>201</t>
    </r>
    <r>
      <rPr>
        <sz val="12"/>
        <rFont val="宋体"/>
        <family val="3"/>
        <charset val="134"/>
      </rPr>
      <t>键距阵键盘</t>
    </r>
    <phoneticPr fontId="34" type="noConversion"/>
  </si>
  <si>
    <t>辅材及安装件</t>
    <phoneticPr fontId="34" type="noConversion"/>
  </si>
  <si>
    <t>线缆等辅材</t>
    <phoneticPr fontId="34" type="noConversion"/>
  </si>
  <si>
    <r>
      <rPr>
        <b/>
        <sz val="12"/>
        <rFont val="宋体"/>
        <family val="3"/>
        <charset val="134"/>
      </rPr>
      <t>设备原值合计</t>
    </r>
  </si>
  <si>
    <r>
      <rPr>
        <b/>
        <sz val="12"/>
        <rFont val="宋体"/>
        <family val="3"/>
        <charset val="134"/>
      </rPr>
      <t>设备进口费合计</t>
    </r>
  </si>
  <si>
    <r>
      <rPr>
        <b/>
        <sz val="12"/>
        <rFont val="宋体"/>
        <family val="3"/>
        <charset val="134"/>
      </rPr>
      <t>设备运杂费合计</t>
    </r>
  </si>
  <si>
    <r>
      <rPr>
        <b/>
        <sz val="12"/>
        <rFont val="宋体"/>
        <family val="3"/>
        <charset val="134"/>
      </rPr>
      <t>设备购置费合计</t>
    </r>
  </si>
  <si>
    <r>
      <rPr>
        <sz val="12"/>
        <rFont val="宋体"/>
        <family val="3"/>
        <charset val="134"/>
      </rPr>
      <t>招</t>
    </r>
    <phoneticPr fontId="34" type="noConversion"/>
  </si>
  <si>
    <t>第一、二部分合计</t>
    <phoneticPr fontId="34" type="noConversion"/>
  </si>
  <si>
    <t>第三部分：基本预备费</t>
    <phoneticPr fontId="34" type="noConversion"/>
  </si>
  <si>
    <t>建设项目总投资</t>
    <phoneticPr fontId="34" type="noConversion"/>
  </si>
  <si>
    <t>道路、广场</t>
    <phoneticPr fontId="34" type="noConversion"/>
  </si>
  <si>
    <t>小计</t>
  </si>
  <si>
    <t>台</t>
  </si>
  <si>
    <t>80YW70-14 Q=20L/s   H=14 m    N=5.5kW</t>
  </si>
  <si>
    <t>潜污泵</t>
    <phoneticPr fontId="99" type="noConversion"/>
  </si>
  <si>
    <t>套</t>
  </si>
  <si>
    <t>80ZWG2/APV12-50； APV12-50；Q=3.4L/s H=50m N=3.0KW</t>
    <phoneticPr fontId="99" type="noConversion"/>
  </si>
  <si>
    <t>变频给水设备</t>
    <phoneticPr fontId="99" type="noConversion"/>
  </si>
  <si>
    <t>给排水工程</t>
  </si>
  <si>
    <t>三</t>
  </si>
  <si>
    <t xml:space="preserve">型号：GXF-5.5-A  转速：1450r/min;风量：8035m\/h  全压：313Pa ;功率：1.5KW  噪声：85dB(A)   </t>
    <phoneticPr fontId="99" type="noConversion"/>
  </si>
  <si>
    <t>斜流风机</t>
  </si>
  <si>
    <t>型号：GXF-8-B  转速：720r/min;风量：18359m\/h  全压：596Pa ;  功率：5.5KW  噪声：79dB(A)</t>
    <phoneticPr fontId="99" type="noConversion"/>
  </si>
  <si>
    <t>型号：GXF-9-B  转速：720r/min ; 风量：25138m\/h  全压：464Pa;功率：5.5KW;噪声：81dB(A)</t>
    <phoneticPr fontId="99" type="noConversion"/>
  </si>
  <si>
    <t xml:space="preserve">型号：GXF-8-A  转速：960r/min ;风量：19245m\/h  全压：344Pa ;功率：3.0KW;噪声：81dB(A) </t>
    <phoneticPr fontId="99" type="noConversion"/>
  </si>
  <si>
    <t>型号：SPF2.5-Z  风量：2000m3/h ; 全压：216Pa  功率：0.37KW  噪声：72dB(A)</t>
    <phoneticPr fontId="99" type="noConversion"/>
  </si>
  <si>
    <t>壁式轴流风机</t>
  </si>
  <si>
    <t xml:space="preserve">型号：SPF2.5-Z  风量：1000m3/h ;全压：52Pa  功率：0.06KW  噪声：60dB(A) </t>
    <phoneticPr fontId="99" type="noConversion"/>
  </si>
  <si>
    <t xml:space="preserve">型号：QGK-D-35-H;送风风量：3500m3/h 回风风量：2800m\/h ;6排表冷器冷量：34.6Kw 水量：5.94m\/h </t>
    <phoneticPr fontId="99" type="noConversion"/>
  </si>
  <si>
    <t>全热交换器新风机组</t>
  </si>
  <si>
    <t xml:space="preserve">型号：QGK-D-30-H;送风风量：3000m3/h 回风风量：2400m3/h ；6排表冷器冷量：30.7Kw 水量：5.29m3/h ;送风功率：2.2Kw 排风功率：0.5Kw </t>
    <phoneticPr fontId="99" type="noConversion"/>
  </si>
  <si>
    <t xml:space="preserve">型号：QGK-D-25-H;送风风量：2500m3/h 回风风量：2000m\/h ;水量：3.31m3/h 送风功率：0.7Kw  </t>
    <phoneticPr fontId="99" type="noConversion"/>
  </si>
  <si>
    <t xml:space="preserve">型号：QGK-D-20-H；送风风量：2000m3/h 6排表冷器冷量：19.3Kw ；水量：3.31m\/h 送风功率：0.7Kw </t>
    <phoneticPr fontId="99" type="noConversion"/>
  </si>
  <si>
    <t>新风机组</t>
  </si>
  <si>
    <t xml:space="preserve">型号：QGK-D-10-H ；送风风量：1000m3/h 6排表冷器冷量：9.6Kw ；水量：1.66m\/h 送风功率：0.2Kw </t>
    <phoneticPr fontId="99" type="noConversion"/>
  </si>
  <si>
    <t xml:space="preserve">型号：SN800-1.0；调节容积：0.26m3  总容积：0.86m3  </t>
    <phoneticPr fontId="99" type="noConversion"/>
  </si>
  <si>
    <t xml:space="preserve">定压罐  </t>
    <phoneticPr fontId="99" type="noConversion"/>
  </si>
  <si>
    <t>外形尺寸：1400X1400X1200</t>
  </si>
  <si>
    <t>软化水箱</t>
  </si>
  <si>
    <t>型号：TRB-250 处理量：1-2m3/h</t>
  </si>
  <si>
    <t>软化水处理器</t>
    <phoneticPr fontId="99" type="noConversion"/>
  </si>
  <si>
    <t xml:space="preserve">型号：CDL2-14  流量：2m3/h ；扬程：55m  电量：2.0Kw </t>
    <phoneticPr fontId="99" type="noConversion"/>
  </si>
  <si>
    <t>补水泵</t>
  </si>
  <si>
    <t xml:space="preserve">型号：CDL110-20 ；流量：110m3/h；扬程：28m  电量：15Kw </t>
    <phoneticPr fontId="99" type="noConversion"/>
  </si>
  <si>
    <t>循环水泵</t>
    <phoneticPr fontId="99" type="noConversion"/>
  </si>
  <si>
    <t>型号：LSRF280 ；制冷量：279kW  制热量：297kW ；夏季供回水温度：7/12℃  ；冬季供回水温度：45/40℃</t>
    <phoneticPr fontId="99" type="noConversion"/>
  </si>
  <si>
    <t xml:space="preserve">热泵机组  </t>
  </si>
  <si>
    <t>型号：HF12N;制冷量：12.6Kw  风量：3000m\/h ；功率：5.4Kw；空调室外机（室内外机高差35.80m）</t>
    <phoneticPr fontId="99" type="noConversion"/>
  </si>
  <si>
    <t>恒温恒湿空调</t>
    <phoneticPr fontId="99" type="noConversion"/>
  </si>
  <si>
    <t xml:space="preserve">制热量：3.0Kw 制冷量：2.5Kw;功率：2.0Kw(220V/50Hz)  </t>
    <phoneticPr fontId="99" type="noConversion"/>
  </si>
  <si>
    <t>分体空调</t>
  </si>
  <si>
    <t xml:space="preserve">型号:FP-136  ;中档风量:1080m3/h; 中档冷量：6192W;中档热量：9288W 电量：138W 噪声：47dB(A)  </t>
    <phoneticPr fontId="99" type="noConversion"/>
  </si>
  <si>
    <t>风机盘管</t>
  </si>
  <si>
    <t xml:space="preserve">型号:FP-102  ;中档风量:810m3/h; 中档冷量：4816W;中档热量：7052W 电量：101W 噪声：46dB(A)  </t>
    <phoneticPr fontId="99" type="noConversion"/>
  </si>
  <si>
    <t xml:space="preserve">型号:FP-85 ;中档风量:680m3/h ; 中档冷量：3870W;中档热量：5848W 电量：87W 噪声：45dB(A)  </t>
    <phoneticPr fontId="99" type="noConversion"/>
  </si>
  <si>
    <t xml:space="preserve">型号:FP-68;中档风量:540m3/h;中档冷量：3096W;中档热量：4644W  电量：71W 噪声：43dB(A)  </t>
    <phoneticPr fontId="99" type="noConversion"/>
  </si>
  <si>
    <t xml:space="preserve">型号:FP-51;中档风量:400m3/h  中档冷量：2295W;中档热量：3570W  电量：51W 噪声：41dB(A)  </t>
    <phoneticPr fontId="99" type="noConversion"/>
  </si>
  <si>
    <t xml:space="preserve">型号:FP-34;中档风量:270m3/h ; 中档冷量：1700W;中档热量：2720W  电量：41W 噪声：39dB(A)  </t>
    <phoneticPr fontId="99" type="noConversion"/>
  </si>
  <si>
    <t xml:space="preserve">型号：GXF-4-A  风量：4014m3/h；转速：1450r/min  全压：218Pa 功率：0.37KW </t>
    <phoneticPr fontId="99" type="noConversion"/>
  </si>
  <si>
    <t xml:space="preserve">斜流风机  </t>
    <phoneticPr fontId="99" type="noConversion"/>
  </si>
  <si>
    <t xml:space="preserve">型号：HL3-2AI-3A  风量：1411m3/h；转速：960r/min  全压：56Pa  功率：0.75KW </t>
    <phoneticPr fontId="99" type="noConversion"/>
  </si>
  <si>
    <t xml:space="preserve">混流风机  </t>
    <phoneticPr fontId="99" type="noConversion"/>
  </si>
  <si>
    <t xml:space="preserve">型号：PYHL3-2AI-3.5A  风量：3680m3/h；转速：1450r/min  全压：154Pa 功率：0.55KW  </t>
    <phoneticPr fontId="99" type="noConversion"/>
  </si>
  <si>
    <t xml:space="preserve">型号：HL3-2A-2.5A  风量：1341m3/h；转速：1450r/min  全压：79Pa 功率：0.55KW  </t>
    <phoneticPr fontId="99" type="noConversion"/>
  </si>
  <si>
    <t>型号：GXF-7-A 风量：13952m3/h 风压：457Pa 功率：3kW</t>
  </si>
  <si>
    <t>型号：HYPA15-15A-II  风量：7700m3/h；全压：320Pa  功率：1.5KW  噪声：60dB(A )</t>
    <phoneticPr fontId="99" type="noConversion"/>
  </si>
  <si>
    <t xml:space="preserve">离心风机箱  </t>
    <phoneticPr fontId="99" type="noConversion"/>
  </si>
  <si>
    <t>暖通、空调工程</t>
  </si>
  <si>
    <t>二</t>
  </si>
  <si>
    <t>326点</t>
    <phoneticPr fontId="99" type="noConversion"/>
  </si>
  <si>
    <t>火灾自动报警系统</t>
  </si>
  <si>
    <t>209点</t>
    <phoneticPr fontId="99" type="noConversion"/>
  </si>
  <si>
    <t>综合布线系统</t>
  </si>
  <si>
    <t>部</t>
  </si>
  <si>
    <t>13/13</t>
  </si>
  <si>
    <t>电梯</t>
  </si>
  <si>
    <t>GCS-12</t>
  </si>
  <si>
    <t>抽屉式低压配电柜</t>
    <phoneticPr fontId="99" type="noConversion"/>
  </si>
  <si>
    <t>HXGN15-12</t>
    <phoneticPr fontId="99" type="noConversion"/>
  </si>
  <si>
    <t>高压开关柜</t>
  </si>
  <si>
    <t>SCB11-630/10/0.4KV</t>
    <phoneticPr fontId="99" type="noConversion"/>
  </si>
  <si>
    <t>变压器</t>
  </si>
  <si>
    <t>电气工程</t>
  </si>
  <si>
    <t>备注</t>
  </si>
  <si>
    <t>合价</t>
  </si>
  <si>
    <t>单价</t>
  </si>
  <si>
    <t>数量</t>
  </si>
  <si>
    <t>单位</t>
  </si>
  <si>
    <t>规格型号</t>
  </si>
  <si>
    <t>名称</t>
  </si>
  <si>
    <t>单位：万元</t>
  </si>
  <si>
    <t xml:space="preserve"> 公 用 设 备 表</t>
    <phoneticPr fontId="34" type="noConversion"/>
  </si>
  <si>
    <t>公用设备</t>
    <phoneticPr fontId="34" type="noConversion"/>
  </si>
  <si>
    <t>精装工程</t>
    <phoneticPr fontId="34" type="noConversion"/>
  </si>
  <si>
    <t>强电工程</t>
    <phoneticPr fontId="34" type="noConversion"/>
  </si>
  <si>
    <t>弱电工程</t>
    <phoneticPr fontId="34" type="noConversion"/>
  </si>
  <si>
    <t>四</t>
  </si>
  <si>
    <t>四</t>
    <phoneticPr fontId="34" type="noConversion"/>
  </si>
  <si>
    <t>电梯工程</t>
    <phoneticPr fontId="34" type="noConversion"/>
  </si>
  <si>
    <t>15元/m2</t>
    <phoneticPr fontId="34" type="noConversion"/>
  </si>
  <si>
    <t/>
  </si>
  <si>
    <t>编制日期:</t>
  </si>
  <si>
    <t xml:space="preserve">审核人: </t>
  </si>
  <si>
    <t xml:space="preserve">编制人: </t>
  </si>
  <si>
    <t>专业造价总合计</t>
  </si>
  <si>
    <t>工程造价</t>
  </si>
  <si>
    <t>2</t>
  </si>
  <si>
    <t>不含税工程造价+税金+税前包干项目+税后包干项目+设备费</t>
  </si>
  <si>
    <t>含税工程造价</t>
  </si>
  <si>
    <t>十三</t>
  </si>
  <si>
    <t>设备费</t>
  </si>
  <si>
    <t>十二</t>
  </si>
  <si>
    <t>税后包干价</t>
  </si>
  <si>
    <t>税后包干项目</t>
  </si>
  <si>
    <t>十一</t>
  </si>
  <si>
    <t>3.5411</t>
  </si>
  <si>
    <t>不含税工程造价+税前包干价</t>
  </si>
  <si>
    <t>税金</t>
  </si>
  <si>
    <t>十</t>
  </si>
  <si>
    <t>税前包干价</t>
  </si>
  <si>
    <t>税前包干项目</t>
  </si>
  <si>
    <t>九</t>
  </si>
  <si>
    <t>分部分项工程费（含5%零星工程）+措施项目费+总包服务费+企业管理费+利润+规费+索赔与现场签证</t>
  </si>
  <si>
    <t>不含税工程造价</t>
  </si>
  <si>
    <t>八</t>
  </si>
  <si>
    <t>索赔与现场签证</t>
  </si>
  <si>
    <t>七</t>
  </si>
  <si>
    <t>11.66</t>
  </si>
  <si>
    <t>人工费+施工机具使用费+人工费+施工机具使用费</t>
  </si>
  <si>
    <t>规费</t>
  </si>
  <si>
    <t>六</t>
  </si>
  <si>
    <t>14.91</t>
  </si>
  <si>
    <t>利润</t>
  </si>
  <si>
    <t>五</t>
  </si>
  <si>
    <t>17.5</t>
  </si>
  <si>
    <t>企业管理费</t>
  </si>
  <si>
    <t>总包服务费</t>
  </si>
  <si>
    <t>0.65</t>
  </si>
  <si>
    <t>其它总价措施项目费</t>
  </si>
  <si>
    <t>2.2.2</t>
  </si>
  <si>
    <t>9.05</t>
  </si>
  <si>
    <t>安全文明施工费</t>
  </si>
  <si>
    <t>2.2.1</t>
  </si>
  <si>
    <t>安全文明施工费+其它总价措施项目费</t>
  </si>
  <si>
    <t>总价措施项目费</t>
  </si>
  <si>
    <t>2.2</t>
  </si>
  <si>
    <t>技术措施项目机械费</t>
  </si>
  <si>
    <t>施工机具使用费</t>
  </si>
  <si>
    <t>2.1.3</t>
  </si>
  <si>
    <t>技术措施项目材料费</t>
  </si>
  <si>
    <t>材料费</t>
  </si>
  <si>
    <t>2.1.2</t>
  </si>
  <si>
    <t>技术措施项目人工费</t>
  </si>
  <si>
    <t>人工费</t>
  </si>
  <si>
    <t>2.1.1</t>
  </si>
  <si>
    <t>人工费+材料费+施工机具使用费</t>
  </si>
  <si>
    <t>单价措施项目费</t>
  </si>
  <si>
    <t>2.1</t>
  </si>
  <si>
    <t>单价措施项目费+总价措施项目费</t>
  </si>
  <si>
    <t>措施项目费</t>
  </si>
  <si>
    <t>机械费</t>
  </si>
  <si>
    <t>4</t>
  </si>
  <si>
    <t>主材费</t>
  </si>
  <si>
    <t>未计价材料费</t>
  </si>
  <si>
    <t>3</t>
  </si>
  <si>
    <t>1</t>
  </si>
  <si>
    <t>(人工费+材料费+未计价材料费+施工机具使用费)*1.05</t>
  </si>
  <si>
    <t>分部分项工程费（含5%零星工程）</t>
  </si>
  <si>
    <t>安装工程</t>
  </si>
  <si>
    <t>费用金额</t>
  </si>
  <si>
    <t>费率</t>
  </si>
  <si>
    <t>取费基数</t>
  </si>
  <si>
    <t>费用名称</t>
  </si>
  <si>
    <t>第 1 页   共 1 页</t>
  </si>
  <si>
    <t>工程名称：2601#给排水工程</t>
  </si>
  <si>
    <t>单位工程费用汇总表</t>
  </si>
  <si>
    <t>合计</t>
  </si>
  <si>
    <t>个</t>
  </si>
  <si>
    <t>检查口</t>
  </si>
  <si>
    <t>补子目003</t>
  </si>
  <si>
    <t>七氟丙烷钢瓶</t>
  </si>
  <si>
    <t>补子目002</t>
  </si>
  <si>
    <t>87型雨水斗</t>
  </si>
  <si>
    <t>补子目001</t>
  </si>
  <si>
    <t>补充分部</t>
  </si>
  <si>
    <t>小便器</t>
  </si>
  <si>
    <t>主材</t>
  </si>
  <si>
    <t>10套</t>
  </si>
  <si>
    <t>小便器安装 立式 自闭式</t>
  </si>
  <si>
    <t>C10-983</t>
  </si>
  <si>
    <t>小便器安装</t>
  </si>
  <si>
    <t>100411</t>
  </si>
  <si>
    <t>残卫座便器</t>
  </si>
  <si>
    <t>大便器安装 座式 自闭冲洗阀座便</t>
  </si>
  <si>
    <t>C10-977</t>
  </si>
  <si>
    <t>蹲便器</t>
  </si>
  <si>
    <t>大便器安装 蹲式 脚踏阀冲洗</t>
  </si>
  <si>
    <t>C10-973</t>
  </si>
  <si>
    <t>大便器安装</t>
  </si>
  <si>
    <t>100410</t>
  </si>
  <si>
    <t>设备合价</t>
  </si>
  <si>
    <t>主材合价</t>
  </si>
  <si>
    <t>机械合价</t>
  </si>
  <si>
    <t>材料合价</t>
  </si>
  <si>
    <t>人工合价</t>
  </si>
  <si>
    <t>工日统计</t>
  </si>
  <si>
    <t>其中（元）</t>
  </si>
  <si>
    <t>价值（元）</t>
  </si>
  <si>
    <t>工程量</t>
  </si>
  <si>
    <t>子目名称</t>
  </si>
  <si>
    <t>定额编号</t>
  </si>
  <si>
    <t>第 9 页   共 9 页</t>
  </si>
  <si>
    <t>单位工程预结算书</t>
  </si>
  <si>
    <t>拖布池</t>
  </si>
  <si>
    <t>10组</t>
  </si>
  <si>
    <t>C10-929</t>
  </si>
  <si>
    <t>洗涤盆安装</t>
  </si>
  <si>
    <t>100404</t>
  </si>
  <si>
    <t>洗手盆</t>
  </si>
  <si>
    <t>洗手盆冷水</t>
  </si>
  <si>
    <t>C10-927</t>
  </si>
  <si>
    <t>洗脸盆、洗手盆安装</t>
  </si>
  <si>
    <t>100403</t>
  </si>
  <si>
    <t>螺纹水表</t>
  </si>
  <si>
    <t>组</t>
  </si>
  <si>
    <t>水表安装 螺纹水表 公称直径(100mm以内)</t>
  </si>
  <si>
    <t>C10-830</t>
  </si>
  <si>
    <t>水表安装 螺纹水表 公称直径(25mm以内)</t>
  </si>
  <si>
    <t>C10-825</t>
  </si>
  <si>
    <t>水表安装</t>
  </si>
  <si>
    <t>100305</t>
  </si>
  <si>
    <t>m</t>
  </si>
  <si>
    <t>涂塑钢管</t>
  </si>
  <si>
    <t>10m</t>
  </si>
  <si>
    <t>室内管道安装 室内钢塑给水管(沟槽连接) 公称直径(100mm以内)</t>
  </si>
  <si>
    <t>C10-439</t>
  </si>
  <si>
    <t>(80mm以内)</t>
  </si>
  <si>
    <t>第 8 页   共 9 页</t>
  </si>
  <si>
    <t>室内管道安装 室内钢塑给水管(沟槽连接) 公称直径</t>
  </si>
  <si>
    <t>C10-438</t>
  </si>
  <si>
    <t>室内管道安装 室内钢塑给水管(沟槽连接) 公称直径(65mm以内)</t>
  </si>
  <si>
    <t>C10-437</t>
  </si>
  <si>
    <t>室内管道安装 室内钢塑给水管(沟槽连接) 公称直径(50mm以内)</t>
  </si>
  <si>
    <t>C10-436</t>
  </si>
  <si>
    <t>内螺旋波纹排水管</t>
  </si>
  <si>
    <t>室内管道安装 承插塑料排水管(零件粘接) 公称直径(150mm以内)</t>
  </si>
  <si>
    <t>C10-362</t>
  </si>
  <si>
    <t>UPVC管</t>
  </si>
  <si>
    <t>室内管道安装 承插塑料排水管(零件粘接) 公称直径(100mm以内)</t>
  </si>
  <si>
    <t>C10-361</t>
  </si>
  <si>
    <t>第 7 页   共 9 页</t>
  </si>
  <si>
    <t>室内管道安装 承插塑料排水管(零件粘接) 公称直径(75mm以内)</t>
  </si>
  <si>
    <t>C10-360</t>
  </si>
  <si>
    <t>室内管道安装 承插塑料排水管(零件粘接) 公称直径(50mm以内)</t>
  </si>
  <si>
    <t>C10-359</t>
  </si>
  <si>
    <t>PP-R管</t>
  </si>
  <si>
    <t>室内管道安装 塑料给水管(粘接) 公称直径(50mm以内)</t>
  </si>
  <si>
    <t>C10-315</t>
  </si>
  <si>
    <t>室内管道安装 塑料给水管(粘接) 公称直径(40mm以内)</t>
  </si>
  <si>
    <t>C10-314</t>
  </si>
  <si>
    <t>塑料给水管</t>
  </si>
  <si>
    <t>室内管道安装 塑料给水管(粘接) 公称直径(32mm以内)</t>
  </si>
  <si>
    <t>C10-313</t>
  </si>
  <si>
    <t>第 6 页   共 9 页</t>
  </si>
  <si>
    <t>室内管道安装 塑料给水管(粘接) 公称直径(25mm以内)</t>
  </si>
  <si>
    <t>C10-312</t>
  </si>
  <si>
    <t>室内管道安装 塑料给水管(粘接) 公称直径(20mm以内)</t>
  </si>
  <si>
    <t>C10-311</t>
  </si>
  <si>
    <t>热镀锌钢管</t>
  </si>
  <si>
    <t>室内管道安装 焊接钢管(螺纹连接) 公称直径(150mm以内)</t>
  </si>
  <si>
    <t>C10-194</t>
  </si>
  <si>
    <t>室内管道安装 焊接钢管(螺纹连接) 公称直径(125mm以内)</t>
  </si>
  <si>
    <t>C10-193</t>
  </si>
  <si>
    <t xml:space="preserve">无缝钢管 </t>
  </si>
  <si>
    <t>室内管道安装 焊接钢管(螺纹连接) 公称直径(100mm以内)</t>
  </si>
  <si>
    <t>C10-192</t>
  </si>
  <si>
    <t>(100mm以内)</t>
  </si>
  <si>
    <t>第 5 页   共 9 页</t>
  </si>
  <si>
    <t>室内管道安装 焊接钢管(螺纹连接) 公称直径</t>
  </si>
  <si>
    <t>室内管道安装 焊接钢管(螺纹连接) 公称直径(80mm以内)</t>
  </si>
  <si>
    <t>C10-191</t>
  </si>
  <si>
    <t>室内管道安装 焊接钢管(螺纹连接) 公称直径(65mm以内)</t>
  </si>
  <si>
    <t>C10-190</t>
  </si>
  <si>
    <t>室内管道安装 焊接钢管(螺纹连接) 公称直径(50mm以内)</t>
  </si>
  <si>
    <t>C10-189</t>
  </si>
  <si>
    <t>第 4 页   共 9 页</t>
  </si>
  <si>
    <t>室内管道安装 焊接钢管(螺纹连接) 公称直径(40mm以内)</t>
  </si>
  <si>
    <t>C10-188</t>
  </si>
  <si>
    <t>室内管道安装 焊接钢管(螺纹连接) 公称直径(32mm以内)</t>
  </si>
  <si>
    <t>C10-187</t>
  </si>
  <si>
    <t>室内管道安装 焊接钢管(螺纹连接) 公称直径(25mm以内)</t>
  </si>
  <si>
    <t>C10-186</t>
  </si>
  <si>
    <t>室内管道安装</t>
  </si>
  <si>
    <t>100102</t>
  </si>
  <si>
    <t>水力警铃</t>
  </si>
  <si>
    <t>警报装置 警铃</t>
  </si>
  <si>
    <t>C9-227</t>
  </si>
  <si>
    <t>警报装置</t>
  </si>
  <si>
    <t>090409</t>
  </si>
  <si>
    <t>气体灭火全淹没喷头</t>
  </si>
  <si>
    <t>10个</t>
  </si>
  <si>
    <t>气体喷头安装 公称直径(20mm以内)</t>
  </si>
  <si>
    <t>C9-142</t>
  </si>
  <si>
    <t xml:space="preserve">标准喷头  </t>
  </si>
  <si>
    <t>吊顶型喷头 安装 公称直径(15mm以内)</t>
  </si>
  <si>
    <t>C9-141</t>
  </si>
  <si>
    <t>气体喷头安装</t>
  </si>
  <si>
    <t>090204</t>
  </si>
  <si>
    <t>选择阀</t>
  </si>
  <si>
    <t>第 3 页   共 9 页</t>
  </si>
  <si>
    <t>选择阀安装 法兰连接 公称直径(100mm以内)</t>
  </si>
  <si>
    <t>C9-140</t>
  </si>
  <si>
    <t>选择阀安装</t>
  </si>
  <si>
    <t>090203</t>
  </si>
  <si>
    <t>组合式消防柜</t>
  </si>
  <si>
    <t>组合式消防柜 安装</t>
  </si>
  <si>
    <t>C9-111</t>
  </si>
  <si>
    <t>手提式磷酸铵盐干粉灭火器</t>
  </si>
  <si>
    <t>灭火器 放置式</t>
  </si>
  <si>
    <t>C9-108</t>
  </si>
  <si>
    <t>灭火器具安装</t>
  </si>
  <si>
    <t>090112</t>
  </si>
  <si>
    <t>消防水泵接合器</t>
  </si>
  <si>
    <t>消防水泵接合器安装 地下式 DN150</t>
  </si>
  <si>
    <t>C9-102</t>
  </si>
  <si>
    <t>消防水泵接合器安装</t>
  </si>
  <si>
    <t>090111</t>
  </si>
  <si>
    <t>末端试水阀</t>
  </si>
  <si>
    <t>末端试水装置安装 公称直径(32mm以内)</t>
  </si>
  <si>
    <t>C9-80</t>
  </si>
  <si>
    <t>末端试水装置</t>
  </si>
  <si>
    <t>末端试水装置安装</t>
  </si>
  <si>
    <t>090107</t>
  </si>
  <si>
    <t>水流指示器</t>
  </si>
  <si>
    <t>水流指示器安装 螺纹连接 公称直径(100mm以内)</t>
  </si>
  <si>
    <t>C9-68</t>
  </si>
  <si>
    <t>第 2 页   共 9 页</t>
  </si>
  <si>
    <t>水流指示器安装</t>
  </si>
  <si>
    <t>090105</t>
  </si>
  <si>
    <t>信号阀</t>
  </si>
  <si>
    <t>电触点信号阀 公称直径(100mm以内)</t>
  </si>
  <si>
    <t>C8-1419</t>
  </si>
  <si>
    <t>湿式报警阀</t>
  </si>
  <si>
    <t>湿式报警阀组安装 公称直径(100mm以内)</t>
  </si>
  <si>
    <t>蝶阀</t>
  </si>
  <si>
    <t>低压法兰阀门 公称直径(100mm以内)</t>
  </si>
  <si>
    <t>低压法兰阀门</t>
  </si>
  <si>
    <t>低压法兰阀门 公称直径(80mm以内)</t>
  </si>
  <si>
    <t>C8-1418</t>
  </si>
  <si>
    <t>闸阀</t>
  </si>
  <si>
    <t>低压法兰阀门 公称直径(65mm以内)</t>
  </si>
  <si>
    <t>C8-1417</t>
  </si>
  <si>
    <t>铜截止阀</t>
  </si>
  <si>
    <t>低压法兰阀门 公称直径(50mm以内)</t>
  </si>
  <si>
    <t>C8-1416</t>
  </si>
  <si>
    <t>080703</t>
  </si>
  <si>
    <t>矢量变频给水设备 安装</t>
  </si>
  <si>
    <t>C1-801</t>
  </si>
  <si>
    <t>潜污泵 安装</t>
  </si>
  <si>
    <t>C1-798</t>
  </si>
  <si>
    <t>离心式泵</t>
  </si>
  <si>
    <t>010901</t>
  </si>
  <si>
    <t>第 1 页   共 9 页</t>
  </si>
  <si>
    <t>工程名称：2601# 暖通工程</t>
  </si>
  <si>
    <t>集水器</t>
  </si>
  <si>
    <t>集水器 安装</t>
  </si>
  <si>
    <t>C10-868</t>
  </si>
  <si>
    <t>分水器</t>
  </si>
  <si>
    <t>分水器 安装</t>
  </si>
  <si>
    <t>Y型过滤器</t>
  </si>
  <si>
    <t>Y型过滤器安装 法兰连接 公称直径(100mm以内)</t>
  </si>
  <si>
    <t>C10-732</t>
  </si>
  <si>
    <t>球阀</t>
  </si>
  <si>
    <t>C10-697</t>
  </si>
  <si>
    <t>电动两通阀</t>
  </si>
  <si>
    <t>C10-647</t>
  </si>
  <si>
    <t>阀门安装</t>
  </si>
  <si>
    <t>100301</t>
  </si>
  <si>
    <t>镀锌钢管</t>
  </si>
  <si>
    <t>镀锌钢管(法兰连接) 公称直径(250mm以内)</t>
  </si>
  <si>
    <t>C9-14</t>
  </si>
  <si>
    <t>第 6 页   共 6 页</t>
  </si>
  <si>
    <t>镀锌钢管(法兰连接) 公称直径(200mm以内)</t>
  </si>
  <si>
    <t>C9-13</t>
  </si>
  <si>
    <t>镀锌钢管(法兰连接) 公称直径(150mm以内)</t>
  </si>
  <si>
    <t>C9-12</t>
  </si>
  <si>
    <t>镀锌钢管(法兰连接) 公称直径(125mm以内)</t>
  </si>
  <si>
    <t>C9-11</t>
  </si>
  <si>
    <t>镀锌钢管(法兰连接) 公称直径(100mm以内)</t>
  </si>
  <si>
    <t>C9-10</t>
  </si>
  <si>
    <t>镀锌钢管(法兰连接) 公称直径(80mm以内)</t>
  </si>
  <si>
    <t>C9-9</t>
  </si>
  <si>
    <t>镀锌钢管(法兰连接) 公称直径(70mm以内)</t>
  </si>
  <si>
    <t>C9-8</t>
  </si>
  <si>
    <t>镀锌钢管(螺纹连接) 公称直径(50mm以内)</t>
  </si>
  <si>
    <t>C9-4</t>
  </si>
  <si>
    <t>镀锌钢管(螺纹连接) 公称直径(40mm以内)</t>
  </si>
  <si>
    <t>C9-3</t>
  </si>
  <si>
    <t>第 5 页   共 6 页</t>
  </si>
  <si>
    <t>镀锌钢管(螺纹连接) 公称直径(32mm以内)</t>
  </si>
  <si>
    <t>C9-2</t>
  </si>
  <si>
    <t>镀锌钢管(螺纹连接) 公称直径(20mm以内)</t>
  </si>
  <si>
    <t>C9-1</t>
  </si>
  <si>
    <t>镀锌钢管(螺纹连接) 公称直径(25mm以内)</t>
  </si>
  <si>
    <t>水喷淋钢管安装</t>
  </si>
  <si>
    <t>090101</t>
  </si>
  <si>
    <t>波纹补偿器</t>
  </si>
  <si>
    <t>波纹补偿器 公称直径(250mm以内)</t>
  </si>
  <si>
    <t>C8-1423</t>
  </si>
  <si>
    <t>波纹补偿器 公称直径(200mm以内)</t>
  </si>
  <si>
    <t>C8-1422</t>
  </si>
  <si>
    <t>波纹补偿器 公称直径(125mm以内)</t>
  </si>
  <si>
    <t>C8-1420</t>
  </si>
  <si>
    <t>管式阻性消声器</t>
  </si>
  <si>
    <t>消声器安装 截面积(1.5m2以下)</t>
  </si>
  <si>
    <t>C7-528</t>
  </si>
  <si>
    <t>(0.8m2以下)</t>
  </si>
  <si>
    <t>第 4 页   共 6 页</t>
  </si>
  <si>
    <t>消声器安装 截面积</t>
  </si>
  <si>
    <t>C7-527</t>
  </si>
  <si>
    <t>消声器</t>
  </si>
  <si>
    <t>070320</t>
  </si>
  <si>
    <t>多叶送风口</t>
  </si>
  <si>
    <t>百叶风口(周长5200mm以内)</t>
  </si>
  <si>
    <t>C7-375</t>
  </si>
  <si>
    <t>碳钢风口、散流器、百叶窗</t>
  </si>
  <si>
    <t>070307</t>
  </si>
  <si>
    <t>防火阀</t>
  </si>
  <si>
    <t>风管防火阀周长(3600mm以内)</t>
  </si>
  <si>
    <t>C7-289</t>
  </si>
  <si>
    <t>280℃防火阀</t>
  </si>
  <si>
    <t>风管防火阀周长(2200mm以内)</t>
  </si>
  <si>
    <t>C7-288</t>
  </si>
  <si>
    <t>以内)</t>
  </si>
  <si>
    <t>第 3 页   共 6 页</t>
  </si>
  <si>
    <t>风管防火阀周长(2200mm</t>
  </si>
  <si>
    <t>方形散流器（带调节阀）</t>
  </si>
  <si>
    <t>C7-278</t>
  </si>
  <si>
    <t>碳钢阀门</t>
  </si>
  <si>
    <t>070301</t>
  </si>
  <si>
    <t>m2</t>
  </si>
  <si>
    <t>镀锌钢板</t>
  </si>
  <si>
    <t>10m2</t>
  </si>
  <si>
    <t>镀锌薄钢板风管</t>
  </si>
  <si>
    <t>C7-99</t>
  </si>
  <si>
    <t>碳钢通风管道</t>
  </si>
  <si>
    <t>070201</t>
  </si>
  <si>
    <t>风机盘管安装 吊顶式</t>
  </si>
  <si>
    <t>C7-74</t>
  </si>
  <si>
    <t>070106</t>
  </si>
  <si>
    <t>热泵机组 安装</t>
  </si>
  <si>
    <t>C7-65换</t>
  </si>
  <si>
    <t>恒温恒湿空调 安装</t>
  </si>
  <si>
    <t>C7-50</t>
  </si>
  <si>
    <t>分体空调 安装</t>
  </si>
  <si>
    <t>C7-46</t>
  </si>
  <si>
    <t>空调器</t>
  </si>
  <si>
    <t>070104</t>
  </si>
  <si>
    <t xml:space="preserve">换气扇  </t>
  </si>
  <si>
    <t>换气扇</t>
  </si>
  <si>
    <t>C4-377</t>
  </si>
  <si>
    <t>风扇</t>
  </si>
  <si>
    <t>040417</t>
  </si>
  <si>
    <t>软化水处理器 安装</t>
  </si>
  <si>
    <t>C2-454</t>
  </si>
  <si>
    <t>水处理设备</t>
  </si>
  <si>
    <t>022202</t>
  </si>
  <si>
    <t>定压罐   安装</t>
  </si>
  <si>
    <t>C2-343</t>
  </si>
  <si>
    <t>第 2 页   共 6 页</t>
  </si>
  <si>
    <t>软化水箱 外形尺寸：1400X1400X1200 安装</t>
  </si>
  <si>
    <t>C2-320换</t>
  </si>
  <si>
    <t>凝聚澄清过滤系统</t>
  </si>
  <si>
    <t>021702</t>
  </si>
  <si>
    <t>循环水泵 安装</t>
  </si>
  <si>
    <t>C1-799</t>
  </si>
  <si>
    <t>补水泵 安装</t>
  </si>
  <si>
    <t>斜流风机  安装</t>
  </si>
  <si>
    <t>C1-696</t>
  </si>
  <si>
    <t>轴流通风机 设备重量(0.5t以内)</t>
  </si>
  <si>
    <t>C1-693</t>
  </si>
  <si>
    <t>轴流通风机 设备重量(0.2t以内)</t>
  </si>
  <si>
    <t>C1-692</t>
  </si>
  <si>
    <t>轴流通风机</t>
  </si>
  <si>
    <t>010802</t>
  </si>
  <si>
    <t>全热交换器新风机组 送风风量：3500m3/h 安装</t>
  </si>
  <si>
    <t>C1-686</t>
  </si>
  <si>
    <t>全热交换器新风机组 送风风量：3000m3/h安装</t>
  </si>
  <si>
    <t>C1-685</t>
  </si>
  <si>
    <t>全热交换器新风机组 送风风量：2500m3/h 安装</t>
  </si>
  <si>
    <t>C1-684</t>
  </si>
  <si>
    <t>新风机组 送风风量：2000m3/h 安装</t>
  </si>
  <si>
    <t>C1-683</t>
  </si>
  <si>
    <t>新风机组 送风风量：1000m3/h  安装</t>
  </si>
  <si>
    <t>C1-682</t>
  </si>
  <si>
    <t>离心风机箱 安装</t>
  </si>
  <si>
    <t>C1-680</t>
  </si>
  <si>
    <t>离心式通(引)风机</t>
  </si>
  <si>
    <t>010801</t>
  </si>
  <si>
    <t>第 1 页   共 6 页</t>
  </si>
  <si>
    <t>工程名称：2601# 电气工程</t>
  </si>
  <si>
    <t>嵌入式方格栅灯</t>
  </si>
  <si>
    <t>嵌入式方格栅灯 安装</t>
  </si>
  <si>
    <t>C4-1679</t>
  </si>
  <si>
    <t>嵌入式线型荧光灯（下开放型）</t>
  </si>
  <si>
    <t>嵌入式线型荧光灯（下开放型） 安装</t>
  </si>
  <si>
    <t>C4-1677</t>
  </si>
  <si>
    <t>嵌入式线型荧光灯（格栅）</t>
  </si>
  <si>
    <t>嵌入式线型荧光灯（格栅） 安装</t>
  </si>
  <si>
    <t>控罩直管荧光灯具</t>
  </si>
  <si>
    <t>荧光灯 成套型、环形 吊链式 单管</t>
  </si>
  <si>
    <t>C4-1676</t>
  </si>
  <si>
    <t>荧光灯</t>
  </si>
  <si>
    <t>041205</t>
  </si>
  <si>
    <t>疏散指示灯</t>
  </si>
  <si>
    <t>第 7 页   共 7 页</t>
  </si>
  <si>
    <t>疏散指示灯 安装</t>
  </si>
  <si>
    <t>C4-1433</t>
  </si>
  <si>
    <t>安全出口标志灯</t>
  </si>
  <si>
    <t>安全出口标志灯 安装</t>
  </si>
  <si>
    <t>防水灯（节能灯）</t>
  </si>
  <si>
    <t>其他普通灯具 防水吊灯</t>
  </si>
  <si>
    <t>C4-1423</t>
  </si>
  <si>
    <t>镜前灯</t>
  </si>
  <si>
    <t>镜前灯  安装</t>
  </si>
  <si>
    <t>C4-1412</t>
  </si>
  <si>
    <t>带罩吸顶灯（节能灯）</t>
  </si>
  <si>
    <t>带罩吸顶灯（节能灯）  安装</t>
  </si>
  <si>
    <t>壁灯（节能灯）</t>
  </si>
  <si>
    <t>壁灯（节能灯）  安装</t>
  </si>
  <si>
    <t>嵌入式筒灯（节能灯）</t>
  </si>
  <si>
    <t>嵌入式筒灯（节能灯） 安装</t>
  </si>
  <si>
    <t>普通灯具</t>
  </si>
  <si>
    <t>041201</t>
  </si>
  <si>
    <t>绝缘导线</t>
  </si>
  <si>
    <t>100m单线</t>
  </si>
  <si>
    <t>管内穿线 照明线路(铜芯) 导线截面(4mm2以内) 铜芯</t>
  </si>
  <si>
    <t>C4-1288</t>
  </si>
  <si>
    <t>铜芯</t>
  </si>
  <si>
    <t>第 6 页   共 7 页</t>
  </si>
  <si>
    <t xml:space="preserve">管内穿线 照明线路(铜芯) 导线截面(2.5mm2以内) </t>
  </si>
  <si>
    <t>C4-1287</t>
  </si>
  <si>
    <t>管内穿线 照明线路(铜芯) 导线截面(2.5mm2以内) 铜芯</t>
  </si>
  <si>
    <t>配线</t>
  </si>
  <si>
    <t>041104</t>
  </si>
  <si>
    <t>金属线槽</t>
  </si>
  <si>
    <t>金属线槽安装 宽+高(600mm以内)</t>
  </si>
  <si>
    <t>C4-1232</t>
  </si>
  <si>
    <t>线槽</t>
  </si>
  <si>
    <t>041102</t>
  </si>
  <si>
    <t>钢管</t>
  </si>
  <si>
    <t>100m</t>
  </si>
  <si>
    <t>钢管敷设 砖、混凝土结构暗配 钢管公称直径(125mm以内)</t>
  </si>
  <si>
    <t>C4-1059</t>
  </si>
  <si>
    <t>钢管敷设 砖、混凝土结构暗配 钢管公称直径(100mm以内)</t>
  </si>
  <si>
    <t>C4-1058</t>
  </si>
  <si>
    <t>第 5 页   共 7 页</t>
  </si>
  <si>
    <t>钢管敷设 砖、混凝土结构暗配 钢管公称直径(50mm以内)</t>
  </si>
  <si>
    <t>C4-1055</t>
  </si>
  <si>
    <t>钢管敷设 砖、混凝土结构暗配 钢管公称直径(40mm以内)</t>
  </si>
  <si>
    <t>C4-1054</t>
  </si>
  <si>
    <t>钢管敷设 砖、混凝土结构暗配 钢管公称直径(20mm以内)</t>
  </si>
  <si>
    <t>C4-1051</t>
  </si>
  <si>
    <t>钢管敷设 砖、混凝土结构暗配 钢管公称直径(15mm以内)</t>
  </si>
  <si>
    <t>C4-1050</t>
  </si>
  <si>
    <t>配管</t>
  </si>
  <si>
    <t>041101</t>
  </si>
  <si>
    <t>圆钢接地极</t>
  </si>
  <si>
    <t>圆钢接地极 坚土</t>
  </si>
  <si>
    <t>C4-904</t>
  </si>
  <si>
    <t>热镀锌扁钢</t>
  </si>
  <si>
    <t>热镀锌扁钢 安装</t>
  </si>
  <si>
    <t>C4-901</t>
  </si>
  <si>
    <t>接地极</t>
  </si>
  <si>
    <t>040901</t>
  </si>
  <si>
    <t>电缆</t>
  </si>
  <si>
    <t>面35mm2以下)</t>
  </si>
  <si>
    <t>第 4 页   共 7 页</t>
  </si>
  <si>
    <t>铜芯电力电缆敷设 竖直通道电缆沿桥架垂直敷设(截</t>
  </si>
  <si>
    <t>C4-728</t>
  </si>
  <si>
    <t>铜芯电力电缆敷设 竖直通道电缆沿支架敷设(截面240mm2以下)</t>
  </si>
  <si>
    <t>C4-726</t>
  </si>
  <si>
    <t>耐火电缆</t>
  </si>
  <si>
    <t>铜芯电力电缆敷设 竖直通道电缆沿支架敷设(截面120mm2以下)</t>
  </si>
  <si>
    <t>C4-725</t>
  </si>
  <si>
    <t>铜芯电力电缆敷设 竖直通道电缆沿支架敷设(截面35mm2以下)</t>
  </si>
  <si>
    <t>C4-724</t>
  </si>
  <si>
    <t>第 3 页   共 7 页</t>
  </si>
  <si>
    <t>电力电缆敷设</t>
  </si>
  <si>
    <t>040801</t>
  </si>
  <si>
    <t>密闭二、三极插座</t>
  </si>
  <si>
    <t>密闭二、三极插座 安装</t>
  </si>
  <si>
    <t>C4-404</t>
  </si>
  <si>
    <t>单相二、三极插座</t>
  </si>
  <si>
    <t>单相二、三极插座 安装</t>
  </si>
  <si>
    <t>空调控制面板</t>
  </si>
  <si>
    <t>空调控制面板 安装</t>
  </si>
  <si>
    <t>插座</t>
  </si>
  <si>
    <t>040419</t>
  </si>
  <si>
    <t xml:space="preserve">双控开关 </t>
  </si>
  <si>
    <t>双控开关  安装</t>
  </si>
  <si>
    <t>C4-397</t>
  </si>
  <si>
    <t xml:space="preserve">声光控开关 </t>
  </si>
  <si>
    <t>声光控延时开关</t>
  </si>
  <si>
    <t>只</t>
  </si>
  <si>
    <t>暗装三联单控开关</t>
  </si>
  <si>
    <t>扳式暗开关(单控) 三联</t>
  </si>
  <si>
    <t>C4-384</t>
  </si>
  <si>
    <t xml:space="preserve">防水双联开关 </t>
  </si>
  <si>
    <t>扳式暗开关(单控) 双联</t>
  </si>
  <si>
    <t>C4-383</t>
  </si>
  <si>
    <t>暗装双联单控开关</t>
  </si>
  <si>
    <t xml:space="preserve">防水单联开关 </t>
  </si>
  <si>
    <t>扳式暗开关(单控) 单联</t>
  </si>
  <si>
    <t>C4-382</t>
  </si>
  <si>
    <t>暗装单联单控开关</t>
  </si>
  <si>
    <t>第 2 页   共 7 页</t>
  </si>
  <si>
    <t>照明开关</t>
  </si>
  <si>
    <t>040418</t>
  </si>
  <si>
    <t>接地端子箱</t>
  </si>
  <si>
    <t>端子箱安装 户内</t>
  </si>
  <si>
    <t>C4-371</t>
  </si>
  <si>
    <t>端子箱</t>
  </si>
  <si>
    <t>040416</t>
  </si>
  <si>
    <t>插座箱</t>
  </si>
  <si>
    <t>插座箱 安装</t>
  </si>
  <si>
    <t>C4-277</t>
  </si>
  <si>
    <t>照明配电箱</t>
  </si>
  <si>
    <t>照明配电箱 安装</t>
  </si>
  <si>
    <t>动力配电柜</t>
  </si>
  <si>
    <t>动力配电柜 安装</t>
  </si>
  <si>
    <t>双电源投切箱</t>
  </si>
  <si>
    <t>双电源投切箱 安装</t>
  </si>
  <si>
    <t>成套配电箱安装</t>
  </si>
  <si>
    <t>040406</t>
  </si>
  <si>
    <t>抽屉式低压配电柜</t>
  </si>
  <si>
    <t>C4-251</t>
  </si>
  <si>
    <t>控制、继电、模拟及配电屏安装</t>
  </si>
  <si>
    <t>040401</t>
  </si>
  <si>
    <t>高压开关柜 安装</t>
  </si>
  <si>
    <t>C4-103</t>
  </si>
  <si>
    <t>高压成套配电柜安装</t>
  </si>
  <si>
    <t>040214</t>
  </si>
  <si>
    <t>干式变压器安装 容量(800kV·A以下)</t>
  </si>
  <si>
    <t>C4-13</t>
  </si>
  <si>
    <t>干式变压器安装</t>
  </si>
  <si>
    <t>040102</t>
  </si>
  <si>
    <t>第 1 页   共 7 页</t>
  </si>
  <si>
    <t>工程名称：室外电气工程</t>
  </si>
  <si>
    <t>电缆沟</t>
  </si>
  <si>
    <t>铜芯电力电缆敷设 电缆(截面120mm2以下)</t>
  </si>
  <si>
    <t>C4-721</t>
  </si>
  <si>
    <t>工程名称：室外给排水工程</t>
  </si>
  <si>
    <t>管道土方</t>
  </si>
  <si>
    <t>座</t>
  </si>
  <si>
    <t>单篦雨水口</t>
  </si>
  <si>
    <t>化粪池</t>
  </si>
  <si>
    <t>雨水检查井 φ700</t>
  </si>
  <si>
    <t>污水检查井 φ700</t>
  </si>
  <si>
    <t>给水阀门井 φ1000</t>
  </si>
  <si>
    <t>HDPE排水管</t>
  </si>
  <si>
    <t>室外管道安装 塑料排水管(粘接) 公称直径(400mm以内)</t>
  </si>
  <si>
    <t>C10-138</t>
  </si>
  <si>
    <t>第 2 页   共 2 页</t>
  </si>
  <si>
    <t>室外管道安装 塑料排水管(粘接) 公称直径(300mm以内)</t>
  </si>
  <si>
    <t>C10-137</t>
  </si>
  <si>
    <t>双壁波纹排水管</t>
  </si>
  <si>
    <t>承插铸铁管</t>
  </si>
  <si>
    <t>室外管道安装 承插铸铁给水管(膨胀水泥接口) 公称直径(150mm以内)</t>
  </si>
  <si>
    <t>C10-50</t>
  </si>
  <si>
    <t>室外管道安装 钢管(焊接) 公称直径(150mm以内)</t>
  </si>
  <si>
    <t>C10-19</t>
  </si>
  <si>
    <t>室外管道安装</t>
  </si>
  <si>
    <t>100101</t>
  </si>
  <si>
    <t>地上式消火栓</t>
  </si>
  <si>
    <t>室外地上式消火栓 1.0MPa 深100型</t>
  </si>
  <si>
    <t>C9-93</t>
  </si>
  <si>
    <t>室外消火栓安装</t>
  </si>
  <si>
    <t>090110</t>
  </si>
  <si>
    <t>第 1 页   共 2 页</t>
  </si>
  <si>
    <t>不含税工程造价+税金+税前包干项目+税后包干项目</t>
  </si>
  <si>
    <t>10.95</t>
  </si>
  <si>
    <t>15.8</t>
  </si>
  <si>
    <t>13.47</t>
  </si>
  <si>
    <t>5.81</t>
  </si>
  <si>
    <t>工程名称：2601#土建工程</t>
  </si>
  <si>
    <t>装饰工程</t>
  </si>
  <si>
    <t>24.72</t>
  </si>
  <si>
    <t>18.17</t>
  </si>
  <si>
    <t>23.84</t>
  </si>
  <si>
    <t>12.51</t>
  </si>
  <si>
    <t>建筑工程12层以上</t>
  </si>
  <si>
    <t xml:space="preserve">编制日期: </t>
  </si>
  <si>
    <t>总计</t>
  </si>
  <si>
    <t>10m3</t>
  </si>
  <si>
    <t>钻孔桩 商品混凝土</t>
  </si>
  <si>
    <t>G3-178</t>
  </si>
  <si>
    <t>旋挖钻机成孔 桩径(mm以内) 1000</t>
  </si>
  <si>
    <t>G3-164</t>
  </si>
  <si>
    <t>030302、灌注桩</t>
  </si>
  <si>
    <t>100m2</t>
  </si>
  <si>
    <t>平整场地</t>
  </si>
  <si>
    <t>G1-283</t>
  </si>
  <si>
    <t>100m3</t>
  </si>
  <si>
    <t>填土夯实</t>
  </si>
  <si>
    <t>G1-281</t>
  </si>
  <si>
    <t>030104、回填及其他</t>
  </si>
  <si>
    <t>1000m3</t>
  </si>
  <si>
    <t>自卸汽车运土方(载重8t以内) 运距 1km以内</t>
  </si>
  <si>
    <t>G1-241</t>
  </si>
  <si>
    <t>030103、土石方运输</t>
  </si>
  <si>
    <t>挖土方</t>
  </si>
  <si>
    <t>G1-82</t>
  </si>
  <si>
    <t>030101、土方工程</t>
  </si>
  <si>
    <t>乳胶漆保温顶棚</t>
  </si>
  <si>
    <t>A18-309换</t>
  </si>
  <si>
    <t>乳胶漆 内墙及天棚面</t>
  </si>
  <si>
    <t>020106、油漆、涂料、裱糊工程</t>
  </si>
  <si>
    <t>钢质复合 防火卷帘安装</t>
  </si>
  <si>
    <t>A17-86</t>
  </si>
  <si>
    <t>钢制防火门 成品安装</t>
  </si>
  <si>
    <t>A17-84</t>
  </si>
  <si>
    <t>机械费合价</t>
  </si>
  <si>
    <t>材料费合价</t>
  </si>
  <si>
    <t>人工费合价</t>
  </si>
  <si>
    <t>机械费单价</t>
  </si>
  <si>
    <t>材料费单价</t>
  </si>
  <si>
    <t>人工费单价</t>
  </si>
  <si>
    <t>单价（元）</t>
  </si>
  <si>
    <t>定额名称</t>
  </si>
  <si>
    <t>编号</t>
  </si>
  <si>
    <t>断桥铝合金窗</t>
  </si>
  <si>
    <t>A17-37</t>
  </si>
  <si>
    <t>铝合金外门安装</t>
  </si>
  <si>
    <t>A17-33</t>
  </si>
  <si>
    <t>实木装饰门安装</t>
  </si>
  <si>
    <t>A17-30</t>
  </si>
  <si>
    <t>020105、门窗工程</t>
  </si>
  <si>
    <t>铝合金格栅天棚(直接吊在天棚下) 方块型 规格(mm) 125*125*60</t>
  </si>
  <si>
    <t>A16-230</t>
  </si>
  <si>
    <t>玻璃棉高级吸声天棚</t>
  </si>
  <si>
    <t>A16-132</t>
  </si>
  <si>
    <t>天棚面层 石膏板</t>
  </si>
  <si>
    <t>A16-115换</t>
  </si>
  <si>
    <t>矿棉板天棚面层 贴在混凝土板下</t>
  </si>
  <si>
    <t>A16-109</t>
  </si>
  <si>
    <t>天棚面层 塑料板</t>
  </si>
  <si>
    <t>A16-103</t>
  </si>
  <si>
    <t>天棚装配式U型轻钢龙骨</t>
  </si>
  <si>
    <t>A16-40</t>
  </si>
  <si>
    <t>A16-39</t>
  </si>
  <si>
    <t>天棚抹灰</t>
  </si>
  <si>
    <t>A16-2</t>
  </si>
  <si>
    <t>020104、天棚工程</t>
  </si>
  <si>
    <t>金龙骨基层</t>
  </si>
  <si>
    <t>玻璃幕墙 隐框 铝合</t>
  </si>
  <si>
    <t>A15-25</t>
  </si>
  <si>
    <t>020103、幕墙工程</t>
  </si>
  <si>
    <t>穿孔石膏板吸声基层</t>
  </si>
  <si>
    <t>A14-219</t>
  </si>
  <si>
    <t>矿棉吸音板墙面</t>
  </si>
  <si>
    <t>A14-217</t>
  </si>
  <si>
    <t>轻钢龙骨 中距(mm以内) 竖603横1500</t>
  </si>
  <si>
    <t>A14-213</t>
  </si>
  <si>
    <t>面砖防水 水泥砂浆粘贴 墙面</t>
  </si>
  <si>
    <t>A14-149</t>
  </si>
  <si>
    <t>玻化砖 墙面</t>
  </si>
  <si>
    <t>钢骨架上干挂石板 墙面</t>
  </si>
  <si>
    <t>A14-138</t>
  </si>
  <si>
    <t>墙面抹灰</t>
  </si>
  <si>
    <t>A14-23</t>
  </si>
  <si>
    <t>020102、墙、柱面工程</t>
  </si>
  <si>
    <t>成品木踢脚线安装</t>
  </si>
  <si>
    <t>A13-172</t>
  </si>
  <si>
    <t>长条复合地板安装 铺在混凝土面上</t>
  </si>
  <si>
    <t>A13-169</t>
  </si>
  <si>
    <t>防静电架空地板</t>
  </si>
  <si>
    <t>A13-138</t>
  </si>
  <si>
    <t>玻化砖 楼地面</t>
  </si>
  <si>
    <t>A13-130换</t>
  </si>
  <si>
    <t>玻化砖 踢脚线 水泥砂浆</t>
  </si>
  <si>
    <t>A13-111</t>
  </si>
  <si>
    <t>地砖 踢脚线 水泥砂浆</t>
  </si>
  <si>
    <t>A13-99</t>
  </si>
  <si>
    <t>防滑地砖面层</t>
  </si>
  <si>
    <t>A13-95</t>
  </si>
  <si>
    <t>陶瓷锦砖 楼地面 拼花 水泥砂浆</t>
  </si>
  <si>
    <t>水泥砂浆 踢脚线底12mm面8mm</t>
  </si>
  <si>
    <t>A13-34</t>
  </si>
  <si>
    <t>细石砼面层 楼地面</t>
  </si>
  <si>
    <t>A13-30</t>
  </si>
  <si>
    <t>水泥砂浆找平层 混凝土或硬基层上 厚度20mm</t>
  </si>
  <si>
    <t>A13-20</t>
  </si>
  <si>
    <t>垫层 现浇混凝土</t>
  </si>
  <si>
    <t>A13-17</t>
  </si>
  <si>
    <t>020101、楼地面工程</t>
  </si>
  <si>
    <t>楼地面隔热 岩棉板</t>
  </si>
  <si>
    <t>A6-92换</t>
  </si>
  <si>
    <t>墙体保温 岩棉板 厚50mm</t>
  </si>
  <si>
    <t>A6-56换</t>
  </si>
  <si>
    <t>010601、保温隔热</t>
  </si>
  <si>
    <t>聚氨酯防水涂膜 双组份 厚2mm</t>
  </si>
  <si>
    <t>A5-135换</t>
  </si>
  <si>
    <t>复合双面自粘橡胶沥青防水卷材 立面</t>
  </si>
  <si>
    <t>A5-104</t>
  </si>
  <si>
    <t>立面</t>
  </si>
  <si>
    <t xml:space="preserve">聚苯乙烯泡沫塑料板 </t>
  </si>
  <si>
    <t>A5-102换</t>
  </si>
  <si>
    <t>010504、墙地面防水(防潮)</t>
  </si>
  <si>
    <t>铸铁水斗(接水口) φ150mm</t>
  </si>
  <si>
    <t>A5-67</t>
  </si>
  <si>
    <t>铸铁落水管 φ150mm</t>
  </si>
  <si>
    <t>A5-63</t>
  </si>
  <si>
    <t>高聚物改性沥青防水卷材屋面 满铺(加强型) 平面</t>
  </si>
  <si>
    <t>A5-37</t>
  </si>
  <si>
    <t>010503、屋面防水、排水</t>
  </si>
  <si>
    <t>t</t>
  </si>
  <si>
    <t>现浇构件螺纹钢筋(mm以内) φ12</t>
  </si>
  <si>
    <t>A2-454</t>
  </si>
  <si>
    <t>现浇构件螺纹钢筋(mm以外) φ12</t>
  </si>
  <si>
    <t>A2-453</t>
  </si>
  <si>
    <t>010206、钢筋及铁件</t>
  </si>
  <si>
    <t>基础梁 C20商品混凝土换为【商品混凝土C30 】</t>
  </si>
  <si>
    <t>A2-85换</t>
  </si>
  <si>
    <t>基础垫层 C10商品混凝土换为【商品混凝土C15 碎石20】</t>
  </si>
  <si>
    <t>A2-75换</t>
  </si>
  <si>
    <t>独立式桩承台 C20商品混凝土换为【商品混凝土C30】</t>
  </si>
  <si>
    <t>A2-74换</t>
  </si>
  <si>
    <t>010202、商品混凝土</t>
  </si>
  <si>
    <t>防滑坡道 1:2水泥砂浆</t>
  </si>
  <si>
    <t>A2-61</t>
  </si>
  <si>
    <t>砼散水面层一次抹光 C15现浇混凝土</t>
  </si>
  <si>
    <t>A2-60</t>
  </si>
  <si>
    <t>零星构件 C20现浇混凝土</t>
  </si>
  <si>
    <t>A2-57</t>
  </si>
  <si>
    <t>雨棚 C20现浇混凝土</t>
  </si>
  <si>
    <t>台阶 C20现浇混凝土</t>
  </si>
  <si>
    <t>A2-55</t>
  </si>
  <si>
    <t>整体楼梯 C20现浇混凝土换为【C30碎石混凝土】</t>
  </si>
  <si>
    <t>A2-50换</t>
  </si>
  <si>
    <t>有梁板 C20现浇混凝土换为【C35碎石混凝土】</t>
  </si>
  <si>
    <t>A2-38换</t>
  </si>
  <si>
    <t>有梁板 C20现浇混凝土换为【C30碎石混凝土】</t>
  </si>
  <si>
    <t>直形混凝土墙 C20现浇混凝土换为【C40碎石混凝土、抗渗】</t>
  </si>
  <si>
    <t>A2-30 H1-55 1-80</t>
  </si>
  <si>
    <t>直形混凝土墙 C20现浇混凝土换为【C35碎石混凝土】</t>
  </si>
  <si>
    <t>A2-29换</t>
  </si>
  <si>
    <t>碎石混凝土】</t>
  </si>
  <si>
    <t>直形混凝土墙 C20现浇混凝土换为【C40</t>
  </si>
  <si>
    <t>单梁、连续梁、悬臂梁 C20现浇混凝土换为【C30碎石混凝土】</t>
  </si>
  <si>
    <t>A2-23换</t>
  </si>
  <si>
    <t>单梁、连续梁、悬臂梁 C20现浇混凝土换为【C35碎石混凝土】</t>
  </si>
  <si>
    <t>矩形柱 C20现浇混凝土换为【C30碎石混凝土】换为【C35碎石混凝土】</t>
  </si>
  <si>
    <t>A2-17 H1-55 1-79</t>
  </si>
  <si>
    <t>矩形柱 C20现浇混凝土换为【C40碎石混凝土】</t>
  </si>
  <si>
    <t>A2-17换</t>
  </si>
  <si>
    <t>010201、现场搅拌混凝土</t>
  </si>
  <si>
    <t>加气混凝土砌块墙 600*300*(125、200、250) 混合砂浆M5 内墙</t>
  </si>
  <si>
    <t>A1-46</t>
  </si>
  <si>
    <t>加气混凝土砌块墙 600*300*(125、200、250) 混合砂浆M5 外墙</t>
  </si>
  <si>
    <t>010105、砌块砌体</t>
  </si>
  <si>
    <t>页合计</t>
  </si>
  <si>
    <t>其他</t>
  </si>
  <si>
    <t>地上、地下设施、建筑物临时保护设施费</t>
  </si>
  <si>
    <t>已完工程及设备保护费</t>
  </si>
  <si>
    <t>大型机械设备进出场及安拆费</t>
  </si>
  <si>
    <t>垂直运输工程 13~15层 檐高(m以内) 49.5</t>
  </si>
  <si>
    <t>A22-4</t>
  </si>
  <si>
    <t>垂直运输费</t>
  </si>
  <si>
    <t>定额编码</t>
  </si>
  <si>
    <t>单价措施项目分项汇总表</t>
  </si>
  <si>
    <t>综合脚手架</t>
  </si>
  <si>
    <t>A21-8</t>
  </si>
  <si>
    <t>脚手架</t>
  </si>
  <si>
    <t>基础梁 组合钢模板 钢支撑</t>
  </si>
  <si>
    <t>A7-50</t>
  </si>
  <si>
    <t>混凝土基础垫层 木模板 木支撑</t>
  </si>
  <si>
    <t>A7-30</t>
  </si>
  <si>
    <t>独立式桩承台 组合钢模板 木支撑</t>
  </si>
  <si>
    <t>A7-28</t>
  </si>
  <si>
    <t>混凝土散水 钢模板木支撑</t>
  </si>
  <si>
    <t>A7-121</t>
  </si>
  <si>
    <t>零星构件 木模板木支撑</t>
  </si>
  <si>
    <t>A7-118</t>
  </si>
  <si>
    <t>台阶 木模板木支撑</t>
  </si>
  <si>
    <t>A7-113</t>
  </si>
  <si>
    <t>楼梯 直形 木模板木支撑</t>
  </si>
  <si>
    <t>A7-109</t>
  </si>
  <si>
    <t>有梁板 组合钢模板 钢支撑</t>
  </si>
  <si>
    <t>A7-86</t>
  </si>
  <si>
    <t>电梯井壁 组合钢模板 钢支撑</t>
  </si>
  <si>
    <t>A7-76</t>
  </si>
  <si>
    <t>直形墙 组合钢模板 钢支撑</t>
  </si>
  <si>
    <t>A7-73</t>
  </si>
  <si>
    <t>单梁、连续梁 组合钢模板 钢支撑</t>
  </si>
  <si>
    <t>A7-54</t>
  </si>
  <si>
    <t>矩形柱 组合钢模板 钢支撑</t>
  </si>
  <si>
    <t>A7-39</t>
  </si>
  <si>
    <t>混凝土、钢筋混凝土模板及支撑</t>
  </si>
  <si>
    <t>排水降水</t>
  </si>
  <si>
    <t>合    计</t>
  </si>
  <si>
    <t>3mm</t>
  </si>
  <si>
    <t>聚苯乙烯泡沫塑料板</t>
  </si>
  <si>
    <t>SBS改性沥青防水卷材玻纤胎</t>
  </si>
  <si>
    <t>价差合计</t>
  </si>
  <si>
    <t>价 差</t>
  </si>
  <si>
    <t>市场价</t>
  </si>
  <si>
    <t>预算价</t>
  </si>
  <si>
    <t>材料量</t>
  </si>
  <si>
    <t>材料规格</t>
  </si>
  <si>
    <t>材料名称</t>
  </si>
  <si>
    <t>单位工程人材机价差表</t>
  </si>
  <si>
    <t>钢制复合防火卷帘门</t>
  </si>
  <si>
    <t>矿棉板</t>
  </si>
  <si>
    <t>铝合金格栅(含配件)125*125*60</t>
  </si>
  <si>
    <t>kg</t>
  </si>
  <si>
    <t>乳胶漆</t>
  </si>
  <si>
    <t>玻璃幕墙</t>
  </si>
  <si>
    <t>玻化砖</t>
  </si>
  <si>
    <t>地砖</t>
  </si>
  <si>
    <t>面砖防水</t>
  </si>
  <si>
    <t>防滑地砖</t>
  </si>
  <si>
    <t>陶瓷锦砖</t>
  </si>
  <si>
    <t>复合地板</t>
  </si>
  <si>
    <t>石膏板</t>
  </si>
  <si>
    <t>花岗岩板</t>
  </si>
  <si>
    <t>玻璃棉高级吸声板</t>
  </si>
  <si>
    <t>铝合金外门</t>
  </si>
  <si>
    <t>实木装饰门(成品)</t>
  </si>
  <si>
    <t>成品钢质防火门</t>
  </si>
  <si>
    <t>综合办公楼</t>
    <phoneticPr fontId="34" type="noConversion"/>
  </si>
  <si>
    <t>珠港澳大桥生产设备</t>
    <phoneticPr fontId="34" type="noConversion"/>
  </si>
  <si>
    <t>单项工程投资构成表</t>
    <phoneticPr fontId="34" type="noConversion"/>
  </si>
  <si>
    <t>安装工程费</t>
    <phoneticPr fontId="34" type="noConversion"/>
  </si>
  <si>
    <t>A6-12换</t>
  </si>
  <si>
    <t>屋面防水保温 挤塑聚苯板</t>
  </si>
  <si>
    <t>复合双面自粘橡胶沥青防水卷材</t>
  </si>
  <si>
    <r>
      <t>Gn=220t</t>
    </r>
    <r>
      <rPr>
        <sz val="12"/>
        <color indexed="8"/>
        <rFont val="宋体"/>
        <family val="3"/>
        <charset val="134"/>
      </rPr>
      <t>，</t>
    </r>
    <r>
      <rPr>
        <sz val="12"/>
        <color indexed="8"/>
        <rFont val="Times New Roman"/>
        <family val="1"/>
      </rPr>
      <t>S=25.5m</t>
    </r>
    <r>
      <rPr>
        <sz val="12"/>
        <color indexed="8"/>
        <rFont val="宋体"/>
        <family val="3"/>
        <charset val="134"/>
      </rPr>
      <t>，</t>
    </r>
    <r>
      <rPr>
        <sz val="12"/>
        <color indexed="8"/>
        <rFont val="Times New Roman"/>
        <family val="1"/>
      </rPr>
      <t>H=22m</t>
    </r>
    <phoneticPr fontId="34" type="noConversion"/>
  </si>
  <si>
    <r>
      <rPr>
        <b/>
        <sz val="20"/>
        <rFont val="宋体"/>
        <family val="3"/>
        <charset val="134"/>
      </rPr>
      <t>新</t>
    </r>
    <r>
      <rPr>
        <b/>
        <sz val="20"/>
        <rFont val="Times New Roman"/>
        <family val="1"/>
      </rPr>
      <t xml:space="preserve">   </t>
    </r>
    <r>
      <rPr>
        <b/>
        <sz val="20"/>
        <rFont val="宋体"/>
        <family val="3"/>
        <charset val="134"/>
      </rPr>
      <t>增</t>
    </r>
    <r>
      <rPr>
        <b/>
        <sz val="20"/>
        <rFont val="Times New Roman"/>
        <family val="1"/>
      </rPr>
      <t xml:space="preserve">   </t>
    </r>
    <r>
      <rPr>
        <b/>
        <sz val="20"/>
        <rFont val="宋体"/>
        <family val="3"/>
        <charset val="134"/>
      </rPr>
      <t>工</t>
    </r>
    <r>
      <rPr>
        <b/>
        <sz val="20"/>
        <rFont val="Times New Roman"/>
        <family val="1"/>
      </rPr>
      <t xml:space="preserve">   </t>
    </r>
    <r>
      <rPr>
        <b/>
        <sz val="20"/>
        <rFont val="宋体"/>
        <family val="3"/>
        <charset val="134"/>
      </rPr>
      <t>艺</t>
    </r>
    <r>
      <rPr>
        <b/>
        <sz val="20"/>
        <rFont val="Times New Roman"/>
        <family val="1"/>
      </rPr>
      <t xml:space="preserve">   </t>
    </r>
    <r>
      <rPr>
        <b/>
        <sz val="20"/>
        <rFont val="宋体"/>
        <family val="3"/>
        <charset val="134"/>
      </rPr>
      <t>设</t>
    </r>
    <r>
      <rPr>
        <b/>
        <sz val="20"/>
        <rFont val="Times New Roman"/>
        <family val="1"/>
      </rPr>
      <t xml:space="preserve">   </t>
    </r>
    <r>
      <rPr>
        <b/>
        <sz val="20"/>
        <rFont val="宋体"/>
        <family val="3"/>
        <charset val="134"/>
      </rPr>
      <t>备</t>
    </r>
    <r>
      <rPr>
        <b/>
        <sz val="20"/>
        <rFont val="Times New Roman"/>
        <family val="1"/>
      </rPr>
      <t xml:space="preserve">   </t>
    </r>
    <r>
      <rPr>
        <b/>
        <sz val="20"/>
        <rFont val="宋体"/>
        <family val="3"/>
        <charset val="134"/>
      </rPr>
      <t>表</t>
    </r>
    <r>
      <rPr>
        <b/>
        <sz val="20"/>
        <rFont val="Times New Roman"/>
        <family val="1"/>
      </rPr>
      <t xml:space="preserve">                                          </t>
    </r>
  </si>
  <si>
    <r>
      <rPr>
        <sz val="10"/>
        <rFont val="宋体"/>
        <family val="3"/>
        <charset val="134"/>
      </rPr>
      <t>附表</t>
    </r>
    <r>
      <rPr>
        <sz val="10"/>
        <rFont val="Times New Roman"/>
        <family val="1"/>
      </rPr>
      <t>1-1</t>
    </r>
    <phoneticPr fontId="34" type="noConversion"/>
  </si>
  <si>
    <t>附表1-2</t>
    <phoneticPr fontId="34" type="noConversion"/>
  </si>
  <si>
    <r>
      <rPr>
        <sz val="10"/>
        <rFont val="宋体"/>
        <family val="3"/>
        <charset val="134"/>
      </rPr>
      <t>附表</t>
    </r>
    <r>
      <rPr>
        <sz val="10"/>
        <rFont val="Times New Roman"/>
        <family val="1"/>
      </rPr>
      <t>1-3</t>
    </r>
    <phoneticPr fontId="34" type="noConversion"/>
  </si>
  <si>
    <t>附表1-4</t>
    <phoneticPr fontId="34" type="noConversion"/>
  </si>
  <si>
    <t>项目名称:武船重型工程股份有限公司双柳基地桥梁区办公楼及珠港澳大桥生产设备建设项目</t>
    <phoneticPr fontId="34" type="noConversion"/>
  </si>
</sst>
</file>

<file path=xl/styles.xml><?xml version="1.0" encoding="utf-8"?>
<styleSheet xmlns="http://schemas.openxmlformats.org/spreadsheetml/2006/main">
  <numFmts count="46">
    <numFmt numFmtId="41" formatCode="_ * #,##0_ ;_ * \-#,##0_ ;_ * &quot;-&quot;_ ;_ @_ "/>
    <numFmt numFmtId="44" formatCode="_ &quot;￥&quot;* #,##0.00_ ;_ &quot;￥&quot;* \-#,##0.00_ ;_ &quot;￥&quot;* &quot;-&quot;??_ ;_ @_ "/>
    <numFmt numFmtId="43" formatCode="_ * #,##0.00_ ;_ * \-#,##0.00_ ;_ * &quot;-&quot;??_ ;_ @_ "/>
    <numFmt numFmtId="26" formatCode="\$#,##0.00_);[Red]\(\$#,##0.00\)"/>
    <numFmt numFmtId="176" formatCode="0.0"/>
    <numFmt numFmtId="177" formatCode="0.0_ "/>
    <numFmt numFmtId="178" formatCode="0.0_);[Red]\(0.0\)"/>
    <numFmt numFmtId="179" formatCode="0_ "/>
    <numFmt numFmtId="180" formatCode="0.00_ "/>
    <numFmt numFmtId="181" formatCode="0_);[Red]\(0\)"/>
    <numFmt numFmtId="182" formatCode="0.0%"/>
    <numFmt numFmtId="183" formatCode="0.00_);[Red]\(0.00\)"/>
    <numFmt numFmtId="184" formatCode="0.0000_ "/>
    <numFmt numFmtId="185" formatCode="_(&quot;$&quot;* #,##0_);_(&quot;$&quot;* \(#,##0\);_(&quot;$&quot;* &quot;-&quot;_);_(@_)"/>
    <numFmt numFmtId="186" formatCode="_(&quot;$&quot;* #,##0.00_);_(&quot;$&quot;* \(#,##0.00\);_(&quot;$&quot;* &quot;-&quot;??_);_(@_)"/>
    <numFmt numFmtId="187" formatCode="_(&quot;$&quot;* #,##0.0_);_(&quot;$&quot;* \(#,##0.0\);_(&quot;$&quot;* &quot;-&quot;??_);_(@_)"/>
    <numFmt numFmtId="188" formatCode="_(&quot;$&quot;* #,##0_);_(&quot;$&quot;* \(#,##0\);_(&quot;$&quot;* &quot;-&quot;??_);_(@_)"/>
    <numFmt numFmtId="189" formatCode="mm/dd/yy_)"/>
    <numFmt numFmtId="190" formatCode="mmm\ dd\,\ yy"/>
    <numFmt numFmtId="191" formatCode="#,##0.0_);[Red]&quot;\&quot;&quot;\&quot;\(#,##0.0&quot;\&quot;&quot;\&quot;\)"/>
    <numFmt numFmtId="192" formatCode="&quot;￥&quot;#,##0_);[Red]\(&quot;￥&quot;#,##0\)"/>
    <numFmt numFmtId="193" formatCode="_-* #,##0.00_-;\-* #,##0.00_-;_-* &quot;-&quot;??_-;_-@_-"/>
    <numFmt numFmtId="194" formatCode="0.000"/>
    <numFmt numFmtId="195" formatCode="&quot;开&quot;;&quot;开&quot;;&quot;关&quot;"/>
    <numFmt numFmtId="196" formatCode="&quot;\&quot;#,##0.00;[Red]&quot;\&quot;&quot;\&quot;&quot;\&quot;&quot;\&quot;&quot;\&quot;\-#,##0.00"/>
    <numFmt numFmtId="197" formatCode="#,##0;\(#,##0\)"/>
    <numFmt numFmtId="198" formatCode="_-&quot;$&quot;\ * #,##0.00_-;_-&quot;$&quot;\ * #,##0.00\-;_-&quot;$&quot;\ * &quot;-&quot;??_-;_-@_-"/>
    <numFmt numFmtId="199" formatCode="\$#,##0.00;\(\$#,##0.00\)"/>
    <numFmt numFmtId="200" formatCode="\$#,##0;\(\$#,##0\)"/>
    <numFmt numFmtId="201" formatCode="#,##0.0_);\(#,##0.0\)"/>
    <numFmt numFmtId="202" formatCode="_-&quot;$&quot;\ * #,##0_-;_-&quot;$&quot;\ * #,##0\-;_-&quot;$&quot;\ * &quot;-&quot;_-;_-@_-"/>
    <numFmt numFmtId="203" formatCode="&quot;$&quot;\ #,##0.00_-;[Red]&quot;$&quot;\ #,##0.00\-"/>
    <numFmt numFmtId="204" formatCode="0.00_)"/>
    <numFmt numFmtId="205" formatCode="yy\.mm\.dd"/>
    <numFmt numFmtId="206" formatCode="0.000_ "/>
    <numFmt numFmtId="207" formatCode="0.00;_惿"/>
    <numFmt numFmtId="208" formatCode="0.000%"/>
    <numFmt numFmtId="209" formatCode="0.00_);\(0.00\)"/>
    <numFmt numFmtId="210" formatCode="\$#,##0.0_);[Red]\(\$#,##0.0\)"/>
    <numFmt numFmtId="211" formatCode="\(#\)"/>
    <numFmt numFmtId="212" formatCode="\(#.0\)"/>
    <numFmt numFmtId="213" formatCode="0_);\(0\)"/>
    <numFmt numFmtId="214" formatCode="\(0#.0\)"/>
    <numFmt numFmtId="215" formatCode="0;_Ͽ"/>
    <numFmt numFmtId="216" formatCode="\(0\)"/>
    <numFmt numFmtId="217" formatCode="\(0.0\)"/>
  </numFmts>
  <fonts count="106">
    <font>
      <sz val="12"/>
      <name val="宋体"/>
      <charset val="134"/>
    </font>
    <font>
      <sz val="11"/>
      <color theme="1"/>
      <name val="宋体"/>
      <family val="2"/>
      <charset val="134"/>
      <scheme val="minor"/>
    </font>
    <font>
      <sz val="10"/>
      <name val="Helv"/>
      <family val="2"/>
    </font>
    <font>
      <sz val="12"/>
      <name val="Times New Roman"/>
      <family val="1"/>
    </font>
    <font>
      <sz val="10"/>
      <name val="Geneva"/>
      <family val="2"/>
    </font>
    <font>
      <sz val="10"/>
      <name val="Arial"/>
      <family val="2"/>
    </font>
    <font>
      <sz val="11"/>
      <color indexed="8"/>
      <name val="宋体"/>
      <family val="3"/>
      <charset val="134"/>
    </font>
    <font>
      <sz val="11"/>
      <color indexed="9"/>
      <name val="宋体"/>
      <family val="3"/>
      <charset val="134"/>
    </font>
    <font>
      <b/>
      <sz val="10"/>
      <name val="MS Sans Serif"/>
      <family val="2"/>
    </font>
    <font>
      <sz val="10"/>
      <name val="MS Sans Serif"/>
      <family val="2"/>
    </font>
    <font>
      <b/>
      <sz val="12"/>
      <name val="Arial"/>
      <family val="2"/>
    </font>
    <font>
      <sz val="10"/>
      <name val="Times New Roman"/>
      <family val="1"/>
    </font>
    <font>
      <sz val="8"/>
      <name val="Times New Roman"/>
      <family val="1"/>
    </font>
    <font>
      <sz val="8"/>
      <name val="Arial"/>
      <family val="2"/>
    </font>
    <font>
      <sz val="12"/>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name val="ＭＳ Ｐゴシック"/>
      <family val="2"/>
    </font>
    <font>
      <sz val="11"/>
      <color indexed="20"/>
      <name val="宋体"/>
      <family val="3"/>
      <charset val="134"/>
    </font>
    <font>
      <sz val="9"/>
      <color indexed="8"/>
      <name val="宋体"/>
      <family val="3"/>
      <charset val="134"/>
    </font>
    <font>
      <u/>
      <sz val="12"/>
      <color indexed="12"/>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2"/>
      <name val="바탕체"/>
      <family val="3"/>
    </font>
    <font>
      <sz val="11"/>
      <name val="蹈框"/>
      <charset val="134"/>
    </font>
    <font>
      <sz val="11"/>
      <color indexed="60"/>
      <name val="宋体"/>
      <family val="3"/>
      <charset val="134"/>
    </font>
    <font>
      <b/>
      <sz val="11"/>
      <color indexed="63"/>
      <name val="宋体"/>
      <family val="3"/>
      <charset val="134"/>
    </font>
    <font>
      <sz val="11"/>
      <color indexed="62"/>
      <name val="宋体"/>
      <family val="3"/>
      <charset val="134"/>
    </font>
    <font>
      <sz val="9"/>
      <name val="宋体"/>
      <family val="3"/>
      <charset val="134"/>
    </font>
    <font>
      <sz val="10"/>
      <name val="宋体"/>
      <family val="3"/>
      <charset val="134"/>
    </font>
    <font>
      <b/>
      <sz val="18"/>
      <name val="Times New Roman"/>
      <family val="1"/>
    </font>
    <font>
      <sz val="18"/>
      <name val="Times New Roman"/>
      <family val="1"/>
    </font>
    <font>
      <vertAlign val="superscript"/>
      <sz val="10"/>
      <name val="Times New Roman"/>
      <family val="1"/>
    </font>
    <font>
      <sz val="10"/>
      <color indexed="50"/>
      <name val="Times New Roman"/>
      <family val="1"/>
    </font>
    <font>
      <sz val="11"/>
      <name val="Times New Roman"/>
      <family val="1"/>
    </font>
    <font>
      <b/>
      <sz val="10"/>
      <name val="Times New Roman"/>
      <family val="1"/>
    </font>
    <font>
      <b/>
      <sz val="10"/>
      <name val="宋体"/>
      <family val="3"/>
      <charset val="134"/>
    </font>
    <font>
      <sz val="10"/>
      <name val="宋体"/>
      <family val="3"/>
      <charset val="134"/>
    </font>
    <font>
      <sz val="11"/>
      <name val="µ¸¿ò"/>
      <family val="3"/>
    </font>
    <font>
      <sz val="12"/>
      <name val="Tms Rmn"/>
      <family val="1"/>
    </font>
    <font>
      <sz val="12"/>
      <name val="¹ÙÅÁÃ¼"/>
      <family val="1"/>
    </font>
    <font>
      <b/>
      <sz val="8"/>
      <name val="Arial"/>
      <family val="2"/>
    </font>
    <font>
      <sz val="10"/>
      <name val="BERNHARD"/>
      <family val="1"/>
    </font>
    <font>
      <sz val="1"/>
      <color indexed="8"/>
      <name val="Courier"/>
      <family val="3"/>
    </font>
    <font>
      <b/>
      <sz val="1"/>
      <color indexed="8"/>
      <name val="Courier"/>
      <family val="3"/>
    </font>
    <font>
      <b/>
      <sz val="12"/>
      <name val="Helv"/>
      <family val="2"/>
    </font>
    <font>
      <sz val="12"/>
      <name val="Helv"/>
      <family val="2"/>
    </font>
    <font>
      <sz val="12"/>
      <color indexed="9"/>
      <name val="Helv"/>
      <family val="2"/>
    </font>
    <font>
      <b/>
      <sz val="11"/>
      <name val="Helv"/>
      <family val="2"/>
    </font>
    <font>
      <sz val="7"/>
      <name val="Small Fonts"/>
      <family val="2"/>
    </font>
    <font>
      <b/>
      <i/>
      <sz val="16"/>
      <name val="Helv"/>
      <family val="2"/>
    </font>
    <font>
      <sz val="10"/>
      <color indexed="8"/>
      <name val="MS Sans Serif"/>
      <family val="2"/>
    </font>
    <font>
      <sz val="8"/>
      <name val="Helv"/>
      <family val="2"/>
    </font>
    <font>
      <b/>
      <sz val="10"/>
      <name val="Tms Rmn"/>
      <family val="1"/>
    </font>
    <font>
      <b/>
      <sz val="28"/>
      <name val="Arial"/>
      <family val="2"/>
    </font>
    <font>
      <sz val="14"/>
      <name val="AngsanaUPC"/>
      <family val="1"/>
    </font>
    <font>
      <b/>
      <sz val="14"/>
      <name val="楷体"/>
      <charset val="134"/>
    </font>
    <font>
      <sz val="10"/>
      <name val="楷体"/>
      <charset val="134"/>
    </font>
    <font>
      <sz val="12"/>
      <color indexed="20"/>
      <name val="宋体"/>
      <family val="3"/>
      <charset val="134"/>
    </font>
    <font>
      <sz val="10"/>
      <color indexed="20"/>
      <name val="宋体"/>
      <family val="3"/>
      <charset val="134"/>
    </font>
    <font>
      <sz val="11"/>
      <color theme="1"/>
      <name val="宋体"/>
      <family val="3"/>
      <charset val="134"/>
      <scheme val="minor"/>
    </font>
    <font>
      <sz val="9"/>
      <color indexed="8"/>
      <name val="宋体"/>
      <family val="2"/>
      <charset val="134"/>
    </font>
    <font>
      <u/>
      <sz val="10"/>
      <color indexed="12"/>
      <name val="Arial"/>
      <family val="2"/>
    </font>
    <font>
      <b/>
      <sz val="9"/>
      <name val="Arial"/>
      <family val="2"/>
    </font>
    <font>
      <b/>
      <sz val="10"/>
      <name val="Arial"/>
      <family val="2"/>
    </font>
    <font>
      <sz val="12"/>
      <color indexed="17"/>
      <name val="宋体"/>
      <family val="3"/>
      <charset val="134"/>
    </font>
    <font>
      <sz val="10"/>
      <color indexed="17"/>
      <name val="宋体"/>
      <family val="3"/>
      <charset val="134"/>
    </font>
    <font>
      <u/>
      <sz val="10"/>
      <color indexed="36"/>
      <name val="Arial"/>
      <family val="2"/>
    </font>
    <font>
      <sz val="12"/>
      <name val="Courier"/>
      <family val="3"/>
    </font>
    <font>
      <sz val="12"/>
      <color indexed="8"/>
      <name val="宋体"/>
      <family val="3"/>
      <charset val="134"/>
    </font>
    <font>
      <b/>
      <sz val="12"/>
      <name val="Times New Roman"/>
      <family val="1"/>
    </font>
    <font>
      <b/>
      <sz val="12"/>
      <name val="宋体"/>
      <family val="3"/>
      <charset val="134"/>
    </font>
    <font>
      <b/>
      <sz val="18"/>
      <color indexed="56"/>
      <name val="宋体"/>
      <family val="3"/>
      <charset val="134"/>
    </font>
    <font>
      <sz val="10"/>
      <color indexed="0"/>
      <name val="Helv"/>
      <family val="2"/>
    </font>
    <font>
      <sz val="12"/>
      <color indexed="0"/>
      <name val="Times New Roman"/>
      <family val="1"/>
    </font>
    <font>
      <sz val="10"/>
      <color indexed="0"/>
      <name val="Geneva"/>
      <family val="2"/>
    </font>
    <font>
      <sz val="10"/>
      <color indexed="0"/>
      <name val="Arial"/>
      <family val="2"/>
    </font>
    <font>
      <sz val="12"/>
      <name val="宋体"/>
      <family val="3"/>
      <charset val="134"/>
    </font>
    <font>
      <b/>
      <sz val="16"/>
      <name val="黑体"/>
      <family val="3"/>
      <charset val="134"/>
    </font>
    <font>
      <b/>
      <sz val="12"/>
      <color indexed="8"/>
      <name val="宋体"/>
      <family val="3"/>
      <charset val="134"/>
    </font>
    <font>
      <b/>
      <sz val="20"/>
      <color theme="1"/>
      <name val="宋体"/>
      <family val="3"/>
      <charset val="134"/>
      <scheme val="minor"/>
    </font>
    <font>
      <b/>
      <sz val="14"/>
      <color theme="1"/>
      <name val="宋体"/>
      <family val="3"/>
      <charset val="134"/>
      <scheme val="minor"/>
    </font>
    <font>
      <sz val="14"/>
      <color theme="1"/>
      <name val="宋体"/>
      <family val="3"/>
      <charset val="134"/>
      <scheme val="minor"/>
    </font>
    <font>
      <sz val="14"/>
      <name val="宋体"/>
      <family val="3"/>
      <charset val="134"/>
    </font>
    <font>
      <sz val="16"/>
      <name val="宋体"/>
      <family val="3"/>
      <charset val="134"/>
    </font>
    <font>
      <sz val="9"/>
      <color indexed="8"/>
      <name val="Times New Roman"/>
      <family val="1"/>
    </font>
    <font>
      <sz val="11"/>
      <name val="宋体"/>
      <family val="3"/>
      <charset val="134"/>
    </font>
    <font>
      <sz val="10"/>
      <color indexed="8"/>
      <name val="宋体"/>
      <family val="3"/>
      <charset val="134"/>
    </font>
    <font>
      <b/>
      <sz val="18"/>
      <name val="宋体"/>
      <family val="3"/>
      <charset val="134"/>
    </font>
    <font>
      <b/>
      <sz val="12"/>
      <color indexed="8"/>
      <name val="Times New Roman"/>
      <family val="1"/>
    </font>
    <font>
      <sz val="12"/>
      <color indexed="8"/>
      <name val="Times New Roman"/>
      <family val="1"/>
    </font>
    <font>
      <sz val="12"/>
      <color indexed="8"/>
      <name val="新宋体"/>
      <family val="3"/>
      <charset val="134"/>
    </font>
    <font>
      <sz val="12"/>
      <name val="新宋体"/>
      <family val="3"/>
      <charset val="134"/>
    </font>
    <font>
      <sz val="9"/>
      <name val="宋体"/>
      <family val="2"/>
      <charset val="134"/>
      <scheme val="minor"/>
    </font>
    <font>
      <sz val="10"/>
      <color indexed="0"/>
      <name val="宋体"/>
      <family val="2"/>
      <charset val="134"/>
    </font>
    <font>
      <sz val="11"/>
      <color indexed="0"/>
      <name val="宋体"/>
      <family val="2"/>
      <charset val="134"/>
    </font>
    <font>
      <b/>
      <sz val="24"/>
      <color indexed="0"/>
      <name val="宋体"/>
      <family val="2"/>
      <charset val="134"/>
    </font>
    <font>
      <b/>
      <sz val="10"/>
      <color indexed="0"/>
      <name val="宋体"/>
      <family val="2"/>
      <charset val="134"/>
    </font>
    <font>
      <b/>
      <sz val="20"/>
      <name val="Times New Roman"/>
      <family val="1"/>
    </font>
    <font>
      <b/>
      <sz val="20"/>
      <name val="宋体"/>
      <family val="3"/>
      <charset val="134"/>
    </font>
  </fonts>
  <fills count="4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13"/>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mediumGray">
        <fgColor indexed="22"/>
      </patternFill>
    </fill>
    <fill>
      <patternFill patternType="gray0625"/>
    </fill>
    <fill>
      <patternFill patternType="solid">
        <fgColor indexed="9"/>
        <bgColor indexed="9"/>
      </patternFill>
    </fill>
    <fill>
      <patternFill patternType="solid">
        <fgColor indexed="45"/>
        <bgColor indexed="64"/>
      </patternFill>
    </fill>
    <fill>
      <patternFill patternType="solid">
        <fgColor indexed="4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00B0F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00B050"/>
        <bgColor indexed="64"/>
      </patternFill>
    </fill>
  </fills>
  <borders count="3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top style="thin">
        <color indexed="64"/>
      </top>
      <bottom style="double">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4"/>
      </left>
      <right/>
      <top/>
      <bottom style="thin">
        <color indexed="64"/>
      </bottom>
      <diagonal/>
    </border>
    <border>
      <left/>
      <right style="thin">
        <color indexed="9"/>
      </right>
      <top/>
      <bottom style="thin">
        <color indexed="9"/>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s>
  <cellStyleXfs count="592">
    <xf numFmtId="0" fontId="0"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2"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 fillId="0" borderId="0"/>
    <xf numFmtId="0" fontId="5" fillId="0" borderId="0"/>
    <xf numFmtId="0" fontId="5" fillId="0" borderId="0"/>
    <xf numFmtId="0" fontId="2" fillId="0" borderId="0"/>
    <xf numFmtId="0" fontId="4" fillId="0" borderId="0"/>
    <xf numFmtId="0" fontId="3" fillId="0" borderId="0"/>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5" borderId="0" applyNumberFormat="0" applyBorder="0" applyAlignment="0" applyProtection="0">
      <alignment vertical="center"/>
    </xf>
    <xf numFmtId="0" fontId="6" fillId="8" borderId="0" applyNumberFormat="0" applyBorder="0" applyAlignment="0" applyProtection="0">
      <alignment vertical="center"/>
    </xf>
    <xf numFmtId="0" fontId="6"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191" fontId="5" fillId="0" borderId="0" applyFill="0" applyBorder="0" applyAlignment="0"/>
    <xf numFmtId="38" fontId="9" fillId="0" borderId="0" applyFont="0" applyFill="0" applyBorder="0" applyAlignment="0" applyProtection="0"/>
    <xf numFmtId="192" fontId="9" fillId="0" borderId="0" applyFont="0" applyFill="0" applyBorder="0" applyAlignment="0" applyProtection="0"/>
    <xf numFmtId="15" fontId="9" fillId="0" borderId="0"/>
    <xf numFmtId="0" fontId="10" fillId="0" borderId="1" applyNumberFormat="0" applyAlignment="0" applyProtection="0">
      <alignment horizontal="left" vertical="center"/>
    </xf>
    <xf numFmtId="0" fontId="10" fillId="0" borderId="2">
      <alignment horizontal="left" vertical="center"/>
    </xf>
    <xf numFmtId="0" fontId="11" fillId="0" borderId="0"/>
    <xf numFmtId="0" fontId="13" fillId="0" borderId="0">
      <alignment horizontal="left" vertical="center" wrapText="1"/>
    </xf>
    <xf numFmtId="0" fontId="8" fillId="0" borderId="0"/>
    <xf numFmtId="0" fontId="9" fillId="16" borderId="0"/>
    <xf numFmtId="9" fontId="14" fillId="0" borderId="0" applyFont="0" applyFill="0" applyBorder="0" applyAlignment="0" applyProtection="0"/>
    <xf numFmtId="0" fontId="14" fillId="0" borderId="3">
      <alignment horizontal="center" vertical="top" wrapText="1"/>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0" borderId="0"/>
    <xf numFmtId="0" fontId="19" fillId="3" borderId="0" applyNumberFormat="0" applyBorder="0" applyAlignment="0" applyProtection="0">
      <alignment vertical="center"/>
    </xf>
    <xf numFmtId="0" fontId="14" fillId="0" borderId="0"/>
    <xf numFmtId="0" fontId="6" fillId="0" borderId="0">
      <alignment vertical="center"/>
    </xf>
    <xf numFmtId="0" fontId="14" fillId="0" borderId="0">
      <alignment vertical="center"/>
    </xf>
    <xf numFmtId="0" fontId="20" fillId="0" borderId="0"/>
    <xf numFmtId="0" fontId="20" fillId="0" borderId="0"/>
    <xf numFmtId="0" fontId="3" fillId="0" borderId="0"/>
    <xf numFmtId="0" fontId="14" fillId="0" borderId="0"/>
    <xf numFmtId="0" fontId="22" fillId="4" borderId="0" applyNumberFormat="0" applyBorder="0" applyAlignment="0" applyProtection="0">
      <alignment vertical="center"/>
    </xf>
    <xf numFmtId="0" fontId="23" fillId="0" borderId="7" applyNumberFormat="0" applyFill="0" applyAlignment="0" applyProtection="0">
      <alignment vertical="center"/>
    </xf>
    <xf numFmtId="0" fontId="24" fillId="17" borderId="8" applyNumberFormat="0" applyAlignment="0" applyProtection="0">
      <alignment vertical="center"/>
    </xf>
    <xf numFmtId="0" fontId="25" fillId="18" borderId="9" applyNumberForma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0" applyNumberFormat="0" applyFill="0" applyAlignment="0" applyProtection="0">
      <alignment vertical="center"/>
    </xf>
    <xf numFmtId="38" fontId="18" fillId="0" borderId="0" applyFont="0" applyFill="0" applyBorder="0" applyAlignment="0" applyProtection="0"/>
    <xf numFmtId="4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29" fillId="0" borderId="0"/>
    <xf numFmtId="188" fontId="14" fillId="0" borderId="0" applyFont="0" applyFill="0" applyBorder="0" applyAlignment="0" applyProtection="0"/>
    <xf numFmtId="190" fontId="14" fillId="0" borderId="0" applyFont="0" applyFill="0" applyBorder="0" applyAlignment="0" applyProtection="0"/>
    <xf numFmtId="187" fontId="14" fillId="0" borderId="0" applyFont="0" applyFill="0" applyBorder="0" applyAlignment="0" applyProtection="0"/>
    <xf numFmtId="189" fontId="14" fillId="0" borderId="0" applyFont="0" applyFill="0" applyBorder="0" applyAlignment="0" applyProtection="0"/>
    <xf numFmtId="0" fontId="11" fillId="0" borderId="0"/>
    <xf numFmtId="41" fontId="11" fillId="0" borderId="0" applyFont="0" applyFill="0" applyBorder="0" applyAlignment="0" applyProtection="0"/>
    <xf numFmtId="43" fontId="11" fillId="0" borderId="0" applyFont="0" applyFill="0" applyBorder="0" applyAlignment="0" applyProtection="0"/>
    <xf numFmtId="0" fontId="30" fillId="0" borderId="0"/>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31" fillId="23" borderId="0" applyNumberFormat="0" applyBorder="0" applyAlignment="0" applyProtection="0">
      <alignment vertical="center"/>
    </xf>
    <xf numFmtId="0" fontId="32" fillId="17" borderId="11" applyNumberFormat="0" applyAlignment="0" applyProtection="0">
      <alignment vertical="center"/>
    </xf>
    <xf numFmtId="0" fontId="33" fillId="7" borderId="8" applyNumberFormat="0" applyAlignment="0" applyProtection="0">
      <alignment vertical="center"/>
    </xf>
    <xf numFmtId="0" fontId="3" fillId="0" borderId="0"/>
    <xf numFmtId="0" fontId="14" fillId="24" borderId="12" applyNumberFormat="0" applyFont="0" applyAlignment="0" applyProtection="0">
      <alignment vertical="center"/>
    </xf>
    <xf numFmtId="0" fontId="1" fillId="0" borderId="0">
      <alignment vertical="center"/>
    </xf>
    <xf numFmtId="0" fontId="3" fillId="0" borderId="0"/>
    <xf numFmtId="0" fontId="2" fillId="0" borderId="0"/>
    <xf numFmtId="0" fontId="2" fillId="0" borderId="0"/>
    <xf numFmtId="0" fontId="2"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2" fillId="0" borderId="0"/>
    <xf numFmtId="49" fontId="5" fillId="0" borderId="0" applyFont="0" applyFill="0" applyBorder="0" applyAlignment="0" applyProtection="0"/>
    <xf numFmtId="0" fontId="3" fillId="0" borderId="0"/>
    <xf numFmtId="0" fontId="4" fillId="0" borderId="0"/>
    <xf numFmtId="0" fontId="3" fillId="0" borderId="0"/>
    <xf numFmtId="0" fontId="3" fillId="0" borderId="0"/>
    <xf numFmtId="0" fontId="3" fillId="0" borderId="0" applyFont="0" applyBorder="0" applyAlignment="0">
      <alignment vertical="center"/>
    </xf>
    <xf numFmtId="0" fontId="5" fillId="0" borderId="0" applyBorder="0"/>
    <xf numFmtId="0" fontId="3" fillId="0" borderId="0"/>
    <xf numFmtId="0" fontId="3" fillId="0" borderId="0"/>
    <xf numFmtId="0" fontId="3" fillId="0" borderId="0"/>
    <xf numFmtId="0" fontId="3" fillId="0" borderId="0"/>
    <xf numFmtId="0" fontId="3" fillId="0" borderId="0"/>
    <xf numFmtId="0" fontId="14" fillId="0" borderId="0"/>
    <xf numFmtId="0" fontId="3" fillId="0" borderId="0"/>
    <xf numFmtId="0" fontId="3" fillId="0" borderId="0"/>
    <xf numFmtId="0" fontId="3" fillId="0" borderId="0"/>
    <xf numFmtId="0" fontId="3" fillId="0" borderId="0" applyFont="0" applyBorder="0" applyAlignment="0"/>
    <xf numFmtId="0" fontId="3" fillId="0" borderId="0"/>
    <xf numFmtId="0" fontId="2" fillId="0" borderId="0"/>
    <xf numFmtId="0" fontId="3" fillId="0" borderId="0"/>
    <xf numFmtId="0" fontId="2" fillId="0" borderId="0"/>
    <xf numFmtId="0" fontId="5" fillId="0" borderId="0"/>
    <xf numFmtId="0" fontId="2" fillId="0" borderId="0"/>
    <xf numFmtId="0" fontId="2" fillId="0" borderId="0"/>
    <xf numFmtId="0" fontId="3" fillId="0" borderId="0"/>
    <xf numFmtId="0" fontId="3" fillId="0" borderId="0"/>
    <xf numFmtId="0" fontId="4" fillId="0" borderId="0"/>
    <xf numFmtId="0" fontId="5" fillId="0" borderId="0"/>
    <xf numFmtId="0" fontId="3" fillId="0" borderId="0"/>
    <xf numFmtId="0" fontId="2" fillId="0" borderId="0"/>
    <xf numFmtId="0" fontId="3" fillId="0" borderId="0"/>
    <xf numFmtId="0" fontId="3" fillId="0" borderId="0"/>
    <xf numFmtId="0" fontId="2" fillId="0" borderId="0"/>
    <xf numFmtId="0" fontId="3" fillId="0" borderId="0"/>
    <xf numFmtId="0" fontId="2" fillId="0" borderId="0"/>
    <xf numFmtId="0" fontId="2" fillId="0" borderId="0"/>
    <xf numFmtId="0" fontId="14" fillId="0" borderId="0"/>
    <xf numFmtId="0" fontId="3" fillId="0" borderId="0"/>
    <xf numFmtId="0" fontId="14" fillId="0" borderId="0"/>
    <xf numFmtId="0" fontId="14" fillId="0" borderId="0"/>
    <xf numFmtId="0" fontId="14" fillId="0" borderId="0"/>
    <xf numFmtId="0" fontId="3" fillId="0" borderId="0" applyProtection="0"/>
    <xf numFmtId="0" fontId="2" fillId="0" borderId="0">
      <protection locked="0"/>
    </xf>
    <xf numFmtId="0" fontId="44" fillId="0" borderId="0" applyFont="0" applyFill="0" applyBorder="0" applyAlignment="0" applyProtection="0"/>
    <xf numFmtId="0" fontId="44" fillId="0" borderId="0" applyFont="0" applyFill="0" applyBorder="0" applyAlignment="0" applyProtection="0"/>
    <xf numFmtId="0" fontId="12" fillId="0" borderId="0">
      <alignment horizontal="center" wrapText="1"/>
      <protection locked="0"/>
    </xf>
    <xf numFmtId="41" fontId="44" fillId="0" borderId="0" applyFont="0" applyFill="0" applyBorder="0" applyAlignment="0" applyProtection="0"/>
    <xf numFmtId="43" fontId="44" fillId="0" borderId="0" applyFont="0" applyFill="0" applyBorder="0" applyAlignment="0" applyProtection="0"/>
    <xf numFmtId="0" fontId="45" fillId="0" borderId="0" applyNumberFormat="0" applyFill="0" applyBorder="0" applyAlignment="0" applyProtection="0"/>
    <xf numFmtId="2" fontId="13" fillId="0" borderId="0" applyNumberFormat="0" applyFont="0" applyFill="0" applyAlignment="0" applyProtection="0">
      <alignment horizontal="center"/>
    </xf>
    <xf numFmtId="0" fontId="46" fillId="0" borderId="0"/>
    <xf numFmtId="195" fontId="14" fillId="0" borderId="0" applyFill="0" applyBorder="0" applyAlignment="0"/>
    <xf numFmtId="195" fontId="14" fillId="0" borderId="0" applyFill="0" applyBorder="0" applyAlignment="0"/>
    <xf numFmtId="195" fontId="14" fillId="0" borderId="0" applyFill="0" applyBorder="0" applyAlignment="0"/>
    <xf numFmtId="195" fontId="14" fillId="0" borderId="0" applyFill="0" applyBorder="0" applyAlignment="0"/>
    <xf numFmtId="0" fontId="47" fillId="0" borderId="18">
      <alignment horizontal="center"/>
    </xf>
    <xf numFmtId="196" fontId="11" fillId="0" borderId="0"/>
    <xf numFmtId="196" fontId="11" fillId="0" borderId="0"/>
    <xf numFmtId="196" fontId="11" fillId="0" borderId="0"/>
    <xf numFmtId="196" fontId="11" fillId="0" borderId="0"/>
    <xf numFmtId="196" fontId="11" fillId="0" borderId="0"/>
    <xf numFmtId="196" fontId="11" fillId="0" borderId="0"/>
    <xf numFmtId="196" fontId="11" fillId="0" borderId="0"/>
    <xf numFmtId="196" fontId="11" fillId="0" borderId="0"/>
    <xf numFmtId="197" fontId="11" fillId="0" borderId="0"/>
    <xf numFmtId="193" fontId="5" fillId="0" borderId="0" applyFont="0" applyFill="0" applyBorder="0" applyAlignment="0" applyProtection="0"/>
    <xf numFmtId="0" fontId="48" fillId="0" borderId="0"/>
    <xf numFmtId="0" fontId="2" fillId="0" borderId="0"/>
    <xf numFmtId="0" fontId="48" fillId="0" borderId="0"/>
    <xf numFmtId="0" fontId="2" fillId="0" borderId="0"/>
    <xf numFmtId="198" fontId="5" fillId="0" borderId="0" applyFont="0" applyFill="0" applyBorder="0" applyAlignment="0" applyProtection="0"/>
    <xf numFmtId="199" fontId="11" fillId="0" borderId="0"/>
    <xf numFmtId="0" fontId="49" fillId="0" borderId="0">
      <protection locked="0"/>
    </xf>
    <xf numFmtId="200" fontId="11" fillId="0" borderId="0"/>
    <xf numFmtId="0" fontId="50" fillId="0" borderId="0">
      <protection locked="0"/>
    </xf>
    <xf numFmtId="0" fontId="50" fillId="0" borderId="0">
      <protection locked="0"/>
    </xf>
    <xf numFmtId="0" fontId="13" fillId="25" borderId="3"/>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38" fontId="13" fillId="26" borderId="0" applyNumberFormat="0" applyBorder="0" applyAlignment="0" applyProtection="0"/>
    <xf numFmtId="0" fontId="51" fillId="0" borderId="0">
      <alignment horizontal="left"/>
    </xf>
    <xf numFmtId="10" fontId="13" fillId="27" borderId="3" applyNumberFormat="0" applyBorder="0" applyAlignment="0" applyProtection="0"/>
    <xf numFmtId="201" fontId="52" fillId="28" borderId="0"/>
    <xf numFmtId="0" fontId="4" fillId="0" borderId="0"/>
    <xf numFmtId="201" fontId="53" fillId="29" borderId="0"/>
    <xf numFmtId="41" fontId="5" fillId="0" borderId="0" applyFont="0" applyFill="0" applyBorder="0" applyAlignment="0" applyProtection="0"/>
    <xf numFmtId="43" fontId="5" fillId="0" borderId="0" applyFont="0" applyFill="0" applyBorder="0" applyAlignment="0" applyProtection="0"/>
    <xf numFmtId="202" fontId="5" fillId="0" borderId="0" applyFont="0" applyFill="0" applyBorder="0" applyAlignment="0" applyProtection="0"/>
    <xf numFmtId="0" fontId="5" fillId="0" borderId="0" applyFont="0" applyFill="0" applyBorder="0" applyAlignment="0" applyProtection="0"/>
    <xf numFmtId="0" fontId="54" fillId="0" borderId="22"/>
    <xf numFmtId="0" fontId="14" fillId="0" borderId="0" applyFont="0" applyFill="0" applyBorder="0" applyAlignment="0" applyProtection="0"/>
    <xf numFmtId="0" fontId="14" fillId="0" borderId="0" applyFont="0" applyFill="0" applyBorder="0" applyAlignment="0" applyProtection="0"/>
    <xf numFmtId="0" fontId="49" fillId="0" borderId="0">
      <protection locked="0"/>
    </xf>
    <xf numFmtId="203" fontId="5" fillId="0" borderId="0" applyFont="0" applyFill="0" applyBorder="0" applyAlignment="0" applyProtection="0"/>
    <xf numFmtId="202" fontId="5" fillId="0" borderId="0" applyFont="0" applyFill="0" applyBorder="0" applyAlignment="0" applyProtection="0"/>
    <xf numFmtId="37" fontId="55" fillId="0" borderId="0"/>
    <xf numFmtId="204" fontId="56" fillId="0" borderId="0"/>
    <xf numFmtId="0" fontId="2" fillId="0" borderId="0"/>
    <xf numFmtId="0" fontId="57" fillId="0" borderId="0"/>
    <xf numFmtId="14" fontId="12" fillId="0" borderId="0">
      <alignment horizontal="center" wrapText="1"/>
      <protection locked="0"/>
    </xf>
    <xf numFmtId="10" fontId="5" fillId="0" borderId="0" applyFont="0" applyFill="0" applyBorder="0" applyAlignment="0" applyProtection="0"/>
    <xf numFmtId="9" fontId="2" fillId="0" borderId="0" applyFont="0" applyFill="0" applyBorder="0" applyAlignment="0" applyProtection="0"/>
    <xf numFmtId="0" fontId="49" fillId="0" borderId="0">
      <protection locked="0"/>
    </xf>
    <xf numFmtId="13" fontId="5" fillId="0" borderId="0" applyFont="0" applyFill="0" applyProtection="0"/>
    <xf numFmtId="0" fontId="13" fillId="26" borderId="3"/>
    <xf numFmtId="0" fontId="9" fillId="0" borderId="0" applyNumberFormat="0" applyFont="0" applyFill="0" applyBorder="0" applyAlignment="0" applyProtection="0">
      <alignment horizontal="left"/>
    </xf>
    <xf numFmtId="15" fontId="9" fillId="0" borderId="0" applyFont="0" applyFill="0" applyBorder="0" applyAlignment="0" applyProtection="0"/>
    <xf numFmtId="4" fontId="9" fillId="0" borderId="0" applyFont="0" applyFill="0" applyBorder="0" applyAlignment="0" applyProtection="0"/>
    <xf numFmtId="0" fontId="8" fillId="0" borderId="22">
      <alignment horizontal="center"/>
    </xf>
    <xf numFmtId="3" fontId="9" fillId="0" borderId="0" applyFont="0" applyFill="0" applyBorder="0" applyAlignment="0" applyProtection="0"/>
    <xf numFmtId="0" fontId="9" fillId="30" borderId="0" applyNumberFormat="0" applyFont="0" applyBorder="0" applyAlignment="0" applyProtection="0"/>
    <xf numFmtId="38" fontId="58" fillId="0" borderId="0"/>
    <xf numFmtId="0" fontId="59" fillId="31" borderId="21">
      <protection locked="0"/>
    </xf>
    <xf numFmtId="0" fontId="60" fillId="32" borderId="0" applyNumberFormat="0" applyFont="0" applyFill="0" applyBorder="0" applyAlignment="0" applyProtection="0">
      <alignment horizontal="center"/>
    </xf>
    <xf numFmtId="0" fontId="57" fillId="0" borderId="0"/>
    <xf numFmtId="0" fontId="54" fillId="0" borderId="0"/>
    <xf numFmtId="0" fontId="59" fillId="31" borderId="21">
      <protection locked="0"/>
    </xf>
    <xf numFmtId="0" fontId="59" fillId="31" borderId="21">
      <protection locked="0"/>
    </xf>
    <xf numFmtId="0" fontId="49" fillId="0" borderId="23">
      <protection locked="0"/>
    </xf>
    <xf numFmtId="0" fontId="61" fillId="0" borderId="0"/>
    <xf numFmtId="9" fontId="14" fillId="0" borderId="0" applyFont="0" applyFill="0" applyBorder="0" applyAlignment="0" applyProtection="0"/>
    <xf numFmtId="9" fontId="14" fillId="0" borderId="0" applyFont="0" applyFill="0" applyBorder="0" applyAlignment="0" applyProtection="0"/>
    <xf numFmtId="9" fontId="9" fillId="0" borderId="0" applyFont="0" applyFill="0" applyBorder="0" applyAlignment="0" applyProtection="0"/>
    <xf numFmtId="186" fontId="5" fillId="0" borderId="0" applyFont="0" applyFill="0" applyBorder="0" applyAlignment="0" applyProtection="0"/>
    <xf numFmtId="185" fontId="5" fillId="0" borderId="0" applyFont="0" applyFill="0" applyBorder="0" applyAlignment="0" applyProtection="0"/>
    <xf numFmtId="0" fontId="5" fillId="0" borderId="14" applyNumberFormat="0" applyFill="0" applyProtection="0">
      <alignment horizontal="right"/>
    </xf>
    <xf numFmtId="0" fontId="62" fillId="0" borderId="14" applyNumberFormat="0" applyFill="0" applyProtection="0">
      <alignment horizontal="center"/>
    </xf>
    <xf numFmtId="0" fontId="63" fillId="0" borderId="15" applyNumberFormat="0" applyFill="0" applyProtection="0">
      <alignment horizont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19" fillId="3" borderId="0" applyNumberFormat="0" applyBorder="0" applyAlignment="0" applyProtection="0">
      <alignment vertical="center"/>
    </xf>
    <xf numFmtId="0" fontId="65" fillId="3" borderId="0" applyNumberFormat="0" applyBorder="0" applyAlignment="0" applyProtection="0">
      <alignment vertical="center"/>
    </xf>
    <xf numFmtId="0" fontId="19" fillId="33" borderId="0" applyNumberFormat="0" applyBorder="0" applyAlignment="0" applyProtection="0">
      <alignment vertical="center"/>
    </xf>
    <xf numFmtId="0" fontId="19" fillId="3" borderId="0" applyNumberFormat="0" applyBorder="0" applyAlignment="0" applyProtection="0">
      <alignment vertical="center"/>
    </xf>
    <xf numFmtId="0" fontId="64" fillId="3" borderId="0" applyNumberFormat="0" applyBorder="0" applyAlignment="0" applyProtection="0">
      <alignment vertical="center"/>
    </xf>
    <xf numFmtId="0" fontId="19" fillId="3" borderId="0" applyNumberFormat="0" applyBorder="0" applyAlignment="0" applyProtection="0">
      <alignment vertical="center"/>
    </xf>
    <xf numFmtId="0" fontId="64"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64" fillId="3" borderId="0" applyNumberFormat="0" applyBorder="0" applyAlignment="0" applyProtection="0">
      <alignment vertical="center"/>
    </xf>
    <xf numFmtId="0" fontId="19" fillId="3" borderId="0" applyNumberFormat="0" applyBorder="0" applyAlignment="0" applyProtection="0">
      <alignment vertical="center"/>
    </xf>
    <xf numFmtId="0" fontId="66" fillId="0" borderId="0">
      <alignment vertical="center"/>
    </xf>
    <xf numFmtId="0" fontId="6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67" fillId="0" borderId="0"/>
    <xf numFmtId="0" fontId="14" fillId="0" borderId="0">
      <alignment vertical="center"/>
    </xf>
    <xf numFmtId="0" fontId="6" fillId="0" borderId="0">
      <alignment vertical="center"/>
    </xf>
    <xf numFmtId="0" fontId="6" fillId="0" borderId="0">
      <alignment vertical="center"/>
    </xf>
    <xf numFmtId="0" fontId="14" fillId="0" borderId="0"/>
    <xf numFmtId="0" fontId="68"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69" fillId="0" borderId="0" applyNumberFormat="0" applyFill="0" applyBorder="0" applyAlignment="0" applyProtection="0"/>
    <xf numFmtId="3" fontId="70" fillId="0" borderId="0" applyNumberFormat="0" applyFill="0" applyBorder="0" applyAlignment="0" applyProtection="0"/>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71" fillId="4" borderId="0" applyNumberFormat="0" applyBorder="0" applyAlignment="0" applyProtection="0">
      <alignment vertical="center"/>
    </xf>
    <xf numFmtId="0" fontId="71"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71" fillId="4" borderId="0" applyNumberFormat="0" applyBorder="0" applyAlignment="0" applyProtection="0">
      <alignment vertical="center"/>
    </xf>
    <xf numFmtId="0" fontId="71" fillId="4" borderId="0" applyNumberFormat="0" applyBorder="0" applyAlignment="0" applyProtection="0">
      <alignment vertical="center"/>
    </xf>
    <xf numFmtId="0" fontId="22" fillId="4" borderId="0" applyNumberFormat="0" applyBorder="0" applyAlignment="0" applyProtection="0">
      <alignment vertical="center"/>
    </xf>
    <xf numFmtId="0" fontId="72" fillId="4" borderId="0" applyNumberFormat="0" applyBorder="0" applyAlignment="0" applyProtection="0">
      <alignment vertical="center"/>
    </xf>
    <xf numFmtId="0" fontId="22" fillId="34" borderId="0" applyNumberFormat="0" applyBorder="0" applyAlignment="0" applyProtection="0">
      <alignment vertical="center"/>
    </xf>
    <xf numFmtId="0" fontId="22" fillId="4" borderId="0" applyNumberFormat="0" applyBorder="0" applyAlignment="0" applyProtection="0">
      <alignment vertical="center"/>
    </xf>
    <xf numFmtId="0" fontId="71" fillId="4" borderId="0" applyNumberFormat="0" applyBorder="0" applyAlignment="0" applyProtection="0">
      <alignment vertical="center"/>
    </xf>
    <xf numFmtId="0" fontId="22" fillId="4" borderId="0" applyNumberFormat="0" applyBorder="0" applyAlignment="0" applyProtection="0">
      <alignment vertical="center"/>
    </xf>
    <xf numFmtId="0" fontId="71"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71" fillId="4" borderId="0" applyNumberFormat="0" applyBorder="0" applyAlignment="0" applyProtection="0">
      <alignment vertical="center"/>
    </xf>
    <xf numFmtId="0" fontId="22" fillId="4" borderId="0" applyNumberFormat="0" applyBorder="0" applyAlignment="0" applyProtection="0">
      <alignment vertical="center"/>
    </xf>
    <xf numFmtId="0" fontId="73" fillId="0" borderId="0" applyNumberFormat="0" applyFill="0" applyBorder="0" applyAlignment="0" applyProtection="0">
      <alignment vertical="top"/>
      <protection locked="0"/>
    </xf>
    <xf numFmtId="44" fontId="14" fillId="0" borderId="0" applyFont="0" applyFill="0" applyBorder="0" applyAlignment="0" applyProtection="0"/>
    <xf numFmtId="0" fontId="63" fillId="0" borderId="15" applyNumberFormat="0" applyFill="0" applyProtection="0">
      <alignment horizontal="left"/>
    </xf>
    <xf numFmtId="41" fontId="5" fillId="0" borderId="0" applyFont="0" applyFill="0" applyBorder="0" applyAlignment="0" applyProtection="0"/>
    <xf numFmtId="43" fontId="5" fillId="0" borderId="0" applyFont="0" applyFill="0" applyBorder="0" applyAlignment="0" applyProtection="0"/>
    <xf numFmtId="205" fontId="5" fillId="0" borderId="15" applyFill="0" applyProtection="0">
      <alignment horizontal="right"/>
    </xf>
    <xf numFmtId="0" fontId="5" fillId="0" borderId="14" applyNumberFormat="0" applyFill="0" applyProtection="0">
      <alignment horizontal="left"/>
    </xf>
    <xf numFmtId="1" fontId="5" fillId="0" borderId="15" applyFill="0" applyProtection="0">
      <alignment horizontal="center"/>
    </xf>
    <xf numFmtId="0" fontId="74" fillId="0" borderId="0"/>
    <xf numFmtId="0" fontId="14" fillId="0" borderId="0"/>
    <xf numFmtId="0" fontId="9" fillId="0" borderId="0"/>
    <xf numFmtId="43" fontId="5" fillId="0" borderId="0" applyFont="0" applyFill="0" applyBorder="0" applyAlignment="0" applyProtection="0"/>
    <xf numFmtId="41" fontId="5" fillId="0" borderId="0" applyFont="0" applyFill="0" applyBorder="0" applyAlignment="0" applyProtection="0"/>
    <xf numFmtId="37" fontId="11" fillId="0" borderId="21">
      <alignment horizontal="center" vertical="center"/>
    </xf>
    <xf numFmtId="49" fontId="11" fillId="0" borderId="0">
      <alignment horizontal="center" vertical="center"/>
    </xf>
    <xf numFmtId="0" fontId="20" fillId="0" borderId="0"/>
    <xf numFmtId="0" fontId="3" fillId="0" borderId="0"/>
    <xf numFmtId="0" fontId="77" fillId="0" borderId="0"/>
    <xf numFmtId="0" fontId="77" fillId="0" borderId="0"/>
    <xf numFmtId="0" fontId="2" fillId="0" borderId="0"/>
    <xf numFmtId="0" fontId="77" fillId="0" borderId="0"/>
    <xf numFmtId="0" fontId="77" fillId="0" borderId="0"/>
    <xf numFmtId="0" fontId="77" fillId="0" borderId="0"/>
    <xf numFmtId="0" fontId="77" fillId="0" borderId="0"/>
    <xf numFmtId="0" fontId="77" fillId="0" borderId="0"/>
    <xf numFmtId="0" fontId="77" fillId="0" borderId="0"/>
    <xf numFmtId="0" fontId="3" fillId="0" borderId="0"/>
    <xf numFmtId="0" fontId="3" fillId="0" borderId="0"/>
    <xf numFmtId="0" fontId="14" fillId="0" borderId="0"/>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5" borderId="0" applyNumberFormat="0" applyBorder="0" applyAlignment="0" applyProtection="0">
      <alignment vertical="center"/>
    </xf>
    <xf numFmtId="0" fontId="6" fillId="8" borderId="0" applyNumberFormat="0" applyBorder="0" applyAlignment="0" applyProtection="0">
      <alignment vertical="center"/>
    </xf>
    <xf numFmtId="0" fontId="6" fillId="11"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5" borderId="0" applyNumberFormat="0" applyBorder="0" applyAlignment="0" applyProtection="0">
      <alignment vertical="center"/>
    </xf>
    <xf numFmtId="0" fontId="6" fillId="8" borderId="0" applyNumberFormat="0" applyBorder="0" applyAlignment="0" applyProtection="0">
      <alignment vertical="center"/>
    </xf>
    <xf numFmtId="0" fontId="6"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19" fillId="3" borderId="0" applyNumberFormat="0" applyBorder="0" applyAlignment="0" applyProtection="0">
      <alignment vertical="center"/>
    </xf>
    <xf numFmtId="0" fontId="24" fillId="17" borderId="8" applyNumberFormat="0" applyAlignment="0" applyProtection="0">
      <alignment vertical="center"/>
    </xf>
    <xf numFmtId="0" fontId="25" fillId="18" borderId="9" applyNumberFormat="0" applyAlignment="0" applyProtection="0">
      <alignment vertical="center"/>
    </xf>
    <xf numFmtId="0" fontId="26" fillId="0" borderId="0" applyNumberFormat="0" applyFill="0" applyBorder="0" applyAlignment="0" applyProtection="0">
      <alignment vertical="center"/>
    </xf>
    <xf numFmtId="0" fontId="22" fillId="4" borderId="0" applyNumberFormat="0" applyBorder="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33" fillId="7" borderId="8" applyNumberFormat="0" applyAlignment="0" applyProtection="0">
      <alignment vertical="center"/>
    </xf>
    <xf numFmtId="0" fontId="33" fillId="7" borderId="8" applyNumberFormat="0" applyAlignment="0" applyProtection="0">
      <alignment vertical="center"/>
    </xf>
    <xf numFmtId="0" fontId="28" fillId="0" borderId="10" applyNumberFormat="0" applyFill="0" applyAlignment="0" applyProtection="0">
      <alignment vertical="center"/>
    </xf>
    <xf numFmtId="0" fontId="31" fillId="23" borderId="0" applyNumberFormat="0" applyBorder="0" applyAlignment="0" applyProtection="0">
      <alignment vertical="center"/>
    </xf>
    <xf numFmtId="0" fontId="32" fillId="17" borderId="11" applyNumberFormat="0" applyAlignment="0" applyProtection="0">
      <alignment vertical="center"/>
    </xf>
    <xf numFmtId="0" fontId="3" fillId="0" borderId="0"/>
    <xf numFmtId="0" fontId="78" fillId="0" borderId="0" applyNumberFormat="0" applyFill="0" applyBorder="0" applyAlignment="0" applyProtection="0">
      <alignment vertical="center"/>
    </xf>
    <xf numFmtId="0" fontId="27" fillId="0" borderId="0" applyNumberFormat="0" applyFill="0" applyBorder="0" applyAlignment="0" applyProtection="0">
      <alignment vertical="center"/>
    </xf>
    <xf numFmtId="9" fontId="14" fillId="0" borderId="0" applyFont="0" applyFill="0" applyBorder="0" applyAlignment="0" applyProtection="0"/>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4" fillId="0" borderId="3">
      <alignment horizontal="center" vertical="top" wrapText="1"/>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64" fillId="3" borderId="0" applyNumberFormat="0" applyBorder="0" applyAlignment="0" applyProtection="0">
      <alignment vertical="center"/>
    </xf>
    <xf numFmtId="0" fontId="64" fillId="3" borderId="0" applyNumberFormat="0" applyBorder="0" applyAlignment="0" applyProtection="0">
      <alignment vertical="center"/>
    </xf>
    <xf numFmtId="0" fontId="14" fillId="0" borderId="0"/>
    <xf numFmtId="0" fontId="14" fillId="0" borderId="0"/>
    <xf numFmtId="0" fontId="14" fillId="0" borderId="0"/>
    <xf numFmtId="0" fontId="9" fillId="0" borderId="0"/>
    <xf numFmtId="0" fontId="20" fillId="0" borderId="0"/>
    <xf numFmtId="0" fontId="14" fillId="0" borderId="0"/>
    <xf numFmtId="0" fontId="20" fillId="0" borderId="0"/>
    <xf numFmtId="0" fontId="14" fillId="0" borderId="0"/>
    <xf numFmtId="0" fontId="14" fillId="0" borderId="0"/>
    <xf numFmtId="0" fontId="20" fillId="0" borderId="0"/>
    <xf numFmtId="0" fontId="14" fillId="0" borderId="0"/>
    <xf numFmtId="0" fontId="14" fillId="0" borderId="0"/>
    <xf numFmtId="0" fontId="20" fillId="0" borderId="0"/>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71" fillId="4" borderId="0" applyNumberFormat="0" applyBorder="0" applyAlignment="0" applyProtection="0">
      <alignment vertical="center"/>
    </xf>
    <xf numFmtId="0" fontId="71" fillId="4" borderId="0" applyNumberFormat="0" applyBorder="0" applyAlignment="0" applyProtection="0">
      <alignment vertical="center"/>
    </xf>
    <xf numFmtId="0" fontId="23" fillId="0" borderId="7" applyNumberFormat="0" applyFill="0" applyAlignment="0" applyProtection="0">
      <alignment vertical="center"/>
    </xf>
    <xf numFmtId="44" fontId="14" fillId="0" borderId="0" applyFont="0" applyFill="0" applyBorder="0" applyAlignment="0" applyProtection="0"/>
    <xf numFmtId="0" fontId="24" fillId="17" borderId="8" applyNumberFormat="0" applyAlignment="0" applyProtection="0">
      <alignment vertical="center"/>
    </xf>
    <xf numFmtId="0" fontId="25" fillId="18" borderId="9" applyNumberForma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0" applyNumberFormat="0" applyFill="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22" borderId="0" applyNumberFormat="0" applyBorder="0" applyAlignment="0" applyProtection="0">
      <alignment vertical="center"/>
    </xf>
    <xf numFmtId="0" fontId="31" fillId="23" borderId="0" applyNumberFormat="0" applyBorder="0" applyAlignment="0" applyProtection="0">
      <alignment vertical="center"/>
    </xf>
    <xf numFmtId="0" fontId="32" fillId="17" borderId="11" applyNumberFormat="0" applyAlignment="0" applyProtection="0">
      <alignment vertical="center"/>
    </xf>
    <xf numFmtId="0" fontId="33" fillId="7" borderId="8" applyNumberFormat="0" applyAlignment="0" applyProtection="0">
      <alignment vertical="center"/>
    </xf>
    <xf numFmtId="0" fontId="14" fillId="24" borderId="12" applyNumberFormat="0" applyFont="0" applyAlignment="0" applyProtection="0">
      <alignment vertical="center"/>
    </xf>
    <xf numFmtId="0" fontId="14" fillId="0" borderId="0"/>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81" fillId="0" borderId="0" applyNumberFormat="0" applyBorder="0" applyAlignment="0" applyProtection="0">
      <alignment vertical="center"/>
    </xf>
    <xf numFmtId="0" fontId="81" fillId="0" borderId="0" applyNumberFormat="0" applyBorder="0" applyAlignment="0" applyProtection="0">
      <alignment vertical="center"/>
    </xf>
    <xf numFmtId="0" fontId="81"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79" fillId="0" borderId="0" applyNumberFormat="0" applyBorder="0" applyAlignment="0" applyProtection="0">
      <alignment vertical="center"/>
    </xf>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4" fillId="0" borderId="0"/>
    <xf numFmtId="0" fontId="81"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2" fillId="0" borderId="0" applyNumberFormat="0" applyBorder="0" applyAlignment="0" applyProtection="0">
      <alignment vertical="center"/>
    </xf>
    <xf numFmtId="0" fontId="80" fillId="0" borderId="0" applyNumberFormat="0" applyBorder="0" applyAlignment="0" applyProtection="0">
      <alignment vertical="center"/>
    </xf>
    <xf numFmtId="0" fontId="5" fillId="0" borderId="0"/>
    <xf numFmtId="0" fontId="82" fillId="0" borderId="0" applyNumberFormat="0" applyBorder="0" applyAlignment="0" applyProtection="0">
      <alignment vertical="center"/>
    </xf>
    <xf numFmtId="0" fontId="14" fillId="0" borderId="0"/>
    <xf numFmtId="0" fontId="14" fillId="0" borderId="0"/>
    <xf numFmtId="0" fontId="14" fillId="0" borderId="0"/>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81" fillId="0" borderId="0" applyNumberFormat="0" applyBorder="0" applyAlignment="0" applyProtection="0">
      <alignment vertical="center"/>
    </xf>
    <xf numFmtId="0" fontId="81" fillId="0" borderId="0" applyNumberFormat="0" applyBorder="0" applyAlignment="0" applyProtection="0">
      <alignment vertical="center"/>
    </xf>
    <xf numFmtId="0" fontId="80" fillId="0" borderId="0" applyNumberFormat="0" applyBorder="0" applyAlignment="0" applyProtection="0">
      <alignment vertical="center"/>
    </xf>
    <xf numFmtId="0" fontId="80" fillId="0" borderId="0" applyNumberFormat="0" applyBorder="0" applyAlignment="0" applyProtection="0">
      <alignment vertical="center"/>
    </xf>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2" fillId="0" borderId="0"/>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81" fillId="0" borderId="0" applyNumberFormat="0" applyBorder="0" applyAlignment="0" applyProtection="0">
      <alignment vertical="center"/>
    </xf>
    <xf numFmtId="0" fontId="81" fillId="0" borderId="0" applyNumberFormat="0" applyBorder="0" applyAlignment="0" applyProtection="0">
      <alignment vertical="center"/>
    </xf>
    <xf numFmtId="0" fontId="3" fillId="0" borderId="0"/>
    <xf numFmtId="0" fontId="80" fillId="0" borderId="0" applyNumberFormat="0" applyBorder="0" applyAlignment="0" applyProtection="0">
      <alignment vertical="center"/>
    </xf>
    <xf numFmtId="0" fontId="5" fillId="0" borderId="0"/>
    <xf numFmtId="0" fontId="82" fillId="0" borderId="0" applyNumberFormat="0" applyBorder="0" applyAlignment="0" applyProtection="0">
      <alignment vertical="center"/>
    </xf>
    <xf numFmtId="0" fontId="82" fillId="0" borderId="0" applyNumberFormat="0" applyBorder="0" applyAlignment="0" applyProtection="0">
      <alignment vertical="center"/>
    </xf>
    <xf numFmtId="0" fontId="82" fillId="0" borderId="0" applyNumberFormat="0" applyBorder="0" applyAlignment="0" applyProtection="0">
      <alignment vertical="center"/>
    </xf>
    <xf numFmtId="0" fontId="79" fillId="0" borderId="0" applyNumberFormat="0" applyBorder="0" applyAlignment="0" applyProtection="0">
      <alignment vertical="center"/>
    </xf>
    <xf numFmtId="0" fontId="2" fillId="0" borderId="0"/>
    <xf numFmtId="0" fontId="79" fillId="0" borderId="0" applyNumberFormat="0" applyBorder="0" applyAlignment="0" applyProtection="0">
      <alignment vertical="center"/>
    </xf>
    <xf numFmtId="0" fontId="80" fillId="0" borderId="0" applyNumberFormat="0" applyBorder="0" applyAlignment="0" applyProtection="0">
      <alignment vertical="center"/>
    </xf>
    <xf numFmtId="0" fontId="81" fillId="0" borderId="0" applyNumberFormat="0" applyBorder="0" applyAlignment="0" applyProtection="0">
      <alignment vertical="center"/>
    </xf>
    <xf numFmtId="0" fontId="3" fillId="0" borderId="0"/>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64" fillId="33" borderId="0" applyNumberFormat="0" applyBorder="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71" fillId="34" borderId="0" applyNumberFormat="0" applyBorder="0" applyProtection="0">
      <alignment vertical="center"/>
    </xf>
    <xf numFmtId="43" fontId="14" fillId="0" borderId="0" applyFont="0" applyFill="0" applyBorder="0" applyAlignment="0" applyProtection="0">
      <alignment vertical="center"/>
    </xf>
    <xf numFmtId="43" fontId="14" fillId="0" borderId="0" applyFont="0" applyFill="0" applyBorder="0" applyAlignment="0" applyProtection="0"/>
    <xf numFmtId="0" fontId="83" fillId="0" borderId="0"/>
    <xf numFmtId="0" fontId="14" fillId="0" borderId="0"/>
    <xf numFmtId="0" fontId="14" fillId="0" borderId="0"/>
    <xf numFmtId="0" fontId="3" fillId="0" borderId="0"/>
    <xf numFmtId="0" fontId="3" fillId="0" borderId="0"/>
    <xf numFmtId="0" fontId="6" fillId="0" borderId="0">
      <alignment vertical="center"/>
    </xf>
    <xf numFmtId="0" fontId="66" fillId="0" borderId="0">
      <alignment vertical="center"/>
    </xf>
    <xf numFmtId="0" fontId="21" fillId="0" borderId="0">
      <alignment vertical="center"/>
    </xf>
    <xf numFmtId="0" fontId="14" fillId="0" borderId="0"/>
    <xf numFmtId="0" fontId="14" fillId="0" borderId="0"/>
    <xf numFmtId="0" fontId="14" fillId="0" borderId="0"/>
    <xf numFmtId="0" fontId="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64" fillId="33" borderId="0" applyNumberFormat="0" applyBorder="0" applyAlignment="0" applyProtection="0">
      <alignment vertical="center"/>
    </xf>
    <xf numFmtId="0" fontId="6"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71" fillId="34" borderId="0" applyNumberFormat="0" applyBorder="0" applyAlignment="0" applyProtection="0">
      <alignment vertical="center"/>
    </xf>
    <xf numFmtId="0" fontId="14" fillId="0" borderId="0"/>
    <xf numFmtId="0" fontId="20" fillId="0" borderId="0"/>
    <xf numFmtId="0" fontId="14" fillId="0" borderId="0"/>
    <xf numFmtId="0" fontId="14" fillId="0" borderId="0"/>
  </cellStyleXfs>
  <cellXfs count="426">
    <xf numFmtId="0" fontId="0" fillId="0" borderId="0" xfId="0"/>
    <xf numFmtId="0" fontId="11" fillId="0" borderId="3" xfId="0" applyFont="1" applyFill="1" applyBorder="1" applyAlignment="1">
      <alignment horizontal="center" vertical="center" wrapText="1"/>
    </xf>
    <xf numFmtId="0" fontId="11" fillId="0" borderId="3" xfId="0" applyFont="1" applyFill="1" applyBorder="1" applyAlignment="1">
      <alignment horizontal="center" vertical="center"/>
    </xf>
    <xf numFmtId="0" fontId="11" fillId="0" borderId="3" xfId="0" applyFont="1" applyFill="1" applyBorder="1" applyAlignment="1">
      <alignment vertical="center"/>
    </xf>
    <xf numFmtId="0" fontId="11" fillId="0" borderId="0" xfId="0" applyFont="1" applyFill="1" applyAlignment="1">
      <alignment vertical="center"/>
    </xf>
    <xf numFmtId="0" fontId="11" fillId="0" borderId="3" xfId="92" applyFont="1" applyBorder="1" applyAlignment="1">
      <alignment horizontal="left" vertical="center"/>
    </xf>
    <xf numFmtId="0" fontId="11" fillId="0" borderId="3" xfId="0" applyFont="1" applyFill="1" applyBorder="1" applyAlignment="1">
      <alignment horizontal="left" vertical="center"/>
    </xf>
    <xf numFmtId="179" fontId="11" fillId="0" borderId="0" xfId="0" applyNumberFormat="1" applyFont="1" applyFill="1" applyAlignment="1">
      <alignment vertical="center"/>
    </xf>
    <xf numFmtId="181" fontId="11" fillId="0" borderId="0" xfId="0" applyNumberFormat="1" applyFont="1" applyFill="1" applyAlignment="1">
      <alignment vertical="center"/>
    </xf>
    <xf numFmtId="176" fontId="11" fillId="0" borderId="3" xfId="0" applyNumberFormat="1" applyFont="1" applyFill="1" applyBorder="1" applyAlignment="1">
      <alignment horizontal="center" vertical="center" shrinkToFit="1"/>
    </xf>
    <xf numFmtId="194" fontId="11" fillId="0" borderId="3" xfId="0" applyNumberFormat="1" applyFont="1" applyFill="1" applyBorder="1" applyAlignment="1">
      <alignment horizontal="center" vertical="center" shrinkToFit="1"/>
    </xf>
    <xf numFmtId="176" fontId="41" fillId="0" borderId="3" xfId="0" applyNumberFormat="1" applyFont="1" applyFill="1" applyBorder="1" applyAlignment="1">
      <alignment horizontal="center" vertical="center" shrinkToFit="1"/>
    </xf>
    <xf numFmtId="0" fontId="41" fillId="0" borderId="3" xfId="0" applyFont="1" applyFill="1" applyBorder="1" applyAlignment="1">
      <alignment horizontal="center" vertical="center"/>
    </xf>
    <xf numFmtId="0" fontId="41" fillId="0" borderId="14" xfId="0" applyFont="1" applyFill="1" applyBorder="1" applyAlignment="1">
      <alignment horizontal="center" vertical="center"/>
    </xf>
    <xf numFmtId="176" fontId="41" fillId="0" borderId="3" xfId="0" applyNumberFormat="1" applyFont="1" applyFill="1" applyBorder="1" applyAlignment="1">
      <alignment horizontal="right" vertical="center" shrinkToFit="1"/>
    </xf>
    <xf numFmtId="0" fontId="11" fillId="0" borderId="0" xfId="0" applyFont="1" applyFill="1" applyAlignment="1">
      <alignment horizontal="center" vertical="center"/>
    </xf>
    <xf numFmtId="0" fontId="41" fillId="0" borderId="0" xfId="0" applyFont="1" applyFill="1" applyAlignment="1">
      <alignment horizontal="center" vertical="center"/>
    </xf>
    <xf numFmtId="0" fontId="37" fillId="0" borderId="0" xfId="0" applyFont="1" applyFill="1" applyAlignment="1">
      <alignment vertical="center"/>
    </xf>
    <xf numFmtId="0" fontId="35" fillId="0" borderId="13" xfId="0" applyFont="1" applyFill="1" applyBorder="1" applyAlignment="1">
      <alignment horizontal="left" vertical="center"/>
    </xf>
    <xf numFmtId="0" fontId="11" fillId="0" borderId="13" xfId="0" applyFont="1" applyFill="1" applyBorder="1" applyAlignment="1">
      <alignment vertical="center"/>
    </xf>
    <xf numFmtId="0" fontId="11" fillId="0" borderId="13" xfId="0" applyFont="1" applyFill="1" applyBorder="1" applyAlignment="1">
      <alignment horizontal="center" vertical="center"/>
    </xf>
    <xf numFmtId="0" fontId="11" fillId="0" borderId="0" xfId="0" applyFont="1" applyFill="1" applyBorder="1" applyAlignment="1">
      <alignment horizontal="center" vertical="center"/>
    </xf>
    <xf numFmtId="0" fontId="43" fillId="0" borderId="3" xfId="0" applyFont="1" applyFill="1" applyBorder="1" applyAlignment="1">
      <alignment horizontal="center" vertical="center" wrapText="1"/>
    </xf>
    <xf numFmtId="184" fontId="11" fillId="0" borderId="0" xfId="0" applyNumberFormat="1" applyFont="1" applyFill="1" applyAlignment="1">
      <alignment vertical="center"/>
    </xf>
    <xf numFmtId="0" fontId="11" fillId="0" borderId="3" xfId="0" applyNumberFormat="1" applyFont="1" applyFill="1" applyBorder="1" applyAlignment="1">
      <alignment horizontal="center" vertical="center"/>
    </xf>
    <xf numFmtId="0" fontId="35" fillId="0" borderId="3" xfId="0" applyFont="1" applyFill="1" applyBorder="1" applyAlignment="1">
      <alignment horizontal="left" vertical="center" wrapText="1"/>
    </xf>
    <xf numFmtId="177" fontId="11" fillId="0" borderId="3" xfId="0" applyNumberFormat="1" applyFont="1" applyFill="1" applyBorder="1" applyAlignment="1">
      <alignment horizontal="center" vertical="center"/>
    </xf>
    <xf numFmtId="206" fontId="11" fillId="0" borderId="0" xfId="0" applyNumberFormat="1" applyFont="1" applyFill="1" applyAlignment="1">
      <alignment vertical="center"/>
    </xf>
    <xf numFmtId="0" fontId="35" fillId="0" borderId="14" xfId="0" applyFont="1" applyFill="1" applyBorder="1" applyAlignment="1">
      <alignment horizontal="left" vertical="center" wrapText="1"/>
    </xf>
    <xf numFmtId="177" fontId="11" fillId="0" borderId="0" xfId="0" applyNumberFormat="1" applyFont="1" applyFill="1" applyAlignment="1">
      <alignment vertical="center"/>
    </xf>
    <xf numFmtId="0" fontId="41" fillId="0" borderId="0" xfId="0" applyFont="1" applyFill="1" applyAlignment="1">
      <alignment vertical="center"/>
    </xf>
    <xf numFmtId="177" fontId="39" fillId="0" borderId="14" xfId="0" applyNumberFormat="1" applyFont="1" applyFill="1" applyBorder="1" applyAlignment="1">
      <alignment horizontal="center" vertical="center"/>
    </xf>
    <xf numFmtId="0" fontId="35" fillId="0" borderId="3" xfId="0" applyFont="1" applyFill="1" applyBorder="1" applyAlignment="1">
      <alignment horizontal="center" vertical="center"/>
    </xf>
    <xf numFmtId="0" fontId="42" fillId="0" borderId="3" xfId="0" applyFont="1" applyFill="1" applyBorder="1" applyAlignment="1">
      <alignment horizontal="center" vertical="center"/>
    </xf>
    <xf numFmtId="176" fontId="41" fillId="0" borderId="0" xfId="0" applyNumberFormat="1" applyFont="1" applyFill="1" applyAlignment="1">
      <alignment vertical="center"/>
    </xf>
    <xf numFmtId="183" fontId="11" fillId="0" borderId="3" xfId="0" applyNumberFormat="1" applyFont="1" applyFill="1" applyBorder="1" applyAlignment="1">
      <alignment horizontal="center" vertical="center"/>
    </xf>
    <xf numFmtId="1" fontId="11" fillId="0" borderId="0" xfId="0" applyNumberFormat="1" applyFont="1" applyFill="1" applyAlignment="1">
      <alignment vertical="center"/>
    </xf>
    <xf numFmtId="181" fontId="41" fillId="0" borderId="3" xfId="0" applyNumberFormat="1" applyFont="1" applyFill="1" applyBorder="1" applyAlignment="1">
      <alignment horizontal="center" vertical="center"/>
    </xf>
    <xf numFmtId="181" fontId="11" fillId="0" borderId="3" xfId="0" applyNumberFormat="1" applyFont="1" applyFill="1" applyBorder="1" applyAlignment="1">
      <alignment horizontal="center" vertical="center"/>
    </xf>
    <xf numFmtId="0" fontId="41" fillId="0" borderId="3" xfId="0" applyFont="1" applyFill="1" applyBorder="1" applyAlignment="1">
      <alignment vertical="center"/>
    </xf>
    <xf numFmtId="182" fontId="11" fillId="0" borderId="0" xfId="79" applyNumberFormat="1" applyFont="1" applyFill="1" applyAlignment="1">
      <alignment horizontal="center" vertical="center"/>
    </xf>
    <xf numFmtId="180" fontId="11" fillId="0" borderId="0" xfId="0" applyNumberFormat="1" applyFont="1" applyFill="1" applyAlignment="1">
      <alignment horizontal="center" vertical="center"/>
    </xf>
    <xf numFmtId="1" fontId="35" fillId="0" borderId="0" xfId="0" applyNumberFormat="1" applyFont="1" applyFill="1" applyAlignment="1">
      <alignment horizontal="center" vertical="center"/>
    </xf>
    <xf numFmtId="1" fontId="11" fillId="0" borderId="0" xfId="0" applyNumberFormat="1" applyFont="1" applyFill="1" applyAlignment="1">
      <alignment horizontal="center" vertical="center"/>
    </xf>
    <xf numFmtId="0" fontId="11" fillId="0" borderId="3" xfId="319" applyFont="1" applyFill="1" applyBorder="1" applyAlignment="1">
      <alignment horizontal="center" vertical="center"/>
    </xf>
    <xf numFmtId="178" fontId="11" fillId="0" borderId="3" xfId="319" applyNumberFormat="1" applyFont="1" applyFill="1" applyBorder="1" applyAlignment="1">
      <alignment horizontal="center" vertical="center" wrapText="1"/>
    </xf>
    <xf numFmtId="1" fontId="41" fillId="0" borderId="0" xfId="0" applyNumberFormat="1" applyFont="1" applyFill="1" applyAlignment="1">
      <alignment horizontal="center" vertical="center"/>
    </xf>
    <xf numFmtId="178" fontId="11" fillId="0" borderId="3" xfId="319" applyNumberFormat="1" applyFont="1" applyFill="1" applyBorder="1" applyAlignment="1">
      <alignment horizontal="center" vertical="center"/>
    </xf>
    <xf numFmtId="182" fontId="11" fillId="0" borderId="3" xfId="79" applyNumberFormat="1" applyFont="1" applyFill="1" applyBorder="1" applyAlignment="1">
      <alignment horizontal="center" vertical="center"/>
    </xf>
    <xf numFmtId="176" fontId="11" fillId="0" borderId="3" xfId="319" applyNumberFormat="1" applyFont="1" applyFill="1" applyBorder="1" applyAlignment="1">
      <alignment horizontal="center" vertical="center"/>
    </xf>
    <xf numFmtId="181" fontId="41" fillId="0" borderId="0" xfId="0" applyNumberFormat="1" applyFont="1" applyFill="1" applyAlignment="1">
      <alignment horizontal="center" vertical="center"/>
    </xf>
    <xf numFmtId="0" fontId="41" fillId="0" borderId="3" xfId="319" applyFont="1" applyFill="1" applyBorder="1" applyAlignment="1">
      <alignment horizontal="center" vertical="center"/>
    </xf>
    <xf numFmtId="9" fontId="41" fillId="0" borderId="3" xfId="79" applyFont="1" applyFill="1" applyBorder="1" applyAlignment="1">
      <alignment horizontal="center" vertical="center"/>
    </xf>
    <xf numFmtId="176" fontId="41" fillId="0" borderId="3" xfId="319" applyNumberFormat="1" applyFont="1" applyFill="1" applyBorder="1" applyAlignment="1">
      <alignment horizontal="center" vertical="center"/>
    </xf>
    <xf numFmtId="177" fontId="11" fillId="0" borderId="0" xfId="0" applyNumberFormat="1" applyFont="1" applyFill="1" applyAlignment="1">
      <alignment horizontal="center" vertical="center"/>
    </xf>
    <xf numFmtId="181" fontId="41" fillId="0" borderId="3" xfId="319" applyNumberFormat="1" applyFont="1" applyFill="1" applyBorder="1" applyAlignment="1">
      <alignment horizontal="center" vertical="center"/>
    </xf>
    <xf numFmtId="0" fontId="11" fillId="0" borderId="3" xfId="0" applyFont="1" applyFill="1" applyBorder="1" applyAlignment="1">
      <alignment horizontal="center" vertical="center"/>
    </xf>
    <xf numFmtId="0" fontId="0" fillId="0" borderId="0" xfId="0" applyAlignment="1">
      <alignment vertical="center"/>
    </xf>
    <xf numFmtId="0" fontId="86" fillId="0" borderId="0" xfId="0" applyFont="1" applyAlignment="1">
      <alignment vertical="center"/>
    </xf>
    <xf numFmtId="207" fontId="0" fillId="36" borderId="3" xfId="0" applyNumberFormat="1" applyFont="1" applyFill="1" applyBorder="1" applyAlignment="1">
      <alignment horizontal="center" vertical="center"/>
    </xf>
    <xf numFmtId="0" fontId="0" fillId="36" borderId="3" xfId="0" applyFont="1" applyFill="1" applyBorder="1" applyAlignment="1">
      <alignment horizontal="center" vertical="center"/>
    </xf>
    <xf numFmtId="0" fontId="87" fillId="0" borderId="3" xfId="0" applyFont="1" applyBorder="1" applyAlignment="1">
      <alignment horizontal="center" vertical="center"/>
    </xf>
    <xf numFmtId="0" fontId="88" fillId="36" borderId="3" xfId="0" applyFont="1" applyFill="1" applyBorder="1" applyAlignment="1">
      <alignment horizontal="center" vertical="center"/>
    </xf>
    <xf numFmtId="0" fontId="88" fillId="0" borderId="3" xfId="0" applyFont="1" applyBorder="1" applyAlignment="1">
      <alignment horizontal="center" vertical="center"/>
    </xf>
    <xf numFmtId="0" fontId="88" fillId="0" borderId="3" xfId="0" applyFont="1" applyBorder="1" applyAlignment="1">
      <alignment horizontal="left" vertical="center"/>
    </xf>
    <xf numFmtId="177" fontId="88" fillId="0" borderId="3" xfId="0" applyNumberFormat="1" applyFont="1" applyBorder="1" applyAlignment="1">
      <alignment horizontal="center" vertical="center"/>
    </xf>
    <xf numFmtId="0" fontId="88" fillId="0" borderId="3" xfId="0" applyFont="1" applyBorder="1" applyAlignment="1">
      <alignment horizontal="left" vertical="center" wrapText="1"/>
    </xf>
    <xf numFmtId="0" fontId="0" fillId="0" borderId="0" xfId="0" applyFont="1" applyAlignment="1">
      <alignment vertical="center"/>
    </xf>
    <xf numFmtId="0" fontId="0" fillId="37" borderId="0" xfId="0" applyFill="1" applyAlignment="1">
      <alignment vertical="center"/>
    </xf>
    <xf numFmtId="0" fontId="88" fillId="37" borderId="3" xfId="0" applyFont="1" applyFill="1" applyBorder="1" applyAlignment="1">
      <alignment horizontal="center" vertical="center"/>
    </xf>
    <xf numFmtId="177" fontId="88" fillId="37" borderId="3" xfId="0" applyNumberFormat="1" applyFont="1" applyFill="1" applyBorder="1" applyAlignment="1">
      <alignment horizontal="center" vertical="center"/>
    </xf>
    <xf numFmtId="0" fontId="0" fillId="38" borderId="0" xfId="0" applyFill="1" applyAlignment="1">
      <alignment vertical="center"/>
    </xf>
    <xf numFmtId="0" fontId="0" fillId="39" borderId="0" xfId="0" applyFill="1" applyAlignment="1">
      <alignment vertical="center"/>
    </xf>
    <xf numFmtId="0" fontId="88" fillId="39" borderId="3" xfId="0" applyFont="1" applyFill="1" applyBorder="1" applyAlignment="1">
      <alignment horizontal="center" vertical="center"/>
    </xf>
    <xf numFmtId="177" fontId="88" fillId="39" borderId="3" xfId="0" applyNumberFormat="1" applyFont="1" applyFill="1" applyBorder="1" applyAlignment="1">
      <alignment horizontal="center" vertical="center"/>
    </xf>
    <xf numFmtId="178" fontId="35" fillId="0" borderId="0" xfId="319" applyNumberFormat="1" applyFont="1" applyFill="1" applyBorder="1" applyAlignment="1">
      <alignment horizontal="center" vertical="center"/>
    </xf>
    <xf numFmtId="178" fontId="89" fillId="0" borderId="0" xfId="319" applyNumberFormat="1" applyFont="1" applyFill="1" applyBorder="1" applyAlignment="1">
      <alignment horizontal="center" vertical="center"/>
    </xf>
    <xf numFmtId="181" fontId="89" fillId="0" borderId="0" xfId="319" applyNumberFormat="1" applyFont="1" applyFill="1" applyBorder="1" applyAlignment="1">
      <alignment horizontal="center" vertical="center"/>
    </xf>
    <xf numFmtId="0" fontId="88" fillId="0" borderId="0" xfId="0" applyFont="1" applyAlignment="1">
      <alignment vertical="center"/>
    </xf>
    <xf numFmtId="10" fontId="89" fillId="0" borderId="0" xfId="319" applyNumberFormat="1" applyFont="1" applyFill="1" applyBorder="1" applyAlignment="1">
      <alignment horizontal="center" vertical="center"/>
    </xf>
    <xf numFmtId="0" fontId="88" fillId="0" borderId="0" xfId="0" applyFont="1" applyAlignment="1">
      <alignment horizontal="center" vertical="center"/>
    </xf>
    <xf numFmtId="179" fontId="88" fillId="0" borderId="0" xfId="0" applyNumberFormat="1" applyFont="1" applyAlignment="1">
      <alignment horizontal="center" vertical="center"/>
    </xf>
    <xf numFmtId="9" fontId="88" fillId="0" borderId="0" xfId="0" applyNumberFormat="1" applyFont="1" applyAlignment="1">
      <alignment horizontal="center" vertical="center"/>
    </xf>
    <xf numFmtId="179" fontId="88" fillId="0" borderId="0" xfId="0" applyNumberFormat="1" applyFont="1" applyAlignment="1">
      <alignment vertical="center"/>
    </xf>
    <xf numFmtId="0" fontId="88" fillId="38" borderId="0" xfId="0" applyFont="1" applyFill="1" applyAlignment="1">
      <alignment horizontal="center" vertical="center"/>
    </xf>
    <xf numFmtId="0" fontId="35" fillId="0" borderId="0" xfId="557" applyFont="1" applyFill="1" applyAlignment="1">
      <alignment vertical="center"/>
    </xf>
    <xf numFmtId="0" fontId="90" fillId="0" borderId="0" xfId="557" applyFont="1" applyFill="1" applyAlignment="1">
      <alignment vertical="center"/>
    </xf>
    <xf numFmtId="0" fontId="14" fillId="0" borderId="13" xfId="319" applyFont="1" applyFill="1" applyBorder="1" applyAlignment="1">
      <alignment vertical="center"/>
    </xf>
    <xf numFmtId="0" fontId="42" fillId="0" borderId="13" xfId="557" applyNumberFormat="1" applyFont="1" applyFill="1" applyBorder="1" applyAlignment="1">
      <alignment horizontal="center" vertical="center"/>
    </xf>
    <xf numFmtId="0" fontId="42" fillId="0" borderId="0" xfId="557" applyFont="1" applyFill="1" applyAlignment="1">
      <alignment vertical="center"/>
    </xf>
    <xf numFmtId="0" fontId="35" fillId="0" borderId="3" xfId="557" applyNumberFormat="1" applyFont="1" applyFill="1" applyBorder="1" applyAlignment="1">
      <alignment horizontal="center" vertical="center"/>
    </xf>
    <xf numFmtId="0" fontId="35" fillId="0" borderId="3" xfId="557" applyFont="1" applyFill="1" applyBorder="1" applyAlignment="1">
      <alignment horizontal="center" vertical="center"/>
    </xf>
    <xf numFmtId="0" fontId="35" fillId="0" borderId="14" xfId="557" applyFont="1" applyFill="1" applyBorder="1" applyAlignment="1">
      <alignment horizontal="center" vertical="center"/>
    </xf>
    <xf numFmtId="0" fontId="35" fillId="0" borderId="14" xfId="557" applyFont="1" applyFill="1" applyBorder="1" applyAlignment="1">
      <alignment horizontal="center" vertical="center" wrapText="1"/>
    </xf>
    <xf numFmtId="178" fontId="35" fillId="0" borderId="14" xfId="557" applyNumberFormat="1" applyFont="1" applyFill="1" applyBorder="1" applyAlignment="1">
      <alignment horizontal="center" vertical="center" wrapText="1"/>
    </xf>
    <xf numFmtId="0" fontId="35" fillId="0" borderId="3" xfId="557" applyFont="1" applyFill="1" applyBorder="1" applyAlignment="1">
      <alignment horizontal="left" vertical="center"/>
    </xf>
    <xf numFmtId="0" fontId="35" fillId="0" borderId="3" xfId="558" applyFont="1" applyFill="1" applyBorder="1" applyAlignment="1">
      <alignment vertical="center"/>
    </xf>
    <xf numFmtId="0" fontId="35" fillId="0" borderId="3" xfId="557" applyFont="1" applyFill="1" applyBorder="1" applyAlignment="1">
      <alignment horizontal="center" vertical="center" wrapText="1"/>
    </xf>
    <xf numFmtId="182" fontId="35" fillId="0" borderId="3" xfId="557" applyNumberFormat="1" applyFont="1" applyFill="1" applyBorder="1" applyAlignment="1">
      <alignment horizontal="center" vertical="center"/>
    </xf>
    <xf numFmtId="177" fontId="35" fillId="0" borderId="3" xfId="557" applyNumberFormat="1" applyFont="1" applyFill="1" applyBorder="1" applyAlignment="1">
      <alignment horizontal="center" vertical="center"/>
    </xf>
    <xf numFmtId="178" fontId="35" fillId="0" borderId="3" xfId="557" applyNumberFormat="1" applyFont="1" applyFill="1" applyBorder="1" applyAlignment="1">
      <alignment horizontal="center" vertical="center"/>
    </xf>
    <xf numFmtId="1" fontId="35" fillId="0" borderId="0" xfId="557" applyNumberFormat="1" applyFont="1" applyFill="1" applyAlignment="1">
      <alignment vertical="center"/>
    </xf>
    <xf numFmtId="0" fontId="35" fillId="0" borderId="3" xfId="557" applyFont="1" applyFill="1" applyBorder="1" applyAlignment="1">
      <alignment horizontal="left" vertical="center" wrapText="1"/>
    </xf>
    <xf numFmtId="9" fontId="35" fillId="0" borderId="3" xfId="557" applyNumberFormat="1" applyFont="1" applyFill="1" applyBorder="1" applyAlignment="1">
      <alignment horizontal="center" vertical="center"/>
    </xf>
    <xf numFmtId="179" fontId="35" fillId="0" borderId="3" xfId="557" applyNumberFormat="1" applyFont="1" applyFill="1" applyBorder="1" applyAlignment="1">
      <alignment horizontal="center" vertical="center"/>
    </xf>
    <xf numFmtId="0" fontId="35" fillId="0" borderId="3" xfId="319" applyFont="1" applyFill="1" applyBorder="1" applyAlignment="1">
      <alignment horizontal="left" vertical="center"/>
    </xf>
    <xf numFmtId="0" fontId="35" fillId="0" borderId="3" xfId="557" applyFont="1" applyFill="1" applyBorder="1" applyAlignment="1">
      <alignment vertical="center"/>
    </xf>
    <xf numFmtId="208" fontId="35" fillId="0" borderId="3" xfId="557" applyNumberFormat="1" applyFont="1" applyFill="1" applyBorder="1" applyAlignment="1">
      <alignment horizontal="center" vertical="center"/>
    </xf>
    <xf numFmtId="0" fontId="42" fillId="0" borderId="3" xfId="557" applyFont="1" applyFill="1" applyBorder="1" applyAlignment="1">
      <alignment horizontal="center" vertical="center" wrapText="1"/>
    </xf>
    <xf numFmtId="0" fontId="35" fillId="0" borderId="3" xfId="557" applyFont="1" applyFill="1" applyBorder="1" applyAlignment="1">
      <alignment vertical="center" wrapText="1"/>
    </xf>
    <xf numFmtId="44" fontId="35" fillId="0" borderId="3" xfId="351" applyFont="1" applyFill="1" applyBorder="1" applyAlignment="1">
      <alignment horizontal="right" vertical="center"/>
    </xf>
    <xf numFmtId="0" fontId="35" fillId="0" borderId="3" xfId="557" applyFont="1" applyFill="1" applyBorder="1" applyAlignment="1">
      <alignment horizontal="right" vertical="center"/>
    </xf>
    <xf numFmtId="178" fontId="35" fillId="0" borderId="0" xfId="557" applyNumberFormat="1" applyFont="1" applyFill="1" applyAlignment="1">
      <alignment vertical="center"/>
    </xf>
    <xf numFmtId="0" fontId="11" fillId="0" borderId="3" xfId="0" applyFont="1" applyFill="1" applyBorder="1" applyAlignment="1">
      <alignment horizontal="center" vertical="center"/>
    </xf>
    <xf numFmtId="0" fontId="11" fillId="0" borderId="3" xfId="319" applyFont="1" applyFill="1" applyBorder="1" applyAlignment="1">
      <alignment horizontal="left" vertical="center"/>
    </xf>
    <xf numFmtId="0" fontId="11" fillId="0" borderId="3" xfId="0" applyFont="1" applyFill="1" applyBorder="1" applyAlignment="1">
      <alignment horizontal="center" vertical="center"/>
    </xf>
    <xf numFmtId="0" fontId="11" fillId="0" borderId="0" xfId="559" applyFont="1" applyFill="1" applyAlignment="1">
      <alignment vertical="center"/>
    </xf>
    <xf numFmtId="183" fontId="11" fillId="0" borderId="0" xfId="559" applyNumberFormat="1" applyFont="1" applyFill="1" applyAlignment="1">
      <alignment vertical="center"/>
    </xf>
    <xf numFmtId="0" fontId="11" fillId="0" borderId="0" xfId="559" applyFont="1" applyFill="1" applyBorder="1" applyAlignment="1">
      <alignment vertical="center"/>
    </xf>
    <xf numFmtId="209" fontId="11" fillId="0" borderId="0" xfId="559" applyNumberFormat="1" applyFont="1" applyFill="1" applyAlignment="1">
      <alignment vertical="center"/>
    </xf>
    <xf numFmtId="0" fontId="3" fillId="0" borderId="0" xfId="87" applyFont="1" applyFill="1"/>
    <xf numFmtId="0" fontId="11" fillId="0" borderId="13" xfId="559" applyFont="1" applyFill="1" applyBorder="1" applyAlignment="1">
      <alignment horizontal="left" vertical="center"/>
    </xf>
    <xf numFmtId="0" fontId="11" fillId="0" borderId="13" xfId="559" applyFont="1" applyFill="1" applyBorder="1" applyAlignment="1">
      <alignment vertical="center"/>
    </xf>
    <xf numFmtId="209" fontId="11" fillId="0" borderId="0" xfId="559" applyNumberFormat="1" applyFont="1" applyFill="1" applyBorder="1" applyAlignment="1">
      <alignment vertical="center"/>
    </xf>
    <xf numFmtId="209" fontId="11" fillId="0" borderId="3" xfId="560" applyNumberFormat="1" applyFont="1" applyFill="1" applyBorder="1" applyAlignment="1">
      <alignment horizontal="center" vertical="center" wrapText="1"/>
    </xf>
    <xf numFmtId="183" fontId="11" fillId="0" borderId="3" xfId="560" applyNumberFormat="1" applyFont="1" applyFill="1" applyBorder="1" applyAlignment="1">
      <alignment horizontal="center" vertical="center" wrapText="1"/>
    </xf>
    <xf numFmtId="177" fontId="11" fillId="0" borderId="3" xfId="560" applyNumberFormat="1" applyFont="1" applyFill="1" applyBorder="1" applyAlignment="1">
      <alignment horizontal="center" vertical="center" wrapText="1"/>
    </xf>
    <xf numFmtId="177" fontId="76" fillId="0" borderId="0" xfId="87" applyNumberFormat="1" applyFont="1" applyFill="1"/>
    <xf numFmtId="0" fontId="11" fillId="0" borderId="3" xfId="559" applyNumberFormat="1" applyFont="1" applyFill="1" applyBorder="1" applyAlignment="1">
      <alignment horizontal="center" vertical="center"/>
    </xf>
    <xf numFmtId="0" fontId="11" fillId="0" borderId="3" xfId="559" applyNumberFormat="1" applyFont="1" applyFill="1" applyBorder="1" applyAlignment="1">
      <alignment vertical="center"/>
    </xf>
    <xf numFmtId="178" fontId="11" fillId="0" borderId="3" xfId="87" applyNumberFormat="1" applyFont="1" applyFill="1" applyBorder="1" applyAlignment="1">
      <alignment horizontal="center" vertical="center" wrapText="1"/>
    </xf>
    <xf numFmtId="0" fontId="11" fillId="0" borderId="3" xfId="87" applyFont="1" applyFill="1" applyBorder="1" applyAlignment="1">
      <alignment horizontal="center"/>
    </xf>
    <xf numFmtId="177" fontId="3" fillId="0" borderId="0" xfId="87" applyNumberFormat="1" applyFont="1" applyFill="1"/>
    <xf numFmtId="0" fontId="11" fillId="41" borderId="3" xfId="559" applyNumberFormat="1" applyFont="1" applyFill="1" applyBorder="1" applyAlignment="1">
      <alignment horizontal="center" vertical="center"/>
    </xf>
    <xf numFmtId="0" fontId="11" fillId="41" borderId="3" xfId="559" applyNumberFormat="1" applyFont="1" applyFill="1" applyBorder="1" applyAlignment="1">
      <alignment vertical="center"/>
    </xf>
    <xf numFmtId="177" fontId="11" fillId="41" borderId="3" xfId="560" applyNumberFormat="1" applyFont="1" applyFill="1" applyBorder="1" applyAlignment="1">
      <alignment horizontal="center" vertical="center" wrapText="1"/>
    </xf>
    <xf numFmtId="0" fontId="3" fillId="41" borderId="0" xfId="87" applyFont="1" applyFill="1"/>
    <xf numFmtId="177" fontId="3" fillId="41" borderId="0" xfId="87" applyNumberFormat="1" applyFont="1" applyFill="1"/>
    <xf numFmtId="177" fontId="11" fillId="0" borderId="3" xfId="560" applyNumberFormat="1" applyFont="1" applyFill="1" applyBorder="1" applyAlignment="1">
      <alignment horizontal="right" vertical="center" wrapText="1"/>
    </xf>
    <xf numFmtId="0" fontId="11" fillId="0" borderId="3" xfId="87" applyFont="1" applyFill="1" applyBorder="1" applyAlignment="1">
      <alignment horizontal="right"/>
    </xf>
    <xf numFmtId="178" fontId="11" fillId="0" borderId="3" xfId="87" applyNumberFormat="1" applyFont="1" applyFill="1" applyBorder="1" applyAlignment="1">
      <alignment horizontal="right" vertical="center" wrapText="1"/>
    </xf>
    <xf numFmtId="0" fontId="40" fillId="0" borderId="0" xfId="87" applyFont="1" applyFill="1"/>
    <xf numFmtId="0" fontId="40" fillId="0" borderId="0" xfId="87" applyFont="1" applyFill="1" applyAlignment="1"/>
    <xf numFmtId="26" fontId="3" fillId="0" borderId="13" xfId="93" applyNumberFormat="1" applyFont="1" applyFill="1" applyBorder="1" applyAlignment="1">
      <alignment vertical="center"/>
    </xf>
    <xf numFmtId="1" fontId="96" fillId="0" borderId="3" xfId="564" applyNumberFormat="1" applyFont="1" applyFill="1" applyBorder="1" applyAlignment="1">
      <alignment horizontal="center" vertical="center" wrapText="1"/>
    </xf>
    <xf numFmtId="0" fontId="96" fillId="0" borderId="3" xfId="564" applyNumberFormat="1" applyFont="1" applyFill="1" applyBorder="1" applyAlignment="1">
      <alignment horizontal="left" vertical="center" wrapText="1"/>
    </xf>
    <xf numFmtId="0" fontId="96" fillId="35" borderId="3" xfId="565" applyNumberFormat="1" applyFont="1" applyFill="1" applyBorder="1" applyAlignment="1">
      <alignment horizontal="left" vertical="center" wrapText="1"/>
    </xf>
    <xf numFmtId="0" fontId="96" fillId="0" borderId="3" xfId="566" applyNumberFormat="1" applyFont="1" applyFill="1" applyBorder="1" applyAlignment="1">
      <alignment horizontal="left" vertical="center" wrapText="1"/>
    </xf>
    <xf numFmtId="0" fontId="3" fillId="0" borderId="3" xfId="566" applyNumberFormat="1" applyFont="1" applyFill="1" applyBorder="1" applyAlignment="1">
      <alignment horizontal="left" vertical="center" wrapText="1"/>
    </xf>
    <xf numFmtId="181" fontId="3" fillId="0" borderId="0" xfId="567" applyNumberFormat="1" applyFont="1" applyFill="1" applyBorder="1" applyAlignment="1" applyProtection="1">
      <alignment horizontal="center" vertical="center"/>
      <protection locked="0"/>
    </xf>
    <xf numFmtId="178" fontId="3" fillId="0" borderId="0" xfId="567" applyNumberFormat="1" applyFont="1" applyFill="1" applyBorder="1" applyAlignment="1" applyProtection="1">
      <alignment horizontal="center" vertical="center"/>
      <protection locked="0"/>
    </xf>
    <xf numFmtId="181" fontId="3" fillId="0" borderId="0" xfId="567" applyNumberFormat="1" applyFont="1" applyFill="1" applyBorder="1" applyAlignment="1" applyProtection="1">
      <alignment vertical="center"/>
      <protection locked="0"/>
    </xf>
    <xf numFmtId="0" fontId="11" fillId="0" borderId="13" xfId="567" applyFont="1" applyFill="1" applyBorder="1" applyAlignment="1">
      <alignment vertical="center"/>
    </xf>
    <xf numFmtId="26" fontId="3" fillId="0" borderId="0" xfId="567" applyNumberFormat="1" applyFont="1" applyFill="1" applyBorder="1" applyAlignment="1" applyProtection="1">
      <alignment horizontal="center" vertical="center"/>
      <protection locked="0"/>
    </xf>
    <xf numFmtId="178" fontId="3" fillId="0" borderId="3" xfId="567" applyNumberFormat="1" applyFont="1" applyFill="1" applyBorder="1" applyAlignment="1" applyProtection="1">
      <alignment horizontal="center" vertical="center"/>
      <protection locked="0"/>
    </xf>
    <xf numFmtId="210" fontId="3" fillId="0" borderId="3" xfId="567" applyNumberFormat="1" applyFont="1" applyFill="1" applyBorder="1" applyAlignment="1" applyProtection="1">
      <alignment horizontal="center" vertical="center"/>
      <protection locked="0"/>
    </xf>
    <xf numFmtId="0" fontId="77" fillId="0" borderId="3" xfId="365" applyFont="1" applyBorder="1" applyAlignment="1">
      <alignment horizontal="center" vertical="center" wrapText="1"/>
    </xf>
    <xf numFmtId="0" fontId="95" fillId="0" borderId="3" xfId="365" applyFont="1" applyFill="1" applyBorder="1" applyAlignment="1">
      <alignment horizontal="left" vertical="center" wrapText="1"/>
    </xf>
    <xf numFmtId="0" fontId="95" fillId="0" borderId="3" xfId="365" applyFont="1" applyFill="1" applyBorder="1" applyAlignment="1">
      <alignment horizontal="center" vertical="center" wrapText="1"/>
    </xf>
    <xf numFmtId="0" fontId="76" fillId="0" borderId="3" xfId="365" applyFont="1" applyFill="1" applyBorder="1" applyAlignment="1">
      <alignment horizontal="center" vertical="center"/>
    </xf>
    <xf numFmtId="0" fontId="76" fillId="0" borderId="0" xfId="567" applyFont="1" applyFill="1" applyBorder="1" applyAlignment="1">
      <alignment vertical="center"/>
    </xf>
    <xf numFmtId="0" fontId="3" fillId="0" borderId="3" xfId="365" applyFont="1" applyBorder="1" applyAlignment="1">
      <alignment horizontal="center" vertical="center" wrapText="1"/>
    </xf>
    <xf numFmtId="0" fontId="75" fillId="0" borderId="3" xfId="365" applyFont="1" applyFill="1" applyBorder="1" applyAlignment="1">
      <alignment horizontal="left" vertical="center" wrapText="1"/>
    </xf>
    <xf numFmtId="1" fontId="96" fillId="0" borderId="3" xfId="365" applyNumberFormat="1" applyFont="1" applyFill="1" applyBorder="1" applyAlignment="1">
      <alignment horizontal="center" vertical="center" wrapText="1"/>
    </xf>
    <xf numFmtId="181" fontId="3" fillId="0" borderId="3" xfId="567" applyNumberFormat="1" applyFont="1" applyFill="1" applyBorder="1" applyAlignment="1" applyProtection="1">
      <alignment vertical="center"/>
      <protection locked="0"/>
    </xf>
    <xf numFmtId="181" fontId="14" fillId="0" borderId="3" xfId="567" applyNumberFormat="1" applyFont="1" applyFill="1" applyBorder="1" applyAlignment="1" applyProtection="1">
      <alignment horizontal="left" vertical="center" wrapText="1"/>
      <protection locked="0"/>
    </xf>
    <xf numFmtId="0" fontId="96" fillId="0" borderId="3" xfId="365" applyFont="1" applyFill="1" applyBorder="1" applyAlignment="1">
      <alignment horizontal="center" vertical="center" wrapText="1"/>
    </xf>
    <xf numFmtId="181" fontId="3" fillId="0" borderId="3" xfId="567" applyNumberFormat="1" applyFont="1" applyFill="1" applyBorder="1" applyAlignment="1" applyProtection="1">
      <alignment horizontal="center" vertical="center"/>
      <protection locked="0"/>
    </xf>
    <xf numFmtId="177" fontId="3" fillId="0" borderId="3" xfId="365" applyNumberFormat="1" applyFont="1" applyFill="1" applyBorder="1" applyAlignment="1">
      <alignment horizontal="center" vertical="center"/>
    </xf>
    <xf numFmtId="0" fontId="75" fillId="0" borderId="3" xfId="365" applyFont="1" applyFill="1" applyBorder="1" applyAlignment="1">
      <alignment horizontal="center" vertical="center" wrapText="1"/>
    </xf>
    <xf numFmtId="0" fontId="14" fillId="0" borderId="3" xfId="365" applyFont="1" applyBorder="1" applyAlignment="1">
      <alignment horizontal="center" vertical="center" wrapText="1"/>
    </xf>
    <xf numFmtId="0" fontId="96" fillId="0" borderId="3" xfId="365" applyFont="1" applyFill="1" applyBorder="1" applyAlignment="1">
      <alignment horizontal="left" vertical="center" wrapText="1"/>
    </xf>
    <xf numFmtId="181" fontId="3" fillId="0" borderId="3" xfId="567" applyNumberFormat="1" applyFont="1" applyFill="1" applyBorder="1" applyAlignment="1" applyProtection="1">
      <alignment horizontal="left" vertical="center" wrapText="1"/>
      <protection locked="0"/>
    </xf>
    <xf numFmtId="181" fontId="76" fillId="0" borderId="0" xfId="567" applyNumberFormat="1" applyFont="1" applyFill="1" applyBorder="1" applyAlignment="1" applyProtection="1">
      <alignment vertical="center"/>
      <protection locked="0"/>
    </xf>
    <xf numFmtId="177" fontId="96" fillId="0" borderId="3" xfId="365" applyNumberFormat="1" applyFont="1" applyFill="1" applyBorder="1" applyAlignment="1">
      <alignment horizontal="center" vertical="center" wrapText="1"/>
    </xf>
    <xf numFmtId="0" fontId="3" fillId="0" borderId="0" xfId="567" applyFont="1" applyFill="1" applyBorder="1" applyAlignment="1">
      <alignment vertical="center"/>
    </xf>
    <xf numFmtId="0" fontId="3" fillId="0" borderId="0" xfId="567" applyFont="1" applyFill="1" applyAlignment="1">
      <alignment vertical="center"/>
    </xf>
    <xf numFmtId="177" fontId="95" fillId="0" borderId="3" xfId="365" applyNumberFormat="1" applyFont="1" applyFill="1" applyBorder="1" applyAlignment="1">
      <alignment horizontal="center" vertical="center" wrapText="1"/>
    </xf>
    <xf numFmtId="0" fontId="14" fillId="0" borderId="3" xfId="365" applyFont="1" applyBorder="1" applyAlignment="1">
      <alignment vertical="center" wrapText="1"/>
    </xf>
    <xf numFmtId="211" fontId="96" fillId="0" borderId="3" xfId="365" applyNumberFormat="1" applyFont="1" applyFill="1" applyBorder="1" applyAlignment="1">
      <alignment horizontal="center" vertical="center" wrapText="1"/>
    </xf>
    <xf numFmtId="0" fontId="97" fillId="0" borderId="3" xfId="365" applyFont="1" applyFill="1" applyBorder="1" applyAlignment="1">
      <alignment horizontal="center" vertical="center" wrapText="1"/>
    </xf>
    <xf numFmtId="212" fontId="96" fillId="0" borderId="3" xfId="365" applyNumberFormat="1" applyFont="1" applyFill="1" applyBorder="1" applyAlignment="1">
      <alignment horizontal="center" vertical="center" wrapText="1"/>
    </xf>
    <xf numFmtId="0" fontId="96" fillId="35" borderId="3" xfId="365" applyFont="1" applyFill="1" applyBorder="1" applyAlignment="1">
      <alignment horizontal="left" vertical="center" wrapText="1"/>
    </xf>
    <xf numFmtId="177" fontId="3" fillId="0" borderId="0" xfId="567" applyNumberFormat="1" applyFont="1" applyFill="1" applyBorder="1" applyAlignment="1">
      <alignment vertical="center"/>
    </xf>
    <xf numFmtId="180" fontId="3" fillId="0" borderId="0" xfId="567" applyNumberFormat="1" applyFont="1" applyFill="1" applyBorder="1" applyAlignment="1">
      <alignment vertical="center"/>
    </xf>
    <xf numFmtId="213" fontId="3" fillId="0" borderId="0" xfId="567" applyNumberFormat="1" applyFont="1" applyFill="1" applyBorder="1" applyAlignment="1">
      <alignment vertical="center"/>
    </xf>
    <xf numFmtId="181" fontId="3" fillId="35" borderId="3" xfId="567" applyNumberFormat="1" applyFont="1" applyFill="1" applyBorder="1" applyAlignment="1" applyProtection="1">
      <alignment horizontal="left" vertical="center" wrapText="1"/>
      <protection locked="0"/>
    </xf>
    <xf numFmtId="176" fontId="95" fillId="0" borderId="3" xfId="365" applyNumberFormat="1" applyFont="1" applyFill="1" applyBorder="1" applyAlignment="1">
      <alignment horizontal="center" vertical="center" wrapText="1"/>
    </xf>
    <xf numFmtId="176" fontId="96" fillId="0" borderId="3" xfId="365" applyNumberFormat="1" applyFont="1" applyFill="1" applyBorder="1" applyAlignment="1">
      <alignment horizontal="center" vertical="center" wrapText="1"/>
    </xf>
    <xf numFmtId="181" fontId="95" fillId="0" borderId="3" xfId="365" applyNumberFormat="1" applyFont="1" applyFill="1" applyBorder="1" applyAlignment="1">
      <alignment horizontal="center" vertical="center" wrapText="1"/>
    </xf>
    <xf numFmtId="178" fontId="95" fillId="0" borderId="3" xfId="365" applyNumberFormat="1" applyFont="1" applyFill="1" applyBorder="1" applyAlignment="1">
      <alignment horizontal="center" vertical="center" wrapText="1"/>
    </xf>
    <xf numFmtId="0" fontId="85" fillId="0" borderId="3" xfId="365" applyFont="1" applyFill="1" applyBorder="1" applyAlignment="1">
      <alignment horizontal="center" vertical="center" wrapText="1"/>
    </xf>
    <xf numFmtId="0" fontId="85" fillId="0" borderId="3" xfId="365" applyFont="1" applyFill="1" applyBorder="1" applyAlignment="1">
      <alignment horizontal="left" vertical="center" wrapText="1"/>
    </xf>
    <xf numFmtId="214" fontId="96" fillId="0" borderId="3" xfId="365" applyNumberFormat="1" applyFont="1" applyFill="1" applyBorder="1" applyAlignment="1">
      <alignment horizontal="center" vertical="center" wrapText="1"/>
    </xf>
    <xf numFmtId="0" fontId="3" fillId="0" borderId="3" xfId="365" applyFont="1" applyFill="1" applyBorder="1" applyAlignment="1">
      <alignment horizontal="left" vertical="center" wrapText="1"/>
    </xf>
    <xf numFmtId="0" fontId="3" fillId="0" borderId="3" xfId="365" applyFont="1" applyFill="1" applyBorder="1" applyAlignment="1">
      <alignment horizontal="center" vertical="center"/>
    </xf>
    <xf numFmtId="0" fontId="3" fillId="0" borderId="3" xfId="365" applyFont="1" applyFill="1" applyBorder="1" applyAlignment="1">
      <alignment horizontal="center" vertical="center" wrapText="1"/>
    </xf>
    <xf numFmtId="0" fontId="3" fillId="0" borderId="3" xfId="365" applyFont="1" applyFill="1" applyBorder="1" applyAlignment="1">
      <alignment horizontal="left" vertical="center"/>
    </xf>
    <xf numFmtId="181" fontId="3" fillId="0" borderId="3" xfId="567" applyNumberFormat="1" applyFont="1" applyFill="1" applyBorder="1" applyAlignment="1" applyProtection="1">
      <alignment horizontal="left" vertical="center"/>
      <protection locked="0"/>
    </xf>
    <xf numFmtId="181" fontId="14" fillId="0" borderId="3" xfId="567" applyNumberFormat="1" applyFont="1" applyFill="1" applyBorder="1" applyAlignment="1" applyProtection="1">
      <alignment horizontal="left" vertical="center"/>
      <protection locked="0"/>
    </xf>
    <xf numFmtId="0" fontId="91" fillId="0" borderId="3" xfId="365" applyFont="1" applyFill="1" applyBorder="1" applyAlignment="1">
      <alignment horizontal="center" wrapText="1"/>
    </xf>
    <xf numFmtId="181" fontId="76" fillId="0" borderId="3" xfId="567" applyNumberFormat="1" applyFont="1" applyFill="1" applyBorder="1" applyAlignment="1" applyProtection="1">
      <alignment horizontal="center" vertical="center"/>
      <protection locked="0"/>
    </xf>
    <xf numFmtId="181" fontId="76" fillId="0" borderId="3" xfId="567" applyNumberFormat="1" applyFont="1" applyFill="1" applyBorder="1" applyAlignment="1" applyProtection="1">
      <alignment vertical="center"/>
      <protection locked="0"/>
    </xf>
    <xf numFmtId="178" fontId="76" fillId="0" borderId="3" xfId="567" applyNumberFormat="1" applyFont="1" applyFill="1" applyBorder="1" applyAlignment="1" applyProtection="1">
      <alignment horizontal="center" vertical="center"/>
      <protection locked="0"/>
    </xf>
    <xf numFmtId="210" fontId="76" fillId="0" borderId="3" xfId="567" applyNumberFormat="1" applyFont="1" applyFill="1" applyBorder="1" applyAlignment="1" applyProtection="1">
      <alignment horizontal="center" vertical="center"/>
      <protection locked="0"/>
    </xf>
    <xf numFmtId="210" fontId="3" fillId="0" borderId="0" xfId="567" applyNumberFormat="1" applyFont="1" applyFill="1" applyBorder="1" applyAlignment="1" applyProtection="1">
      <alignment horizontal="center" vertical="center"/>
      <protection locked="0"/>
    </xf>
    <xf numFmtId="0" fontId="11" fillId="0" borderId="3" xfId="0" applyFont="1" applyFill="1" applyBorder="1" applyAlignment="1">
      <alignment horizontal="center" vertical="center"/>
    </xf>
    <xf numFmtId="178" fontId="11" fillId="0" borderId="3" xfId="87" applyNumberFormat="1" applyFont="1" applyFill="1" applyBorder="1" applyAlignment="1">
      <alignment horizontal="center" vertical="center" wrapText="1"/>
    </xf>
    <xf numFmtId="0" fontId="11" fillId="40" borderId="3" xfId="559" applyNumberFormat="1" applyFont="1" applyFill="1" applyBorder="1" applyAlignment="1">
      <alignment horizontal="center" vertical="center"/>
    </xf>
    <xf numFmtId="0" fontId="11" fillId="40" borderId="3" xfId="559" applyNumberFormat="1" applyFont="1" applyFill="1" applyBorder="1" applyAlignment="1">
      <alignment vertical="center"/>
    </xf>
    <xf numFmtId="177" fontId="11" fillId="40" borderId="3" xfId="560" applyNumberFormat="1" applyFont="1" applyFill="1" applyBorder="1" applyAlignment="1">
      <alignment horizontal="center" vertical="center" wrapText="1"/>
    </xf>
    <xf numFmtId="0" fontId="11" fillId="40" borderId="3" xfId="87" applyFont="1" applyFill="1" applyBorder="1" applyAlignment="1">
      <alignment horizontal="center"/>
    </xf>
    <xf numFmtId="0" fontId="3" fillId="40" borderId="0" xfId="87" applyFont="1" applyFill="1"/>
    <xf numFmtId="177" fontId="3" fillId="40" borderId="0" xfId="87" applyNumberFormat="1" applyFont="1" applyFill="1"/>
    <xf numFmtId="177" fontId="76" fillId="40" borderId="0" xfId="87" applyNumberFormat="1" applyFont="1" applyFill="1"/>
    <xf numFmtId="215" fontId="11" fillId="0" borderId="3" xfId="559" applyNumberFormat="1" applyFont="1" applyFill="1" applyBorder="1" applyAlignment="1">
      <alignment horizontal="center" vertical="center"/>
    </xf>
    <xf numFmtId="216" fontId="11" fillId="0" borderId="3" xfId="559" applyNumberFormat="1" applyFont="1" applyFill="1" applyBorder="1" applyAlignment="1">
      <alignment horizontal="center" vertical="center"/>
    </xf>
    <xf numFmtId="217" fontId="11" fillId="0" borderId="3" xfId="559" applyNumberFormat="1" applyFont="1" applyFill="1" applyBorder="1" applyAlignment="1">
      <alignment horizontal="center" vertical="center"/>
    </xf>
    <xf numFmtId="0" fontId="11" fillId="42" borderId="3" xfId="559" applyNumberFormat="1" applyFont="1" applyFill="1" applyBorder="1" applyAlignment="1">
      <alignment horizontal="center" vertical="center"/>
    </xf>
    <xf numFmtId="0" fontId="11" fillId="42" borderId="3" xfId="559" applyNumberFormat="1" applyFont="1" applyFill="1" applyBorder="1" applyAlignment="1">
      <alignment vertical="center"/>
    </xf>
    <xf numFmtId="177" fontId="11" fillId="42" borderId="3" xfId="560" applyNumberFormat="1" applyFont="1" applyFill="1" applyBorder="1" applyAlignment="1">
      <alignment horizontal="center" vertical="center" wrapText="1"/>
    </xf>
    <xf numFmtId="0" fontId="11" fillId="42" borderId="3" xfId="87" applyFont="1" applyFill="1" applyBorder="1" applyAlignment="1">
      <alignment horizontal="center"/>
    </xf>
    <xf numFmtId="0" fontId="3" fillId="42" borderId="0" xfId="87" applyFont="1" applyFill="1"/>
    <xf numFmtId="177" fontId="3" fillId="42" borderId="0" xfId="87" applyNumberFormat="1" applyFont="1" applyFill="1"/>
    <xf numFmtId="177" fontId="76" fillId="42" borderId="0" xfId="87" applyNumberFormat="1" applyFont="1" applyFill="1"/>
    <xf numFmtId="0" fontId="11" fillId="43" borderId="3" xfId="559" applyNumberFormat="1" applyFont="1" applyFill="1" applyBorder="1" applyAlignment="1">
      <alignment horizontal="center" vertical="center"/>
    </xf>
    <xf numFmtId="0" fontId="11" fillId="43" borderId="3" xfId="559" applyNumberFormat="1" applyFont="1" applyFill="1" applyBorder="1" applyAlignment="1">
      <alignment vertical="center"/>
    </xf>
    <xf numFmtId="177" fontId="11" fillId="43" borderId="3" xfId="560" applyNumberFormat="1" applyFont="1" applyFill="1" applyBorder="1" applyAlignment="1">
      <alignment horizontal="center" vertical="center" wrapText="1"/>
    </xf>
    <xf numFmtId="178" fontId="11" fillId="43" borderId="3" xfId="87" applyNumberFormat="1" applyFont="1" applyFill="1" applyBorder="1" applyAlignment="1">
      <alignment horizontal="center" vertical="center" wrapText="1"/>
    </xf>
    <xf numFmtId="0" fontId="11" fillId="43" borderId="3" xfId="87" applyFont="1" applyFill="1" applyBorder="1" applyAlignment="1">
      <alignment horizontal="center"/>
    </xf>
    <xf numFmtId="0" fontId="3" fillId="43" borderId="0" xfId="87" applyFont="1" applyFill="1"/>
    <xf numFmtId="177" fontId="3" fillId="43" borderId="0" xfId="87" applyNumberFormat="1" applyFont="1" applyFill="1"/>
    <xf numFmtId="177" fontId="76" fillId="43" borderId="0" xfId="87" applyNumberFormat="1" applyFont="1" applyFill="1"/>
    <xf numFmtId="0" fontId="35" fillId="0" borderId="3" xfId="0" applyFont="1" applyFill="1" applyBorder="1" applyAlignment="1">
      <alignment vertical="center"/>
    </xf>
    <xf numFmtId="0" fontId="11" fillId="0" borderId="0" xfId="0" applyFont="1" applyFill="1" applyAlignment="1">
      <alignment horizontal="center" vertical="center"/>
    </xf>
    <xf numFmtId="0" fontId="92" fillId="0" borderId="0" xfId="588" applyFont="1" applyFill="1" applyAlignment="1">
      <alignment vertical="center"/>
    </xf>
    <xf numFmtId="0" fontId="92" fillId="0" borderId="0" xfId="588" applyFont="1" applyFill="1" applyAlignment="1">
      <alignment horizontal="center" vertical="center"/>
    </xf>
    <xf numFmtId="0" fontId="35" fillId="0" borderId="0" xfId="588" applyFont="1" applyFill="1" applyAlignment="1">
      <alignment vertical="center"/>
    </xf>
    <xf numFmtId="0" fontId="35" fillId="0" borderId="0" xfId="588" applyFont="1" applyFill="1" applyAlignment="1">
      <alignment horizontal="center" vertical="center"/>
    </xf>
    <xf numFmtId="0" fontId="35" fillId="0" borderId="3" xfId="588" applyFont="1" applyFill="1" applyBorder="1" applyAlignment="1">
      <alignment vertical="center"/>
    </xf>
    <xf numFmtId="0" fontId="35" fillId="0" borderId="3" xfId="588" applyFont="1" applyFill="1" applyBorder="1" applyAlignment="1">
      <alignment horizontal="center" vertical="center"/>
    </xf>
    <xf numFmtId="177" fontId="35" fillId="0" borderId="3" xfId="588" applyNumberFormat="1" applyFont="1" applyFill="1" applyBorder="1" applyAlignment="1">
      <alignment horizontal="center" vertical="center"/>
    </xf>
    <xf numFmtId="0" fontId="42" fillId="0" borderId="0" xfId="588" applyFont="1" applyFill="1" applyAlignment="1">
      <alignment vertical="center"/>
    </xf>
    <xf numFmtId="0" fontId="42" fillId="0" borderId="3" xfId="588" applyFont="1" applyFill="1" applyBorder="1" applyAlignment="1">
      <alignment vertical="center"/>
    </xf>
    <xf numFmtId="177" fontId="42" fillId="0" borderId="3" xfId="588" applyNumberFormat="1" applyFont="1" applyFill="1" applyBorder="1" applyAlignment="1">
      <alignment horizontal="center" vertical="center"/>
    </xf>
    <xf numFmtId="0" fontId="42" fillId="0" borderId="3" xfId="588" applyFont="1" applyFill="1" applyBorder="1" applyAlignment="1">
      <alignment horizontal="center" vertical="center"/>
    </xf>
    <xf numFmtId="0" fontId="42" fillId="0" borderId="3" xfId="588" applyFont="1" applyFill="1" applyBorder="1" applyAlignment="1">
      <alignment horizontal="center" vertical="center" wrapText="1"/>
    </xf>
    <xf numFmtId="0" fontId="35" fillId="0" borderId="3" xfId="588" applyFont="1" applyFill="1" applyBorder="1" applyAlignment="1">
      <alignment horizontal="center" vertical="center" wrapText="1"/>
    </xf>
    <xf numFmtId="0" fontId="35" fillId="38" borderId="0" xfId="588" applyFont="1" applyFill="1" applyAlignment="1">
      <alignment vertical="center"/>
    </xf>
    <xf numFmtId="0" fontId="35" fillId="38" borderId="3" xfId="588" applyFont="1" applyFill="1" applyBorder="1" applyAlignment="1">
      <alignment vertical="center"/>
    </xf>
    <xf numFmtId="177" fontId="35" fillId="38" borderId="3" xfId="588" applyNumberFormat="1" applyFont="1" applyFill="1" applyBorder="1" applyAlignment="1">
      <alignment horizontal="center" vertical="center"/>
    </xf>
    <xf numFmtId="0" fontId="35" fillId="38" borderId="14" xfId="588" applyFont="1" applyFill="1" applyBorder="1" applyAlignment="1">
      <alignment horizontal="center" vertical="center"/>
    </xf>
    <xf numFmtId="0" fontId="35" fillId="38" borderId="14" xfId="588" applyFont="1" applyFill="1" applyBorder="1" applyAlignment="1">
      <alignment horizontal="center" vertical="center" wrapText="1"/>
    </xf>
    <xf numFmtId="0" fontId="35" fillId="38" borderId="3" xfId="588" applyFont="1" applyFill="1" applyBorder="1" applyAlignment="1">
      <alignment horizontal="center" vertical="center"/>
    </xf>
    <xf numFmtId="0" fontId="35" fillId="0" borderId="3" xfId="588" applyFont="1" applyFill="1" applyBorder="1" applyAlignment="1">
      <alignment horizontal="left" vertical="center"/>
    </xf>
    <xf numFmtId="0" fontId="35" fillId="0" borderId="3" xfId="588" applyFont="1" applyFill="1" applyBorder="1" applyAlignment="1">
      <alignment horizontal="left" vertical="center" wrapText="1"/>
    </xf>
    <xf numFmtId="0" fontId="35" fillId="0" borderId="18" xfId="588" applyFont="1" applyFill="1" applyBorder="1" applyAlignment="1">
      <alignment vertical="center"/>
    </xf>
    <xf numFmtId="0" fontId="35" fillId="0" borderId="18" xfId="588" applyFont="1" applyFill="1" applyBorder="1" applyAlignment="1">
      <alignment horizontal="center" vertical="center"/>
    </xf>
    <xf numFmtId="0" fontId="35" fillId="0" borderId="18" xfId="588" applyFont="1" applyFill="1" applyBorder="1" applyAlignment="1">
      <alignment horizontal="center" vertical="center" wrapText="1"/>
    </xf>
    <xf numFmtId="0" fontId="35" fillId="38" borderId="3" xfId="588" applyFont="1" applyFill="1" applyBorder="1" applyAlignment="1">
      <alignment horizontal="center" vertical="center" wrapText="1"/>
    </xf>
    <xf numFmtId="180" fontId="35" fillId="0" borderId="3" xfId="588" applyNumberFormat="1" applyFont="1" applyFill="1" applyBorder="1" applyAlignment="1">
      <alignment horizontal="center" vertical="center"/>
    </xf>
    <xf numFmtId="0" fontId="35" fillId="0" borderId="3" xfId="589" applyFont="1" applyFill="1" applyBorder="1" applyAlignment="1">
      <alignment horizontal="center" vertical="center"/>
    </xf>
    <xf numFmtId="0" fontId="35" fillId="0" borderId="16" xfId="589" applyFont="1" applyFill="1" applyBorder="1" applyAlignment="1">
      <alignment horizontal="center" vertical="center"/>
    </xf>
    <xf numFmtId="0" fontId="93" fillId="0" borderId="24" xfId="589" applyFont="1" applyFill="1" applyBorder="1" applyAlignment="1">
      <alignment vertical="center" wrapText="1"/>
    </xf>
    <xf numFmtId="0" fontId="35" fillId="0" borderId="3" xfId="589" applyFont="1" applyFill="1" applyBorder="1" applyAlignment="1">
      <alignment vertical="center"/>
    </xf>
    <xf numFmtId="0" fontId="35" fillId="0" borderId="24" xfId="589" applyFont="1" applyFill="1" applyBorder="1" applyAlignment="1">
      <alignment vertical="center" wrapText="1"/>
    </xf>
    <xf numFmtId="0" fontId="35" fillId="0" borderId="17" xfId="589" applyFont="1" applyFill="1" applyBorder="1" applyAlignment="1">
      <alignment vertical="center"/>
    </xf>
    <xf numFmtId="0" fontId="35" fillId="0" borderId="24" xfId="589" applyFont="1" applyFill="1" applyBorder="1" applyAlignment="1">
      <alignment vertical="center"/>
    </xf>
    <xf numFmtId="0" fontId="93" fillId="0" borderId="25" xfId="589" applyFont="1" applyFill="1" applyBorder="1" applyAlignment="1">
      <alignment horizontal="left" vertical="center" wrapText="1"/>
    </xf>
    <xf numFmtId="0" fontId="93" fillId="0" borderId="26" xfId="589" applyFont="1" applyFill="1" applyBorder="1" applyAlignment="1">
      <alignment vertical="center" wrapText="1"/>
    </xf>
    <xf numFmtId="0" fontId="35" fillId="0" borderId="27" xfId="589" applyFont="1" applyFill="1" applyBorder="1" applyAlignment="1">
      <alignment vertical="center"/>
    </xf>
    <xf numFmtId="0" fontId="35" fillId="0" borderId="18" xfId="589" applyFont="1" applyFill="1" applyBorder="1" applyAlignment="1">
      <alignment horizontal="center" vertical="center"/>
    </xf>
    <xf numFmtId="0" fontId="35" fillId="0" borderId="18" xfId="589" applyFont="1" applyFill="1" applyBorder="1" applyAlignment="1">
      <alignment horizontal="left" vertical="center"/>
    </xf>
    <xf numFmtId="0" fontId="93" fillId="0" borderId="3" xfId="589" applyFont="1" applyFill="1" applyBorder="1" applyAlignment="1">
      <alignment vertical="center" wrapText="1"/>
    </xf>
    <xf numFmtId="0" fontId="35" fillId="0" borderId="0" xfId="588" applyFont="1" applyFill="1" applyAlignment="1">
      <alignment horizontal="right" vertical="center"/>
    </xf>
    <xf numFmtId="0" fontId="35" fillId="0" borderId="0" xfId="588" applyFont="1" applyFill="1" applyAlignment="1">
      <alignment horizontal="left" vertical="center"/>
    </xf>
    <xf numFmtId="0" fontId="11" fillId="0" borderId="0" xfId="590" applyFont="1" applyFill="1" applyAlignment="1">
      <alignment vertical="center"/>
    </xf>
    <xf numFmtId="0" fontId="35" fillId="0" borderId="0" xfId="591" applyFont="1" applyFill="1" applyBorder="1" applyAlignment="1">
      <alignment vertical="center"/>
    </xf>
    <xf numFmtId="0" fontId="35" fillId="44" borderId="3" xfId="588" applyFont="1" applyFill="1" applyBorder="1" applyAlignment="1">
      <alignment horizontal="left" vertical="center"/>
    </xf>
    <xf numFmtId="0" fontId="35" fillId="0" borderId="14" xfId="588" applyFont="1" applyFill="1" applyBorder="1" applyAlignment="1">
      <alignment horizontal="center" vertical="center"/>
    </xf>
    <xf numFmtId="0" fontId="35" fillId="0" borderId="14" xfId="588" applyFont="1" applyFill="1" applyBorder="1" applyAlignment="1">
      <alignment horizontal="center" vertical="center" wrapText="1"/>
    </xf>
    <xf numFmtId="0" fontId="42" fillId="0" borderId="3" xfId="588" applyFont="1" applyFill="1" applyBorder="1" applyAlignment="1">
      <alignment horizontal="left" vertical="center"/>
    </xf>
    <xf numFmtId="177" fontId="42" fillId="0" borderId="0" xfId="588" applyNumberFormat="1" applyFont="1" applyFill="1" applyAlignment="1">
      <alignment vertical="center"/>
    </xf>
    <xf numFmtId="177" fontId="88" fillId="38" borderId="3" xfId="0" applyNumberFormat="1" applyFont="1" applyFill="1" applyBorder="1" applyAlignment="1">
      <alignment horizontal="center" vertical="center"/>
    </xf>
    <xf numFmtId="178" fontId="35" fillId="44" borderId="3" xfId="557" applyNumberFormat="1" applyFont="1" applyFill="1" applyBorder="1" applyAlignment="1">
      <alignment horizontal="center" vertical="center"/>
    </xf>
    <xf numFmtId="0" fontId="67" fillId="0" borderId="28" xfId="307" applyBorder="1"/>
    <xf numFmtId="0" fontId="100" fillId="32" borderId="29" xfId="307" applyFont="1" applyFill="1" applyBorder="1" applyAlignment="1">
      <alignment horizontal="right" vertical="center" wrapText="1"/>
    </xf>
    <xf numFmtId="0" fontId="100" fillId="32" borderId="30" xfId="307" applyFont="1" applyFill="1" applyBorder="1" applyAlignment="1">
      <alignment horizontal="right" vertical="center" wrapText="1"/>
    </xf>
    <xf numFmtId="0" fontId="100" fillId="32" borderId="31" xfId="307" applyFont="1" applyFill="1" applyBorder="1" applyAlignment="1">
      <alignment horizontal="center" vertical="center" wrapText="1"/>
    </xf>
    <xf numFmtId="0" fontId="100" fillId="32" borderId="32" xfId="307" applyFont="1" applyFill="1" applyBorder="1" applyAlignment="1">
      <alignment horizontal="right" vertical="center" wrapText="1"/>
    </xf>
    <xf numFmtId="0" fontId="100" fillId="32" borderId="24" xfId="307" applyFont="1" applyFill="1" applyBorder="1" applyAlignment="1">
      <alignment horizontal="right" vertical="center" wrapText="1"/>
    </xf>
    <xf numFmtId="0" fontId="100" fillId="32" borderId="33" xfId="307" applyFont="1" applyFill="1" applyBorder="1" applyAlignment="1">
      <alignment horizontal="center" vertical="center" wrapText="1"/>
    </xf>
    <xf numFmtId="0" fontId="101" fillId="32" borderId="34" xfId="307" applyFont="1" applyFill="1" applyBorder="1" applyAlignment="1">
      <alignment horizontal="center" vertical="center" wrapText="1"/>
    </xf>
    <xf numFmtId="0" fontId="101" fillId="32" borderId="35" xfId="307" applyFont="1" applyFill="1" applyBorder="1" applyAlignment="1">
      <alignment horizontal="center" vertical="center" wrapText="1"/>
    </xf>
    <xf numFmtId="0" fontId="101" fillId="32" borderId="36" xfId="307" applyFont="1" applyFill="1" applyBorder="1" applyAlignment="1">
      <alignment horizontal="center" vertical="center" wrapText="1"/>
    </xf>
    <xf numFmtId="0" fontId="100" fillId="32" borderId="24" xfId="307" applyFont="1" applyFill="1" applyBorder="1" applyAlignment="1">
      <alignment horizontal="center" vertical="center" wrapText="1"/>
    </xf>
    <xf numFmtId="0" fontId="100" fillId="32" borderId="24" xfId="307" applyFont="1" applyFill="1" applyBorder="1" applyAlignment="1">
      <alignment horizontal="left" vertical="center" wrapText="1"/>
    </xf>
    <xf numFmtId="0" fontId="103" fillId="32" borderId="24" xfId="307" applyFont="1" applyFill="1" applyBorder="1" applyAlignment="1">
      <alignment horizontal="center" vertical="center" wrapText="1"/>
    </xf>
    <xf numFmtId="0" fontId="101" fillId="32" borderId="24" xfId="307" applyFont="1" applyFill="1" applyBorder="1" applyAlignment="1">
      <alignment horizontal="center" vertical="center" wrapText="1"/>
    </xf>
    <xf numFmtId="0" fontId="100" fillId="32" borderId="30" xfId="307" applyFont="1" applyFill="1" applyBorder="1" applyAlignment="1">
      <alignment horizontal="center" vertical="center" wrapText="1"/>
    </xf>
    <xf numFmtId="0" fontId="100" fillId="32" borderId="30" xfId="307" applyFont="1" applyFill="1" applyBorder="1" applyAlignment="1">
      <alignment horizontal="left" vertical="center" wrapText="1"/>
    </xf>
    <xf numFmtId="0" fontId="103" fillId="32" borderId="30" xfId="307" applyFont="1" applyFill="1" applyBorder="1" applyAlignment="1">
      <alignment horizontal="center" vertical="center" wrapText="1"/>
    </xf>
    <xf numFmtId="177" fontId="88" fillId="0" borderId="3" xfId="0" applyNumberFormat="1" applyFont="1" applyFill="1" applyBorder="1" applyAlignment="1">
      <alignment horizontal="center" vertical="center"/>
    </xf>
    <xf numFmtId="0" fontId="0" fillId="0" borderId="28" xfId="0" applyBorder="1"/>
    <xf numFmtId="0" fontId="101" fillId="32" borderId="36" xfId="0" applyFont="1" applyFill="1" applyBorder="1" applyAlignment="1">
      <alignment horizontal="center" vertical="center" wrapText="1"/>
    </xf>
    <xf numFmtId="0" fontId="101" fillId="32" borderId="35" xfId="0" applyFont="1" applyFill="1" applyBorder="1" applyAlignment="1">
      <alignment horizontal="center" vertical="center" wrapText="1"/>
    </xf>
    <xf numFmtId="0" fontId="101" fillId="32" borderId="34" xfId="0" applyFont="1" applyFill="1" applyBorder="1" applyAlignment="1">
      <alignment horizontal="center" vertical="center" wrapText="1"/>
    </xf>
    <xf numFmtId="0" fontId="100" fillId="32" borderId="33" xfId="0" applyFont="1" applyFill="1" applyBorder="1" applyAlignment="1">
      <alignment horizontal="center" vertical="center" wrapText="1"/>
    </xf>
    <xf numFmtId="0" fontId="100" fillId="32" borderId="24" xfId="0" applyFont="1" applyFill="1" applyBorder="1" applyAlignment="1">
      <alignment horizontal="right" vertical="center" wrapText="1"/>
    </xf>
    <xf numFmtId="0" fontId="100" fillId="32" borderId="32" xfId="0" applyFont="1" applyFill="1" applyBorder="1" applyAlignment="1">
      <alignment horizontal="right" vertical="center" wrapText="1"/>
    </xf>
    <xf numFmtId="0" fontId="100" fillId="32" borderId="31" xfId="0" applyFont="1" applyFill="1" applyBorder="1" applyAlignment="1">
      <alignment horizontal="center" vertical="center" wrapText="1"/>
    </xf>
    <xf numFmtId="0" fontId="100" fillId="32" borderId="30" xfId="0" applyFont="1" applyFill="1" applyBorder="1" applyAlignment="1">
      <alignment horizontal="right" vertical="center" wrapText="1"/>
    </xf>
    <xf numFmtId="0" fontId="100" fillId="32" borderId="29" xfId="0" applyFont="1" applyFill="1" applyBorder="1" applyAlignment="1">
      <alignment horizontal="right" vertical="center" wrapText="1"/>
    </xf>
    <xf numFmtId="0" fontId="101" fillId="32" borderId="24" xfId="0" applyFont="1" applyFill="1" applyBorder="1" applyAlignment="1">
      <alignment horizontal="center" vertical="center" wrapText="1"/>
    </xf>
    <xf numFmtId="0" fontId="100" fillId="32" borderId="24" xfId="0" applyFont="1" applyFill="1" applyBorder="1" applyAlignment="1">
      <alignment horizontal="center" vertical="center" wrapText="1"/>
    </xf>
    <xf numFmtId="0" fontId="103" fillId="32" borderId="24" xfId="0" applyFont="1" applyFill="1" applyBorder="1" applyAlignment="1">
      <alignment horizontal="center" vertical="center" wrapText="1"/>
    </xf>
    <xf numFmtId="0" fontId="100" fillId="32" borderId="24" xfId="0" applyFont="1" applyFill="1" applyBorder="1" applyAlignment="1">
      <alignment horizontal="left" vertical="center" wrapText="1"/>
    </xf>
    <xf numFmtId="0" fontId="100" fillId="32" borderId="30" xfId="0" applyFont="1" applyFill="1" applyBorder="1" applyAlignment="1">
      <alignment horizontal="left" vertical="center" wrapText="1"/>
    </xf>
    <xf numFmtId="0" fontId="101" fillId="32" borderId="32" xfId="0" applyFont="1" applyFill="1" applyBorder="1" applyAlignment="1">
      <alignment horizontal="center" vertical="center" wrapText="1"/>
    </xf>
    <xf numFmtId="0" fontId="100" fillId="32" borderId="33" xfId="0" applyFont="1" applyFill="1" applyBorder="1" applyAlignment="1">
      <alignment horizontal="left" vertical="center" wrapText="1"/>
    </xf>
    <xf numFmtId="0" fontId="100" fillId="32" borderId="30" xfId="0" applyFont="1" applyFill="1" applyBorder="1" applyAlignment="1">
      <alignment horizontal="center" vertical="center" wrapText="1"/>
    </xf>
    <xf numFmtId="0" fontId="100" fillId="32" borderId="31" xfId="0" applyFont="1" applyFill="1" applyBorder="1" applyAlignment="1">
      <alignment horizontal="left" vertical="center" wrapText="1"/>
    </xf>
    <xf numFmtId="0" fontId="103" fillId="32" borderId="31" xfId="0" applyFont="1" applyFill="1" applyBorder="1" applyAlignment="1">
      <alignment horizontal="left" vertical="center" wrapText="1"/>
    </xf>
    <xf numFmtId="0" fontId="103" fillId="32" borderId="30" xfId="0" applyFont="1" applyFill="1" applyBorder="1" applyAlignment="1">
      <alignment horizontal="left" vertical="center" wrapText="1"/>
    </xf>
    <xf numFmtId="0" fontId="100" fillId="32" borderId="32" xfId="0" applyFont="1" applyFill="1" applyBorder="1" applyAlignment="1">
      <alignment horizontal="center" vertical="center" wrapText="1"/>
    </xf>
    <xf numFmtId="0" fontId="100" fillId="32" borderId="29" xfId="0" applyFont="1" applyFill="1" applyBorder="1" applyAlignment="1">
      <alignment horizontal="center" vertical="center" wrapText="1"/>
    </xf>
    <xf numFmtId="0" fontId="100" fillId="32" borderId="30" xfId="0" applyFont="1" applyFill="1" applyBorder="1" applyAlignment="1">
      <alignment horizontal="left" vertical="center" wrapText="1"/>
    </xf>
    <xf numFmtId="0" fontId="100" fillId="32" borderId="24" xfId="0" applyFont="1" applyFill="1" applyBorder="1" applyAlignment="1">
      <alignment horizontal="left" vertical="center" wrapText="1"/>
    </xf>
    <xf numFmtId="0" fontId="100" fillId="32" borderId="24" xfId="0" applyFont="1" applyFill="1" applyBorder="1" applyAlignment="1">
      <alignment horizontal="center" vertical="center" wrapText="1"/>
    </xf>
    <xf numFmtId="0" fontId="101" fillId="32" borderId="35" xfId="0" applyFont="1" applyFill="1" applyBorder="1" applyAlignment="1">
      <alignment horizontal="center" vertical="center" wrapText="1"/>
    </xf>
    <xf numFmtId="0" fontId="100" fillId="32" borderId="30" xfId="0" applyFont="1" applyFill="1" applyBorder="1" applyAlignment="1">
      <alignment horizontal="right" vertical="center" wrapText="1"/>
    </xf>
    <xf numFmtId="0" fontId="100" fillId="32" borderId="24" xfId="0" applyFont="1" applyFill="1" applyBorder="1" applyAlignment="1">
      <alignment horizontal="right" vertical="center" wrapText="1"/>
    </xf>
    <xf numFmtId="0" fontId="101" fillId="32" borderId="36" xfId="0" applyFont="1" applyFill="1" applyBorder="1" applyAlignment="1">
      <alignment horizontal="center" vertical="center" wrapText="1"/>
    </xf>
    <xf numFmtId="0" fontId="101" fillId="32" borderId="24" xfId="0" applyFont="1" applyFill="1" applyBorder="1" applyAlignment="1">
      <alignment horizontal="center" vertical="center" wrapText="1"/>
    </xf>
    <xf numFmtId="0" fontId="101" fillId="32" borderId="34" xfId="0" applyFont="1" applyFill="1" applyBorder="1" applyAlignment="1">
      <alignment horizontal="center" vertical="center" wrapText="1"/>
    </xf>
    <xf numFmtId="0" fontId="100" fillId="32" borderId="30" xfId="0" applyFont="1" applyFill="1" applyBorder="1" applyAlignment="1">
      <alignment horizontal="center" vertical="center" wrapText="1"/>
    </xf>
    <xf numFmtId="0" fontId="100" fillId="32" borderId="31" xfId="0" applyFont="1" applyFill="1" applyBorder="1" applyAlignment="1">
      <alignment horizontal="center" vertical="center" wrapText="1"/>
    </xf>
    <xf numFmtId="0" fontId="103" fillId="32" borderId="30" xfId="0" applyFont="1" applyFill="1" applyBorder="1" applyAlignment="1">
      <alignment horizontal="center" vertical="center" wrapText="1"/>
    </xf>
    <xf numFmtId="0" fontId="11" fillId="0" borderId="0" xfId="0" applyFont="1" applyFill="1" applyAlignment="1">
      <alignment horizontal="center" vertical="center"/>
    </xf>
    <xf numFmtId="0" fontId="11" fillId="0" borderId="18"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1" fillId="0" borderId="19" xfId="0" applyFont="1" applyFill="1" applyBorder="1" applyAlignment="1">
      <alignment horizontal="center" vertical="center" wrapText="1"/>
    </xf>
    <xf numFmtId="0" fontId="11" fillId="0" borderId="20"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41" fillId="0" borderId="3" xfId="0" applyFont="1" applyFill="1" applyBorder="1" applyAlignment="1">
      <alignment horizontal="center" vertical="center" wrapText="1"/>
    </xf>
    <xf numFmtId="0" fontId="36" fillId="0" borderId="0" xfId="0" applyFont="1" applyFill="1" applyAlignment="1">
      <alignment horizontal="center" vertical="center"/>
    </xf>
    <xf numFmtId="0" fontId="11" fillId="0" borderId="3" xfId="0" applyFont="1" applyFill="1" applyBorder="1" applyAlignment="1">
      <alignment horizontal="center" vertical="center"/>
    </xf>
    <xf numFmtId="0" fontId="84" fillId="0" borderId="0" xfId="319" applyFont="1" applyFill="1" applyAlignment="1">
      <alignment horizontal="center" vertical="center"/>
    </xf>
    <xf numFmtId="0" fontId="42" fillId="0" borderId="0" xfId="557" applyNumberFormat="1" applyFont="1" applyFill="1" applyAlignment="1">
      <alignment horizontal="left" vertical="center"/>
    </xf>
    <xf numFmtId="0" fontId="77" fillId="0" borderId="3" xfId="557" applyNumberFormat="1" applyFont="1" applyFill="1" applyBorder="1" applyAlignment="1">
      <alignment horizontal="center" vertical="center"/>
    </xf>
    <xf numFmtId="0" fontId="77" fillId="0" borderId="3" xfId="557" applyFont="1" applyFill="1" applyBorder="1" applyAlignment="1">
      <alignment horizontal="center" vertical="center"/>
    </xf>
    <xf numFmtId="0" fontId="77" fillId="0" borderId="18" xfId="557" applyFont="1" applyFill="1" applyBorder="1" applyAlignment="1">
      <alignment horizontal="center" vertical="center"/>
    </xf>
    <xf numFmtId="0" fontId="77" fillId="0" borderId="14" xfId="557" applyFont="1" applyFill="1" applyBorder="1" applyAlignment="1">
      <alignment horizontal="center" vertical="center"/>
    </xf>
    <xf numFmtId="0" fontId="77" fillId="0" borderId="18" xfId="557" applyFont="1" applyFill="1" applyBorder="1" applyAlignment="1">
      <alignment horizontal="center" vertical="center" wrapText="1"/>
    </xf>
    <xf numFmtId="0" fontId="77" fillId="0" borderId="14" xfId="557" applyFont="1" applyFill="1" applyBorder="1" applyAlignment="1">
      <alignment horizontal="center" vertical="center" wrapText="1"/>
    </xf>
    <xf numFmtId="209" fontId="11" fillId="0" borderId="3" xfId="87" applyNumberFormat="1" applyFont="1" applyFill="1" applyBorder="1" applyAlignment="1">
      <alignment horizontal="center" vertical="center" wrapText="1"/>
    </xf>
    <xf numFmtId="0" fontId="94" fillId="0" borderId="0" xfId="559" applyFont="1" applyFill="1" applyBorder="1" applyAlignment="1">
      <alignment horizontal="center" vertical="center"/>
    </xf>
    <xf numFmtId="0" fontId="36" fillId="0" borderId="0" xfId="559" applyFont="1" applyFill="1" applyBorder="1" applyAlignment="1">
      <alignment horizontal="center" vertical="center"/>
    </xf>
    <xf numFmtId="0" fontId="11" fillId="0" borderId="3" xfId="559" applyFont="1" applyFill="1" applyBorder="1" applyAlignment="1">
      <alignment horizontal="center" vertical="center" wrapText="1"/>
    </xf>
    <xf numFmtId="0" fontId="11" fillId="0" borderId="3" xfId="559" applyFont="1" applyFill="1" applyBorder="1" applyAlignment="1">
      <alignment horizontal="center" vertical="center"/>
    </xf>
    <xf numFmtId="0" fontId="11" fillId="0" borderId="18" xfId="559" applyFont="1" applyFill="1" applyBorder="1" applyAlignment="1">
      <alignment horizontal="center" vertical="center"/>
    </xf>
    <xf numFmtId="0" fontId="11" fillId="0" borderId="21" xfId="559" applyFont="1" applyFill="1" applyBorder="1" applyAlignment="1">
      <alignment horizontal="center" vertical="center"/>
    </xf>
    <xf numFmtId="0" fontId="11" fillId="0" borderId="14" xfId="559" applyFont="1" applyFill="1" applyBorder="1" applyAlignment="1">
      <alignment horizontal="center" vertical="center"/>
    </xf>
    <xf numFmtId="177" fontId="11" fillId="0" borderId="3" xfId="560" applyNumberFormat="1" applyFont="1" applyFill="1" applyBorder="1" applyAlignment="1">
      <alignment horizontal="center" vertical="center" wrapText="1"/>
    </xf>
    <xf numFmtId="209" fontId="11" fillId="0" borderId="3" xfId="560" applyNumberFormat="1" applyFont="1" applyFill="1" applyBorder="1" applyAlignment="1">
      <alignment horizontal="center" vertical="center" wrapText="1"/>
    </xf>
    <xf numFmtId="177" fontId="11" fillId="0" borderId="17" xfId="560" applyNumberFormat="1" applyFont="1" applyFill="1" applyBorder="1" applyAlignment="1">
      <alignment horizontal="center" vertical="center" wrapText="1"/>
    </xf>
    <xf numFmtId="177" fontId="11" fillId="0" borderId="16" xfId="560" applyNumberFormat="1" applyFont="1" applyFill="1" applyBorder="1" applyAlignment="1">
      <alignment horizontal="center" vertical="center" wrapText="1"/>
    </xf>
    <xf numFmtId="178" fontId="11" fillId="0" borderId="3" xfId="87" applyNumberFormat="1" applyFont="1" applyFill="1" applyBorder="1" applyAlignment="1">
      <alignment horizontal="center" vertical="center" wrapText="1"/>
    </xf>
    <xf numFmtId="0" fontId="35" fillId="0" borderId="0" xfId="591" applyFont="1" applyFill="1" applyBorder="1" applyAlignment="1">
      <alignment vertical="center"/>
    </xf>
    <xf numFmtId="0" fontId="94" fillId="0" borderId="0" xfId="588" applyFont="1" applyFill="1" applyAlignment="1">
      <alignment horizontal="center" vertical="center"/>
    </xf>
    <xf numFmtId="181" fontId="3" fillId="0" borderId="3" xfId="567" applyNumberFormat="1" applyFont="1" applyFill="1" applyBorder="1" applyAlignment="1" applyProtection="1">
      <alignment horizontal="center" vertical="center"/>
      <protection locked="0"/>
    </xf>
    <xf numFmtId="0" fontId="3" fillId="0" borderId="3" xfId="567" applyFont="1" applyFill="1" applyBorder="1" applyAlignment="1">
      <alignment horizontal="center" vertical="center"/>
    </xf>
    <xf numFmtId="181" fontId="3" fillId="0" borderId="0" xfId="567" applyNumberFormat="1" applyFont="1" applyFill="1" applyBorder="1" applyAlignment="1" applyProtection="1">
      <alignment vertical="center"/>
      <protection locked="0"/>
    </xf>
    <xf numFmtId="0" fontId="104" fillId="0" borderId="0" xfId="567" applyFont="1" applyFill="1" applyBorder="1" applyAlignment="1">
      <alignment horizontal="center" vertical="center"/>
    </xf>
    <xf numFmtId="26" fontId="3" fillId="0" borderId="13" xfId="567" applyNumberFormat="1" applyFont="1" applyFill="1" applyBorder="1" applyAlignment="1" applyProtection="1">
      <alignment horizontal="right" vertical="center"/>
      <protection locked="0"/>
    </xf>
    <xf numFmtId="0" fontId="3" fillId="0" borderId="13" xfId="567" applyFont="1" applyFill="1" applyBorder="1" applyAlignment="1">
      <alignment horizontal="right" vertical="center"/>
    </xf>
    <xf numFmtId="0" fontId="11" fillId="0" borderId="13" xfId="567" applyFont="1" applyFill="1" applyBorder="1" applyAlignment="1">
      <alignment horizontal="right" vertical="center"/>
    </xf>
    <xf numFmtId="181" fontId="3" fillId="0" borderId="18" xfId="567" applyNumberFormat="1" applyFont="1" applyFill="1" applyBorder="1" applyAlignment="1" applyProtection="1">
      <alignment horizontal="center" vertical="center"/>
      <protection locked="0"/>
    </xf>
    <xf numFmtId="181" fontId="3" fillId="0" borderId="14" xfId="567" applyNumberFormat="1" applyFont="1" applyFill="1" applyBorder="1" applyAlignment="1" applyProtection="1">
      <alignment horizontal="center" vertical="center"/>
      <protection locked="0"/>
    </xf>
    <xf numFmtId="0" fontId="14" fillId="0" borderId="18" xfId="365" applyFont="1" applyBorder="1" applyAlignment="1">
      <alignment horizontal="center" vertical="center" wrapText="1"/>
    </xf>
    <xf numFmtId="0" fontId="14" fillId="0" borderId="14" xfId="365" applyFont="1" applyBorder="1" applyAlignment="1">
      <alignment horizontal="center" vertical="center" wrapText="1"/>
    </xf>
    <xf numFmtId="0" fontId="86" fillId="0" borderId="13" xfId="0" applyFont="1" applyBorder="1" applyAlignment="1">
      <alignment horizontal="center" vertical="center"/>
    </xf>
    <xf numFmtId="0" fontId="87" fillId="0" borderId="18" xfId="0" applyFont="1" applyBorder="1" applyAlignment="1">
      <alignment horizontal="center" vertical="center"/>
    </xf>
    <xf numFmtId="0" fontId="87" fillId="0" borderId="14" xfId="0" applyFont="1" applyBorder="1" applyAlignment="1">
      <alignment horizontal="center" vertical="center"/>
    </xf>
    <xf numFmtId="0" fontId="87" fillId="0" borderId="17" xfId="0" applyFont="1" applyBorder="1" applyAlignment="1">
      <alignment horizontal="center" vertical="center"/>
    </xf>
    <xf numFmtId="0" fontId="87" fillId="0" borderId="2" xfId="0" applyFont="1" applyBorder="1" applyAlignment="1">
      <alignment horizontal="center" vertical="center"/>
    </xf>
    <xf numFmtId="0" fontId="87" fillId="0" borderId="16" xfId="0" applyFont="1" applyBorder="1" applyAlignment="1">
      <alignment horizontal="center" vertical="center"/>
    </xf>
    <xf numFmtId="0" fontId="100" fillId="32" borderId="0" xfId="0" applyFont="1" applyFill="1" applyAlignment="1">
      <alignment horizontal="left" vertical="center" wrapText="1"/>
    </xf>
    <xf numFmtId="0" fontId="100" fillId="32" borderId="0" xfId="0" applyFont="1" applyFill="1" applyAlignment="1">
      <alignment horizontal="center" vertical="center" wrapText="1"/>
    </xf>
    <xf numFmtId="0" fontId="100" fillId="32" borderId="0" xfId="0" applyFont="1" applyFill="1" applyAlignment="1">
      <alignment horizontal="right" vertical="center" wrapText="1"/>
    </xf>
    <xf numFmtId="0" fontId="102" fillId="32" borderId="0" xfId="0" applyFont="1" applyFill="1" applyAlignment="1">
      <alignment horizontal="center" vertical="center" wrapText="1"/>
    </xf>
    <xf numFmtId="0" fontId="101" fillId="32" borderId="35" xfId="0" applyFont="1" applyFill="1" applyBorder="1" applyAlignment="1">
      <alignment horizontal="center" vertical="center" wrapText="1"/>
    </xf>
    <xf numFmtId="0" fontId="100" fillId="32" borderId="24" xfId="0" applyFont="1" applyFill="1" applyBorder="1" applyAlignment="1">
      <alignment horizontal="left" vertical="center" wrapText="1"/>
    </xf>
    <xf numFmtId="0" fontId="100" fillId="32" borderId="24" xfId="0" applyFont="1" applyFill="1" applyBorder="1" applyAlignment="1">
      <alignment horizontal="center" vertical="center" wrapText="1"/>
    </xf>
    <xf numFmtId="0" fontId="100" fillId="32" borderId="30" xfId="0" applyFont="1" applyFill="1" applyBorder="1" applyAlignment="1">
      <alignment horizontal="left" vertical="center" wrapText="1"/>
    </xf>
    <xf numFmtId="0" fontId="101" fillId="32" borderId="36" xfId="0" applyFont="1" applyFill="1" applyBorder="1" applyAlignment="1">
      <alignment horizontal="center" vertical="center" wrapText="1"/>
    </xf>
    <xf numFmtId="0" fontId="101" fillId="32" borderId="33" xfId="0" applyFont="1" applyFill="1" applyBorder="1" applyAlignment="1">
      <alignment horizontal="center" vertical="center" wrapText="1"/>
    </xf>
    <xf numFmtId="0" fontId="101" fillId="32" borderId="24" xfId="0" applyFont="1" applyFill="1" applyBorder="1" applyAlignment="1">
      <alignment horizontal="center" vertical="center" wrapText="1"/>
    </xf>
    <xf numFmtId="0" fontId="101" fillId="32" borderId="34" xfId="0" applyFont="1" applyFill="1" applyBorder="1" applyAlignment="1">
      <alignment horizontal="center" vertical="center" wrapText="1"/>
    </xf>
    <xf numFmtId="0" fontId="100" fillId="32" borderId="24" xfId="0" applyFont="1" applyFill="1" applyBorder="1" applyAlignment="1">
      <alignment horizontal="right" vertical="center" wrapText="1"/>
    </xf>
    <xf numFmtId="0" fontId="100" fillId="32" borderId="30" xfId="0" applyFont="1" applyFill="1" applyBorder="1" applyAlignment="1">
      <alignment horizontal="right" vertical="center" wrapText="1"/>
    </xf>
    <xf numFmtId="0" fontId="100" fillId="32" borderId="30" xfId="0" applyFont="1" applyFill="1" applyBorder="1" applyAlignment="1">
      <alignment horizontal="center" vertical="center" wrapText="1"/>
    </xf>
    <xf numFmtId="0" fontId="100" fillId="32" borderId="31" xfId="0" applyFont="1" applyFill="1" applyBorder="1" applyAlignment="1">
      <alignment horizontal="center" vertical="center" wrapText="1"/>
    </xf>
    <xf numFmtId="0" fontId="100" fillId="32" borderId="0" xfId="307" applyFont="1" applyFill="1" applyAlignment="1">
      <alignment horizontal="left" vertical="center" wrapText="1"/>
    </xf>
    <xf numFmtId="0" fontId="100" fillId="32" borderId="0" xfId="307" applyFont="1" applyFill="1" applyAlignment="1">
      <alignment horizontal="center" vertical="center" wrapText="1"/>
    </xf>
    <xf numFmtId="0" fontId="100" fillId="32" borderId="0" xfId="307" applyFont="1" applyFill="1" applyAlignment="1">
      <alignment horizontal="right" vertical="center" wrapText="1"/>
    </xf>
    <xf numFmtId="0" fontId="102" fillId="32" borderId="0" xfId="307" applyFont="1" applyFill="1" applyAlignment="1">
      <alignment horizontal="center" vertical="center" wrapText="1"/>
    </xf>
    <xf numFmtId="0" fontId="101" fillId="32" borderId="35" xfId="307" applyFont="1" applyFill="1" applyBorder="1" applyAlignment="1">
      <alignment horizontal="center" vertical="center" wrapText="1"/>
    </xf>
    <xf numFmtId="0" fontId="100" fillId="32" borderId="24" xfId="307" applyFont="1" applyFill="1" applyBorder="1" applyAlignment="1">
      <alignment horizontal="left" vertical="center" wrapText="1"/>
    </xf>
    <xf numFmtId="0" fontId="100" fillId="32" borderId="24" xfId="307" applyFont="1" applyFill="1" applyBorder="1" applyAlignment="1">
      <alignment horizontal="center" vertical="center" wrapText="1"/>
    </xf>
    <xf numFmtId="0" fontId="100" fillId="32" borderId="30" xfId="307" applyFont="1" applyFill="1" applyBorder="1" applyAlignment="1">
      <alignment horizontal="left" vertical="center" wrapText="1"/>
    </xf>
    <xf numFmtId="0" fontId="102" fillId="32" borderId="0" xfId="307" applyFont="1" applyFill="1" applyAlignment="1">
      <alignment horizontal="center" wrapText="1"/>
    </xf>
    <xf numFmtId="0" fontId="100" fillId="32" borderId="0" xfId="307" applyFont="1" applyFill="1" applyAlignment="1">
      <alignment vertical="center" wrapText="1"/>
    </xf>
    <xf numFmtId="0" fontId="101" fillId="32" borderId="36" xfId="307" applyFont="1" applyFill="1" applyBorder="1" applyAlignment="1">
      <alignment horizontal="center" vertical="center" wrapText="1"/>
    </xf>
    <xf numFmtId="0" fontId="101" fillId="32" borderId="33" xfId="307" applyFont="1" applyFill="1" applyBorder="1" applyAlignment="1">
      <alignment horizontal="center" vertical="center" wrapText="1"/>
    </xf>
    <xf numFmtId="0" fontId="101" fillId="32" borderId="24" xfId="307" applyFont="1" applyFill="1" applyBorder="1" applyAlignment="1">
      <alignment horizontal="center" vertical="center" wrapText="1"/>
    </xf>
    <xf numFmtId="0" fontId="101" fillId="32" borderId="34" xfId="307" applyFont="1" applyFill="1" applyBorder="1" applyAlignment="1">
      <alignment horizontal="center" vertical="center" wrapText="1"/>
    </xf>
    <xf numFmtId="0" fontId="101" fillId="32" borderId="32" xfId="307" applyFont="1" applyFill="1" applyBorder="1" applyAlignment="1">
      <alignment horizontal="center" vertical="center" wrapText="1"/>
    </xf>
    <xf numFmtId="0" fontId="100" fillId="32" borderId="24" xfId="307" applyFont="1" applyFill="1" applyBorder="1" applyAlignment="1">
      <alignment horizontal="right" vertical="center" wrapText="1"/>
    </xf>
    <xf numFmtId="0" fontId="100" fillId="32" borderId="30" xfId="307" applyFont="1" applyFill="1" applyBorder="1" applyAlignment="1">
      <alignment horizontal="right" vertical="center" wrapText="1"/>
    </xf>
    <xf numFmtId="0" fontId="100" fillId="32" borderId="31" xfId="307" applyFont="1" applyFill="1" applyBorder="1" applyAlignment="1">
      <alignment horizontal="center" vertical="center" wrapText="1"/>
    </xf>
    <xf numFmtId="0" fontId="100" fillId="32" borderId="30" xfId="307" applyFont="1" applyFill="1" applyBorder="1" applyAlignment="1">
      <alignment horizontal="center" vertical="center" wrapText="1"/>
    </xf>
    <xf numFmtId="0" fontId="102" fillId="32" borderId="0" xfId="0" applyFont="1" applyFill="1" applyAlignment="1">
      <alignment horizontal="center" wrapText="1"/>
    </xf>
    <xf numFmtId="0" fontId="100" fillId="32" borderId="0" xfId="0" applyFont="1" applyFill="1" applyAlignment="1">
      <alignment vertical="center" wrapText="1"/>
    </xf>
    <xf numFmtId="0" fontId="101" fillId="32" borderId="32" xfId="0" applyFont="1" applyFill="1" applyBorder="1" applyAlignment="1">
      <alignment horizontal="center" vertical="center" wrapText="1"/>
    </xf>
    <xf numFmtId="0" fontId="11" fillId="0" borderId="13" xfId="0" applyFont="1" applyFill="1" applyBorder="1" applyAlignment="1">
      <alignment horizontal="right" vertical="center"/>
    </xf>
  </cellXfs>
  <cellStyles count="592">
    <cellStyle name=" 1" xfId="126"/>
    <cellStyle name="_☆403概算" xfId="127"/>
    <cellStyle name="_☆403概算3" xfId="1"/>
    <cellStyle name="_☆403概算3_111修改" xfId="483"/>
    <cellStyle name="_☆403概算调整08.07.04" xfId="128"/>
    <cellStyle name="_☆403设备汇总表(节能减排)" xfId="129"/>
    <cellStyle name="_★403设备表 （给技经）" xfId="366"/>
    <cellStyle name="_★新增工艺设备明细表" xfId="2"/>
    <cellStyle name="_★新增工艺设备明细表_368概算12-05-02" xfId="367"/>
    <cellStyle name="_10(1)(1).23材料表(浓缩)" xfId="3"/>
    <cellStyle name="_10(1)(1).23材料表(浓缩)_111修改" xfId="484"/>
    <cellStyle name="_2104改造.2602" xfId="4"/>
    <cellStyle name="_2104改造.2602_368概算12-05-02" xfId="368"/>
    <cellStyle name="_403概算（二期）" xfId="369"/>
    <cellStyle name="_426－08－1－18" xfId="5"/>
    <cellStyle name="_426－08－1－18_368概算12-05-02" xfId="370"/>
    <cellStyle name="_426概算" xfId="6"/>
    <cellStyle name="_426概算_368概算12-05-02" xfId="371"/>
    <cellStyle name="_426-概算表" xfId="7"/>
    <cellStyle name="_426-概算表_368概算12-05-02" xfId="372"/>
    <cellStyle name="_426-概算表－修改2008(1)(1).5" xfId="8"/>
    <cellStyle name="_426-概算表－修改2008(1)(1).5_368概算12-05-02" xfId="373"/>
    <cellStyle name="_426-概算表－修改2008.5" xfId="9"/>
    <cellStyle name="_426-概算表－修改2008.5_368概算12-05-02" xfId="374"/>
    <cellStyle name="_432&amp;429总表" xfId="130"/>
    <cellStyle name="_432&amp;429总表_111修改" xfId="485"/>
    <cellStyle name="_432工艺设备表1" xfId="10"/>
    <cellStyle name="_432工艺设备表1_111修改" xfId="486"/>
    <cellStyle name="_438估算表10-08-30" xfId="131"/>
    <cellStyle name="_453工艺招标表" xfId="11"/>
    <cellStyle name="_453工艺招标表_111修改" xfId="487"/>
    <cellStyle name="_703（481）11概算" xfId="12"/>
    <cellStyle name="_703（481）11概算_111修改" xfId="488"/>
    <cellStyle name="_703（481）概算" xfId="13"/>
    <cellStyle name="_703（481）概算_111修改" xfId="489"/>
    <cellStyle name="_703(481)哈尔滨" xfId="14"/>
    <cellStyle name="_703(481)哈尔滨_111修改" xfId="490"/>
    <cellStyle name="_703(951)概算" xfId="15"/>
    <cellStyle name="_703(951)概算_111修改" xfId="491"/>
    <cellStyle name="_705三表" xfId="568"/>
    <cellStyle name="_705三表_705三表1" xfId="569"/>
    <cellStyle name="_709(无消防22813)3" xfId="132"/>
    <cellStyle name="_709计算机可研与初设变化情况汇总表" xfId="133"/>
    <cellStyle name="_712－951初设设备表（小胡gai-1）" xfId="134"/>
    <cellStyle name="_712－951初设设备表（小胡gai-1）_111修改" xfId="492"/>
    <cellStyle name="_712所动力专项总概算及各专业概算-081222228" xfId="135"/>
    <cellStyle name="_712所动力专项总概算及各专业概算-081228" xfId="136"/>
    <cellStyle name="_712－援潜926初设设备表1.3" xfId="137"/>
    <cellStyle name="_712－援潜926初设设备表1.3_111修改" xfId="493"/>
    <cellStyle name="_713舰炮（上报稿）" xfId="138"/>
    <cellStyle name="_716电" xfId="16"/>
    <cellStyle name="_716电_111修改" xfId="494"/>
    <cellStyle name="_716概算表" xfId="17"/>
    <cellStyle name="_716概算表_111修改" xfId="495"/>
    <cellStyle name="_716概算表-报地方报文" xfId="139"/>
    <cellStyle name="_716概算表-报集团" xfId="18"/>
    <cellStyle name="_716概算表-报集团_111修改" xfId="496"/>
    <cellStyle name="_716概算表电" xfId="140"/>
    <cellStyle name="_716概算表-暖" xfId="141"/>
    <cellStyle name="_716概算表水" xfId="142"/>
    <cellStyle name="_716-给王鹏" xfId="143"/>
    <cellStyle name="_716锅、动" xfId="19"/>
    <cellStyle name="_716锅、动_111修改" xfId="497"/>
    <cellStyle name="_716科工(080731)-出文件原稿" xfId="144"/>
    <cellStyle name="_716暖" xfId="20"/>
    <cellStyle name="_716暖_111修改" xfId="498"/>
    <cellStyle name="_716水" xfId="21"/>
    <cellStyle name="_716水_111修改" xfId="499"/>
    <cellStyle name="_717概算" xfId="145"/>
    <cellStyle name="_717概算_111修改" xfId="500"/>
    <cellStyle name="_723室外工程" xfId="22"/>
    <cellStyle name="_723室外工程_111修改" xfId="501"/>
    <cellStyle name="_Book1" xfId="23"/>
    <cellStyle name="_Book1_1" xfId="146"/>
    <cellStyle name="_Book1_111修改" xfId="502"/>
    <cellStyle name="_Book1_2" xfId="147"/>
    <cellStyle name="_COGAG全燃动力装置关键技术基础研究与验" xfId="503"/>
    <cellStyle name="_COGAG全燃动力装置关键技术基础研究与验_111修改" xfId="504"/>
    <cellStyle name="_Cover" xfId="148"/>
    <cellStyle name="_CY403.13A-01" xfId="24"/>
    <cellStyle name="_CY403.13A-01_111修改" xfId="505"/>
    <cellStyle name="_CY403.21A-01" xfId="25"/>
    <cellStyle name="_CY403.21A-01_111修改" xfId="506"/>
    <cellStyle name="_CY403.602-01" xfId="26"/>
    <cellStyle name="_CY403.602-01_111修改" xfId="507"/>
    <cellStyle name="_CY403.G24-01" xfId="27"/>
    <cellStyle name="_CY403.G24-01_111修改" xfId="508"/>
    <cellStyle name="_CY403.YAN-01" xfId="28"/>
    <cellStyle name="_CY403.YAN-01_111修改" xfId="509"/>
    <cellStyle name="_CY403.YUN-01" xfId="29"/>
    <cellStyle name="_CY403.YUN-01_111修改" xfId="510"/>
    <cellStyle name="_ET_STYLE_NoName_00_" xfId="30"/>
    <cellStyle name="_ET_STYLE_NoName_00__111修改" xfId="511"/>
    <cellStyle name="_ET_STYLE_NoName_00__Book1" xfId="149"/>
    <cellStyle name="_ET_STYLE_NoName_00__Sheet3" xfId="150"/>
    <cellStyle name="_ET_STYLE_NoName_00__会议系统 (2)_1" xfId="151"/>
    <cellStyle name="_ET_STYLE_NoName_00__音视频会议系统" xfId="152"/>
    <cellStyle name="_ET_STYLE_NoName_01_" xfId="153"/>
    <cellStyle name="_L2-Summary by Element" xfId="154"/>
    <cellStyle name="_SMQ布线" xfId="155"/>
    <cellStyle name="_报价表格" xfId="31"/>
    <cellStyle name="_报价表格_111修改" xfId="512"/>
    <cellStyle name="_初步设计设备表" xfId="156"/>
    <cellStyle name="_初步设计设备表_111修改" xfId="513"/>
    <cellStyle name="_单体概算" xfId="32"/>
    <cellStyle name="_单体概算_368概算12-05-02" xfId="375"/>
    <cellStyle name="_电磁兼容试验场工艺设备" xfId="33"/>
    <cellStyle name="_电磁兼容试验场工艺设备_111修改" xfId="514"/>
    <cellStyle name="_电气工程" xfId="34"/>
    <cellStyle name="_电气工程_111修改" xfId="515"/>
    <cellStyle name="_电气接入系统090131－给概算" xfId="516"/>
    <cellStyle name="_电气接入系统090131－给概算_111修改" xfId="517"/>
    <cellStyle name="_动力专项初设设备表2.0 合稿" xfId="157"/>
    <cellStyle name="_附表1、4 投资估算+公用5.21" xfId="158"/>
    <cellStyle name="_附表1、4估算、公用" xfId="159"/>
    <cellStyle name="_附表1-5" xfId="160"/>
    <cellStyle name="_附表2、3、6设备、进口、招标" xfId="518"/>
    <cellStyle name="_附表2、3、6设备、进口、招标_705三表1" xfId="570"/>
    <cellStyle name="_附表2、3、6设备、进口及招标表" xfId="161"/>
    <cellStyle name="_附表2、3设备、进口表" xfId="162"/>
    <cellStyle name="_附表2新增工艺设备表" xfId="519"/>
    <cellStyle name="_附表5招标" xfId="520"/>
    <cellStyle name="_复件 高桥商务方案初设" xfId="163"/>
    <cellStyle name="_副本副本设备清单及报价12.4" xfId="164"/>
    <cellStyle name="_概 算" xfId="35"/>
    <cellStyle name="_概 算_111修改" xfId="521"/>
    <cellStyle name="_概 算5" xfId="165"/>
    <cellStyle name="_概 算书" xfId="166"/>
    <cellStyle name="_概 算书_111修改" xfId="522"/>
    <cellStyle name="_概算" xfId="36"/>
    <cellStyle name="_概算（951）6" xfId="37"/>
    <cellStyle name="_概算（951）6_111修改" xfId="523"/>
    <cellStyle name="_概算（燃机）2007  1105调整" xfId="38"/>
    <cellStyle name="_概算（燃机）2007  1105调整_111修改" xfId="524"/>
    <cellStyle name="_概算（燃机）5" xfId="39"/>
    <cellStyle name="_概算（燃机）5_111修改" xfId="525"/>
    <cellStyle name="_概算（燃机）8" xfId="40"/>
    <cellStyle name="_概算（燃机）8_111修改" xfId="526"/>
    <cellStyle name="_概算_111修改" xfId="527"/>
    <cellStyle name="_概算4" xfId="41"/>
    <cellStyle name="_概算4_111修改" xfId="528"/>
    <cellStyle name="_概算56" xfId="529"/>
    <cellStyle name="_概算56_111修改" xfId="530"/>
    <cellStyle name="_概算－7" xfId="42"/>
    <cellStyle name="_概算－7_111修改" xfId="531"/>
    <cellStyle name="_概算表" xfId="167"/>
    <cellStyle name="_概算表_111修改" xfId="532"/>
    <cellStyle name="_工艺设备明细表＋进口表" xfId="168"/>
    <cellStyle name="_公 用 设 备  表716模具" xfId="169"/>
    <cellStyle name="_公用系统" xfId="43"/>
    <cellStyle name="_公用系统_111修改" xfId="533"/>
    <cellStyle name="_九江概算09-09-28" xfId="170"/>
    <cellStyle name="_军用嵌入式计算机新增工艺设备表（总表）20090821 " xfId="171"/>
    <cellStyle name="_科研楼加五层方案原稿（080811）" xfId="172"/>
    <cellStyle name="_可研工艺设备汇总表" xfId="173"/>
    <cellStyle name="_可研工艺设备汇总表_111修改" xfId="534"/>
    <cellStyle name="_可研批复与初步设计对比表" xfId="174"/>
    <cellStyle name="_码头概算1" xfId="44"/>
    <cellStyle name="_燃机研究设计平台设备表-初设" xfId="45"/>
    <cellStyle name="_燃机研究设计平台设备表-初设_111修改" xfId="535"/>
    <cellStyle name="_如东概算" xfId="376"/>
    <cellStyle name="_弱电" xfId="175"/>
    <cellStyle name="_弱电_副本副本设备清单及报价12.4" xfId="176"/>
    <cellStyle name="_设备表" xfId="177"/>
    <cellStyle name="_设备表(A3)12" xfId="536"/>
    <cellStyle name="_设备表(A3)12_111修改" xfId="537"/>
    <cellStyle name="_设备表（最新样表）" xfId="538"/>
    <cellStyle name="_设备表（最新样表）_111修改" xfId="539"/>
    <cellStyle name="_设备表-12.18" xfId="46"/>
    <cellStyle name="_设备表-12.18_111修改" xfId="540"/>
    <cellStyle name="_设备表－已排版(总04.10)" xfId="47"/>
    <cellStyle name="_设备表－已排版(总04.10)_111修改" xfId="541"/>
    <cellStyle name="_审后修改-723-概算表-1.15" xfId="178"/>
    <cellStyle name="_声研保新增工艺设备表" xfId="179"/>
    <cellStyle name="_投资估算表" xfId="180"/>
    <cellStyle name="_无锡分部" xfId="48"/>
    <cellStyle name="_无锡分部_111修改" xfId="542"/>
    <cellStyle name="_西墅水面舰概算原稿(08105)" xfId="181"/>
    <cellStyle name="_新增工艺设备表" xfId="182"/>
    <cellStyle name="_新增工艺设备表（最终）" xfId="377"/>
    <cellStyle name="_新增工艺设备表090415" xfId="183"/>
    <cellStyle name="_新增工艺设备表090415_705三表1" xfId="571"/>
    <cellStyle name="_诱饵三表" xfId="543"/>
    <cellStyle name="_诱饵三表_111修改" xfId="544"/>
    <cellStyle name="_总概算" xfId="184"/>
    <cellStyle name="_总概算_111修改" xfId="545"/>
    <cellStyle name="_总设备表071107" xfId="49"/>
    <cellStyle name="_总设备表071107_111修改" xfId="546"/>
    <cellStyle name="0,0_x000d__x000a_NA_x000d__x000a_" xfId="50"/>
    <cellStyle name="0,0_x000d__x000a_NA_x000d__x000a_ 10" xfId="572"/>
    <cellStyle name="0,0_x000d__x000a_NA_x000d__x000a_ 2" xfId="185"/>
    <cellStyle name="0,0_x000d__x000a_NA_x000d__x000a_ 2 2" xfId="378"/>
    <cellStyle name="0,0_x000d__x000a_NA_x000d__x000a_ 3" xfId="186"/>
    <cellStyle name="0,0_x000d__x000a_NA_x000d__x000a_ 3 2 2 2 2 2 2 5 2" xfId="187"/>
    <cellStyle name="0,0_x000d__x000a_NA_x000d__x000a_ 4" xfId="573"/>
    <cellStyle name="0,0_x000d__x000a_NA_x000d__x000a_ 5" xfId="574"/>
    <cellStyle name="0,0_x000d__x000a_NA_x000d__x000a_ 6" xfId="575"/>
    <cellStyle name="0,0_x000d__x000a_NA_x000d__x000a_ 7" xfId="576"/>
    <cellStyle name="0,0_x000d__x000a_NA_x000d__x000a_ 8" xfId="577"/>
    <cellStyle name="0,0_x000d__x000a_NA_x000d__x000a_ 9" xfId="578"/>
    <cellStyle name="0,0_x000d__x000a_NA_x000d__x000a__1" xfId="547"/>
    <cellStyle name="0,0_x005f_x000d__x005f_x000a_NA_x005f_x000d__x005f_x000a_" xfId="188"/>
    <cellStyle name="20% - Accent1" xfId="379"/>
    <cellStyle name="20% - Accent2" xfId="380"/>
    <cellStyle name="20% - Accent3" xfId="381"/>
    <cellStyle name="20% - Accent4" xfId="382"/>
    <cellStyle name="20% - Accent5" xfId="383"/>
    <cellStyle name="20% - Accent6" xfId="384"/>
    <cellStyle name="20% - 强调文字颜色 1" xfId="51" builtinId="30" customBuiltin="1"/>
    <cellStyle name="20% - 强调文字颜色 1 2" xfId="385"/>
    <cellStyle name="20% - 强调文字颜色 2" xfId="52" builtinId="34" customBuiltin="1"/>
    <cellStyle name="20% - 强调文字颜色 2 2" xfId="386"/>
    <cellStyle name="20% - 强调文字颜色 3" xfId="53" builtinId="38" customBuiltin="1"/>
    <cellStyle name="20% - 强调文字颜色 3 2" xfId="387"/>
    <cellStyle name="20% - 强调文字颜色 4" xfId="54" builtinId="42" customBuiltin="1"/>
    <cellStyle name="20% - 强调文字颜色 4 2" xfId="388"/>
    <cellStyle name="20% - 强调文字颜色 5" xfId="55" builtinId="46" customBuiltin="1"/>
    <cellStyle name="20% - 强调文字颜色 5 2" xfId="389"/>
    <cellStyle name="20% - 强调文字颜色 6" xfId="56" builtinId="50" customBuiltin="1"/>
    <cellStyle name="20% - 强调文字颜色 6 2" xfId="390"/>
    <cellStyle name="40% - Accent1" xfId="391"/>
    <cellStyle name="40% - Accent2" xfId="392"/>
    <cellStyle name="40% - Accent3" xfId="393"/>
    <cellStyle name="40% - Accent4" xfId="394"/>
    <cellStyle name="40% - Accent5" xfId="395"/>
    <cellStyle name="40% - Accent6" xfId="396"/>
    <cellStyle name="40% - 强调文字颜色 1" xfId="57" builtinId="31" customBuiltin="1"/>
    <cellStyle name="40% - 强调文字颜色 1 2" xfId="397"/>
    <cellStyle name="40% - 强调文字颜色 2" xfId="58" builtinId="35" customBuiltin="1"/>
    <cellStyle name="40% - 强调文字颜色 2 2" xfId="398"/>
    <cellStyle name="40% - 强调文字颜色 3" xfId="59" builtinId="39" customBuiltin="1"/>
    <cellStyle name="40% - 强调文字颜色 3 2" xfId="399"/>
    <cellStyle name="40% - 强调文字颜色 4" xfId="60" builtinId="43" customBuiltin="1"/>
    <cellStyle name="40% - 强调文字颜色 4 2" xfId="400"/>
    <cellStyle name="40% - 强调文字颜色 5" xfId="61" builtinId="47" customBuiltin="1"/>
    <cellStyle name="40% - 强调文字颜色 5 2" xfId="401"/>
    <cellStyle name="40% - 强调文字颜色 6" xfId="62" builtinId="51" customBuiltin="1"/>
    <cellStyle name="40% - 强调文字颜色 6 2" xfId="402"/>
    <cellStyle name="60% - Accent1" xfId="403"/>
    <cellStyle name="60% - Accent2" xfId="404"/>
    <cellStyle name="60% - Accent3" xfId="405"/>
    <cellStyle name="60% - Accent4" xfId="406"/>
    <cellStyle name="60% - Accent5" xfId="407"/>
    <cellStyle name="60% - Accent6" xfId="408"/>
    <cellStyle name="60% - 强调文字颜色 1" xfId="63" builtinId="32" customBuiltin="1"/>
    <cellStyle name="60% - 强调文字颜色 1 2" xfId="409"/>
    <cellStyle name="60% - 强调文字颜色 2" xfId="64" builtinId="36" customBuiltin="1"/>
    <cellStyle name="60% - 强调文字颜色 2 2" xfId="410"/>
    <cellStyle name="60% - 强调文字颜色 3" xfId="65" builtinId="40" customBuiltin="1"/>
    <cellStyle name="60% - 强调文字颜色 3 2" xfId="411"/>
    <cellStyle name="60% - 强调文字颜色 4" xfId="66" builtinId="44" customBuiltin="1"/>
    <cellStyle name="60% - 强调文字颜色 4 2" xfId="412"/>
    <cellStyle name="60% - 强调文字颜色 5" xfId="67" builtinId="48" customBuiltin="1"/>
    <cellStyle name="60% - 强调文字颜色 5 2" xfId="413"/>
    <cellStyle name="60% - 强调文字颜色 6" xfId="68" builtinId="52" customBuiltin="1"/>
    <cellStyle name="60% - 强调文字颜色 6 2" xfId="414"/>
    <cellStyle name="6mal" xfId="189"/>
    <cellStyle name="Accent1" xfId="415"/>
    <cellStyle name="Accent2" xfId="416"/>
    <cellStyle name="Accent3" xfId="417"/>
    <cellStyle name="Accent4" xfId="418"/>
    <cellStyle name="Accent5" xfId="419"/>
    <cellStyle name="Accent6" xfId="420"/>
    <cellStyle name="ÅëÈ­ [0]_laroux" xfId="190"/>
    <cellStyle name="ÅëÈ­_laroux" xfId="191"/>
    <cellStyle name="args.style" xfId="192"/>
    <cellStyle name="ÄÞ¸¶ [0]_laroux" xfId="193"/>
    <cellStyle name="ÄÞ¸¶_laroux" xfId="194"/>
    <cellStyle name="Bad" xfId="421"/>
    <cellStyle name="Body" xfId="195"/>
    <cellStyle name="BORDERS" xfId="196"/>
    <cellStyle name="Ç¥ÁØ_ÀÎÀç°³¹ß¿ø" xfId="197"/>
    <cellStyle name="Calc Currency (0)" xfId="69"/>
    <cellStyle name="Calc Currency (0) 2" xfId="198"/>
    <cellStyle name="Calc Currency (0) 3" xfId="199"/>
    <cellStyle name="Calc Currency (0) 4" xfId="200"/>
    <cellStyle name="Calc Currency (0)_716投资估算10-08-05" xfId="201"/>
    <cellStyle name="Calculation" xfId="422"/>
    <cellStyle name="Check Cell" xfId="423"/>
    <cellStyle name="Column_Title" xfId="202"/>
    <cellStyle name="Comma  - Style1" xfId="203"/>
    <cellStyle name="Comma  - Style2" xfId="204"/>
    <cellStyle name="Comma  - Style3" xfId="205"/>
    <cellStyle name="Comma  - Style4" xfId="206"/>
    <cellStyle name="Comma  - Style5" xfId="207"/>
    <cellStyle name="Comma  - Style6" xfId="208"/>
    <cellStyle name="Comma  - Style7" xfId="209"/>
    <cellStyle name="Comma  - Style8" xfId="210"/>
    <cellStyle name="Comma [0]" xfId="70"/>
    <cellStyle name="comma zerodec" xfId="211"/>
    <cellStyle name="Comma_!!!GO" xfId="212"/>
    <cellStyle name="Comma0 - Modelo1" xfId="213"/>
    <cellStyle name="Comma0 - Style1" xfId="214"/>
    <cellStyle name="Comma1 - Modelo2" xfId="215"/>
    <cellStyle name="Comma1 - Style2" xfId="216"/>
    <cellStyle name="Currency [0]" xfId="71"/>
    <cellStyle name="Currency_!!!GO" xfId="217"/>
    <cellStyle name="Currency1" xfId="218"/>
    <cellStyle name="Date" xfId="72"/>
    <cellStyle name="Dia" xfId="219"/>
    <cellStyle name="Dollar (zero dec)" xfId="220"/>
    <cellStyle name="Encabez1" xfId="221"/>
    <cellStyle name="Encabez2" xfId="222"/>
    <cellStyle name="entry box" xfId="223"/>
    <cellStyle name="Explanatory Text" xfId="424"/>
    <cellStyle name="F2" xfId="224"/>
    <cellStyle name="F3" xfId="225"/>
    <cellStyle name="F4" xfId="226"/>
    <cellStyle name="F5" xfId="227"/>
    <cellStyle name="F6" xfId="228"/>
    <cellStyle name="F7" xfId="229"/>
    <cellStyle name="F8" xfId="230"/>
    <cellStyle name="Fijo" xfId="231"/>
    <cellStyle name="Financiero" xfId="232"/>
    <cellStyle name="Good" xfId="425"/>
    <cellStyle name="Grey" xfId="233"/>
    <cellStyle name="HEADER" xfId="234"/>
    <cellStyle name="Header1" xfId="73"/>
    <cellStyle name="Header2" xfId="74"/>
    <cellStyle name="Heading 1" xfId="426"/>
    <cellStyle name="Heading 2" xfId="427"/>
    <cellStyle name="Heading 3" xfId="428"/>
    <cellStyle name="Heading 4" xfId="429"/>
    <cellStyle name="Input" xfId="430"/>
    <cellStyle name="Input [yellow]" xfId="235"/>
    <cellStyle name="Input Cells" xfId="236"/>
    <cellStyle name="Input_368概算12-05-02" xfId="431"/>
    <cellStyle name="Jun" xfId="237"/>
    <cellStyle name="Linked Cell" xfId="432"/>
    <cellStyle name="Linked Cells" xfId="238"/>
    <cellStyle name="Millares [0]_10 AVERIAS MASIVAS + ANT" xfId="239"/>
    <cellStyle name="Millares_10 AVERIAS MASIVAS + ANT" xfId="240"/>
    <cellStyle name="Milliers [0]_!!!GO" xfId="241"/>
    <cellStyle name="Milliers_!!!GO" xfId="242"/>
    <cellStyle name="Model" xfId="243"/>
    <cellStyle name="Moneda [0]_10 AVERIAS MASIVAS + ANT" xfId="244"/>
    <cellStyle name="Moneda_10 AVERIAS MASIVAS + ANT" xfId="245"/>
    <cellStyle name="Monetario" xfId="246"/>
    <cellStyle name="Mon閠aire [0]_!!!GO" xfId="247"/>
    <cellStyle name="Mon閠aire_!!!GO" xfId="248"/>
    <cellStyle name="Neutral" xfId="433"/>
    <cellStyle name="New Times Roman" xfId="75"/>
    <cellStyle name="no dec" xfId="249"/>
    <cellStyle name="Normal - Style1" xfId="250"/>
    <cellStyle name="Normal_!!!GO" xfId="251"/>
    <cellStyle name="Normal_407投资估算参考" xfId="591"/>
    <cellStyle name="Normalny_Arkusz1" xfId="252"/>
    <cellStyle name="Note" xfId="76"/>
    <cellStyle name="Output" xfId="434"/>
    <cellStyle name="per.style" xfId="253"/>
    <cellStyle name="Percent [2]" xfId="254"/>
    <cellStyle name="Percent_!!!GO" xfId="255"/>
    <cellStyle name="Porcentaje" xfId="256"/>
    <cellStyle name="Pourcentage_pldt" xfId="257"/>
    <cellStyle name="Prefilled" xfId="258"/>
    <cellStyle name="prods" xfId="77"/>
    <cellStyle name="PSChar" xfId="259"/>
    <cellStyle name="PSDate" xfId="260"/>
    <cellStyle name="PSDec" xfId="261"/>
    <cellStyle name="PSHeading" xfId="262"/>
    <cellStyle name="PSInt" xfId="263"/>
    <cellStyle name="PSSpacer" xfId="264"/>
    <cellStyle name="RM" xfId="265"/>
    <cellStyle name="shade" xfId="78"/>
    <cellStyle name="sstot" xfId="266"/>
    <cellStyle name="ST_01" xfId="267"/>
    <cellStyle name="Standard_AREAS" xfId="268"/>
    <cellStyle name="Style 1" xfId="435"/>
    <cellStyle name="subhead" xfId="269"/>
    <cellStyle name="t" xfId="270"/>
    <cellStyle name="t_HVAC Equipment (3)" xfId="271"/>
    <cellStyle name="Title" xfId="436"/>
    <cellStyle name="Total" xfId="272"/>
    <cellStyle name="Warning Text" xfId="437"/>
    <cellStyle name="ปกติ_11wq42" xfId="273"/>
    <cellStyle name="百分比" xfId="79" builtinId="5"/>
    <cellStyle name="百分比 2" xfId="274"/>
    <cellStyle name="百分比 3" xfId="275"/>
    <cellStyle name="百分比 4" xfId="276"/>
    <cellStyle name="百分比 5" xfId="438"/>
    <cellStyle name="捠壿 [0.00]_Region Orders (2)" xfId="277"/>
    <cellStyle name="捠壿_Region Orders (2)" xfId="278"/>
    <cellStyle name="编号" xfId="279"/>
    <cellStyle name="标题" xfId="80" builtinId="15" customBuiltin="1"/>
    <cellStyle name="标题 1" xfId="81" builtinId="16" customBuiltin="1"/>
    <cellStyle name="标题 1 2" xfId="439"/>
    <cellStyle name="标题 2" xfId="82" builtinId="17" customBuiltin="1"/>
    <cellStyle name="标题 2 2" xfId="440"/>
    <cellStyle name="标题 3" xfId="83" builtinId="18" customBuiltin="1"/>
    <cellStyle name="标题 3 2" xfId="441"/>
    <cellStyle name="标题 4" xfId="84" builtinId="19" customBuiltin="1"/>
    <cellStyle name="标题 4 2" xfId="442"/>
    <cellStyle name="标题 5" xfId="443"/>
    <cellStyle name="标题1" xfId="280"/>
    <cellStyle name="標準_APCO BQ_0312_BQ_BQ-2" xfId="85"/>
    <cellStyle name="部门" xfId="281"/>
    <cellStyle name="差" xfId="86" builtinId="27" customBuiltin="1"/>
    <cellStyle name="差 2" xfId="444"/>
    <cellStyle name="差_☆403投资估算表" xfId="282"/>
    <cellStyle name="差_★724附表" xfId="283"/>
    <cellStyle name="差_368概算12-05-02" xfId="445"/>
    <cellStyle name="差_388大船" xfId="284"/>
    <cellStyle name="差_388综合设备表" xfId="285"/>
    <cellStyle name="差_403投资估算（石）09.2.19" xfId="286"/>
    <cellStyle name="差_438估算表10-08-30" xfId="287"/>
    <cellStyle name="差_438声隐身估算10-09-30" xfId="288"/>
    <cellStyle name="差_446设备表 评审后" xfId="289"/>
    <cellStyle name="差_446新增设备表2010-08-2" xfId="290"/>
    <cellStyle name="差_446新增设备表2010-6-6" xfId="291"/>
    <cellStyle name="差_446研保估算表10-08-05" xfId="292"/>
    <cellStyle name="差_6402投资估算09-03-06" xfId="293"/>
    <cellStyle name="差_6A项目建议书设备、概算表（调整对照表）" xfId="548"/>
    <cellStyle name="差_718安全性上报三表" xfId="294"/>
    <cellStyle name="差_726安全性可研附表-08.4.9(du修改)" xfId="295"/>
    <cellStyle name="差_Book1" xfId="296"/>
    <cellStyle name="差_初设概算(shi)-5.14晚-7.9-8.27 last " xfId="297"/>
    <cellStyle name="差_附表-08-11  " xfId="549"/>
    <cellStyle name="差_公用设备表" xfId="298"/>
    <cellStyle name="差_节能减排" xfId="299"/>
    <cellStyle name="差_可研工艺设备汇总表" xfId="300"/>
    <cellStyle name="差_可研工艺设备汇总表_111修改" xfId="550"/>
    <cellStyle name="差_设备表" xfId="579"/>
    <cellStyle name="差_设备表改" xfId="301"/>
    <cellStyle name="差_声研保新增工艺设备表" xfId="302"/>
    <cellStyle name="差_投资估算" xfId="446"/>
    <cellStyle name="差_投资估算_368概算12-05-02" xfId="447"/>
    <cellStyle name="差_投资估算-10-06-01" xfId="303"/>
    <cellStyle name="差_投资估算表" xfId="304"/>
    <cellStyle name="差_投资估算及工艺设备（重通）" xfId="305"/>
    <cellStyle name="常规" xfId="0" builtinId="0"/>
    <cellStyle name="常规 10" xfId="306"/>
    <cellStyle name="常规 10 2" xfId="580"/>
    <cellStyle name="常规 11" xfId="125"/>
    <cellStyle name="常规 12" xfId="307"/>
    <cellStyle name="常规 13" xfId="308"/>
    <cellStyle name="常规 14" xfId="309"/>
    <cellStyle name="常规 14 2" xfId="448"/>
    <cellStyle name="常规 14_368概算12-05-02" xfId="449"/>
    <cellStyle name="常规 15" xfId="310"/>
    <cellStyle name="常规 16" xfId="311"/>
    <cellStyle name="常规 17" xfId="312"/>
    <cellStyle name="常规 18" xfId="313"/>
    <cellStyle name="常规 19" xfId="314"/>
    <cellStyle name="常规 2" xfId="87"/>
    <cellStyle name="常规 2 10" xfId="581"/>
    <cellStyle name="常规 2 11" xfId="589"/>
    <cellStyle name="常规 2 2" xfId="315"/>
    <cellStyle name="常规 2 2 2" xfId="450"/>
    <cellStyle name="常规 2 3" xfId="451"/>
    <cellStyle name="常规 2 4" xfId="561"/>
    <cellStyle name="常规 2 5" xfId="582"/>
    <cellStyle name="常规 2 6" xfId="583"/>
    <cellStyle name="常规 2 7" xfId="584"/>
    <cellStyle name="常规 2 8" xfId="585"/>
    <cellStyle name="常规 2 9" xfId="586"/>
    <cellStyle name="常规 2_暖通工程" xfId="365"/>
    <cellStyle name="常规 20" xfId="316"/>
    <cellStyle name="常规 21" xfId="452"/>
    <cellStyle name="常规 22" xfId="453"/>
    <cellStyle name="常规 22 2" xfId="567"/>
    <cellStyle name="常规 23" xfId="454"/>
    <cellStyle name="常规 23 2" xfId="482"/>
    <cellStyle name="常规 24" xfId="562"/>
    <cellStyle name="常规 3" xfId="88"/>
    <cellStyle name="常规 3 2" xfId="455"/>
    <cellStyle name="常规 4" xfId="89"/>
    <cellStyle name="常规 5" xfId="90"/>
    <cellStyle name="常规 5 2" xfId="456"/>
    <cellStyle name="常规 5_368概算12-05-02" xfId="457"/>
    <cellStyle name="常规 6" xfId="91"/>
    <cellStyle name="常规 7" xfId="317"/>
    <cellStyle name="常规 8" xfId="318"/>
    <cellStyle name="常规 9" xfId="319"/>
    <cellStyle name="常规 9 2" xfId="458"/>
    <cellStyle name="常规 9 2 2" xfId="459"/>
    <cellStyle name="常规 9 3" xfId="556"/>
    <cellStyle name="常规 9_368概算12-05-02" xfId="460"/>
    <cellStyle name="常规_468概算" xfId="557"/>
    <cellStyle name="常规_703传动新增工艺设备表" xfId="560"/>
    <cellStyle name="常规_703传动新增工艺设备表7(调顺序)" xfId="559"/>
    <cellStyle name="常规_705－87A投资估算表" xfId="590"/>
    <cellStyle name="常规_公用" xfId="558"/>
    <cellStyle name="常规_投资估算表－导航" xfId="92"/>
    <cellStyle name="常规_投资估算及对比表" xfId="588"/>
    <cellStyle name="常规_新增工艺设备" xfId="564"/>
    <cellStyle name="常规_新增工艺设备_1" xfId="565"/>
    <cellStyle name="常规_新增工艺设备_5" xfId="566"/>
    <cellStyle name="常规_一体化投资估算表" xfId="93"/>
    <cellStyle name="超级链接_PERSONAL" xfId="320"/>
    <cellStyle name="超链接 2" xfId="321"/>
    <cellStyle name="超链接 2 2" xfId="563"/>
    <cellStyle name="超链接 3" xfId="322"/>
    <cellStyle name="超链接 4" xfId="323"/>
    <cellStyle name="分级显示列_1_Book1" xfId="324"/>
    <cellStyle name="分级显示行_1_Book1" xfId="325"/>
    <cellStyle name="好" xfId="94" builtinId="26" customBuiltin="1"/>
    <cellStyle name="好 2" xfId="461"/>
    <cellStyle name="好_☆403投资估算表" xfId="326"/>
    <cellStyle name="好_★724附表" xfId="327"/>
    <cellStyle name="好_368概算12-05-02" xfId="462"/>
    <cellStyle name="好_388大船" xfId="328"/>
    <cellStyle name="好_388综合设备表" xfId="329"/>
    <cellStyle name="好_403投资估算（石）09.2.19" xfId="330"/>
    <cellStyle name="好_438估算表10-08-30" xfId="331"/>
    <cellStyle name="好_438声隐身估算10-09-30" xfId="332"/>
    <cellStyle name="好_446设备表 评审后" xfId="333"/>
    <cellStyle name="好_446新增设备表2010-08-2" xfId="334"/>
    <cellStyle name="好_446新增设备表2010-6-6" xfId="335"/>
    <cellStyle name="好_446研保估算表10-08-05" xfId="336"/>
    <cellStyle name="好_6402投资估算09-03-06" xfId="337"/>
    <cellStyle name="好_6A项目建议书设备、概算表（调整对照表）" xfId="551"/>
    <cellStyle name="好_718安全性上报三表" xfId="338"/>
    <cellStyle name="好_726安全性可研附表-08.4.9(du修改)" xfId="339"/>
    <cellStyle name="好_Book1" xfId="340"/>
    <cellStyle name="好_初设概算(shi)-5.14晚-7.9-8.27 last " xfId="341"/>
    <cellStyle name="好_附表-08-11  " xfId="552"/>
    <cellStyle name="好_公用设备表" xfId="342"/>
    <cellStyle name="好_节能减排" xfId="343"/>
    <cellStyle name="好_可研工艺设备汇总表" xfId="344"/>
    <cellStyle name="好_可研工艺设备汇总表_111修改" xfId="553"/>
    <cellStyle name="好_设备表" xfId="587"/>
    <cellStyle name="好_设备表改" xfId="345"/>
    <cellStyle name="好_声研保新增工艺设备表" xfId="346"/>
    <cellStyle name="好_投资估算" xfId="463"/>
    <cellStyle name="好_投资估算_368概算12-05-02" xfId="464"/>
    <cellStyle name="好_投资估算-10-06-01" xfId="347"/>
    <cellStyle name="好_投资估算表" xfId="348"/>
    <cellStyle name="好_投资估算及工艺设备（重通）" xfId="349"/>
    <cellStyle name="后继超级链接_PERSONAL" xfId="350"/>
    <cellStyle name="汇总" xfId="95" builtinId="25" customBuiltin="1"/>
    <cellStyle name="汇总 2" xfId="465"/>
    <cellStyle name="货币 2" xfId="351"/>
    <cellStyle name="货币 3" xfId="466"/>
    <cellStyle name="计算" xfId="96" builtinId="22" customBuiltin="1"/>
    <cellStyle name="计算 2" xfId="467"/>
    <cellStyle name="检查单元格" xfId="97" builtinId="23" customBuiltin="1"/>
    <cellStyle name="检查单元格 2" xfId="468"/>
    <cellStyle name="解释性文本" xfId="98" builtinId="53" customBuiltin="1"/>
    <cellStyle name="解释性文本 2" xfId="469"/>
    <cellStyle name="借出原因" xfId="352"/>
    <cellStyle name="警告文本" xfId="99" builtinId="11" customBuiltin="1"/>
    <cellStyle name="警告文本 2" xfId="470"/>
    <cellStyle name="链接单元格" xfId="100" builtinId="24" customBuiltin="1"/>
    <cellStyle name="链接单元格 2" xfId="471"/>
    <cellStyle name="콤마 [0]_BOILER-CO1" xfId="101"/>
    <cellStyle name="콤마_BOILER-CO1" xfId="102"/>
    <cellStyle name="통화 [0]_BOILER-CO1" xfId="103"/>
    <cellStyle name="통화_BOILER-CO1" xfId="104"/>
    <cellStyle name="표준_0N-HANDLING " xfId="105"/>
    <cellStyle name="霓付 [0]_97MBO" xfId="106"/>
    <cellStyle name="霓付_97MBO" xfId="107"/>
    <cellStyle name="烹拳 [0]_97MBO" xfId="108"/>
    <cellStyle name="烹拳_97MBO" xfId="109"/>
    <cellStyle name="普通_ 白土" xfId="110"/>
    <cellStyle name="千分位[0]_ 白土" xfId="111"/>
    <cellStyle name="千分位_ 白土" xfId="112"/>
    <cellStyle name="千位[0]_ 方正PC" xfId="353"/>
    <cellStyle name="千位_ 方正PC" xfId="354"/>
    <cellStyle name="千位分隔 2" xfId="554"/>
    <cellStyle name="千位分隔 3" xfId="555"/>
    <cellStyle name="钎霖_laroux" xfId="113"/>
    <cellStyle name="强调文字颜色 1" xfId="114" builtinId="29" customBuiltin="1"/>
    <cellStyle name="强调文字颜色 1 2" xfId="472"/>
    <cellStyle name="强调文字颜色 2" xfId="115" builtinId="33" customBuiltin="1"/>
    <cellStyle name="强调文字颜色 2 2" xfId="473"/>
    <cellStyle name="强调文字颜色 3" xfId="116" builtinId="37" customBuiltin="1"/>
    <cellStyle name="强调文字颜色 3 2" xfId="474"/>
    <cellStyle name="强调文字颜色 4" xfId="117" builtinId="41" customBuiltin="1"/>
    <cellStyle name="强调文字颜色 4 2" xfId="475"/>
    <cellStyle name="强调文字颜色 5" xfId="118" builtinId="45" customBuiltin="1"/>
    <cellStyle name="强调文字颜色 5 2" xfId="476"/>
    <cellStyle name="强调文字颜色 6" xfId="119" builtinId="49" customBuiltin="1"/>
    <cellStyle name="强调文字颜色 6 2" xfId="477"/>
    <cellStyle name="日期" xfId="355"/>
    <cellStyle name="商品名称" xfId="356"/>
    <cellStyle name="适中" xfId="120" builtinId="28" customBuiltin="1"/>
    <cellStyle name="适中 2" xfId="478"/>
    <cellStyle name="输出" xfId="121" builtinId="21" customBuiltin="1"/>
    <cellStyle name="输出 2" xfId="479"/>
    <cellStyle name="输入" xfId="122" builtinId="20" customBuiltin="1"/>
    <cellStyle name="输入 2" xfId="480"/>
    <cellStyle name="数量" xfId="357"/>
    <cellStyle name="未定义" xfId="358"/>
    <cellStyle name="样式 1" xfId="123"/>
    <cellStyle name="一般_D-Link 產品 一月份價格表 -(全總版）" xfId="359"/>
    <cellStyle name="昗弨_Pacific Region P&amp;L" xfId="360"/>
    <cellStyle name="寘嬫愗傝 [0.00]_Region Orders (2)" xfId="361"/>
    <cellStyle name="寘嬫愗傝_Region Orders (2)" xfId="362"/>
    <cellStyle name="中文表格" xfId="363"/>
    <cellStyle name="注释" xfId="124" builtinId="10" customBuiltin="1"/>
    <cellStyle name="注释 2" xfId="481"/>
    <cellStyle name="字符" xfId="3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01\jhc\unzipped\Eastern%20Airline%20FE\Spares\FILES\SMCTS2\SMCTSSP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01\jhc\unzipped\Eastern%20Airline%20FE\GP\GP_Ph1\SBB-OIs\Hel-O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38-&#29664;&#28207;&#28595;-&#39558;&#25991;&#21018;-2014.2/&#36164;&#26009;/REFE&#65288;&#26426;&#23494;&#65289;/&#21021;&#27493;&#35774;&#35745;/&#27665;_&#32473;&#27700;&#21378;/&#23450;&#20852;&#21439;&#22478;&#20379;&#27700;&#24037;&#31243;_10000t/&#40481;&#27901;&#32473;&#27700;_/&#19968;&#32423;&#27893;&#251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TS01\jhc\unzipped\Eastern%20Airline%20FE\GP\tamer\WINDOWS\GP_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9033;&#30446;&#36164;&#26009;/&#27010;&#31639;/662/&#36164;&#26009;/&#25237;&#36164;&#20272;&#31639;&#34920;&#65288;&#21069;&#21355;&#2774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TS01\jhc\CHR\ARBEJDE\Q4DK.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38-&#29664;&#28207;&#28595;-&#39558;&#25991;&#21018;-2014.2/&#36164;&#26009;/&#37325;&#20570;&#31995;&#32479;&#21069;%20D,E/E&#30424;/11&#24180;&#24453;&#12290;&#12290;/703/&#26368;&#32456;&#20462;&#25913;/426/&#26032;&#24314;&#25991;&#20214;&#22841;/426&#21378;08&#25216;&#25514;&#39033;&#30446;-&#21487;&#30740;2008042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38/438&#21160;&#24577;&#21021;&#35774;&#27491;&#23457;&#21518;&#20462;&#25913;/426/&#26032;&#24314;&#25991;&#20214;&#22841;/426&#21378;08&#25216;&#25514;&#39033;&#30446;-&#21487;&#30740;200804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zyy\&#26412;&#22320;&#30913;&#30424;%20(d)\426\&#26032;&#24314;&#25991;&#20214;&#22841;\426&#21378;08&#25216;&#25514;&#39033;&#30446;-&#21487;&#30740;200804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S01\jhc\unzipped\Eastern%20Airline%20FE\Backup%20of%20Backup%20of%20LINDA%20LISTONE.xlk"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WINDOWS\TEMP\GOLDPYR4\ARENTO\TOOLBOX.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TS01\jhc\unzipped\Eastern%20Airline%20FE\fnl-gp2\ToolboxGP\Kor\OSP_Becht_Fin.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POWER%20ASSUMPTION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TS01\jhc\unzipped\Eastern%20Airline%20FE\GP\tamer\DOS\TEMP\GPTLBX9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38-&#29664;&#28207;&#28595;-&#39558;&#25991;&#21018;-2014.2/&#36164;&#26009;/REFE&#65288;&#26426;&#23494;&#65289;/&#21021;&#27493;&#35774;&#35745;/&#27665;_&#32473;&#27700;&#21378;/&#23450;&#20852;&#21439;&#22478;&#20379;&#27700;&#24037;&#31243;_10000t/&#20020;&#26102;&#25991;&#20214;/09_&#21378;&#21306;&#32508;&#21512;&#31649;&#3244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s71\&#26446;&#28976;\&#36196;&#23792;&#39044;&#31639;\&#36196;&#23792;--&#31934;&#24178;&#21253;&#21378;&#2515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0701026\&#24037;&#31243;&#27010;&#31639;\2002&#24180;&#24037;&#31243;\&#24037;&#31243;&#27010;&#31639;\&#21704;&#33647;&#24635;&#21378;\&#21704;&#33647;&#24635;&#21378;&#31881;&#38024;&#21450;&#32508;&#21512;&#21046;&#21058;&#36710;&#38388;\&#21704;&#33647;&#19977;&#21378;&#31881;&#38024;&#21450;&#32508;&#21512;&#21046;&#21058;&#36710;&#383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701&#65288;&#31185;&#25216;&#22823;&#27004;&#65289;-2013.4&#20313;&#24428;/&#21487;&#30740;/&#32473;&#20313;&#24037;2-3/701&#20272;&#3163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750-&#28508;&#23556;-&#33891;&#20851;&#21195;-2013.12&#65288;&#31192;&#23494;&#9733;&#65289;/3-2013.1.3-&#31192;&#23494;&#9733;/10-750&#22330;YJ18B&#27010;&#31639;(&#31192;&#23494;&#9733;)&#65288;&#35831;&#29579;&#26230;&#25353;30&#21495;&#38472;&#28059;&#30340;&#30005;&#35805;&#20869;&#23481;+&#25105;&#24102;&#22238;&#26469;&#30340;&#31295;&#20462;&#25913;&#6528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38-&#29664;&#28207;&#28595;-&#39558;&#25991;&#21018;-2014.2/&#36164;&#26009;/&#27494;&#33337;&#29664;&#28207;&#28595;&#22823;&#26725;&#20272;&#3163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qpmad2"/>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W-TEO"/>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F!"/>
      <sheetName val="一级泵房"/>
      <sheetName val="联络管道"/>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inanc. Overview"/>
      <sheetName val="Toolbox"/>
    </sheetNames>
    <sheetDataSet>
      <sheetData sheetId="0" refreshError="1"/>
      <sheetData sheetId="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目录"/>
      <sheetName val="参数"/>
      <sheetName val="Sheet3"/>
      <sheetName val="引进061.16稿"/>
      <sheetName val="06.1.16稿"/>
      <sheetName val="引进设备"/>
      <sheetName val="TZ"/>
      <sheetName val="取费"/>
      <sheetName val="公用"/>
      <sheetName val="工艺及辅料消耗"/>
      <sheetName val="经济指标对比"/>
      <sheetName val="自现流"/>
      <sheetName val="设计费"/>
    </sheetNames>
    <sheetDataSet>
      <sheetData sheetId="0" refreshError="1"/>
      <sheetData sheetId="1">
        <row r="68">
          <cell r="D68">
            <v>8.2799999999999994</v>
          </cell>
        </row>
      </sheetData>
      <sheetData sheetId="2" refreshError="1"/>
      <sheetData sheetId="3" refreshError="1"/>
      <sheetData sheetId="4" refreshError="1"/>
      <sheetData sheetId="5">
        <row r="1">
          <cell r="A1">
            <v>8.0977999999999994</v>
          </cell>
        </row>
      </sheetData>
      <sheetData sheetId="6" refreshError="1"/>
      <sheetData sheetId="7" refreshError="1"/>
      <sheetData sheetId="8"/>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in"/>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投资"/>
      <sheetName val="室内"/>
      <sheetName val="取费"/>
      <sheetName val="工艺设备"/>
      <sheetName val="新增工艺设备明细表"/>
      <sheetName val="新增进口工艺设备明细表"/>
      <sheetName val="公用"/>
      <sheetName val="进口设备购置费"/>
      <sheetName val="招标"/>
      <sheetName val="Sheet1"/>
      <sheetName val="Sheet2"/>
      <sheetName val="Sheet3"/>
      <sheetName val="Sheet4"/>
      <sheetName val="Sheet1 (2)"/>
      <sheetName val="Sheet5"/>
      <sheetName val="设备表"/>
      <sheetName val="进口工艺"/>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投资"/>
      <sheetName val="室内"/>
      <sheetName val="取费"/>
      <sheetName val="工艺设备"/>
      <sheetName val="新增工艺设备明细表"/>
      <sheetName val="新增进口工艺设备明细表"/>
      <sheetName val="公用"/>
      <sheetName val="进口设备购置费"/>
      <sheetName val="招标"/>
      <sheetName val="Sheet1"/>
      <sheetName val="Sheet2"/>
      <sheetName val="Sheet3"/>
      <sheetName val="Sheet4"/>
      <sheetName val="Sheet1 (2)"/>
      <sheetName val="Sheet5"/>
      <sheetName val="设备表"/>
      <sheetName val="进口工艺"/>
    </sheetNames>
    <sheetDataSet>
      <sheetData sheetId="0"/>
      <sheetData sheetId="1"/>
      <sheetData sheetId="2"/>
      <sheetData sheetId="3"/>
      <sheetData sheetId="4"/>
      <sheetData sheetId="5"/>
      <sheetData sheetId="6"/>
      <sheetData sheetId="7"/>
      <sheetData sheetId="8"/>
      <sheetData sheetId="9"/>
      <sheetData sheetId="10"/>
      <sheetData sheetId="11">
        <row r="1">
          <cell r="B1" t="str">
            <v>一工场200T吊北小组立场地西扩</v>
          </cell>
        </row>
        <row r="2">
          <cell r="B2" t="str">
            <v>一工场非船机加车间改造部件装焊车间</v>
          </cell>
        </row>
        <row r="3">
          <cell r="B3" t="str">
            <v>一工场300吨吊下总组场地西扩</v>
          </cell>
        </row>
        <row r="4">
          <cell r="B4" t="str">
            <v>一工场生产大楼拆除后场地改造为分段舾装场地</v>
          </cell>
        </row>
        <row r="5">
          <cell r="B5" t="str">
            <v>一工场填海区域新建分段堆场</v>
          </cell>
        </row>
        <row r="6">
          <cell r="B6" t="str">
            <v>一工场管加车间南跨改造机修车间</v>
          </cell>
        </row>
        <row r="7">
          <cell r="B7" t="str">
            <v>一工场第二空压站设备移址至第三空压站</v>
          </cell>
        </row>
        <row r="8">
          <cell r="B8" t="str">
            <v>一工场主动能（电力）管网改造</v>
          </cell>
        </row>
        <row r="9">
          <cell r="B9" t="str">
            <v>一工场西门岗运输通道建设</v>
          </cell>
        </row>
        <row r="10">
          <cell r="B10" t="str">
            <v>新建一工场垃圾场及废油桶储存场</v>
          </cell>
        </row>
        <row r="11">
          <cell r="B11" t="str">
            <v>二工场等离子切割机安装工程（二单元厂房内）</v>
          </cell>
        </row>
        <row r="12">
          <cell r="B12" t="str">
            <v>二工场钢加车间改造部件装焊车间</v>
          </cell>
        </row>
        <row r="13">
          <cell r="B13" t="str">
            <v>二工场钢料堆场改造部件装焊场地</v>
          </cell>
        </row>
        <row r="14">
          <cell r="B14" t="str">
            <v>二工场船坞区（600t）总装场地新增300t门式起重机轨道</v>
          </cell>
        </row>
        <row r="15">
          <cell r="B15" t="str">
            <v>二工场船坞区总组场地改造（F4-8）</v>
          </cell>
        </row>
        <row r="16">
          <cell r="B16" t="str">
            <v>二工场H3船台改造（20t门式起重机1台）</v>
          </cell>
        </row>
        <row r="17">
          <cell r="B17" t="str">
            <v>二工场2-1船台改造</v>
          </cell>
        </row>
        <row r="18">
          <cell r="B18" t="str">
            <v>钢配中心至二工场运输通道建设</v>
          </cell>
        </row>
        <row r="19">
          <cell r="B19" t="str">
            <v>三维同步调整顶升装置（引进）</v>
          </cell>
        </row>
        <row r="20">
          <cell r="B20" t="str">
            <v>工作艇</v>
          </cell>
        </row>
        <row r="21">
          <cell r="B21" t="str">
            <v>重点项目预备费</v>
          </cell>
        </row>
        <row r="22">
          <cell r="B22" t="str">
            <v>数码相机</v>
          </cell>
        </row>
        <row r="23">
          <cell r="B23" t="str">
            <v>数码摄像机</v>
          </cell>
        </row>
        <row r="24">
          <cell r="B24" t="str">
            <v>手工电弧焊机</v>
          </cell>
        </row>
        <row r="25">
          <cell r="B25" t="str">
            <v>CO2气体保护焊机</v>
          </cell>
        </row>
        <row r="26">
          <cell r="B26" t="str">
            <v>远红外高低温程控焊条烘干箱</v>
          </cell>
        </row>
        <row r="27">
          <cell r="B27" t="str">
            <v>鼓风型自动焊剂烘箱</v>
          </cell>
        </row>
        <row r="28">
          <cell r="B28" t="str">
            <v>仓储货架及搬运设备</v>
          </cell>
        </row>
        <row r="29">
          <cell r="B29" t="str">
            <v>信息化、现代化立体仓库</v>
          </cell>
        </row>
        <row r="30">
          <cell r="B30" t="str">
            <v>超声波探伤仪检定装置</v>
          </cell>
        </row>
        <row r="31">
          <cell r="B31" t="str">
            <v>直流电阻仪器智能化检定装置</v>
          </cell>
        </row>
        <row r="32">
          <cell r="B32" t="str">
            <v>盐分测试工具包</v>
          </cell>
        </row>
        <row r="33">
          <cell r="B33" t="str">
            <v>盐分测试工具包</v>
          </cell>
        </row>
        <row r="34">
          <cell r="B34" t="str">
            <v>噪声测量仪</v>
          </cell>
        </row>
        <row r="35">
          <cell r="B35" t="str">
            <v>化学分析中央试验台</v>
          </cell>
        </row>
        <row r="36">
          <cell r="B36" t="str">
            <v>布氏硬度计</v>
          </cell>
        </row>
        <row r="37">
          <cell r="B37" t="str">
            <v>一工场外网系统改造</v>
          </cell>
        </row>
        <row r="38">
          <cell r="B38" t="str">
            <v>一工场网络系统改造</v>
          </cell>
        </row>
        <row r="39">
          <cell r="B39" t="str">
            <v>二工场网络信息平台扩建/公司计算机终端及外设扩充</v>
          </cell>
        </row>
        <row r="40">
          <cell r="B40" t="str">
            <v>JCI-04——双丝埋弧焊设备</v>
          </cell>
        </row>
        <row r="41">
          <cell r="B41" t="str">
            <v>数码相机</v>
          </cell>
        </row>
        <row r="42">
          <cell r="B42" t="str">
            <v>台式对讲机</v>
          </cell>
        </row>
        <row r="43">
          <cell r="B43" t="str">
            <v>风向、风速仪</v>
          </cell>
        </row>
        <row r="44">
          <cell r="B44" t="str">
            <v>复印机</v>
          </cell>
        </row>
        <row r="45">
          <cell r="B45" t="str">
            <v>OmniScan便携式检测仪</v>
          </cell>
        </row>
        <row r="46">
          <cell r="B46" t="str">
            <v>数字式超声波探伤仪</v>
          </cell>
        </row>
        <row r="47">
          <cell r="B47" t="str">
            <v>工业X射线探伤机</v>
          </cell>
        </row>
        <row r="48">
          <cell r="B48" t="str">
            <v>工业X射线探伤机</v>
          </cell>
        </row>
        <row r="49">
          <cell r="B49" t="str">
            <v>磁粉探伤机</v>
          </cell>
        </row>
        <row r="50">
          <cell r="B50" t="str">
            <v>观片灯</v>
          </cell>
        </row>
        <row r="51">
          <cell r="B51" t="str">
            <v>底片黑度计</v>
          </cell>
        </row>
        <row r="52">
          <cell r="B52" t="str">
            <v>测厚探头</v>
          </cell>
        </row>
        <row r="53">
          <cell r="B53" t="str">
            <v>工业X射线探伤机</v>
          </cell>
        </row>
        <row r="54">
          <cell r="B54" t="str">
            <v>数字式超声波探伤仪</v>
          </cell>
        </row>
        <row r="55">
          <cell r="B55" t="str">
            <v>惠普多媒体投影机（HP）</v>
          </cell>
        </row>
        <row r="56">
          <cell r="B56" t="str">
            <v>工业X射线机</v>
          </cell>
        </row>
        <row r="57">
          <cell r="B57" t="str">
            <v>磁粉探伤仪</v>
          </cell>
        </row>
        <row r="58">
          <cell r="B58" t="str">
            <v>超声波探伤仪</v>
          </cell>
        </row>
        <row r="59">
          <cell r="B59" t="str">
            <v>超声波探伤仪</v>
          </cell>
        </row>
        <row r="60">
          <cell r="B60" t="str">
            <v>射线曝光间电动大门</v>
          </cell>
        </row>
        <row r="61">
          <cell r="B61" t="str">
            <v>火警调度台</v>
          </cell>
        </row>
        <row r="62">
          <cell r="B62" t="str">
            <v>数码相机</v>
          </cell>
        </row>
        <row r="63">
          <cell r="B63" t="str">
            <v>复印机</v>
          </cell>
        </row>
        <row r="64">
          <cell r="B64" t="str">
            <v>投影仪</v>
          </cell>
        </row>
        <row r="65">
          <cell r="B65" t="str">
            <v>气相色谱仪</v>
          </cell>
        </row>
        <row r="66">
          <cell r="B66" t="str">
            <v>投影机</v>
          </cell>
        </row>
        <row r="67">
          <cell r="B67" t="str">
            <v>数码照相机</v>
          </cell>
        </row>
        <row r="68">
          <cell r="B68" t="str">
            <v>隔绝式正压氧气呼吸器</v>
          </cell>
        </row>
        <row r="69">
          <cell r="B69" t="str">
            <v>骨骼传导佩戴受送话器</v>
          </cell>
        </row>
        <row r="70">
          <cell r="B70" t="str">
            <v>红外热像仪</v>
          </cell>
        </row>
        <row r="71">
          <cell r="B71" t="str">
            <v>强制呼吸复苏器</v>
          </cell>
        </row>
        <row r="72">
          <cell r="B72" t="str">
            <v>车载正压式长管空气呼吸器</v>
          </cell>
        </row>
        <row r="73">
          <cell r="B73" t="str">
            <v>消防车</v>
          </cell>
        </row>
        <row r="74">
          <cell r="B74" t="str">
            <v>CO2焊机</v>
          </cell>
        </row>
        <row r="75">
          <cell r="B75" t="str">
            <v>组合式电磁吸盘</v>
          </cell>
        </row>
        <row r="76">
          <cell r="B76" t="str">
            <v>电磁吸盘</v>
          </cell>
        </row>
        <row r="77">
          <cell r="B77" t="str">
            <v>电磁吸盘</v>
          </cell>
        </row>
        <row r="78">
          <cell r="B78" t="str">
            <v>曲型板用电磁吸盘</v>
          </cell>
        </row>
        <row r="79">
          <cell r="B79" t="str">
            <v>全方位切割机</v>
          </cell>
        </row>
        <row r="80">
          <cell r="B80" t="str">
            <v>埋弧自动焊机送丝机头</v>
          </cell>
        </row>
        <row r="81">
          <cell r="B81" t="str">
            <v>自动切割机</v>
          </cell>
        </row>
        <row r="82">
          <cell r="B82" t="str">
            <v>手扶切割机</v>
          </cell>
        </row>
        <row r="83">
          <cell r="B83" t="str">
            <v>CO2焊机</v>
          </cell>
        </row>
        <row r="84">
          <cell r="B84" t="str">
            <v>CO2角焊机</v>
          </cell>
        </row>
        <row r="85">
          <cell r="B85" t="str">
            <v>电子经纬仪</v>
          </cell>
        </row>
        <row r="86">
          <cell r="B86" t="str">
            <v>电子水准仪</v>
          </cell>
        </row>
        <row r="87">
          <cell r="B87" t="str">
            <v>硅整流焊机</v>
          </cell>
        </row>
        <row r="88">
          <cell r="B88" t="str">
            <v>电动平车</v>
          </cell>
        </row>
        <row r="89">
          <cell r="B89" t="str">
            <v>除湿机正式管道改造</v>
          </cell>
        </row>
        <row r="90">
          <cell r="B90" t="str">
            <v>喷漆泵</v>
          </cell>
        </row>
        <row r="91">
          <cell r="B91" t="str">
            <v>滑移装载机</v>
          </cell>
        </row>
        <row r="92">
          <cell r="B92" t="str">
            <v>漆膜测厚仪</v>
          </cell>
        </row>
        <row r="93">
          <cell r="B93" t="str">
            <v>移动式真空吸砂机</v>
          </cell>
        </row>
        <row r="94">
          <cell r="B94" t="str">
            <v>大型风动吸砂机</v>
          </cell>
        </row>
        <row r="95">
          <cell r="B95" t="str">
            <v>粗糙度检测仪</v>
          </cell>
        </row>
        <row r="96">
          <cell r="B96" t="str">
            <v>测盐份工具包</v>
          </cell>
        </row>
        <row r="97">
          <cell r="B97" t="str">
            <v>箱式加温机</v>
          </cell>
        </row>
        <row r="98">
          <cell r="B98" t="str">
            <v>碳弧气刨机</v>
          </cell>
        </row>
        <row r="99">
          <cell r="B99" t="str">
            <v>CO2气体保护焊机</v>
          </cell>
        </row>
        <row r="100">
          <cell r="B100" t="str">
            <v>硅整流焊机</v>
          </cell>
        </row>
        <row r="101">
          <cell r="B101" t="str">
            <v>经纬仪</v>
          </cell>
        </row>
        <row r="102">
          <cell r="B102" t="str">
            <v>数字水准仪</v>
          </cell>
        </row>
        <row r="103">
          <cell r="B103" t="str">
            <v>超声波测厚仪</v>
          </cell>
        </row>
        <row r="104">
          <cell r="B104" t="str">
            <v>电动高压泵</v>
          </cell>
        </row>
        <row r="105">
          <cell r="B105" t="str">
            <v>超高压电动泵</v>
          </cell>
        </row>
        <row r="106">
          <cell r="B106" t="str">
            <v>风动高压泵</v>
          </cell>
        </row>
        <row r="107">
          <cell r="B107" t="str">
            <v>风动磅压泵</v>
          </cell>
        </row>
        <row r="108">
          <cell r="B108" t="str">
            <v>扭矩拉伸器</v>
          </cell>
        </row>
        <row r="109">
          <cell r="B109" t="str">
            <v>移动式弯管机</v>
          </cell>
        </row>
        <row r="110">
          <cell r="B110" t="str">
            <v>移动式弯管机</v>
          </cell>
        </row>
        <row r="111">
          <cell r="B111" t="str">
            <v>全方位切割机</v>
          </cell>
        </row>
        <row r="112">
          <cell r="B112" t="str">
            <v>真空泵</v>
          </cell>
        </row>
        <row r="113">
          <cell r="B113" t="str">
            <v>电动液压弯管机</v>
          </cell>
        </row>
        <row r="114">
          <cell r="B114" t="str">
            <v>电动液压切缆机</v>
          </cell>
        </row>
        <row r="115">
          <cell r="B115" t="str">
            <v>电动液压压接机</v>
          </cell>
        </row>
        <row r="116">
          <cell r="B116" t="str">
            <v>C02焊机</v>
          </cell>
        </row>
        <row r="117">
          <cell r="B117" t="str">
            <v>逆变式直流焊机</v>
          </cell>
        </row>
        <row r="118">
          <cell r="B118" t="str">
            <v>气电立焊自动焊机</v>
          </cell>
        </row>
        <row r="119">
          <cell r="B119" t="str">
            <v>等离子切割机</v>
          </cell>
        </row>
        <row r="120">
          <cell r="B120" t="str">
            <v>碳弧气刨机</v>
          </cell>
        </row>
        <row r="121">
          <cell r="B121" t="str">
            <v>风速仪</v>
          </cell>
        </row>
        <row r="122">
          <cell r="B122" t="str">
            <v xml:space="preserve">多头焊机 </v>
          </cell>
        </row>
        <row r="123">
          <cell r="B123" t="str">
            <v>埋弧自动焊机</v>
          </cell>
        </row>
        <row r="124">
          <cell r="B124" t="str">
            <v>风动往复泵</v>
          </cell>
        </row>
        <row r="125">
          <cell r="B125" t="str">
            <v>温度较准仪</v>
          </cell>
        </row>
        <row r="126">
          <cell r="B126" t="str">
            <v>主机示功器</v>
          </cell>
        </row>
        <row r="127">
          <cell r="B127" t="str">
            <v>卡套预装扩口机</v>
          </cell>
        </row>
        <row r="128">
          <cell r="B128" t="str">
            <v>压力较准仪</v>
          </cell>
        </row>
        <row r="129">
          <cell r="B129" t="str">
            <v>挠度测量仪</v>
          </cell>
        </row>
        <row r="130">
          <cell r="B130" t="str">
            <v>数码复印机</v>
          </cell>
        </row>
        <row r="131">
          <cell r="B131" t="str">
            <v>光电激光电子转速仪</v>
          </cell>
        </row>
        <row r="132">
          <cell r="B132" t="str">
            <v>红外线测温仪</v>
          </cell>
        </row>
        <row r="133">
          <cell r="B133" t="str">
            <v>线号打字机</v>
          </cell>
        </row>
        <row r="134">
          <cell r="B134" t="str">
            <v>皮卡雕刻机</v>
          </cell>
        </row>
        <row r="135">
          <cell r="B135" t="str">
            <v>隔离变压器</v>
          </cell>
        </row>
        <row r="136">
          <cell r="B136" t="str">
            <v>晶闸管控制弧焊机</v>
          </cell>
        </row>
        <row r="137">
          <cell r="B137" t="str">
            <v>爆发压力表</v>
          </cell>
        </row>
        <row r="138">
          <cell r="B138" t="str">
            <v>轴负荷压力传感器/显示器</v>
          </cell>
        </row>
        <row r="139">
          <cell r="B139" t="str">
            <v>磁力座钻</v>
          </cell>
        </row>
        <row r="140">
          <cell r="B140" t="str">
            <v>螺母劈开器</v>
          </cell>
        </row>
        <row r="141">
          <cell r="B141" t="str">
            <v>风量风速仪</v>
          </cell>
        </row>
        <row r="142">
          <cell r="B142" t="str">
            <v>法兰分离器分离</v>
          </cell>
        </row>
        <row r="143">
          <cell r="B143" t="str">
            <v>风动扭矩扳手</v>
          </cell>
        </row>
        <row r="144">
          <cell r="B144" t="str">
            <v>风动磅压泵</v>
          </cell>
        </row>
        <row r="145">
          <cell r="B145" t="str">
            <v>喷涂机(进口)</v>
          </cell>
        </row>
        <row r="146">
          <cell r="B146" t="str">
            <v>液压扳手工作头</v>
          </cell>
        </row>
        <row r="147">
          <cell r="B147" t="str">
            <v>便携式喷砂枪</v>
          </cell>
        </row>
        <row r="148">
          <cell r="B148" t="str">
            <v>无极碳弧气刨机</v>
          </cell>
        </row>
        <row r="149">
          <cell r="B149" t="str">
            <v>便携压弧焊机</v>
          </cell>
        </row>
        <row r="150">
          <cell r="B150" t="str">
            <v>电动上油机</v>
          </cell>
        </row>
        <row r="151">
          <cell r="B151" t="str">
            <v>工业吸尘器</v>
          </cell>
        </row>
        <row r="152">
          <cell r="B152" t="str">
            <v>电动高压泵</v>
          </cell>
        </row>
        <row r="153">
          <cell r="B153" t="str">
            <v>真空泵</v>
          </cell>
        </row>
        <row r="154">
          <cell r="B154" t="str">
            <v>超薄千斤顶</v>
          </cell>
        </row>
        <row r="155">
          <cell r="B155" t="str">
            <v>埋弧自动焊机</v>
          </cell>
        </row>
        <row r="156">
          <cell r="B156" t="str">
            <v>逆变直流手弧焊机</v>
          </cell>
        </row>
        <row r="157">
          <cell r="B157" t="str">
            <v>CO2保护焊机</v>
          </cell>
        </row>
        <row r="158">
          <cell r="B158" t="str">
            <v>风动葫芦(5T)</v>
          </cell>
        </row>
        <row r="159">
          <cell r="B159" t="str">
            <v>充电式压接/切割/冲孔一体机</v>
          </cell>
        </row>
        <row r="160">
          <cell r="B160" t="str">
            <v>定位定距气焊切割机</v>
          </cell>
        </row>
        <row r="161">
          <cell r="B161" t="str">
            <v>风动扭矩扳手</v>
          </cell>
        </row>
        <row r="162">
          <cell r="B162" t="str">
            <v>扭距拉伸枪</v>
          </cell>
        </row>
        <row r="163">
          <cell r="B163" t="str">
            <v>超声波单通道流量计</v>
          </cell>
        </row>
        <row r="164">
          <cell r="B164" t="str">
            <v>压力校验仪</v>
          </cell>
        </row>
        <row r="165">
          <cell r="B165" t="str">
            <v>垂直自动焊机</v>
          </cell>
        </row>
        <row r="166">
          <cell r="B166" t="str">
            <v>埋弧自动焊机</v>
          </cell>
        </row>
        <row r="167">
          <cell r="B167" t="str">
            <v>电动高压泵</v>
          </cell>
        </row>
        <row r="168">
          <cell r="B168" t="str">
            <v>高压电动泵</v>
          </cell>
        </row>
        <row r="169">
          <cell r="B169" t="str">
            <v>风动高压泵</v>
          </cell>
        </row>
        <row r="170">
          <cell r="B170" t="str">
            <v>主机示功器</v>
          </cell>
        </row>
        <row r="171">
          <cell r="B171" t="str">
            <v>主机挠度测量仪</v>
          </cell>
        </row>
        <row r="172">
          <cell r="B172" t="str">
            <v>电子拐挡测量装置</v>
          </cell>
        </row>
        <row r="173">
          <cell r="B173" t="str">
            <v>爆发压力表</v>
          </cell>
        </row>
        <row r="174">
          <cell r="B174" t="str">
            <v>全方位切割机</v>
          </cell>
        </row>
        <row r="175">
          <cell r="B175" t="str">
            <v>CO2焊机</v>
          </cell>
        </row>
        <row r="176">
          <cell r="B176" t="str">
            <v>弯管机</v>
          </cell>
        </row>
        <row r="177">
          <cell r="B177" t="str">
            <v>风动磅压泵</v>
          </cell>
        </row>
        <row r="178">
          <cell r="B178" t="str">
            <v>法兰分离器</v>
          </cell>
        </row>
        <row r="179">
          <cell r="B179" t="str">
            <v>风动扭矩紧固器</v>
          </cell>
        </row>
        <row r="180">
          <cell r="B180" t="str">
            <v>接地电阻测试仪</v>
          </cell>
        </row>
        <row r="181">
          <cell r="B181" t="str">
            <v>绝缘电阻测试仪</v>
          </cell>
        </row>
        <row r="182">
          <cell r="B182" t="str">
            <v>电缆液压切缆机</v>
          </cell>
        </row>
        <row r="183">
          <cell r="B183" t="str">
            <v>全能多用机</v>
          </cell>
        </row>
        <row r="184">
          <cell r="B184" t="str">
            <v>电缆液压压接机</v>
          </cell>
        </row>
        <row r="185">
          <cell r="B185" t="str">
            <v>薄铁液压冲孔机</v>
          </cell>
        </row>
        <row r="186">
          <cell r="B186" t="str">
            <v>风速仪</v>
          </cell>
        </row>
        <row r="187">
          <cell r="B187" t="str">
            <v>高压兆欧表</v>
          </cell>
        </row>
        <row r="188">
          <cell r="B188" t="str">
            <v>水平测量仪</v>
          </cell>
        </row>
        <row r="189">
          <cell r="B189" t="str">
            <v>埋弧自动焊机</v>
          </cell>
        </row>
        <row r="190">
          <cell r="B190" t="str">
            <v>喷漆泵</v>
          </cell>
        </row>
        <row r="191">
          <cell r="B191" t="str">
            <v>测氧仪</v>
          </cell>
        </row>
        <row r="192">
          <cell r="B192" t="str">
            <v>涂装漆膜表</v>
          </cell>
        </row>
        <row r="193">
          <cell r="B193" t="str">
            <v>多功能测试仪</v>
          </cell>
        </row>
        <row r="194">
          <cell r="B194" t="str">
            <v>900t吊车空调</v>
          </cell>
        </row>
        <row r="195">
          <cell r="B195" t="str">
            <v>T-930船用多功能手泵（空气泵)</v>
          </cell>
        </row>
        <row r="196">
          <cell r="B196" t="str">
            <v>轴系校中用传感器和显示器</v>
          </cell>
        </row>
        <row r="197">
          <cell r="B197" t="str">
            <v>高压电动泵</v>
          </cell>
        </row>
        <row r="198">
          <cell r="B198" t="str">
            <v>矮型油缸组</v>
          </cell>
        </row>
        <row r="199">
          <cell r="B199" t="str">
            <v>气割开孔机</v>
          </cell>
        </row>
        <row r="200">
          <cell r="B200" t="str">
            <v>红外线测温仪</v>
          </cell>
        </row>
        <row r="201">
          <cell r="B201" t="str">
            <v>露点仪</v>
          </cell>
        </row>
        <row r="202">
          <cell r="B202" t="str">
            <v>气动扳手</v>
          </cell>
        </row>
        <row r="203">
          <cell r="B203" t="str">
            <v>电动甘油枪</v>
          </cell>
        </row>
        <row r="204">
          <cell r="B204" t="str">
            <v>CO2半自动气体保护焊机</v>
          </cell>
        </row>
        <row r="205">
          <cell r="B205" t="str">
            <v>真空泵</v>
          </cell>
        </row>
        <row r="206">
          <cell r="B206" t="str">
            <v>气动扭矩扳手</v>
          </cell>
        </row>
        <row r="207">
          <cell r="B207" t="str">
            <v>三头晶闸管整流弧焊机</v>
          </cell>
        </row>
        <row r="208">
          <cell r="B208" t="str">
            <v>中空液压扳手</v>
          </cell>
        </row>
        <row r="209">
          <cell r="B209" t="str">
            <v>碳弧气刨机</v>
          </cell>
        </row>
        <row r="210">
          <cell r="B210" t="str">
            <v>法兰分离器</v>
          </cell>
        </row>
        <row r="211">
          <cell r="B211" t="str">
            <v>三区至六区低压供电系统改造</v>
          </cell>
        </row>
        <row r="212">
          <cell r="B212" t="str">
            <v>板式换热器</v>
          </cell>
        </row>
        <row r="213">
          <cell r="B213" t="str">
            <v>温水循环泵</v>
          </cell>
        </row>
        <row r="214">
          <cell r="B214" t="str">
            <v>柴油发电机组</v>
          </cell>
        </row>
        <row r="215">
          <cell r="B215" t="str">
            <v>36伏变压器</v>
          </cell>
        </row>
        <row r="216">
          <cell r="B216" t="str">
            <v>低压电容器组</v>
          </cell>
        </row>
        <row r="217">
          <cell r="B217" t="str">
            <v>计算机</v>
          </cell>
        </row>
        <row r="218">
          <cell r="B218" t="str">
            <v>复合式气体检测仪</v>
          </cell>
        </row>
        <row r="219">
          <cell r="B219" t="str">
            <v>防爆风机</v>
          </cell>
        </row>
        <row r="220">
          <cell r="B220" t="str">
            <v>转轮混合型风冷除湿机</v>
          </cell>
        </row>
        <row r="221">
          <cell r="B221" t="str">
            <v>真空吸砂机</v>
          </cell>
        </row>
        <row r="222">
          <cell r="B222" t="str">
            <v>存储记录仪</v>
          </cell>
        </row>
        <row r="223">
          <cell r="B223" t="str">
            <v>柴油加温机</v>
          </cell>
        </row>
        <row r="224">
          <cell r="B224" t="str">
            <v>喷漆泵</v>
          </cell>
        </row>
        <row r="225">
          <cell r="B225" t="str">
            <v>除湿机</v>
          </cell>
        </row>
        <row r="226">
          <cell r="B226" t="str">
            <v>大型风动吸砂机</v>
          </cell>
        </row>
        <row r="227">
          <cell r="B227" t="str">
            <v>移动式空压机</v>
          </cell>
        </row>
        <row r="228">
          <cell r="B228" t="str">
            <v>焊条干燥箱</v>
          </cell>
        </row>
        <row r="229">
          <cell r="B229" t="str">
            <v>等离子切割机</v>
          </cell>
        </row>
        <row r="230">
          <cell r="B230" t="str">
            <v>焊接滚轮架</v>
          </cell>
        </row>
        <row r="231">
          <cell r="B231" t="str">
            <v>风动磅压泵</v>
          </cell>
        </row>
        <row r="232">
          <cell r="B232" t="str">
            <v>碳弧气刨机</v>
          </cell>
        </row>
        <row r="233">
          <cell r="B233" t="str">
            <v>氩弧焊机</v>
          </cell>
        </row>
        <row r="234">
          <cell r="B234" t="str">
            <v>CO2焊机</v>
          </cell>
        </row>
        <row r="235">
          <cell r="B235" t="str">
            <v>建造多功能机动艇</v>
          </cell>
        </row>
        <row r="236">
          <cell r="B236" t="str">
            <v>舢板船</v>
          </cell>
        </row>
        <row r="237">
          <cell r="B237" t="str">
            <v>复印机</v>
          </cell>
        </row>
        <row r="238">
          <cell r="B238" t="str">
            <v>传真机</v>
          </cell>
        </row>
        <row r="239">
          <cell r="B239" t="str">
            <v>手持GPS</v>
          </cell>
        </row>
        <row r="240">
          <cell r="B240" t="str">
            <v>高压热水洗水机</v>
          </cell>
        </row>
        <row r="241">
          <cell r="B241" t="str">
            <v>转轮式除湿机</v>
          </cell>
        </row>
        <row r="242">
          <cell r="B242" t="str">
            <v>气动加油机</v>
          </cell>
        </row>
        <row r="243">
          <cell r="B243" t="str">
            <v>全自动正反吸式除尘器</v>
          </cell>
        </row>
        <row r="244">
          <cell r="B244" t="str">
            <v>南坞闸门</v>
          </cell>
        </row>
        <row r="245">
          <cell r="B245" t="str">
            <v>气体压缩机</v>
          </cell>
        </row>
        <row r="246">
          <cell r="B246" t="str">
            <v>高压热水清洗机</v>
          </cell>
        </row>
        <row r="247">
          <cell r="B247" t="str">
            <v>喷砂机</v>
          </cell>
        </row>
        <row r="248">
          <cell r="B248" t="str">
            <v>可燃气体测爆仪</v>
          </cell>
        </row>
        <row r="249">
          <cell r="B249" t="str">
            <v>7吨集装箱叉车</v>
          </cell>
        </row>
        <row r="250">
          <cell r="B250" t="str">
            <v>3吨万能叉车</v>
          </cell>
        </row>
        <row r="251">
          <cell r="B251" t="str">
            <v>6吨万能叉车</v>
          </cell>
        </row>
        <row r="252">
          <cell r="B252" t="str">
            <v>5吨装载机</v>
          </cell>
        </row>
        <row r="253">
          <cell r="B253" t="str">
            <v>斯太尔自卸车</v>
          </cell>
        </row>
        <row r="254">
          <cell r="B254" t="str">
            <v>汽车吊</v>
          </cell>
        </row>
        <row r="255">
          <cell r="B255" t="str">
            <v>10吨叉车</v>
          </cell>
        </row>
        <row r="256">
          <cell r="B256" t="str">
            <v>6吨叉车</v>
          </cell>
        </row>
        <row r="257">
          <cell r="B257" t="str">
            <v>3吨叉车</v>
          </cell>
        </row>
        <row r="258">
          <cell r="B258" t="str">
            <v>6吨集装箱叉车</v>
          </cell>
        </row>
      </sheetData>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投资"/>
      <sheetName val="室内"/>
      <sheetName val="取费"/>
      <sheetName val="工艺设备"/>
      <sheetName val="新增工艺设备明细表"/>
      <sheetName val="新增进口工艺设备明细表"/>
      <sheetName val="公用"/>
      <sheetName val="进口设备购置费"/>
      <sheetName val="招标"/>
      <sheetName val="Sheet1"/>
      <sheetName val="Sheet2"/>
      <sheetName val="Sheet3"/>
      <sheetName val="Sheet4"/>
      <sheetName val="Sheet1 (2)"/>
      <sheetName val="Sheet5"/>
      <sheetName val="设备表"/>
      <sheetName val="进口工艺"/>
    </sheetNames>
    <sheetDataSet>
      <sheetData sheetId="0"/>
      <sheetData sheetId="1"/>
      <sheetData sheetId="2"/>
      <sheetData sheetId="3"/>
      <sheetData sheetId="4"/>
      <sheetData sheetId="5"/>
      <sheetData sheetId="6"/>
      <sheetData sheetId="7"/>
      <sheetData sheetId="8"/>
      <sheetData sheetId="9"/>
      <sheetData sheetId="10"/>
      <sheetData sheetId="11">
        <row r="1">
          <cell r="B1" t="str">
            <v>一工场200T吊北小组立场地西扩</v>
          </cell>
        </row>
        <row r="2">
          <cell r="B2" t="str">
            <v>一工场非船机加车间改造部件装焊车间</v>
          </cell>
        </row>
        <row r="3">
          <cell r="B3" t="str">
            <v>一工场300吨吊下总组场地西扩</v>
          </cell>
        </row>
        <row r="4">
          <cell r="B4" t="str">
            <v>一工场生产大楼拆除后场地改造为分段舾装场地</v>
          </cell>
        </row>
        <row r="5">
          <cell r="B5" t="str">
            <v>一工场填海区域新建分段堆场</v>
          </cell>
        </row>
        <row r="6">
          <cell r="B6" t="str">
            <v>一工场管加车间南跨改造机修车间</v>
          </cell>
        </row>
        <row r="7">
          <cell r="B7" t="str">
            <v>一工场第二空压站设备移址至第三空压站</v>
          </cell>
        </row>
        <row r="8">
          <cell r="B8" t="str">
            <v>一工场主动能（电力）管网改造</v>
          </cell>
        </row>
        <row r="9">
          <cell r="B9" t="str">
            <v>一工场西门岗运输通道建设</v>
          </cell>
        </row>
        <row r="10">
          <cell r="B10" t="str">
            <v>新建一工场垃圾场及废油桶储存场</v>
          </cell>
        </row>
        <row r="11">
          <cell r="B11" t="str">
            <v>二工场等离子切割机安装工程（二单元厂房内）</v>
          </cell>
        </row>
        <row r="12">
          <cell r="B12" t="str">
            <v>二工场钢加车间改造部件装焊车间</v>
          </cell>
        </row>
        <row r="13">
          <cell r="B13" t="str">
            <v>二工场钢料堆场改造部件装焊场地</v>
          </cell>
        </row>
        <row r="14">
          <cell r="B14" t="str">
            <v>二工场船坞区（600t）总装场地新增300t门式起重机轨道</v>
          </cell>
        </row>
        <row r="15">
          <cell r="B15" t="str">
            <v>二工场船坞区总组场地改造（F4-8）</v>
          </cell>
        </row>
        <row r="16">
          <cell r="B16" t="str">
            <v>二工场H3船台改造（20t门式起重机1台）</v>
          </cell>
        </row>
        <row r="17">
          <cell r="B17" t="str">
            <v>二工场2-1船台改造</v>
          </cell>
        </row>
        <row r="18">
          <cell r="B18" t="str">
            <v>钢配中心至二工场运输通道建设</v>
          </cell>
        </row>
        <row r="19">
          <cell r="B19" t="str">
            <v>三维同步调整顶升装置（引进）</v>
          </cell>
        </row>
        <row r="20">
          <cell r="B20" t="str">
            <v>工作艇</v>
          </cell>
        </row>
        <row r="21">
          <cell r="B21" t="str">
            <v>重点项目预备费</v>
          </cell>
        </row>
        <row r="22">
          <cell r="B22" t="str">
            <v>数码相机</v>
          </cell>
        </row>
        <row r="23">
          <cell r="B23" t="str">
            <v>数码摄像机</v>
          </cell>
        </row>
        <row r="24">
          <cell r="B24" t="str">
            <v>手工电弧焊机</v>
          </cell>
        </row>
        <row r="25">
          <cell r="B25" t="str">
            <v>CO2气体保护焊机</v>
          </cell>
        </row>
        <row r="26">
          <cell r="B26" t="str">
            <v>远红外高低温程控焊条烘干箱</v>
          </cell>
        </row>
        <row r="27">
          <cell r="B27" t="str">
            <v>鼓风型自动焊剂烘箱</v>
          </cell>
        </row>
        <row r="28">
          <cell r="B28" t="str">
            <v>仓储货架及搬运设备</v>
          </cell>
        </row>
        <row r="29">
          <cell r="B29" t="str">
            <v>信息化、现代化立体仓库</v>
          </cell>
        </row>
        <row r="30">
          <cell r="B30" t="str">
            <v>超声波探伤仪检定装置</v>
          </cell>
        </row>
        <row r="31">
          <cell r="B31" t="str">
            <v>直流电阻仪器智能化检定装置</v>
          </cell>
        </row>
        <row r="32">
          <cell r="B32" t="str">
            <v>盐分测试工具包</v>
          </cell>
        </row>
        <row r="33">
          <cell r="B33" t="str">
            <v>盐分测试工具包</v>
          </cell>
        </row>
        <row r="34">
          <cell r="B34" t="str">
            <v>噪声测量仪</v>
          </cell>
        </row>
        <row r="35">
          <cell r="B35" t="str">
            <v>化学分析中央试验台</v>
          </cell>
        </row>
        <row r="36">
          <cell r="B36" t="str">
            <v>布氏硬度计</v>
          </cell>
        </row>
        <row r="37">
          <cell r="B37" t="str">
            <v>一工场外网系统改造</v>
          </cell>
        </row>
        <row r="38">
          <cell r="B38" t="str">
            <v>一工场网络系统改造</v>
          </cell>
        </row>
        <row r="39">
          <cell r="B39" t="str">
            <v>二工场网络信息平台扩建/公司计算机终端及外设扩充</v>
          </cell>
        </row>
        <row r="40">
          <cell r="B40" t="str">
            <v>JCI-04——双丝埋弧焊设备</v>
          </cell>
        </row>
        <row r="41">
          <cell r="B41" t="str">
            <v>数码相机</v>
          </cell>
        </row>
        <row r="42">
          <cell r="B42" t="str">
            <v>台式对讲机</v>
          </cell>
        </row>
        <row r="43">
          <cell r="B43" t="str">
            <v>风向、风速仪</v>
          </cell>
        </row>
        <row r="44">
          <cell r="B44" t="str">
            <v>复印机</v>
          </cell>
        </row>
        <row r="45">
          <cell r="B45" t="str">
            <v>OmniScan便携式检测仪</v>
          </cell>
        </row>
        <row r="46">
          <cell r="B46" t="str">
            <v>数字式超声波探伤仪</v>
          </cell>
        </row>
        <row r="47">
          <cell r="B47" t="str">
            <v>工业X射线探伤机</v>
          </cell>
        </row>
        <row r="48">
          <cell r="B48" t="str">
            <v>工业X射线探伤机</v>
          </cell>
        </row>
        <row r="49">
          <cell r="B49" t="str">
            <v>磁粉探伤机</v>
          </cell>
        </row>
        <row r="50">
          <cell r="B50" t="str">
            <v>观片灯</v>
          </cell>
        </row>
        <row r="51">
          <cell r="B51" t="str">
            <v>底片黑度计</v>
          </cell>
        </row>
        <row r="52">
          <cell r="B52" t="str">
            <v>测厚探头</v>
          </cell>
        </row>
        <row r="53">
          <cell r="B53" t="str">
            <v>工业X射线探伤机</v>
          </cell>
        </row>
        <row r="54">
          <cell r="B54" t="str">
            <v>数字式超声波探伤仪</v>
          </cell>
        </row>
        <row r="55">
          <cell r="B55" t="str">
            <v>惠普多媒体投影机（HP）</v>
          </cell>
        </row>
        <row r="56">
          <cell r="B56" t="str">
            <v>工业X射线机</v>
          </cell>
        </row>
        <row r="57">
          <cell r="B57" t="str">
            <v>磁粉探伤仪</v>
          </cell>
        </row>
        <row r="58">
          <cell r="B58" t="str">
            <v>超声波探伤仪</v>
          </cell>
        </row>
        <row r="59">
          <cell r="B59" t="str">
            <v>超声波探伤仪</v>
          </cell>
        </row>
        <row r="60">
          <cell r="B60" t="str">
            <v>射线曝光间电动大门</v>
          </cell>
        </row>
        <row r="61">
          <cell r="B61" t="str">
            <v>火警调度台</v>
          </cell>
        </row>
        <row r="62">
          <cell r="B62" t="str">
            <v>数码相机</v>
          </cell>
        </row>
        <row r="63">
          <cell r="B63" t="str">
            <v>复印机</v>
          </cell>
        </row>
        <row r="64">
          <cell r="B64" t="str">
            <v>投影仪</v>
          </cell>
        </row>
        <row r="65">
          <cell r="B65" t="str">
            <v>气相色谱仪</v>
          </cell>
        </row>
        <row r="66">
          <cell r="B66" t="str">
            <v>投影机</v>
          </cell>
        </row>
        <row r="67">
          <cell r="B67" t="str">
            <v>数码照相机</v>
          </cell>
        </row>
        <row r="68">
          <cell r="B68" t="str">
            <v>隔绝式正压氧气呼吸器</v>
          </cell>
        </row>
        <row r="69">
          <cell r="B69" t="str">
            <v>骨骼传导佩戴受送话器</v>
          </cell>
        </row>
        <row r="70">
          <cell r="B70" t="str">
            <v>红外热像仪</v>
          </cell>
        </row>
        <row r="71">
          <cell r="B71" t="str">
            <v>强制呼吸复苏器</v>
          </cell>
        </row>
        <row r="72">
          <cell r="B72" t="str">
            <v>车载正压式长管空气呼吸器</v>
          </cell>
        </row>
        <row r="73">
          <cell r="B73" t="str">
            <v>消防车</v>
          </cell>
        </row>
        <row r="74">
          <cell r="B74" t="str">
            <v>CO2焊机</v>
          </cell>
        </row>
        <row r="75">
          <cell r="B75" t="str">
            <v>组合式电磁吸盘</v>
          </cell>
        </row>
        <row r="76">
          <cell r="B76" t="str">
            <v>电磁吸盘</v>
          </cell>
        </row>
        <row r="77">
          <cell r="B77" t="str">
            <v>电磁吸盘</v>
          </cell>
        </row>
        <row r="78">
          <cell r="B78" t="str">
            <v>曲型板用电磁吸盘</v>
          </cell>
        </row>
        <row r="79">
          <cell r="B79" t="str">
            <v>全方位切割机</v>
          </cell>
        </row>
        <row r="80">
          <cell r="B80" t="str">
            <v>埋弧自动焊机送丝机头</v>
          </cell>
        </row>
        <row r="81">
          <cell r="B81" t="str">
            <v>自动切割机</v>
          </cell>
        </row>
        <row r="82">
          <cell r="B82" t="str">
            <v>手扶切割机</v>
          </cell>
        </row>
        <row r="83">
          <cell r="B83" t="str">
            <v>CO2焊机</v>
          </cell>
        </row>
        <row r="84">
          <cell r="B84" t="str">
            <v>CO2角焊机</v>
          </cell>
        </row>
        <row r="85">
          <cell r="B85" t="str">
            <v>电子经纬仪</v>
          </cell>
        </row>
        <row r="86">
          <cell r="B86" t="str">
            <v>电子水准仪</v>
          </cell>
        </row>
        <row r="87">
          <cell r="B87" t="str">
            <v>硅整流焊机</v>
          </cell>
        </row>
        <row r="88">
          <cell r="B88" t="str">
            <v>电动平车</v>
          </cell>
        </row>
        <row r="89">
          <cell r="B89" t="str">
            <v>除湿机正式管道改造</v>
          </cell>
        </row>
        <row r="90">
          <cell r="B90" t="str">
            <v>喷漆泵</v>
          </cell>
        </row>
        <row r="91">
          <cell r="B91" t="str">
            <v>滑移装载机</v>
          </cell>
        </row>
        <row r="92">
          <cell r="B92" t="str">
            <v>漆膜测厚仪</v>
          </cell>
        </row>
        <row r="93">
          <cell r="B93" t="str">
            <v>移动式真空吸砂机</v>
          </cell>
        </row>
        <row r="94">
          <cell r="B94" t="str">
            <v>大型风动吸砂机</v>
          </cell>
        </row>
        <row r="95">
          <cell r="B95" t="str">
            <v>粗糙度检测仪</v>
          </cell>
        </row>
        <row r="96">
          <cell r="B96" t="str">
            <v>测盐份工具包</v>
          </cell>
        </row>
        <row r="97">
          <cell r="B97" t="str">
            <v>箱式加温机</v>
          </cell>
        </row>
        <row r="98">
          <cell r="B98" t="str">
            <v>碳弧气刨机</v>
          </cell>
        </row>
        <row r="99">
          <cell r="B99" t="str">
            <v>CO2气体保护焊机</v>
          </cell>
        </row>
        <row r="100">
          <cell r="B100" t="str">
            <v>硅整流焊机</v>
          </cell>
        </row>
        <row r="101">
          <cell r="B101" t="str">
            <v>经纬仪</v>
          </cell>
        </row>
        <row r="102">
          <cell r="B102" t="str">
            <v>数字水准仪</v>
          </cell>
        </row>
        <row r="103">
          <cell r="B103" t="str">
            <v>超声波测厚仪</v>
          </cell>
        </row>
        <row r="104">
          <cell r="B104" t="str">
            <v>电动高压泵</v>
          </cell>
        </row>
        <row r="105">
          <cell r="B105" t="str">
            <v>超高压电动泵</v>
          </cell>
        </row>
        <row r="106">
          <cell r="B106" t="str">
            <v>风动高压泵</v>
          </cell>
        </row>
        <row r="107">
          <cell r="B107" t="str">
            <v>风动磅压泵</v>
          </cell>
        </row>
        <row r="108">
          <cell r="B108" t="str">
            <v>扭矩拉伸器</v>
          </cell>
        </row>
        <row r="109">
          <cell r="B109" t="str">
            <v>移动式弯管机</v>
          </cell>
        </row>
        <row r="110">
          <cell r="B110" t="str">
            <v>移动式弯管机</v>
          </cell>
        </row>
        <row r="111">
          <cell r="B111" t="str">
            <v>全方位切割机</v>
          </cell>
        </row>
        <row r="112">
          <cell r="B112" t="str">
            <v>真空泵</v>
          </cell>
        </row>
        <row r="113">
          <cell r="B113" t="str">
            <v>电动液压弯管机</v>
          </cell>
        </row>
        <row r="114">
          <cell r="B114" t="str">
            <v>电动液压切缆机</v>
          </cell>
        </row>
        <row r="115">
          <cell r="B115" t="str">
            <v>电动液压压接机</v>
          </cell>
        </row>
        <row r="116">
          <cell r="B116" t="str">
            <v>C02焊机</v>
          </cell>
        </row>
        <row r="117">
          <cell r="B117" t="str">
            <v>逆变式直流焊机</v>
          </cell>
        </row>
        <row r="118">
          <cell r="B118" t="str">
            <v>气电立焊自动焊机</v>
          </cell>
        </row>
        <row r="119">
          <cell r="B119" t="str">
            <v>等离子切割机</v>
          </cell>
        </row>
        <row r="120">
          <cell r="B120" t="str">
            <v>碳弧气刨机</v>
          </cell>
        </row>
        <row r="121">
          <cell r="B121" t="str">
            <v>风速仪</v>
          </cell>
        </row>
        <row r="122">
          <cell r="B122" t="str">
            <v xml:space="preserve">多头焊机 </v>
          </cell>
        </row>
        <row r="123">
          <cell r="B123" t="str">
            <v>埋弧自动焊机</v>
          </cell>
        </row>
        <row r="124">
          <cell r="B124" t="str">
            <v>风动往复泵</v>
          </cell>
        </row>
        <row r="125">
          <cell r="B125" t="str">
            <v>温度较准仪</v>
          </cell>
        </row>
        <row r="126">
          <cell r="B126" t="str">
            <v>主机示功器</v>
          </cell>
        </row>
        <row r="127">
          <cell r="B127" t="str">
            <v>卡套预装扩口机</v>
          </cell>
        </row>
        <row r="128">
          <cell r="B128" t="str">
            <v>压力较准仪</v>
          </cell>
        </row>
        <row r="129">
          <cell r="B129" t="str">
            <v>挠度测量仪</v>
          </cell>
        </row>
        <row r="130">
          <cell r="B130" t="str">
            <v>数码复印机</v>
          </cell>
        </row>
        <row r="131">
          <cell r="B131" t="str">
            <v>光电激光电子转速仪</v>
          </cell>
        </row>
        <row r="132">
          <cell r="B132" t="str">
            <v>红外线测温仪</v>
          </cell>
        </row>
        <row r="133">
          <cell r="B133" t="str">
            <v>线号打字机</v>
          </cell>
        </row>
        <row r="134">
          <cell r="B134" t="str">
            <v>皮卡雕刻机</v>
          </cell>
        </row>
        <row r="135">
          <cell r="B135" t="str">
            <v>隔离变压器</v>
          </cell>
        </row>
        <row r="136">
          <cell r="B136" t="str">
            <v>晶闸管控制弧焊机</v>
          </cell>
        </row>
        <row r="137">
          <cell r="B137" t="str">
            <v>爆发压力表</v>
          </cell>
        </row>
        <row r="138">
          <cell r="B138" t="str">
            <v>轴负荷压力传感器/显示器</v>
          </cell>
        </row>
        <row r="139">
          <cell r="B139" t="str">
            <v>磁力座钻</v>
          </cell>
        </row>
        <row r="140">
          <cell r="B140" t="str">
            <v>螺母劈开器</v>
          </cell>
        </row>
        <row r="141">
          <cell r="B141" t="str">
            <v>风量风速仪</v>
          </cell>
        </row>
        <row r="142">
          <cell r="B142" t="str">
            <v>法兰分离器分离</v>
          </cell>
        </row>
        <row r="143">
          <cell r="B143" t="str">
            <v>风动扭矩扳手</v>
          </cell>
        </row>
        <row r="144">
          <cell r="B144" t="str">
            <v>风动磅压泵</v>
          </cell>
        </row>
        <row r="145">
          <cell r="B145" t="str">
            <v>喷涂机(进口)</v>
          </cell>
        </row>
        <row r="146">
          <cell r="B146" t="str">
            <v>液压扳手工作头</v>
          </cell>
        </row>
        <row r="147">
          <cell r="B147" t="str">
            <v>便携式喷砂枪</v>
          </cell>
        </row>
        <row r="148">
          <cell r="B148" t="str">
            <v>无极碳弧气刨机</v>
          </cell>
        </row>
        <row r="149">
          <cell r="B149" t="str">
            <v>便携压弧焊机</v>
          </cell>
        </row>
        <row r="150">
          <cell r="B150" t="str">
            <v>电动上油机</v>
          </cell>
        </row>
        <row r="151">
          <cell r="B151" t="str">
            <v>工业吸尘器</v>
          </cell>
        </row>
        <row r="152">
          <cell r="B152" t="str">
            <v>电动高压泵</v>
          </cell>
        </row>
        <row r="153">
          <cell r="B153" t="str">
            <v>真空泵</v>
          </cell>
        </row>
        <row r="154">
          <cell r="B154" t="str">
            <v>超薄千斤顶</v>
          </cell>
        </row>
        <row r="155">
          <cell r="B155" t="str">
            <v>埋弧自动焊机</v>
          </cell>
        </row>
        <row r="156">
          <cell r="B156" t="str">
            <v>逆变直流手弧焊机</v>
          </cell>
        </row>
        <row r="157">
          <cell r="B157" t="str">
            <v>CO2保护焊机</v>
          </cell>
        </row>
        <row r="158">
          <cell r="B158" t="str">
            <v>风动葫芦(5T)</v>
          </cell>
        </row>
        <row r="159">
          <cell r="B159" t="str">
            <v>充电式压接/切割/冲孔一体机</v>
          </cell>
        </row>
        <row r="160">
          <cell r="B160" t="str">
            <v>定位定距气焊切割机</v>
          </cell>
        </row>
        <row r="161">
          <cell r="B161" t="str">
            <v>风动扭矩扳手</v>
          </cell>
        </row>
        <row r="162">
          <cell r="B162" t="str">
            <v>扭距拉伸枪</v>
          </cell>
        </row>
        <row r="163">
          <cell r="B163" t="str">
            <v>超声波单通道流量计</v>
          </cell>
        </row>
        <row r="164">
          <cell r="B164" t="str">
            <v>压力校验仪</v>
          </cell>
        </row>
        <row r="165">
          <cell r="B165" t="str">
            <v>垂直自动焊机</v>
          </cell>
        </row>
        <row r="166">
          <cell r="B166" t="str">
            <v>埋弧自动焊机</v>
          </cell>
        </row>
        <row r="167">
          <cell r="B167" t="str">
            <v>电动高压泵</v>
          </cell>
        </row>
        <row r="168">
          <cell r="B168" t="str">
            <v>高压电动泵</v>
          </cell>
        </row>
        <row r="169">
          <cell r="B169" t="str">
            <v>风动高压泵</v>
          </cell>
        </row>
        <row r="170">
          <cell r="B170" t="str">
            <v>主机示功器</v>
          </cell>
        </row>
        <row r="171">
          <cell r="B171" t="str">
            <v>主机挠度测量仪</v>
          </cell>
        </row>
        <row r="172">
          <cell r="B172" t="str">
            <v>电子拐挡测量装置</v>
          </cell>
        </row>
        <row r="173">
          <cell r="B173" t="str">
            <v>爆发压力表</v>
          </cell>
        </row>
        <row r="174">
          <cell r="B174" t="str">
            <v>全方位切割机</v>
          </cell>
        </row>
        <row r="175">
          <cell r="B175" t="str">
            <v>CO2焊机</v>
          </cell>
        </row>
        <row r="176">
          <cell r="B176" t="str">
            <v>弯管机</v>
          </cell>
        </row>
        <row r="177">
          <cell r="B177" t="str">
            <v>风动磅压泵</v>
          </cell>
        </row>
        <row r="178">
          <cell r="B178" t="str">
            <v>法兰分离器</v>
          </cell>
        </row>
        <row r="179">
          <cell r="B179" t="str">
            <v>风动扭矩紧固器</v>
          </cell>
        </row>
        <row r="180">
          <cell r="B180" t="str">
            <v>接地电阻测试仪</v>
          </cell>
        </row>
        <row r="181">
          <cell r="B181" t="str">
            <v>绝缘电阻测试仪</v>
          </cell>
        </row>
        <row r="182">
          <cell r="B182" t="str">
            <v>电缆液压切缆机</v>
          </cell>
        </row>
        <row r="183">
          <cell r="B183" t="str">
            <v>全能多用机</v>
          </cell>
        </row>
        <row r="184">
          <cell r="B184" t="str">
            <v>电缆液压压接机</v>
          </cell>
        </row>
        <row r="185">
          <cell r="B185" t="str">
            <v>薄铁液压冲孔机</v>
          </cell>
        </row>
        <row r="186">
          <cell r="B186" t="str">
            <v>风速仪</v>
          </cell>
        </row>
        <row r="187">
          <cell r="B187" t="str">
            <v>高压兆欧表</v>
          </cell>
        </row>
        <row r="188">
          <cell r="B188" t="str">
            <v>水平测量仪</v>
          </cell>
        </row>
        <row r="189">
          <cell r="B189" t="str">
            <v>埋弧自动焊机</v>
          </cell>
        </row>
        <row r="190">
          <cell r="B190" t="str">
            <v>喷漆泵</v>
          </cell>
        </row>
        <row r="191">
          <cell r="B191" t="str">
            <v>测氧仪</v>
          </cell>
        </row>
        <row r="192">
          <cell r="B192" t="str">
            <v>涂装漆膜表</v>
          </cell>
        </row>
        <row r="193">
          <cell r="B193" t="str">
            <v>多功能测试仪</v>
          </cell>
        </row>
        <row r="194">
          <cell r="B194" t="str">
            <v>900t吊车空调</v>
          </cell>
        </row>
        <row r="195">
          <cell r="B195" t="str">
            <v>T-930船用多功能手泵（空气泵)</v>
          </cell>
        </row>
        <row r="196">
          <cell r="B196" t="str">
            <v>轴系校中用传感器和显示器</v>
          </cell>
        </row>
        <row r="197">
          <cell r="B197" t="str">
            <v>高压电动泵</v>
          </cell>
        </row>
        <row r="198">
          <cell r="B198" t="str">
            <v>矮型油缸组</v>
          </cell>
        </row>
        <row r="199">
          <cell r="B199" t="str">
            <v>气割开孔机</v>
          </cell>
        </row>
        <row r="200">
          <cell r="B200" t="str">
            <v>红外线测温仪</v>
          </cell>
        </row>
        <row r="201">
          <cell r="B201" t="str">
            <v>露点仪</v>
          </cell>
        </row>
        <row r="202">
          <cell r="B202" t="str">
            <v>气动扳手</v>
          </cell>
        </row>
        <row r="203">
          <cell r="B203" t="str">
            <v>电动甘油枪</v>
          </cell>
        </row>
        <row r="204">
          <cell r="B204" t="str">
            <v>CO2半自动气体保护焊机</v>
          </cell>
        </row>
        <row r="205">
          <cell r="B205" t="str">
            <v>真空泵</v>
          </cell>
        </row>
        <row r="206">
          <cell r="B206" t="str">
            <v>气动扭矩扳手</v>
          </cell>
        </row>
        <row r="207">
          <cell r="B207" t="str">
            <v>三头晶闸管整流弧焊机</v>
          </cell>
        </row>
        <row r="208">
          <cell r="B208" t="str">
            <v>中空液压扳手</v>
          </cell>
        </row>
        <row r="209">
          <cell r="B209" t="str">
            <v>碳弧气刨机</v>
          </cell>
        </row>
        <row r="210">
          <cell r="B210" t="str">
            <v>法兰分离器</v>
          </cell>
        </row>
        <row r="211">
          <cell r="B211" t="str">
            <v>三区至六区低压供电系统改造</v>
          </cell>
        </row>
        <row r="212">
          <cell r="B212" t="str">
            <v>板式换热器</v>
          </cell>
        </row>
        <row r="213">
          <cell r="B213" t="str">
            <v>温水循环泵</v>
          </cell>
        </row>
        <row r="214">
          <cell r="B214" t="str">
            <v>柴油发电机组</v>
          </cell>
        </row>
        <row r="215">
          <cell r="B215" t="str">
            <v>36伏变压器</v>
          </cell>
        </row>
        <row r="216">
          <cell r="B216" t="str">
            <v>低压电容器组</v>
          </cell>
        </row>
        <row r="217">
          <cell r="B217" t="str">
            <v>计算机</v>
          </cell>
        </row>
        <row r="218">
          <cell r="B218" t="str">
            <v>复合式气体检测仪</v>
          </cell>
        </row>
        <row r="219">
          <cell r="B219" t="str">
            <v>防爆风机</v>
          </cell>
        </row>
        <row r="220">
          <cell r="B220" t="str">
            <v>转轮混合型风冷除湿机</v>
          </cell>
        </row>
        <row r="221">
          <cell r="B221" t="str">
            <v>真空吸砂机</v>
          </cell>
        </row>
        <row r="222">
          <cell r="B222" t="str">
            <v>存储记录仪</v>
          </cell>
        </row>
        <row r="223">
          <cell r="B223" t="str">
            <v>柴油加温机</v>
          </cell>
        </row>
        <row r="224">
          <cell r="B224" t="str">
            <v>喷漆泵</v>
          </cell>
        </row>
        <row r="225">
          <cell r="B225" t="str">
            <v>除湿机</v>
          </cell>
        </row>
        <row r="226">
          <cell r="B226" t="str">
            <v>大型风动吸砂机</v>
          </cell>
        </row>
        <row r="227">
          <cell r="B227" t="str">
            <v>移动式空压机</v>
          </cell>
        </row>
        <row r="228">
          <cell r="B228" t="str">
            <v>焊条干燥箱</v>
          </cell>
        </row>
        <row r="229">
          <cell r="B229" t="str">
            <v>等离子切割机</v>
          </cell>
        </row>
        <row r="230">
          <cell r="B230" t="str">
            <v>焊接滚轮架</v>
          </cell>
        </row>
        <row r="231">
          <cell r="B231" t="str">
            <v>风动磅压泵</v>
          </cell>
        </row>
        <row r="232">
          <cell r="B232" t="str">
            <v>碳弧气刨机</v>
          </cell>
        </row>
        <row r="233">
          <cell r="B233" t="str">
            <v>氩弧焊机</v>
          </cell>
        </row>
        <row r="234">
          <cell r="B234" t="str">
            <v>CO2焊机</v>
          </cell>
        </row>
        <row r="235">
          <cell r="B235" t="str">
            <v>建造多功能机动艇</v>
          </cell>
        </row>
        <row r="236">
          <cell r="B236" t="str">
            <v>舢板船</v>
          </cell>
        </row>
        <row r="237">
          <cell r="B237" t="str">
            <v>复印机</v>
          </cell>
        </row>
        <row r="238">
          <cell r="B238" t="str">
            <v>传真机</v>
          </cell>
        </row>
        <row r="239">
          <cell r="B239" t="str">
            <v>手持GPS</v>
          </cell>
        </row>
        <row r="240">
          <cell r="B240" t="str">
            <v>高压热水洗水机</v>
          </cell>
        </row>
        <row r="241">
          <cell r="B241" t="str">
            <v>转轮式除湿机</v>
          </cell>
        </row>
        <row r="242">
          <cell r="B242" t="str">
            <v>气动加油机</v>
          </cell>
        </row>
        <row r="243">
          <cell r="B243" t="str">
            <v>全自动正反吸式除尘器</v>
          </cell>
        </row>
        <row r="244">
          <cell r="B244" t="str">
            <v>南坞闸门</v>
          </cell>
        </row>
        <row r="245">
          <cell r="B245" t="str">
            <v>气体压缩机</v>
          </cell>
        </row>
        <row r="246">
          <cell r="B246" t="str">
            <v>高压热水清洗机</v>
          </cell>
        </row>
        <row r="247">
          <cell r="B247" t="str">
            <v>喷砂机</v>
          </cell>
        </row>
        <row r="248">
          <cell r="B248" t="str">
            <v>可燃气体测爆仪</v>
          </cell>
        </row>
        <row r="249">
          <cell r="B249" t="str">
            <v>7吨集装箱叉车</v>
          </cell>
        </row>
        <row r="250">
          <cell r="B250" t="str">
            <v>3吨万能叉车</v>
          </cell>
        </row>
        <row r="251">
          <cell r="B251" t="str">
            <v>6吨万能叉车</v>
          </cell>
        </row>
        <row r="252">
          <cell r="B252" t="str">
            <v>5吨装载机</v>
          </cell>
        </row>
        <row r="253">
          <cell r="B253" t="str">
            <v>斯太尔自卸车</v>
          </cell>
        </row>
        <row r="254">
          <cell r="B254" t="str">
            <v>汽车吊</v>
          </cell>
        </row>
        <row r="255">
          <cell r="B255" t="str">
            <v>10吨叉车</v>
          </cell>
        </row>
        <row r="256">
          <cell r="B256" t="str">
            <v>6吨叉车</v>
          </cell>
        </row>
        <row r="257">
          <cell r="B257" t="str">
            <v>3吨叉车</v>
          </cell>
        </row>
        <row r="258">
          <cell r="B258" t="str">
            <v>6吨集装箱叉车</v>
          </cell>
        </row>
      </sheetData>
      <sheetData sheetId="12"/>
      <sheetData sheetId="13"/>
      <sheetData sheetId="14"/>
      <sheetData sheetId="15"/>
      <sheetData sheetId="16"/>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Open"/>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Toolbox"/>
    </sheet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G.1R-Shou COP Gf"/>
    </sheetNames>
    <sheetDataSet>
      <sheetData sheetId="0"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OWER ASSUMPTIONS"/>
    </sheet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Toolbox"/>
    </sheetNames>
    <sheetDataSet>
      <sheetData sheetId="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F!"/>
      <sheetName val="水土建"/>
      <sheetName val="工艺"/>
      <sheetName val="排水"/>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内装修及基础计算表"/>
      <sheetName val="内装修"/>
      <sheetName val="内装修预算表"/>
      <sheetName val="内装修调价表"/>
      <sheetName val="内装修取费表"/>
      <sheetName val="工程量屋面屋架柱"/>
      <sheetName val="工程量墙梁"/>
      <sheetName val="钢结构调价表"/>
      <sheetName val="综合表"/>
      <sheetName val="内装修估价表"/>
      <sheetName val="钢结构取费表"/>
      <sheetName val="外维护估价表"/>
      <sheetName val="钢结构预算表"/>
      <sheetName val="综合表1"/>
      <sheetName val="取费表"/>
      <sheetName val="室内"/>
      <sheetName val="室外 "/>
      <sheetName val="公用设备"/>
      <sheetName val="装饰工程预算表"/>
      <sheetName val="SW-TEO"/>
    </sheetNames>
    <sheetDataSet>
      <sheetData sheetId="0"/>
      <sheetData sheetId="1"/>
      <sheetData sheetId="2"/>
      <sheetData sheetId="3"/>
      <sheetData sheetId="4"/>
      <sheetData sheetId="5" refreshError="1">
        <row r="1">
          <cell r="A1" t="str">
            <v>图号</v>
          </cell>
        </row>
      </sheetData>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refreshError="1"/>
      <sheetData sheetId="1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总图取费"/>
      <sheetName val="装饰取费 (2)"/>
      <sheetName val="注射剂车间土建取费 (2)"/>
      <sheetName val="总图"/>
      <sheetName val="Sheet1"/>
      <sheetName val="哈药土建修改"/>
      <sheetName val="哈药总厂粉针及综合制剂车间建筑部分"/>
      <sheetName val="装饰修改"/>
      <sheetName val="装饰工程预算表"/>
      <sheetName val="工程量屋面屋架柱"/>
      <sheetName val="引进设备"/>
      <sheetName val="参数"/>
      <sheetName val="总概算表"/>
      <sheetName val="新增工艺设备表"/>
      <sheetName val="Sheet3"/>
      <sheetName val="Mai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说明"/>
      <sheetName val="估算表"/>
      <sheetName val="投资构成"/>
      <sheetName val="室内工程"/>
      <sheetName val="室外工程"/>
      <sheetName val="其他"/>
      <sheetName val="公用设备材料表"/>
    </sheetNames>
    <sheetDataSet>
      <sheetData sheetId="0"/>
      <sheetData sheetId="1">
        <row r="3">
          <cell r="A3" t="str">
            <v>项目名称：中国船舶重工集团公司第七〇一研究所科技交流中心项目</v>
          </cell>
        </row>
        <row r="27">
          <cell r="F27">
            <v>24171.334032984953</v>
          </cell>
          <cell r="G27">
            <v>3057.0350000000003</v>
          </cell>
        </row>
        <row r="63">
          <cell r="K63">
            <v>37480</v>
          </cell>
        </row>
      </sheetData>
      <sheetData sheetId="2"/>
      <sheetData sheetId="3"/>
      <sheetData sheetId="4"/>
      <sheetData sheetId="5"/>
      <sheetData sheetId="6">
        <row r="22">
          <cell r="H22">
            <v>398.96499999999997</v>
          </cell>
        </row>
        <row r="68">
          <cell r="H68">
            <v>842.67</v>
          </cell>
        </row>
        <row r="86">
          <cell r="H86">
            <v>862</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总概"/>
      <sheetName val="2其他"/>
      <sheetName val="3工艺设备"/>
      <sheetName val="设备表（董提资）"/>
      <sheetName val="最终版（陈涛）"/>
      <sheetName val="4公用设备"/>
      <sheetName val="5码头总表"/>
      <sheetName val="6单位工程费汇总表t"/>
      <sheetName val="7分部分项工程量清单计价表(不带分部小计)t"/>
      <sheetName val="8一般项目清单计价表t"/>
      <sheetName val="9单位工程人材机汇总表t"/>
      <sheetName val="10-DL单位工程投标报价汇总表"/>
      <sheetName val="11-DL分部分项工程量清单计价表"/>
      <sheetName val="12-DL措施项目清单与计价表"/>
      <sheetName val="13-DL其他项目清单与计价汇总表"/>
      <sheetName val="14-DL规费、税金项目清单与计价表"/>
      <sheetName val="15-DL主材价格表"/>
      <sheetName val="16-S单位工程投标报价汇总表"/>
      <sheetName val="17-S分部分项工程量清单计价表"/>
      <sheetName val="18-S措施项目清单与计价表"/>
      <sheetName val="19-S其他项目清单与计价汇总表"/>
      <sheetName val="20-S规费、税金项目清单与计价表"/>
      <sheetName val="21-S主材价格表"/>
      <sheetName val="22-D单位工程投标报价汇总表"/>
      <sheetName val="23-D分部分项工程量清单计价表"/>
      <sheetName val="24-D措施项目清单与计价表"/>
      <sheetName val="25-D其他项目清单与计价汇总表"/>
      <sheetName val="26-D规费、税金项目清单与计价表"/>
      <sheetName val="27-D主材价格表"/>
    </sheetNames>
    <sheetDataSet>
      <sheetData sheetId="0" refreshError="1"/>
      <sheetData sheetId="1" refreshError="1"/>
      <sheetData sheetId="2"/>
      <sheetData sheetId="3">
        <row r="6">
          <cell r="A6" t="str">
            <v>第1台</v>
          </cell>
        </row>
        <row r="650">
          <cell r="B650" t="str">
            <v>总   计</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估算表1－1"/>
      <sheetName val="其他1-2"/>
      <sheetName val="室内1－3"/>
      <sheetName val="室外1－4"/>
      <sheetName val="工艺1-5"/>
      <sheetName val="1-6公用设备表"/>
      <sheetName val="新增工艺设备"/>
      <sheetName val="新增工艺设备(old)"/>
      <sheetName val="招标基本情况表"/>
      <sheetName val="建筑物一览表"/>
    </sheetNames>
    <sheetDataSet>
      <sheetData sheetId="0">
        <row r="3">
          <cell r="A3" t="str">
            <v>项目名称：武船重型工程股份有限公司双柳桥区办公楼及珠港澳大桥生产设备建设项目</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sheetPr>
    <tabColor theme="9" tint="-0.249977111117893"/>
    <pageSetUpPr fitToPage="1"/>
  </sheetPr>
  <dimension ref="A1:AF54"/>
  <sheetViews>
    <sheetView showZeros="0" tabSelected="1" zoomScale="110" zoomScaleNormal="110" zoomScaleSheetLayoutView="100" workbookViewId="0">
      <pane xSplit="3" ySplit="5" topLeftCell="D30" activePane="bottomRight" state="frozen"/>
      <selection activeCell="H26" sqref="H26"/>
      <selection pane="topRight" activeCell="H26" sqref="H26"/>
      <selection pane="bottomLeft" activeCell="H26" sqref="H26"/>
      <selection pane="bottomRight" activeCell="H48" sqref="H48:N54"/>
    </sheetView>
  </sheetViews>
  <sheetFormatPr defaultRowHeight="12.75"/>
  <cols>
    <col min="1" max="1" width="3.375" style="4" customWidth="1"/>
    <col min="2" max="2" width="7.75" style="4" bestFit="1" customWidth="1"/>
    <col min="3" max="3" width="25.875" style="4" customWidth="1"/>
    <col min="4" max="5" width="8" style="15" customWidth="1"/>
    <col min="6" max="6" width="9.5" style="15" bestFit="1" customWidth="1"/>
    <col min="7" max="7" width="6.5" style="15" bestFit="1" customWidth="1"/>
    <col min="8" max="8" width="5.625" style="15" bestFit="1" customWidth="1"/>
    <col min="9" max="9" width="6.625" style="15" bestFit="1" customWidth="1"/>
    <col min="10" max="11" width="5.625" style="15" bestFit="1" customWidth="1"/>
    <col min="12" max="12" width="6.5" style="15" bestFit="1" customWidth="1"/>
    <col min="13" max="13" width="7" style="15" bestFit="1" customWidth="1"/>
    <col min="14" max="14" width="6.25" style="15" bestFit="1" customWidth="1"/>
    <col min="15" max="15" width="7" style="15" bestFit="1" customWidth="1"/>
    <col min="16" max="16" width="7.125" style="15" bestFit="1" customWidth="1"/>
    <col min="17" max="17" width="5.5" style="15" bestFit="1" customWidth="1"/>
    <col min="18" max="18" width="6" style="15" bestFit="1" customWidth="1"/>
    <col min="19" max="19" width="6.5" style="15" bestFit="1" customWidth="1"/>
    <col min="20" max="20" width="8.25" style="16" bestFit="1" customWidth="1"/>
    <col min="21" max="21" width="7.125" style="15" customWidth="1"/>
    <col min="22" max="22" width="5.5" style="4" hidden="1" customWidth="1"/>
    <col min="23" max="23" width="9.125" style="4" hidden="1" customWidth="1"/>
    <col min="24" max="27" width="0" style="4" hidden="1" customWidth="1"/>
    <col min="28" max="16384" width="9" style="4"/>
  </cols>
  <sheetData>
    <row r="1" spans="1:32" ht="15" customHeight="1">
      <c r="A1" s="4" t="s">
        <v>1236</v>
      </c>
      <c r="M1" s="54"/>
      <c r="AB1" s="15">
        <v>440.83199999999999</v>
      </c>
      <c r="AC1" s="15"/>
      <c r="AD1" s="15">
        <v>440.83199999999999</v>
      </c>
      <c r="AE1" s="15">
        <v>123.5496</v>
      </c>
      <c r="AF1" s="15"/>
    </row>
    <row r="2" spans="1:32" s="17" customFormat="1" ht="30" customHeight="1">
      <c r="A2" s="345" t="s">
        <v>7</v>
      </c>
      <c r="B2" s="345"/>
      <c r="C2" s="345"/>
      <c r="D2" s="345"/>
      <c r="E2" s="345"/>
      <c r="F2" s="345"/>
      <c r="G2" s="345"/>
      <c r="H2" s="345"/>
      <c r="I2" s="345"/>
      <c r="J2" s="345"/>
      <c r="K2" s="345"/>
      <c r="L2" s="345"/>
      <c r="M2" s="345"/>
      <c r="N2" s="345"/>
      <c r="O2" s="345"/>
      <c r="P2" s="345"/>
      <c r="Q2" s="345"/>
      <c r="R2" s="345"/>
      <c r="S2" s="345"/>
      <c r="T2" s="345"/>
      <c r="U2" s="345"/>
    </row>
    <row r="3" spans="1:32" ht="18.95" customHeight="1">
      <c r="A3" s="18" t="s">
        <v>1240</v>
      </c>
      <c r="B3" s="19"/>
      <c r="C3" s="19"/>
      <c r="D3" s="20"/>
      <c r="E3" s="20"/>
      <c r="F3" s="20"/>
      <c r="G3" s="20"/>
      <c r="H3" s="20"/>
      <c r="I3" s="20"/>
      <c r="J3" s="21"/>
      <c r="K3" s="21"/>
      <c r="L3" s="21" t="s">
        <v>8</v>
      </c>
      <c r="M3" s="21"/>
      <c r="N3" s="21"/>
      <c r="O3" s="21"/>
      <c r="Q3" s="21"/>
      <c r="R3" s="21"/>
      <c r="S3" s="425" t="s">
        <v>0</v>
      </c>
      <c r="T3" s="425"/>
      <c r="U3" s="425"/>
    </row>
    <row r="4" spans="1:32" ht="21.75" customHeight="1">
      <c r="A4" s="343" t="s">
        <v>9</v>
      </c>
      <c r="B4" s="343" t="s">
        <v>10</v>
      </c>
      <c r="C4" s="343" t="s">
        <v>11</v>
      </c>
      <c r="D4" s="341" t="s">
        <v>37</v>
      </c>
      <c r="E4" s="342"/>
      <c r="F4" s="346" t="s">
        <v>12</v>
      </c>
      <c r="G4" s="346"/>
      <c r="H4" s="346"/>
      <c r="I4" s="346"/>
      <c r="J4" s="346"/>
      <c r="K4" s="346"/>
      <c r="L4" s="346"/>
      <c r="M4" s="346"/>
      <c r="N4" s="346" t="s">
        <v>13</v>
      </c>
      <c r="O4" s="346"/>
      <c r="P4" s="346"/>
      <c r="Q4" s="343" t="s">
        <v>14</v>
      </c>
      <c r="R4" s="343" t="s">
        <v>15</v>
      </c>
      <c r="S4" s="339" t="s">
        <v>16</v>
      </c>
      <c r="T4" s="344" t="s">
        <v>17</v>
      </c>
      <c r="U4" s="343" t="s">
        <v>18</v>
      </c>
    </row>
    <row r="5" spans="1:32" ht="26.25" customHeight="1">
      <c r="A5" s="343"/>
      <c r="B5" s="343"/>
      <c r="C5" s="343"/>
      <c r="D5" s="22" t="s">
        <v>38</v>
      </c>
      <c r="E5" s="22" t="s">
        <v>39</v>
      </c>
      <c r="F5" s="1" t="s">
        <v>19</v>
      </c>
      <c r="G5" s="1" t="s">
        <v>20</v>
      </c>
      <c r="H5" s="1" t="s">
        <v>21</v>
      </c>
      <c r="I5" s="1" t="s">
        <v>22</v>
      </c>
      <c r="J5" s="1" t="s">
        <v>23</v>
      </c>
      <c r="K5" s="1" t="s">
        <v>24</v>
      </c>
      <c r="L5" s="1" t="s">
        <v>25</v>
      </c>
      <c r="M5" s="1" t="s">
        <v>26</v>
      </c>
      <c r="N5" s="1" t="s">
        <v>27</v>
      </c>
      <c r="O5" s="1" t="s">
        <v>28</v>
      </c>
      <c r="P5" s="1" t="s">
        <v>26</v>
      </c>
      <c r="Q5" s="343"/>
      <c r="R5" s="343"/>
      <c r="S5" s="340"/>
      <c r="T5" s="344" t="s">
        <v>17</v>
      </c>
      <c r="U5" s="343"/>
    </row>
    <row r="6" spans="1:32">
      <c r="A6" s="2"/>
      <c r="B6" s="2"/>
      <c r="C6" s="2" t="s">
        <v>1</v>
      </c>
      <c r="D6" s="9"/>
      <c r="E6" s="9"/>
      <c r="F6" s="9"/>
      <c r="G6" s="9"/>
      <c r="H6" s="9"/>
      <c r="I6" s="9"/>
      <c r="J6" s="9"/>
      <c r="K6" s="9"/>
      <c r="L6" s="9"/>
      <c r="M6" s="9"/>
      <c r="N6" s="9"/>
      <c r="O6" s="9"/>
      <c r="P6" s="9"/>
      <c r="Q6" s="9"/>
      <c r="R6" s="9"/>
      <c r="S6" s="9"/>
      <c r="T6" s="11"/>
      <c r="U6" s="9"/>
    </row>
    <row r="7" spans="1:32">
      <c r="A7" s="115"/>
      <c r="B7" s="115"/>
      <c r="C7" s="32" t="s">
        <v>109</v>
      </c>
      <c r="D7" s="9"/>
      <c r="E7" s="9"/>
      <c r="F7" s="9"/>
      <c r="G7" s="9"/>
      <c r="H7" s="9"/>
      <c r="I7" s="9"/>
      <c r="J7" s="9"/>
      <c r="K7" s="9"/>
      <c r="L7" s="9"/>
      <c r="M7" s="9"/>
      <c r="N7" s="9"/>
      <c r="O7" s="9"/>
      <c r="P7" s="9"/>
      <c r="Q7" s="9"/>
      <c r="R7" s="9"/>
      <c r="S7" s="9"/>
      <c r="T7" s="11"/>
      <c r="U7" s="9"/>
    </row>
    <row r="8" spans="1:32">
      <c r="A8" s="24"/>
      <c r="B8" s="56" t="s">
        <v>108</v>
      </c>
      <c r="C8" s="25" t="s">
        <v>1227</v>
      </c>
      <c r="D8" s="26">
        <v>12222.11</v>
      </c>
      <c r="E8" s="26"/>
      <c r="F8" s="26">
        <f>汇总表!G11</f>
        <v>4265.5874799999992</v>
      </c>
      <c r="G8" s="26"/>
      <c r="H8" s="26"/>
      <c r="I8" s="26">
        <f>汇总表!E14</f>
        <v>137.636979</v>
      </c>
      <c r="J8" s="26">
        <f>汇总表!E15</f>
        <v>269.69615899999997</v>
      </c>
      <c r="K8" s="26"/>
      <c r="L8" s="26">
        <f>汇总表!E16</f>
        <v>274.95907299999999</v>
      </c>
      <c r="M8" s="26">
        <f>SUM(F8:L8)</f>
        <v>4947.8796909999992</v>
      </c>
      <c r="N8" s="26">
        <f>公用设备表!G56</f>
        <v>650.23</v>
      </c>
      <c r="O8" s="26"/>
      <c r="P8" s="26">
        <f>SUM(N8:O8)</f>
        <v>650.23</v>
      </c>
      <c r="Q8" s="26"/>
      <c r="R8" s="26"/>
      <c r="S8" s="26"/>
      <c r="T8" s="26">
        <f>SUM(M8,P8,Q8,R8)</f>
        <v>5598.1096909999997</v>
      </c>
      <c r="U8" s="26"/>
      <c r="V8" s="26" t="e">
        <f>SUM(#REF!,#REF!,#REF!)</f>
        <v>#REF!</v>
      </c>
      <c r="W8" s="26" t="e">
        <f>SUM(#REF!,#REF!,#REF!)</f>
        <v>#REF!</v>
      </c>
      <c r="X8" s="26" t="e">
        <f>SUM(#REF!,#REF!,#REF!)</f>
        <v>#REF!</v>
      </c>
      <c r="Y8" s="26" t="e">
        <f>SUM(#REF!,#REF!,#REF!)</f>
        <v>#REF!</v>
      </c>
      <c r="Z8" s="26" t="e">
        <f>SUM(#REF!,#REF!,#REF!)</f>
        <v>#REF!</v>
      </c>
      <c r="AA8" s="26" t="e">
        <f>SUM(#REF!,#REF!,#REF!)</f>
        <v>#REF!</v>
      </c>
      <c r="AB8" s="4">
        <f>(M8-G8)/D8</f>
        <v>0.4048302372503601</v>
      </c>
      <c r="AC8" s="27">
        <f>T8/D8</f>
        <v>0.45803136209705192</v>
      </c>
    </row>
    <row r="9" spans="1:32">
      <c r="A9" s="24"/>
      <c r="B9" s="115"/>
      <c r="C9" s="28" t="s">
        <v>1228</v>
      </c>
      <c r="D9" s="26"/>
      <c r="E9" s="26"/>
      <c r="F9" s="26"/>
      <c r="G9" s="26"/>
      <c r="H9" s="26">
        <f>工艺设备!K95</f>
        <v>158.77800000000002</v>
      </c>
      <c r="I9" s="26"/>
      <c r="J9" s="26"/>
      <c r="K9" s="26"/>
      <c r="L9" s="26"/>
      <c r="M9" s="26">
        <f>SUM(F9:L9)</f>
        <v>158.77800000000002</v>
      </c>
      <c r="N9" s="26"/>
      <c r="O9" s="26">
        <f>工艺设备!H95</f>
        <v>10027.155000000001</v>
      </c>
      <c r="P9" s="26">
        <f>SUM(N9:O9)</f>
        <v>10027.155000000001</v>
      </c>
      <c r="Q9" s="26">
        <f>工艺设备!J95</f>
        <v>77.779500000000013</v>
      </c>
      <c r="R9" s="26"/>
      <c r="S9" s="26"/>
      <c r="T9" s="26">
        <f>SUM(M9,P9,Q9,R9)</f>
        <v>10263.712500000001</v>
      </c>
      <c r="U9" s="26"/>
      <c r="V9" s="26"/>
      <c r="W9" s="26"/>
      <c r="X9" s="26"/>
      <c r="Y9" s="26"/>
      <c r="Z9" s="26"/>
      <c r="AA9" s="26"/>
      <c r="AC9" s="27"/>
    </row>
    <row r="10" spans="1:32">
      <c r="A10" s="24"/>
      <c r="B10" s="2"/>
      <c r="C10" s="28"/>
      <c r="D10" s="26"/>
      <c r="E10" s="26"/>
      <c r="F10" s="26"/>
      <c r="G10" s="26"/>
      <c r="H10" s="26"/>
      <c r="I10" s="26"/>
      <c r="J10" s="26"/>
      <c r="K10" s="26"/>
      <c r="L10" s="26"/>
      <c r="M10" s="26">
        <f t="shared" ref="M10" si="0">SUM(F10:L10)</f>
        <v>0</v>
      </c>
      <c r="N10" s="26"/>
      <c r="O10" s="26"/>
      <c r="P10" s="26">
        <f t="shared" ref="P10" si="1">SUM(N10:O10)</f>
        <v>0</v>
      </c>
      <c r="Q10" s="26"/>
      <c r="R10" s="26"/>
      <c r="S10" s="26"/>
      <c r="T10" s="26">
        <f t="shared" ref="T10" si="2">SUM(M10,P10,Q10,R10)</f>
        <v>0</v>
      </c>
      <c r="U10" s="26"/>
      <c r="V10" s="26"/>
      <c r="W10" s="26"/>
      <c r="X10" s="26"/>
      <c r="Y10" s="26"/>
      <c r="Z10" s="26"/>
      <c r="AA10" s="26"/>
      <c r="AC10" s="29"/>
    </row>
    <row r="11" spans="1:32" s="30" customFormat="1">
      <c r="A11" s="12"/>
      <c r="B11" s="12"/>
      <c r="C11" s="13" t="s">
        <v>35</v>
      </c>
      <c r="D11" s="11">
        <f t="shared" ref="D11:T11" si="3">SUM(D8:D10)</f>
        <v>12222.11</v>
      </c>
      <c r="E11" s="11">
        <f t="shared" si="3"/>
        <v>0</v>
      </c>
      <c r="F11" s="11">
        <f t="shared" si="3"/>
        <v>4265.5874799999992</v>
      </c>
      <c r="G11" s="11">
        <f t="shared" si="3"/>
        <v>0</v>
      </c>
      <c r="H11" s="11">
        <f t="shared" si="3"/>
        <v>158.77800000000002</v>
      </c>
      <c r="I11" s="11">
        <f t="shared" si="3"/>
        <v>137.636979</v>
      </c>
      <c r="J11" s="11">
        <f t="shared" si="3"/>
        <v>269.69615899999997</v>
      </c>
      <c r="K11" s="11">
        <f t="shared" si="3"/>
        <v>0</v>
      </c>
      <c r="L11" s="11">
        <f t="shared" si="3"/>
        <v>274.95907299999999</v>
      </c>
      <c r="M11" s="11">
        <f t="shared" si="3"/>
        <v>5106.6576909999994</v>
      </c>
      <c r="N11" s="11">
        <f t="shared" si="3"/>
        <v>650.23</v>
      </c>
      <c r="O11" s="11">
        <f t="shared" si="3"/>
        <v>10027.155000000001</v>
      </c>
      <c r="P11" s="11">
        <f t="shared" si="3"/>
        <v>10677.385</v>
      </c>
      <c r="Q11" s="11">
        <f t="shared" si="3"/>
        <v>77.779500000000013</v>
      </c>
      <c r="R11" s="11">
        <f t="shared" si="3"/>
        <v>0</v>
      </c>
      <c r="S11" s="11">
        <f t="shared" si="3"/>
        <v>0</v>
      </c>
      <c r="T11" s="11">
        <f t="shared" si="3"/>
        <v>15861.822191000001</v>
      </c>
      <c r="U11" s="11">
        <f t="shared" ref="U11" si="4">U8</f>
        <v>0</v>
      </c>
      <c r="V11" s="14" t="e">
        <f t="shared" ref="V11:AA11" si="5">SUM(V8:V8)</f>
        <v>#REF!</v>
      </c>
      <c r="W11" s="14" t="e">
        <f t="shared" si="5"/>
        <v>#REF!</v>
      </c>
      <c r="X11" s="14" t="e">
        <f t="shared" si="5"/>
        <v>#REF!</v>
      </c>
      <c r="Y11" s="14" t="e">
        <f t="shared" si="5"/>
        <v>#REF!</v>
      </c>
      <c r="Z11" s="14" t="e">
        <f t="shared" si="5"/>
        <v>#REF!</v>
      </c>
      <c r="AA11" s="14" t="e">
        <f t="shared" si="5"/>
        <v>#REF!</v>
      </c>
    </row>
    <row r="12" spans="1:32">
      <c r="A12" s="2"/>
      <c r="B12" s="2"/>
      <c r="C12" s="31"/>
      <c r="D12" s="9"/>
      <c r="E12" s="9"/>
      <c r="F12" s="9"/>
      <c r="G12" s="10"/>
      <c r="H12" s="9"/>
      <c r="I12" s="9"/>
      <c r="J12" s="9"/>
      <c r="K12" s="9"/>
      <c r="L12" s="9"/>
      <c r="M12" s="9"/>
      <c r="N12" s="9"/>
      <c r="O12" s="9"/>
      <c r="P12" s="9"/>
      <c r="Q12" s="9"/>
      <c r="R12" s="9"/>
      <c r="S12" s="9"/>
      <c r="T12" s="11"/>
      <c r="U12" s="9"/>
      <c r="W12" s="23"/>
      <c r="X12" s="23"/>
      <c r="Y12" s="23"/>
    </row>
    <row r="13" spans="1:32">
      <c r="A13" s="2"/>
      <c r="B13" s="2"/>
      <c r="C13" s="32" t="s">
        <v>110</v>
      </c>
      <c r="D13" s="9"/>
      <c r="E13" s="9"/>
      <c r="F13" s="9"/>
      <c r="G13" s="9"/>
      <c r="H13" s="9"/>
      <c r="I13" s="9"/>
      <c r="J13" s="9"/>
      <c r="K13" s="9"/>
      <c r="L13" s="9"/>
      <c r="M13" s="9"/>
      <c r="N13" s="9"/>
      <c r="O13" s="9"/>
      <c r="P13" s="9"/>
      <c r="Q13" s="9"/>
      <c r="R13" s="9"/>
      <c r="S13" s="9"/>
      <c r="T13" s="11">
        <f>SUM(M13,P13,Q13)</f>
        <v>0</v>
      </c>
      <c r="U13" s="9"/>
    </row>
    <row r="14" spans="1:32">
      <c r="A14" s="2">
        <v>1</v>
      </c>
      <c r="B14" s="2"/>
      <c r="C14" s="233" t="s">
        <v>307</v>
      </c>
      <c r="D14" s="26"/>
      <c r="E14" s="26"/>
      <c r="F14" s="26">
        <f>3944*260/10000</f>
        <v>102.544</v>
      </c>
      <c r="G14" s="9"/>
      <c r="H14" s="9"/>
      <c r="I14" s="9"/>
      <c r="J14" s="9"/>
      <c r="K14" s="9"/>
      <c r="L14" s="9"/>
      <c r="M14" s="9">
        <f t="shared" ref="M14:M17" si="6">SUM(F14:L14)</f>
        <v>102.544</v>
      </c>
      <c r="N14" s="9"/>
      <c r="O14" s="9"/>
      <c r="P14" s="9"/>
      <c r="Q14" s="9"/>
      <c r="R14" s="9"/>
      <c r="S14" s="9"/>
      <c r="T14" s="11">
        <f>SUM(M14,P14,Q14)</f>
        <v>102.544</v>
      </c>
      <c r="U14" s="9"/>
    </row>
    <row r="15" spans="1:32">
      <c r="A15" s="115">
        <v>2</v>
      </c>
      <c r="B15" s="115"/>
      <c r="C15" s="3" t="s">
        <v>111</v>
      </c>
      <c r="D15" s="26"/>
      <c r="E15" s="26"/>
      <c r="F15" s="26">
        <f>3046*100/10000</f>
        <v>30.46</v>
      </c>
      <c r="G15" s="9"/>
      <c r="H15" s="9"/>
      <c r="I15" s="9"/>
      <c r="J15" s="9"/>
      <c r="K15" s="9"/>
      <c r="L15" s="9"/>
      <c r="M15" s="9">
        <f t="shared" si="6"/>
        <v>30.46</v>
      </c>
      <c r="N15" s="9"/>
      <c r="O15" s="9"/>
      <c r="P15" s="9"/>
      <c r="Q15" s="9"/>
      <c r="R15" s="9"/>
      <c r="S15" s="9"/>
      <c r="T15" s="11">
        <f>SUM(M15,P15,Q15)</f>
        <v>30.46</v>
      </c>
      <c r="U15" s="9"/>
    </row>
    <row r="16" spans="1:32">
      <c r="A16" s="115">
        <v>3</v>
      </c>
      <c r="B16" s="115"/>
      <c r="C16" s="3" t="s">
        <v>112</v>
      </c>
      <c r="D16" s="26"/>
      <c r="E16" s="26"/>
      <c r="F16" s="26"/>
      <c r="G16" s="9"/>
      <c r="H16" s="9"/>
      <c r="I16" s="9">
        <f>外水费!G31/10000</f>
        <v>35.454304999999998</v>
      </c>
      <c r="J16" s="9"/>
      <c r="K16" s="9"/>
      <c r="L16" s="9"/>
      <c r="M16" s="9">
        <f t="shared" si="6"/>
        <v>35.454304999999998</v>
      </c>
      <c r="N16" s="9"/>
      <c r="O16" s="9"/>
      <c r="P16" s="9"/>
      <c r="Q16" s="9"/>
      <c r="R16" s="9"/>
      <c r="S16" s="9"/>
      <c r="T16" s="11">
        <f t="shared" ref="T16:T17" si="7">SUM(M16,P16,Q16)</f>
        <v>35.454304999999998</v>
      </c>
      <c r="U16" s="9"/>
    </row>
    <row r="17" spans="1:29">
      <c r="A17" s="115">
        <v>4</v>
      </c>
      <c r="B17" s="115"/>
      <c r="C17" s="3" t="s">
        <v>113</v>
      </c>
      <c r="D17" s="26"/>
      <c r="E17" s="26"/>
      <c r="F17" s="26"/>
      <c r="G17" s="9"/>
      <c r="H17" s="9"/>
      <c r="I17" s="9"/>
      <c r="J17" s="9"/>
      <c r="K17" s="9"/>
      <c r="L17" s="9">
        <f>外电费!G31/10000</f>
        <v>29.011946999999996</v>
      </c>
      <c r="M17" s="9">
        <f t="shared" si="6"/>
        <v>29.011946999999996</v>
      </c>
      <c r="N17" s="9"/>
      <c r="O17" s="9"/>
      <c r="P17" s="9"/>
      <c r="Q17" s="9"/>
      <c r="R17" s="9"/>
      <c r="S17" s="9"/>
      <c r="T17" s="11">
        <f t="shared" si="7"/>
        <v>29.011946999999996</v>
      </c>
      <c r="U17" s="9"/>
    </row>
    <row r="18" spans="1:29">
      <c r="A18" s="2"/>
      <c r="B18" s="2"/>
      <c r="C18" s="3"/>
      <c r="D18" s="26"/>
      <c r="E18" s="26"/>
      <c r="F18" s="26"/>
      <c r="G18" s="9"/>
      <c r="H18" s="9"/>
      <c r="I18" s="9"/>
      <c r="J18" s="9"/>
      <c r="K18" s="9"/>
      <c r="L18" s="9"/>
      <c r="M18" s="9"/>
      <c r="N18" s="9"/>
      <c r="O18" s="9"/>
      <c r="P18" s="9"/>
      <c r="Q18" s="9"/>
      <c r="R18" s="9"/>
      <c r="S18" s="9"/>
      <c r="T18" s="11"/>
      <c r="U18" s="9"/>
    </row>
    <row r="19" spans="1:29" s="30" customFormat="1">
      <c r="A19" s="12"/>
      <c r="B19" s="12"/>
      <c r="C19" s="12" t="s">
        <v>36</v>
      </c>
      <c r="D19" s="11">
        <f>SUM(D14:D18)</f>
        <v>0</v>
      </c>
      <c r="E19" s="11">
        <f>SUM(E14:E18)</f>
        <v>0</v>
      </c>
      <c r="F19" s="11">
        <f>SUM(F14:F18)</f>
        <v>133.00399999999999</v>
      </c>
      <c r="G19" s="11">
        <f t="shared" ref="G19:K19" si="8">SUM(G14:G18)</f>
        <v>0</v>
      </c>
      <c r="H19" s="11">
        <f t="shared" si="8"/>
        <v>0</v>
      </c>
      <c r="I19" s="11">
        <f t="shared" si="8"/>
        <v>35.454304999999998</v>
      </c>
      <c r="J19" s="11">
        <f t="shared" si="8"/>
        <v>0</v>
      </c>
      <c r="K19" s="11">
        <f t="shared" si="8"/>
        <v>0</v>
      </c>
      <c r="L19" s="11">
        <f>SUM(L14:L18)</f>
        <v>29.011946999999996</v>
      </c>
      <c r="M19" s="11">
        <f>SUM(M14:M18)</f>
        <v>197.47025199999999</v>
      </c>
      <c r="N19" s="11">
        <f>SUM(N14:N18)</f>
        <v>0</v>
      </c>
      <c r="O19" s="11"/>
      <c r="P19" s="11">
        <f>SUM(P14:P18)</f>
        <v>0</v>
      </c>
      <c r="Q19" s="11"/>
      <c r="R19" s="11"/>
      <c r="S19" s="11"/>
      <c r="T19" s="11">
        <f>SUM(T14:T18)</f>
        <v>197.47025199999999</v>
      </c>
      <c r="U19" s="11"/>
    </row>
    <row r="20" spans="1:29">
      <c r="A20" s="2"/>
      <c r="B20" s="2"/>
      <c r="C20" s="2"/>
      <c r="D20" s="9"/>
      <c r="E20" s="9"/>
      <c r="F20" s="9"/>
      <c r="G20" s="9"/>
      <c r="H20" s="9"/>
      <c r="I20" s="9"/>
      <c r="J20" s="9"/>
      <c r="K20" s="9"/>
      <c r="L20" s="9"/>
      <c r="M20" s="9"/>
      <c r="N20" s="9"/>
      <c r="O20" s="9"/>
      <c r="P20" s="9"/>
      <c r="Q20" s="9"/>
      <c r="R20" s="9"/>
      <c r="S20" s="9"/>
      <c r="T20" s="11"/>
      <c r="U20" s="9"/>
    </row>
    <row r="21" spans="1:29" s="30" customFormat="1">
      <c r="A21" s="12"/>
      <c r="B21" s="12"/>
      <c r="C21" s="33" t="s">
        <v>50</v>
      </c>
      <c r="D21" s="11">
        <f>D19+D11</f>
        <v>12222.11</v>
      </c>
      <c r="E21" s="11">
        <f t="shared" ref="E21:U21" si="9">E19+E11</f>
        <v>0</v>
      </c>
      <c r="F21" s="11">
        <f t="shared" si="9"/>
        <v>4398.5914799999991</v>
      </c>
      <c r="G21" s="11">
        <f t="shared" si="9"/>
        <v>0</v>
      </c>
      <c r="H21" s="11">
        <f t="shared" si="9"/>
        <v>158.77800000000002</v>
      </c>
      <c r="I21" s="11">
        <f t="shared" si="9"/>
        <v>173.091284</v>
      </c>
      <c r="J21" s="11">
        <f t="shared" si="9"/>
        <v>269.69615899999997</v>
      </c>
      <c r="K21" s="11">
        <f t="shared" si="9"/>
        <v>0</v>
      </c>
      <c r="L21" s="11">
        <f t="shared" si="9"/>
        <v>303.97102000000001</v>
      </c>
      <c r="M21" s="11">
        <f t="shared" si="9"/>
        <v>5304.1279429999995</v>
      </c>
      <c r="N21" s="11">
        <f t="shared" si="9"/>
        <v>650.23</v>
      </c>
      <c r="O21" s="11">
        <f t="shared" si="9"/>
        <v>10027.155000000001</v>
      </c>
      <c r="P21" s="11">
        <f t="shared" si="9"/>
        <v>10677.385</v>
      </c>
      <c r="Q21" s="11">
        <f t="shared" si="9"/>
        <v>77.779500000000013</v>
      </c>
      <c r="R21" s="11">
        <f t="shared" si="9"/>
        <v>0</v>
      </c>
      <c r="S21" s="11">
        <f t="shared" si="9"/>
        <v>0</v>
      </c>
      <c r="T21" s="11">
        <f t="shared" si="9"/>
        <v>16059.292443</v>
      </c>
      <c r="U21" s="11">
        <f t="shared" si="9"/>
        <v>0</v>
      </c>
      <c r="V21" s="14" t="e">
        <f>SUM(V11,V19,#REF!)</f>
        <v>#REF!</v>
      </c>
      <c r="W21" s="14" t="e">
        <f>SUM(W11,W19,#REF!)</f>
        <v>#REF!</v>
      </c>
      <c r="X21" s="14" t="e">
        <f>SUM(X11,X19,#REF!)</f>
        <v>#REF!</v>
      </c>
      <c r="Y21" s="14" t="e">
        <f>SUM(Y11,Y19,#REF!)</f>
        <v>#REF!</v>
      </c>
      <c r="Z21" s="14" t="e">
        <f>SUM(Z11,Z19,#REF!)</f>
        <v>#REF!</v>
      </c>
      <c r="AA21" s="14" t="e">
        <f>SUM(AA11,AA19,#REF!)</f>
        <v>#REF!</v>
      </c>
      <c r="AC21" s="34">
        <f>SUM(F21,H21,I21,J21,K21,L21,N21,O21,Q21,R21,S21)</f>
        <v>16059.292443</v>
      </c>
    </row>
    <row r="22" spans="1:29">
      <c r="A22" s="2"/>
      <c r="B22" s="35"/>
      <c r="C22" s="2"/>
      <c r="D22" s="9"/>
      <c r="E22" s="9"/>
      <c r="F22" s="9"/>
      <c r="G22" s="9"/>
      <c r="H22" s="9"/>
      <c r="I22" s="9"/>
      <c r="J22" s="9"/>
      <c r="K22" s="9"/>
      <c r="L22" s="9"/>
      <c r="M22" s="9"/>
      <c r="N22" s="9"/>
      <c r="O22" s="9"/>
      <c r="P22" s="9"/>
      <c r="Q22" s="9"/>
      <c r="R22" s="9"/>
      <c r="S22" s="9"/>
      <c r="T22" s="11"/>
      <c r="U22" s="9"/>
    </row>
    <row r="23" spans="1:29">
      <c r="A23" s="2"/>
      <c r="B23" s="2"/>
      <c r="C23" s="2" t="s">
        <v>2</v>
      </c>
      <c r="D23" s="9"/>
      <c r="E23" s="9"/>
      <c r="F23" s="9"/>
      <c r="G23" s="9"/>
      <c r="H23" s="9"/>
      <c r="I23" s="9"/>
      <c r="J23" s="9"/>
      <c r="K23" s="9"/>
      <c r="L23" s="9"/>
      <c r="M23" s="9"/>
      <c r="N23" s="9"/>
      <c r="O23" s="9"/>
      <c r="P23" s="9"/>
      <c r="Q23" s="9"/>
      <c r="R23" s="9"/>
      <c r="S23" s="9"/>
      <c r="T23" s="11"/>
      <c r="U23" s="9"/>
    </row>
    <row r="24" spans="1:29">
      <c r="A24" s="2">
        <v>1</v>
      </c>
      <c r="B24" s="2"/>
      <c r="C24" s="5" t="str">
        <f>其他!B7</f>
        <v>建设单位管理费</v>
      </c>
      <c r="D24" s="9"/>
      <c r="E24" s="9"/>
      <c r="F24" s="9"/>
      <c r="G24" s="9"/>
      <c r="H24" s="9"/>
      <c r="I24" s="9"/>
      <c r="J24" s="9"/>
      <c r="K24" s="9"/>
      <c r="L24" s="9"/>
      <c r="M24" s="9"/>
      <c r="N24" s="9"/>
      <c r="O24" s="9"/>
      <c r="P24" s="9"/>
      <c r="Q24" s="9"/>
      <c r="R24" s="9">
        <f>其他!G7</f>
        <v>175.4</v>
      </c>
      <c r="S24" s="9"/>
      <c r="T24" s="11">
        <f t="shared" ref="T24:T32" si="10">R24</f>
        <v>175.4</v>
      </c>
      <c r="U24" s="9"/>
    </row>
    <row r="25" spans="1:29">
      <c r="A25" s="2">
        <v>2</v>
      </c>
      <c r="B25" s="2"/>
      <c r="C25" s="5" t="str">
        <f>其他!B8</f>
        <v>前期工作费</v>
      </c>
      <c r="D25" s="9"/>
      <c r="E25" s="9"/>
      <c r="F25" s="9"/>
      <c r="G25" s="9"/>
      <c r="H25" s="9"/>
      <c r="I25" s="9"/>
      <c r="J25" s="9"/>
      <c r="K25" s="9"/>
      <c r="L25" s="9"/>
      <c r="M25" s="9"/>
      <c r="N25" s="9"/>
      <c r="O25" s="9"/>
      <c r="P25" s="9"/>
      <c r="Q25" s="9"/>
      <c r="R25" s="9">
        <f>其他!G8</f>
        <v>75.405000000000001</v>
      </c>
      <c r="S25" s="9"/>
      <c r="T25" s="11">
        <f t="shared" si="10"/>
        <v>75.405000000000001</v>
      </c>
      <c r="U25" s="9"/>
    </row>
    <row r="26" spans="1:29">
      <c r="A26" s="113">
        <v>3</v>
      </c>
      <c r="B26" s="2"/>
      <c r="C26" s="5" t="str">
        <f>其他!B9</f>
        <v>工程建设监理费</v>
      </c>
      <c r="D26" s="9"/>
      <c r="E26" s="9"/>
      <c r="F26" s="9"/>
      <c r="G26" s="9"/>
      <c r="H26" s="9"/>
      <c r="I26" s="9"/>
      <c r="J26" s="9"/>
      <c r="K26" s="9"/>
      <c r="L26" s="9"/>
      <c r="M26" s="9"/>
      <c r="N26" s="9"/>
      <c r="O26" s="9"/>
      <c r="P26" s="9"/>
      <c r="Q26" s="9"/>
      <c r="R26" s="9">
        <f>其他!G9</f>
        <v>128.46360935619998</v>
      </c>
      <c r="S26" s="9"/>
      <c r="T26" s="11">
        <f t="shared" si="10"/>
        <v>128.46360935619998</v>
      </c>
      <c r="U26" s="9"/>
    </row>
    <row r="27" spans="1:29">
      <c r="A27" s="113">
        <v>4</v>
      </c>
      <c r="B27" s="2"/>
      <c r="C27" s="5" t="str">
        <f>其他!B10</f>
        <v>工程设计费</v>
      </c>
      <c r="D27" s="9"/>
      <c r="E27" s="9"/>
      <c r="F27" s="9"/>
      <c r="G27" s="9"/>
      <c r="H27" s="9"/>
      <c r="I27" s="9"/>
      <c r="J27" s="9"/>
      <c r="K27" s="9"/>
      <c r="L27" s="9"/>
      <c r="M27" s="9"/>
      <c r="N27" s="9"/>
      <c r="O27" s="9"/>
      <c r="P27" s="9"/>
      <c r="Q27" s="9"/>
      <c r="R27" s="9">
        <f>其他!G10</f>
        <v>358.92540765950895</v>
      </c>
      <c r="S27" s="9"/>
      <c r="T27" s="11">
        <f t="shared" si="10"/>
        <v>358.92540765950895</v>
      </c>
      <c r="U27" s="9"/>
      <c r="AB27" s="27">
        <f>M21+Q21</f>
        <v>5381.9074429999991</v>
      </c>
      <c r="AC27" s="36">
        <f>M45+N45+Q45</f>
        <v>6032.1374429999987</v>
      </c>
    </row>
    <row r="28" spans="1:29">
      <c r="A28" s="113">
        <v>5</v>
      </c>
      <c r="B28" s="2"/>
      <c r="C28" s="5" t="str">
        <f>其他!B11</f>
        <v>施工图审查费</v>
      </c>
      <c r="D28" s="9"/>
      <c r="E28" s="9"/>
      <c r="F28" s="9"/>
      <c r="G28" s="9"/>
      <c r="H28" s="9"/>
      <c r="I28" s="9"/>
      <c r="J28" s="9"/>
      <c r="K28" s="9"/>
      <c r="L28" s="9"/>
      <c r="M28" s="9"/>
      <c r="N28" s="9"/>
      <c r="O28" s="9"/>
      <c r="P28" s="9"/>
      <c r="Q28" s="9"/>
      <c r="R28" s="9">
        <f>其他!G11</f>
        <v>17.946270382975449</v>
      </c>
      <c r="S28" s="9"/>
      <c r="T28" s="11">
        <f t="shared" si="10"/>
        <v>17.946270382975449</v>
      </c>
      <c r="U28" s="9"/>
      <c r="AB28" s="36">
        <f>M45+Q45+N45</f>
        <v>6032.1374429999996</v>
      </c>
    </row>
    <row r="29" spans="1:29">
      <c r="A29" s="113">
        <v>6</v>
      </c>
      <c r="B29" s="2"/>
      <c r="C29" s="5" t="str">
        <f>其他!B12</f>
        <v>工程勘察费</v>
      </c>
      <c r="D29" s="9"/>
      <c r="E29" s="9"/>
      <c r="F29" s="9"/>
      <c r="G29" s="9"/>
      <c r="H29" s="9"/>
      <c r="I29" s="9"/>
      <c r="J29" s="9"/>
      <c r="K29" s="9"/>
      <c r="L29" s="9"/>
      <c r="M29" s="9"/>
      <c r="N29" s="9"/>
      <c r="O29" s="9"/>
      <c r="P29" s="9"/>
      <c r="Q29" s="9"/>
      <c r="R29" s="9">
        <f>其他!G12</f>
        <v>18.333165000000001</v>
      </c>
      <c r="S29" s="9"/>
      <c r="T29" s="11">
        <f t="shared" si="10"/>
        <v>18.333165000000001</v>
      </c>
      <c r="U29" s="9"/>
    </row>
    <row r="30" spans="1:29">
      <c r="A30" s="113">
        <v>7</v>
      </c>
      <c r="B30" s="2"/>
      <c r="C30" s="5" t="str">
        <f>其他!B13</f>
        <v>招标代理服务费</v>
      </c>
      <c r="D30" s="9"/>
      <c r="E30" s="9"/>
      <c r="F30" s="9"/>
      <c r="G30" s="9"/>
      <c r="H30" s="9"/>
      <c r="I30" s="9"/>
      <c r="J30" s="9"/>
      <c r="K30" s="9"/>
      <c r="L30" s="9"/>
      <c r="M30" s="9"/>
      <c r="N30" s="9"/>
      <c r="O30" s="9"/>
      <c r="P30" s="9"/>
      <c r="Q30" s="9"/>
      <c r="R30" s="9">
        <f>其他!G13</f>
        <v>79</v>
      </c>
      <c r="S30" s="9"/>
      <c r="T30" s="11">
        <f t="shared" si="10"/>
        <v>79</v>
      </c>
      <c r="U30" s="9"/>
    </row>
    <row r="31" spans="1:29">
      <c r="A31" s="113">
        <v>8</v>
      </c>
      <c r="B31" s="2"/>
      <c r="C31" s="5" t="str">
        <f>其他!B14</f>
        <v>环境评价收费</v>
      </c>
      <c r="D31" s="9"/>
      <c r="E31" s="9"/>
      <c r="F31" s="9"/>
      <c r="G31" s="9"/>
      <c r="H31" s="9"/>
      <c r="I31" s="9"/>
      <c r="J31" s="9"/>
      <c r="K31" s="9"/>
      <c r="L31" s="9"/>
      <c r="M31" s="9"/>
      <c r="N31" s="9"/>
      <c r="O31" s="9"/>
      <c r="P31" s="9"/>
      <c r="Q31" s="9"/>
      <c r="R31" s="9">
        <f>其他!G14</f>
        <v>16.641176470588235</v>
      </c>
      <c r="S31" s="9"/>
      <c r="T31" s="11">
        <f t="shared" si="10"/>
        <v>16.641176470588235</v>
      </c>
      <c r="U31" s="9"/>
    </row>
    <row r="32" spans="1:29">
      <c r="A32" s="113">
        <v>9</v>
      </c>
      <c r="B32" s="2"/>
      <c r="C32" s="5" t="str">
        <f>其他!B15</f>
        <v>劳动安全卫生评价费</v>
      </c>
      <c r="D32" s="9"/>
      <c r="E32" s="9"/>
      <c r="F32" s="9"/>
      <c r="G32" s="9"/>
      <c r="H32" s="9"/>
      <c r="I32" s="9"/>
      <c r="J32" s="9"/>
      <c r="K32" s="9"/>
      <c r="L32" s="9"/>
      <c r="M32" s="9"/>
      <c r="N32" s="9"/>
      <c r="O32" s="9"/>
      <c r="P32" s="9"/>
      <c r="Q32" s="9"/>
      <c r="R32" s="9">
        <f>其他!G15</f>
        <v>22.4</v>
      </c>
      <c r="S32" s="9"/>
      <c r="T32" s="11">
        <f t="shared" si="10"/>
        <v>22.4</v>
      </c>
      <c r="U32" s="9"/>
    </row>
    <row r="33" spans="1:28">
      <c r="A33" s="2"/>
      <c r="B33" s="2"/>
      <c r="C33" s="2" t="s">
        <v>29</v>
      </c>
      <c r="D33" s="9"/>
      <c r="E33" s="9"/>
      <c r="F33" s="9"/>
      <c r="G33" s="9"/>
      <c r="H33" s="9"/>
      <c r="I33" s="9"/>
      <c r="J33" s="9"/>
      <c r="K33" s="9"/>
      <c r="L33" s="9"/>
      <c r="M33" s="9"/>
      <c r="N33" s="9"/>
      <c r="O33" s="9"/>
      <c r="P33" s="9"/>
      <c r="Q33" s="9"/>
      <c r="R33" s="9">
        <f>SUM(R24:R32)</f>
        <v>892.51462886927254</v>
      </c>
      <c r="S33" s="9"/>
      <c r="T33" s="11">
        <f>R33</f>
        <v>892.51462886927254</v>
      </c>
      <c r="U33" s="9"/>
    </row>
    <row r="34" spans="1:28">
      <c r="A34" s="206"/>
      <c r="B34" s="206"/>
      <c r="C34" s="206"/>
      <c r="D34" s="9"/>
      <c r="E34" s="9"/>
      <c r="F34" s="9"/>
      <c r="G34" s="9"/>
      <c r="H34" s="9"/>
      <c r="I34" s="9"/>
      <c r="J34" s="9"/>
      <c r="K34" s="9"/>
      <c r="L34" s="9"/>
      <c r="M34" s="9"/>
      <c r="N34" s="9"/>
      <c r="O34" s="9"/>
      <c r="P34" s="9"/>
      <c r="Q34" s="9"/>
      <c r="R34" s="9"/>
      <c r="S34" s="9"/>
      <c r="T34" s="11"/>
      <c r="U34" s="9"/>
    </row>
    <row r="35" spans="1:28" s="30" customFormat="1">
      <c r="A35" s="12"/>
      <c r="B35" s="37"/>
      <c r="C35" s="33" t="s">
        <v>304</v>
      </c>
      <c r="D35" s="11">
        <f t="shared" ref="D35:S35" si="11">D33+D21</f>
        <v>12222.11</v>
      </c>
      <c r="E35" s="11">
        <f t="shared" si="11"/>
        <v>0</v>
      </c>
      <c r="F35" s="11">
        <f t="shared" si="11"/>
        <v>4398.5914799999991</v>
      </c>
      <c r="G35" s="11">
        <f t="shared" si="11"/>
        <v>0</v>
      </c>
      <c r="H35" s="11">
        <f t="shared" si="11"/>
        <v>158.77800000000002</v>
      </c>
      <c r="I35" s="11">
        <f t="shared" si="11"/>
        <v>173.091284</v>
      </c>
      <c r="J35" s="11">
        <f t="shared" si="11"/>
        <v>269.69615899999997</v>
      </c>
      <c r="K35" s="11">
        <f t="shared" si="11"/>
        <v>0</v>
      </c>
      <c r="L35" s="11">
        <f t="shared" si="11"/>
        <v>303.97102000000001</v>
      </c>
      <c r="M35" s="11">
        <f t="shared" si="11"/>
        <v>5304.1279429999995</v>
      </c>
      <c r="N35" s="11">
        <f t="shared" si="11"/>
        <v>650.23</v>
      </c>
      <c r="O35" s="11">
        <f t="shared" si="11"/>
        <v>10027.155000000001</v>
      </c>
      <c r="P35" s="11">
        <f t="shared" si="11"/>
        <v>10677.385</v>
      </c>
      <c r="Q35" s="11">
        <f t="shared" si="11"/>
        <v>77.779500000000013</v>
      </c>
      <c r="R35" s="11">
        <f>R33+R21</f>
        <v>892.51462886927254</v>
      </c>
      <c r="S35" s="11">
        <f t="shared" si="11"/>
        <v>0</v>
      </c>
      <c r="T35" s="11">
        <f>T33+T21</f>
        <v>16951.807071869272</v>
      </c>
      <c r="U35" s="11">
        <f t="shared" ref="U35:AA35" si="12">SUM(U21,U33)</f>
        <v>0</v>
      </c>
      <c r="V35" s="11" t="e">
        <f t="shared" si="12"/>
        <v>#REF!</v>
      </c>
      <c r="W35" s="11" t="e">
        <f t="shared" si="12"/>
        <v>#REF!</v>
      </c>
      <c r="X35" s="11" t="e">
        <f t="shared" si="12"/>
        <v>#REF!</v>
      </c>
      <c r="Y35" s="11" t="e">
        <f t="shared" si="12"/>
        <v>#REF!</v>
      </c>
      <c r="Z35" s="11" t="e">
        <f t="shared" si="12"/>
        <v>#REF!</v>
      </c>
      <c r="AA35" s="11" t="e">
        <f t="shared" si="12"/>
        <v>#REF!</v>
      </c>
    </row>
    <row r="36" spans="1:28">
      <c r="A36" s="2"/>
      <c r="B36" s="38"/>
      <c r="C36" s="3"/>
      <c r="D36" s="9"/>
      <c r="E36" s="9"/>
      <c r="F36" s="9"/>
      <c r="G36" s="9"/>
      <c r="H36" s="9"/>
      <c r="I36" s="9"/>
      <c r="J36" s="9"/>
      <c r="K36" s="9"/>
      <c r="L36" s="9"/>
      <c r="M36" s="9"/>
      <c r="N36" s="9"/>
      <c r="O36" s="9"/>
      <c r="P36" s="9"/>
      <c r="Q36" s="9"/>
      <c r="R36" s="9"/>
      <c r="S36" s="9"/>
      <c r="T36" s="11"/>
      <c r="U36" s="9"/>
    </row>
    <row r="37" spans="1:28" ht="18" customHeight="1">
      <c r="A37" s="2"/>
      <c r="B37" s="35"/>
      <c r="C37" s="32" t="s">
        <v>305</v>
      </c>
      <c r="D37" s="9"/>
      <c r="E37" s="9"/>
      <c r="F37" s="9"/>
      <c r="G37" s="9"/>
      <c r="H37" s="9"/>
      <c r="I37" s="9"/>
      <c r="J37" s="9"/>
      <c r="K37" s="9"/>
      <c r="L37" s="9"/>
      <c r="M37" s="9"/>
      <c r="N37" s="9"/>
      <c r="O37" s="9"/>
      <c r="P37" s="9"/>
      <c r="Q37" s="9"/>
      <c r="R37" s="9">
        <f>(T35)*5%+0.612155334416457</f>
        <v>848.2025089278801</v>
      </c>
      <c r="S37" s="9"/>
      <c r="T37" s="11">
        <f>R37</f>
        <v>848.2025089278801</v>
      </c>
      <c r="U37" s="9"/>
    </row>
    <row r="38" spans="1:28" ht="18" hidden="1" customHeight="1">
      <c r="A38" s="2"/>
      <c r="B38" s="2"/>
      <c r="C38" s="3"/>
      <c r="D38" s="9"/>
      <c r="E38" s="9"/>
      <c r="F38" s="9"/>
      <c r="G38" s="9"/>
      <c r="H38" s="9"/>
      <c r="I38" s="9"/>
      <c r="J38" s="9"/>
      <c r="K38" s="9"/>
      <c r="L38" s="9"/>
      <c r="M38" s="9"/>
      <c r="N38" s="9"/>
      <c r="O38" s="9"/>
      <c r="P38" s="9"/>
      <c r="Q38" s="9"/>
      <c r="R38" s="9"/>
      <c r="S38" s="9"/>
      <c r="T38" s="11"/>
      <c r="U38" s="9"/>
      <c r="V38" s="7"/>
      <c r="W38" s="8"/>
    </row>
    <row r="39" spans="1:28" ht="18" hidden="1" customHeight="1">
      <c r="A39" s="2"/>
      <c r="B39" s="2"/>
      <c r="C39" s="32" t="s">
        <v>41</v>
      </c>
      <c r="D39" s="9"/>
      <c r="E39" s="9"/>
      <c r="F39" s="9"/>
      <c r="G39" s="9"/>
      <c r="H39" s="9"/>
      <c r="I39" s="9"/>
      <c r="J39" s="9"/>
      <c r="K39" s="9"/>
      <c r="L39" s="9"/>
      <c r="M39" s="9"/>
      <c r="N39" s="9"/>
      <c r="O39" s="9"/>
      <c r="P39" s="9"/>
      <c r="Q39" s="9"/>
      <c r="R39" s="9"/>
      <c r="S39" s="9"/>
      <c r="T39" s="11"/>
      <c r="U39" s="9"/>
      <c r="V39" s="7"/>
      <c r="W39" s="8"/>
    </row>
    <row r="40" spans="1:28" ht="18" hidden="1" customHeight="1">
      <c r="A40" s="2">
        <v>1</v>
      </c>
      <c r="B40" s="2"/>
      <c r="C40" s="3" t="s">
        <v>3</v>
      </c>
      <c r="D40" s="9"/>
      <c r="E40" s="9"/>
      <c r="F40" s="9"/>
      <c r="G40" s="9"/>
      <c r="H40" s="9"/>
      <c r="I40" s="9"/>
      <c r="J40" s="9"/>
      <c r="K40" s="9"/>
      <c r="L40" s="9"/>
      <c r="M40" s="9"/>
      <c r="N40" s="9"/>
      <c r="O40" s="9"/>
      <c r="P40" s="9"/>
      <c r="Q40" s="9"/>
      <c r="R40" s="9"/>
      <c r="S40" s="9"/>
      <c r="T40" s="11"/>
      <c r="U40" s="9"/>
      <c r="V40" s="7"/>
      <c r="W40" s="8"/>
    </row>
    <row r="41" spans="1:28" ht="18" hidden="1" customHeight="1">
      <c r="A41" s="2">
        <v>2</v>
      </c>
      <c r="B41" s="2"/>
      <c r="C41" s="6" t="s">
        <v>30</v>
      </c>
      <c r="D41" s="9"/>
      <c r="E41" s="9"/>
      <c r="F41" s="9"/>
      <c r="G41" s="9"/>
      <c r="H41" s="9"/>
      <c r="I41" s="9"/>
      <c r="J41" s="9"/>
      <c r="K41" s="9"/>
      <c r="L41" s="9"/>
      <c r="M41" s="9"/>
      <c r="N41" s="9"/>
      <c r="O41" s="9"/>
      <c r="P41" s="9"/>
      <c r="Q41" s="9"/>
      <c r="R41" s="9">
        <v>0</v>
      </c>
      <c r="S41" s="9"/>
      <c r="T41" s="11">
        <f>R41</f>
        <v>0</v>
      </c>
      <c r="U41" s="9"/>
      <c r="V41" s="7"/>
      <c r="W41" s="8"/>
    </row>
    <row r="42" spans="1:28" ht="18" hidden="1" customHeight="1">
      <c r="A42" s="2">
        <v>3</v>
      </c>
      <c r="B42" s="2"/>
      <c r="C42" s="6" t="s">
        <v>31</v>
      </c>
      <c r="D42" s="9"/>
      <c r="E42" s="9"/>
      <c r="F42" s="9"/>
      <c r="G42" s="9"/>
      <c r="H42" s="9"/>
      <c r="I42" s="9"/>
      <c r="J42" s="9"/>
      <c r="K42" s="9"/>
      <c r="L42" s="9"/>
      <c r="M42" s="9"/>
      <c r="N42" s="9"/>
      <c r="O42" s="9"/>
      <c r="P42" s="9"/>
      <c r="Q42" s="9"/>
      <c r="R42" s="9"/>
      <c r="S42" s="9"/>
      <c r="T42" s="11"/>
      <c r="U42" s="9"/>
      <c r="V42" s="7"/>
      <c r="W42" s="8"/>
    </row>
    <row r="43" spans="1:28" ht="18" hidden="1" customHeight="1">
      <c r="A43" s="2"/>
      <c r="B43" s="2"/>
      <c r="C43" s="2" t="s">
        <v>32</v>
      </c>
      <c r="D43" s="9"/>
      <c r="E43" s="9"/>
      <c r="F43" s="9"/>
      <c r="G43" s="9"/>
      <c r="H43" s="9"/>
      <c r="I43" s="9"/>
      <c r="J43" s="9"/>
      <c r="K43" s="9"/>
      <c r="L43" s="9"/>
      <c r="M43" s="9"/>
      <c r="N43" s="9"/>
      <c r="O43" s="9"/>
      <c r="P43" s="9"/>
      <c r="Q43" s="9"/>
      <c r="R43" s="9">
        <f>SUM(R40:R42)</f>
        <v>0</v>
      </c>
      <c r="S43" s="9"/>
      <c r="T43" s="11">
        <f>SUM(T40:T42)</f>
        <v>0</v>
      </c>
      <c r="U43" s="9"/>
      <c r="V43" s="7"/>
      <c r="W43" s="8"/>
    </row>
    <row r="44" spans="1:28" ht="18" customHeight="1">
      <c r="A44" s="3"/>
      <c r="B44" s="3"/>
      <c r="C44" s="3"/>
      <c r="D44" s="9"/>
      <c r="E44" s="9"/>
      <c r="F44" s="9"/>
      <c r="G44" s="9"/>
      <c r="H44" s="9"/>
      <c r="I44" s="9"/>
      <c r="J44" s="9"/>
      <c r="K44" s="9"/>
      <c r="L44" s="9"/>
      <c r="M44" s="9"/>
      <c r="N44" s="9"/>
      <c r="O44" s="9"/>
      <c r="P44" s="9"/>
      <c r="Q44" s="9"/>
      <c r="R44" s="9"/>
      <c r="S44" s="9"/>
      <c r="T44" s="11"/>
      <c r="U44" s="9"/>
      <c r="V44" s="7"/>
      <c r="W44" s="8"/>
    </row>
    <row r="45" spans="1:28" s="30" customFormat="1">
      <c r="A45" s="39"/>
      <c r="B45" s="39"/>
      <c r="C45" s="33" t="s">
        <v>306</v>
      </c>
      <c r="D45" s="11">
        <f t="shared" ref="D45:S45" si="13">D37+D35</f>
        <v>12222.11</v>
      </c>
      <c r="E45" s="11">
        <f t="shared" si="13"/>
        <v>0</v>
      </c>
      <c r="F45" s="11">
        <f t="shared" si="13"/>
        <v>4398.5914799999991</v>
      </c>
      <c r="G45" s="11">
        <f t="shared" si="13"/>
        <v>0</v>
      </c>
      <c r="H45" s="11">
        <f t="shared" si="13"/>
        <v>158.77800000000002</v>
      </c>
      <c r="I45" s="11">
        <f t="shared" si="13"/>
        <v>173.091284</v>
      </c>
      <c r="J45" s="11">
        <f t="shared" si="13"/>
        <v>269.69615899999997</v>
      </c>
      <c r="K45" s="11">
        <f t="shared" si="13"/>
        <v>0</v>
      </c>
      <c r="L45" s="11">
        <f t="shared" si="13"/>
        <v>303.97102000000001</v>
      </c>
      <c r="M45" s="11">
        <f t="shared" si="13"/>
        <v>5304.1279429999995</v>
      </c>
      <c r="N45" s="11">
        <f t="shared" si="13"/>
        <v>650.23</v>
      </c>
      <c r="O45" s="11">
        <f t="shared" si="13"/>
        <v>10027.155000000001</v>
      </c>
      <c r="P45" s="11">
        <f t="shared" si="13"/>
        <v>10677.385</v>
      </c>
      <c r="Q45" s="11">
        <f t="shared" si="13"/>
        <v>77.779500000000013</v>
      </c>
      <c r="R45" s="11">
        <f t="shared" si="13"/>
        <v>1740.7171377971526</v>
      </c>
      <c r="S45" s="11">
        <f t="shared" si="13"/>
        <v>0</v>
      </c>
      <c r="T45" s="11">
        <f>T37+T35</f>
        <v>17800.009580797152</v>
      </c>
      <c r="U45" s="11">
        <f>U37+U35+U21</f>
        <v>0</v>
      </c>
    </row>
    <row r="47" spans="1:28">
      <c r="F47" s="40"/>
      <c r="N47" s="41"/>
      <c r="S47" s="42"/>
      <c r="T47" s="46">
        <v>17800</v>
      </c>
      <c r="U47" s="43">
        <v>0.14790844673734699</v>
      </c>
    </row>
    <row r="48" spans="1:28" ht="25.5">
      <c r="B48" s="44" t="s">
        <v>42</v>
      </c>
      <c r="C48" s="44" t="s">
        <v>43</v>
      </c>
      <c r="D48" s="45" t="s">
        <v>44</v>
      </c>
      <c r="E48" s="45" t="s">
        <v>45</v>
      </c>
      <c r="F48" s="45" t="s">
        <v>46</v>
      </c>
      <c r="H48" s="338"/>
      <c r="I48" s="338"/>
      <c r="J48" s="338"/>
      <c r="K48" s="338"/>
      <c r="L48" s="338"/>
      <c r="M48" s="338"/>
      <c r="N48" s="338"/>
      <c r="S48" s="46">
        <v>0.61215533441645698</v>
      </c>
      <c r="T48" s="46">
        <f>T47-T45</f>
        <v>-9.5807971520116553E-3</v>
      </c>
      <c r="AB48" s="4">
        <f>T33/T21</f>
        <v>5.5576211220831589E-2</v>
      </c>
    </row>
    <row r="49" spans="2:29">
      <c r="B49" s="44">
        <v>1</v>
      </c>
      <c r="C49" s="114" t="s">
        <v>4</v>
      </c>
      <c r="D49" s="47">
        <f>M45</f>
        <v>5304.1279429999995</v>
      </c>
      <c r="E49" s="48">
        <f>D49/$D$54</f>
        <v>0.29798455550957409</v>
      </c>
      <c r="F49" s="44"/>
      <c r="H49" s="338"/>
      <c r="I49" s="338"/>
      <c r="J49" s="338"/>
      <c r="K49" s="338"/>
      <c r="L49" s="338"/>
      <c r="M49" s="338"/>
      <c r="N49" s="338"/>
    </row>
    <row r="50" spans="2:29">
      <c r="B50" s="44">
        <v>2</v>
      </c>
      <c r="C50" s="114" t="s">
        <v>47</v>
      </c>
      <c r="D50" s="47">
        <f>P45</f>
        <v>10677.385</v>
      </c>
      <c r="E50" s="48">
        <f>D50/$D$54</f>
        <v>0.59985276701866952</v>
      </c>
      <c r="F50" s="49"/>
      <c r="H50" s="338"/>
      <c r="I50" s="338"/>
      <c r="J50" s="338"/>
      <c r="K50" s="338"/>
      <c r="L50" s="338"/>
      <c r="M50" s="338"/>
      <c r="N50" s="338"/>
      <c r="T50" s="50"/>
      <c r="U50" s="43"/>
      <c r="AC50" s="4">
        <f>M45+Q45+O45*0.4</f>
        <v>9392.7694429999992</v>
      </c>
    </row>
    <row r="51" spans="2:29">
      <c r="B51" s="44">
        <v>3</v>
      </c>
      <c r="C51" s="105" t="s">
        <v>1230</v>
      </c>
      <c r="D51" s="47">
        <f>Q45</f>
        <v>77.779500000000013</v>
      </c>
      <c r="E51" s="48">
        <f>D51/$D$54</f>
        <v>4.3696324795189662E-3</v>
      </c>
      <c r="F51" s="49"/>
      <c r="G51" s="234"/>
      <c r="H51" s="338"/>
      <c r="I51" s="338"/>
      <c r="J51" s="338"/>
      <c r="K51" s="338"/>
      <c r="L51" s="338"/>
      <c r="M51" s="338"/>
      <c r="N51" s="338"/>
      <c r="O51" s="234"/>
      <c r="P51" s="234"/>
      <c r="Q51" s="234"/>
      <c r="R51" s="234"/>
      <c r="S51" s="234"/>
      <c r="T51" s="50"/>
      <c r="U51" s="43"/>
    </row>
    <row r="52" spans="2:29">
      <c r="B52" s="44">
        <v>4</v>
      </c>
      <c r="C52" s="114" t="s">
        <v>48</v>
      </c>
      <c r="D52" s="47">
        <f>T33</f>
        <v>892.51462886927254</v>
      </c>
      <c r="E52" s="48">
        <f>D52/$D$54</f>
        <v>5.0141244296414721E-2</v>
      </c>
      <c r="F52" s="49"/>
      <c r="G52" s="40"/>
      <c r="H52" s="338"/>
      <c r="I52" s="338"/>
      <c r="J52" s="338"/>
      <c r="K52" s="338"/>
      <c r="L52" s="338"/>
      <c r="M52" s="338"/>
      <c r="N52" s="338"/>
    </row>
    <row r="53" spans="2:29">
      <c r="B53" s="44">
        <v>5</v>
      </c>
      <c r="C53" s="114" t="s">
        <v>5</v>
      </c>
      <c r="D53" s="47">
        <f>R37</f>
        <v>848.2025089278801</v>
      </c>
      <c r="E53" s="48">
        <f>D53/$D$54</f>
        <v>4.7651800695822678E-2</v>
      </c>
      <c r="F53" s="49"/>
      <c r="G53" s="40"/>
      <c r="H53" s="338"/>
      <c r="I53" s="338"/>
      <c r="J53" s="338"/>
      <c r="K53" s="338"/>
      <c r="L53" s="338"/>
      <c r="M53" s="338"/>
      <c r="N53" s="338"/>
    </row>
    <row r="54" spans="2:29">
      <c r="B54" s="51"/>
      <c r="C54" s="51" t="s">
        <v>49</v>
      </c>
      <c r="D54" s="55">
        <f>SUM(D49:D53)</f>
        <v>17800.009580797152</v>
      </c>
      <c r="E54" s="52">
        <f>SUM(E49:E53)</f>
        <v>1</v>
      </c>
      <c r="F54" s="53">
        <f>SUM(F49:F53)</f>
        <v>0</v>
      </c>
      <c r="H54" s="338"/>
      <c r="I54" s="338"/>
      <c r="J54" s="338"/>
      <c r="K54" s="338"/>
      <c r="L54" s="338"/>
      <c r="M54" s="338"/>
      <c r="N54" s="338"/>
    </row>
  </sheetData>
  <mergeCells count="14">
    <mergeCell ref="A2:U2"/>
    <mergeCell ref="A4:A5"/>
    <mergeCell ref="B4:B5"/>
    <mergeCell ref="C4:C5"/>
    <mergeCell ref="F4:M4"/>
    <mergeCell ref="N4:P4"/>
    <mergeCell ref="Q4:Q5"/>
    <mergeCell ref="R4:R5"/>
    <mergeCell ref="S3:U3"/>
    <mergeCell ref="H48:N54"/>
    <mergeCell ref="S4:S5"/>
    <mergeCell ref="D4:E4"/>
    <mergeCell ref="U4:U5"/>
    <mergeCell ref="T4:T5"/>
  </mergeCells>
  <phoneticPr fontId="34" type="noConversion"/>
  <printOptions horizontalCentered="1"/>
  <pageMargins left="0.59055118110236227" right="0.59055118110236227" top="1.299212598425197" bottom="0.59055118110236227" header="0.47244094488188981" footer="0.23622047244094491"/>
  <pageSetup paperSize="8" fitToHeight="0" orientation="landscape" blackAndWhite="1" verticalDpi="180" r:id="rId1"/>
  <headerFooter alignWithMargins="0"/>
  <cellWatches>
    <cellWatch r="T45"/>
  </cellWatches>
</worksheet>
</file>

<file path=xl/worksheets/sheet2.xml><?xml version="1.0" encoding="utf-8"?>
<worksheet xmlns="http://schemas.openxmlformats.org/spreadsheetml/2006/main" xmlns:r="http://schemas.openxmlformats.org/officeDocument/2006/relationships">
  <sheetPr>
    <pageSetUpPr fitToPage="1"/>
  </sheetPr>
  <dimension ref="A1:J22"/>
  <sheetViews>
    <sheetView zoomScaleSheetLayoutView="100" workbookViewId="0">
      <selection activeCell="A3" sqref="A3"/>
    </sheetView>
  </sheetViews>
  <sheetFormatPr defaultRowHeight="12"/>
  <cols>
    <col min="1" max="1" width="6.5" style="85" customWidth="1"/>
    <col min="2" max="2" width="30.875" style="85" customWidth="1"/>
    <col min="3" max="3" width="27.75" style="85" customWidth="1"/>
    <col min="4" max="4" width="12.75" style="85" customWidth="1"/>
    <col min="5" max="5" width="13.375" style="85" customWidth="1"/>
    <col min="6" max="6" width="11.75" style="85" customWidth="1"/>
    <col min="7" max="7" width="16" style="85" customWidth="1"/>
    <col min="8" max="11" width="8.875" style="85" customWidth="1"/>
    <col min="12" max="16384" width="9" style="85"/>
  </cols>
  <sheetData>
    <row r="1" spans="1:10" ht="15" customHeight="1">
      <c r="A1" s="348" t="s">
        <v>1237</v>
      </c>
      <c r="B1" s="348"/>
    </row>
    <row r="2" spans="1:10" s="86" customFormat="1" ht="30" customHeight="1">
      <c r="A2" s="347" t="s">
        <v>72</v>
      </c>
      <c r="B2" s="347"/>
      <c r="C2" s="347"/>
      <c r="D2" s="347"/>
      <c r="E2" s="347"/>
      <c r="F2" s="347"/>
      <c r="G2" s="347"/>
    </row>
    <row r="3" spans="1:10" s="89" customFormat="1" ht="18.95" customHeight="1">
      <c r="A3" s="87"/>
      <c r="B3" s="87"/>
      <c r="C3" s="87"/>
      <c r="D3" s="87"/>
      <c r="E3" s="87"/>
      <c r="F3" s="88"/>
      <c r="G3" s="88"/>
    </row>
    <row r="4" spans="1:10" s="89" customFormat="1" ht="18" customHeight="1">
      <c r="A4" s="349" t="s">
        <v>73</v>
      </c>
      <c r="B4" s="350" t="s">
        <v>74</v>
      </c>
      <c r="C4" s="351" t="s">
        <v>75</v>
      </c>
      <c r="D4" s="351" t="s">
        <v>76</v>
      </c>
      <c r="E4" s="351" t="s">
        <v>77</v>
      </c>
      <c r="F4" s="353" t="s">
        <v>78</v>
      </c>
      <c r="G4" s="353" t="s">
        <v>79</v>
      </c>
    </row>
    <row r="5" spans="1:10" s="89" customFormat="1" ht="18" customHeight="1">
      <c r="A5" s="349"/>
      <c r="B5" s="350"/>
      <c r="C5" s="352"/>
      <c r="D5" s="352"/>
      <c r="E5" s="352"/>
      <c r="F5" s="354"/>
      <c r="G5" s="354"/>
    </row>
    <row r="6" spans="1:10" ht="18" customHeight="1">
      <c r="A6" s="90" t="s">
        <v>80</v>
      </c>
      <c r="B6" s="91" t="s">
        <v>81</v>
      </c>
      <c r="C6" s="92"/>
      <c r="D6" s="92"/>
      <c r="E6" s="92"/>
      <c r="F6" s="93"/>
      <c r="G6" s="94">
        <f>SUM(G7:G10,G11:G16)</f>
        <v>892.51462886927254</v>
      </c>
    </row>
    <row r="7" spans="1:10" ht="18" customHeight="1">
      <c r="A7" s="91">
        <v>1</v>
      </c>
      <c r="B7" s="95" t="s">
        <v>82</v>
      </c>
      <c r="C7" s="96" t="s">
        <v>83</v>
      </c>
      <c r="D7" s="97" t="s">
        <v>84</v>
      </c>
      <c r="E7" s="98"/>
      <c r="F7" s="99">
        <f>总概!T47</f>
        <v>17800</v>
      </c>
      <c r="G7" s="100">
        <f>113+(F7-10000)*0.8%</f>
        <v>175.4</v>
      </c>
    </row>
    <row r="8" spans="1:10" ht="18" customHeight="1">
      <c r="A8" s="91">
        <v>2</v>
      </c>
      <c r="B8" s="95" t="s">
        <v>6</v>
      </c>
      <c r="C8" s="96" t="s">
        <v>85</v>
      </c>
      <c r="D8" s="97" t="s">
        <v>84</v>
      </c>
      <c r="E8" s="91" t="s">
        <v>86</v>
      </c>
      <c r="F8" s="99">
        <f>F7</f>
        <v>17800</v>
      </c>
      <c r="G8" s="100">
        <f>(60+(F8-10000)*(139-60)/40000)</f>
        <v>75.405000000000001</v>
      </c>
    </row>
    <row r="9" spans="1:10" ht="18" customHeight="1">
      <c r="A9" s="91">
        <v>3</v>
      </c>
      <c r="B9" s="95" t="s">
        <v>87</v>
      </c>
      <c r="C9" s="96" t="s">
        <v>88</v>
      </c>
      <c r="D9" s="97" t="s">
        <v>84</v>
      </c>
      <c r="E9" s="98" t="s">
        <v>86</v>
      </c>
      <c r="F9" s="99">
        <f>总概!M45+总概!Q45</f>
        <v>5381.9074429999991</v>
      </c>
      <c r="G9" s="100">
        <f>(120.8+(F9-5000)*(181-120.8)/3000)</f>
        <v>128.46360935619998</v>
      </c>
    </row>
    <row r="10" spans="1:10" ht="18" customHeight="1">
      <c r="A10" s="91">
        <v>4</v>
      </c>
      <c r="B10" s="95" t="s">
        <v>89</v>
      </c>
      <c r="C10" s="96" t="s">
        <v>90</v>
      </c>
      <c r="D10" s="97" t="s">
        <v>84</v>
      </c>
      <c r="E10" s="98" t="s">
        <v>86</v>
      </c>
      <c r="F10" s="99">
        <f>总概!T21</f>
        <v>16059.292443</v>
      </c>
      <c r="G10" s="284">
        <f>(304.8+(F10-10000)*(566.8-304.8)/10000)*35%*1.15*1.25+(163.9+(H10-5000)*(249.6-163.9)/3000)*65%</f>
        <v>358.92540765950895</v>
      </c>
      <c r="H10" s="101">
        <f>总概!M45+总概!Q45+总概!N45</f>
        <v>6032.1374429999996</v>
      </c>
    </row>
    <row r="11" spans="1:10" ht="18" customHeight="1">
      <c r="A11" s="91">
        <v>5</v>
      </c>
      <c r="B11" s="95" t="s">
        <v>91</v>
      </c>
      <c r="C11" s="102" t="s">
        <v>92</v>
      </c>
      <c r="D11" s="97" t="s">
        <v>84</v>
      </c>
      <c r="E11" s="103">
        <v>0.05</v>
      </c>
      <c r="F11" s="99">
        <f>G10</f>
        <v>358.92540765950895</v>
      </c>
      <c r="G11" s="100">
        <f>F11*E11</f>
        <v>17.946270382975449</v>
      </c>
    </row>
    <row r="12" spans="1:10" ht="18" customHeight="1">
      <c r="A12" s="91">
        <v>6</v>
      </c>
      <c r="B12" s="95" t="s">
        <v>93</v>
      </c>
      <c r="C12" s="96" t="s">
        <v>90</v>
      </c>
      <c r="D12" s="97" t="s">
        <v>84</v>
      </c>
      <c r="E12" s="91" t="s">
        <v>396</v>
      </c>
      <c r="F12" s="99">
        <f>总概!D45</f>
        <v>12222.11</v>
      </c>
      <c r="G12" s="100">
        <f>F12*15/10000</f>
        <v>18.333165000000001</v>
      </c>
      <c r="H12" s="85" t="s">
        <v>94</v>
      </c>
      <c r="I12" s="85" t="s">
        <v>95</v>
      </c>
      <c r="J12" s="85" t="s">
        <v>96</v>
      </c>
    </row>
    <row r="13" spans="1:10" ht="18" customHeight="1">
      <c r="A13" s="91">
        <v>7</v>
      </c>
      <c r="B13" s="95" t="s">
        <v>97</v>
      </c>
      <c r="C13" s="96" t="s">
        <v>98</v>
      </c>
      <c r="D13" s="97" t="s">
        <v>84</v>
      </c>
      <c r="E13" s="103"/>
      <c r="F13" s="104"/>
      <c r="G13" s="284">
        <v>79</v>
      </c>
      <c r="H13" s="101">
        <f>[18]估算表!F27</f>
        <v>24171.334032984953</v>
      </c>
      <c r="I13" s="101">
        <f>[18]估算表!G27</f>
        <v>3057.0350000000003</v>
      </c>
      <c r="J13" s="101"/>
    </row>
    <row r="14" spans="1:10" ht="18" customHeight="1">
      <c r="A14" s="91">
        <v>8</v>
      </c>
      <c r="B14" s="95" t="s">
        <v>99</v>
      </c>
      <c r="C14" s="96" t="s">
        <v>100</v>
      </c>
      <c r="D14" s="97" t="s">
        <v>84</v>
      </c>
      <c r="E14" s="103"/>
      <c r="F14" s="99">
        <f>F7</f>
        <v>17800</v>
      </c>
      <c r="G14" s="100">
        <f>7.5+(F14-3000)*(18-7.5)/(20000-3000)</f>
        <v>16.641176470588235</v>
      </c>
    </row>
    <row r="15" spans="1:10" ht="18" customHeight="1">
      <c r="A15" s="91">
        <v>9</v>
      </c>
      <c r="B15" s="95" t="s">
        <v>101</v>
      </c>
      <c r="C15" s="96" t="s">
        <v>102</v>
      </c>
      <c r="D15" s="97" t="s">
        <v>84</v>
      </c>
      <c r="E15" s="103"/>
      <c r="F15" s="104"/>
      <c r="G15" s="100">
        <v>22.4</v>
      </c>
    </row>
    <row r="16" spans="1:10" ht="15.75" customHeight="1">
      <c r="A16" s="91"/>
      <c r="B16" s="95"/>
      <c r="C16" s="96"/>
      <c r="D16" s="97"/>
      <c r="E16" s="103"/>
      <c r="F16" s="104"/>
      <c r="G16" s="100"/>
    </row>
    <row r="17" spans="1:7">
      <c r="A17" s="91"/>
      <c r="B17" s="105"/>
      <c r="C17" s="106"/>
      <c r="D17" s="97"/>
      <c r="E17" s="91"/>
      <c r="F17" s="104"/>
      <c r="G17" s="100"/>
    </row>
    <row r="18" spans="1:7">
      <c r="A18" s="91" t="s">
        <v>103</v>
      </c>
      <c r="B18" s="91" t="s">
        <v>105</v>
      </c>
      <c r="C18" s="102" t="s">
        <v>106</v>
      </c>
      <c r="D18" s="97"/>
      <c r="E18" s="98">
        <f>G18/F18</f>
        <v>5.0036111509045682E-2</v>
      </c>
      <c r="F18" s="99">
        <f>总概!T35</f>
        <v>16951.807071869272</v>
      </c>
      <c r="G18" s="100">
        <f>总概!T37</f>
        <v>848.2025089278801</v>
      </c>
    </row>
    <row r="19" spans="1:7">
      <c r="A19" s="91"/>
      <c r="B19" s="106"/>
      <c r="C19" s="106"/>
      <c r="D19" s="106"/>
      <c r="E19" s="107"/>
      <c r="F19" s="99"/>
      <c r="G19" s="100"/>
    </row>
    <row r="20" spans="1:7">
      <c r="A20" s="91"/>
      <c r="B20" s="108" t="s">
        <v>107</v>
      </c>
      <c r="C20" s="109"/>
      <c r="D20" s="109"/>
      <c r="E20" s="110"/>
      <c r="F20" s="111"/>
      <c r="G20" s="100">
        <f>SUM(G6,G18:G18)</f>
        <v>1740.7171377971526</v>
      </c>
    </row>
    <row r="22" spans="1:7">
      <c r="G22" s="112"/>
    </row>
  </sheetData>
  <mergeCells count="9">
    <mergeCell ref="A2:G2"/>
    <mergeCell ref="A1:B1"/>
    <mergeCell ref="A4:A5"/>
    <mergeCell ref="B4:B5"/>
    <mergeCell ref="C4:C5"/>
    <mergeCell ref="D4:D5"/>
    <mergeCell ref="E4:E5"/>
    <mergeCell ref="F4:F5"/>
    <mergeCell ref="G4:G5"/>
  </mergeCells>
  <phoneticPr fontId="34" type="noConversion"/>
  <printOptions horizontalCentered="1"/>
  <pageMargins left="0.59055118110236227" right="0.59055118110236227" top="1.08" bottom="0.59055118110236227" header="0.47244094488188981" footer="0.31496062992125984"/>
  <pageSetup paperSize="9" fitToHeight="0" orientation="landscape" blackAndWhite="1" verticalDpi="4294967293"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O96"/>
  <sheetViews>
    <sheetView showZeros="0" zoomScaleNormal="80" workbookViewId="0">
      <pane xSplit="2" ySplit="6" topLeftCell="C82" activePane="bottomRight" state="frozen"/>
      <selection activeCell="D56" sqref="D56:E61"/>
      <selection pane="topRight" activeCell="D56" sqref="D56:E61"/>
      <selection pane="bottomLeft" activeCell="D56" sqref="D56:E61"/>
      <selection pane="bottomRight" activeCell="C103" sqref="C103"/>
    </sheetView>
  </sheetViews>
  <sheetFormatPr defaultRowHeight="15.75"/>
  <cols>
    <col min="1" max="1" width="5" style="141" customWidth="1"/>
    <col min="2" max="2" width="33" style="142" bestFit="1" customWidth="1"/>
    <col min="3" max="3" width="10.5" style="141" customWidth="1"/>
    <col min="4" max="4" width="10.625" style="141" customWidth="1"/>
    <col min="5" max="5" width="7.75" style="141" customWidth="1"/>
    <col min="6" max="6" width="7.5" style="141" customWidth="1"/>
    <col min="7" max="7" width="8" style="141" customWidth="1"/>
    <col min="8" max="8" width="9.625" style="141" bestFit="1" customWidth="1"/>
    <col min="9" max="9" width="8.5" style="141" customWidth="1"/>
    <col min="10" max="10" width="9.5" style="141" customWidth="1"/>
    <col min="11" max="11" width="9.375" style="141" customWidth="1"/>
    <col min="12" max="12" width="9.25" style="141" customWidth="1"/>
    <col min="13" max="256" width="9" style="120"/>
    <col min="257" max="257" width="5" style="120" customWidth="1"/>
    <col min="258" max="258" width="33" style="120" bestFit="1" customWidth="1"/>
    <col min="259" max="259" width="10.5" style="120" customWidth="1"/>
    <col min="260" max="260" width="10.625" style="120" customWidth="1"/>
    <col min="261" max="261" width="7.75" style="120" customWidth="1"/>
    <col min="262" max="262" width="7.5" style="120" customWidth="1"/>
    <col min="263" max="263" width="8" style="120" customWidth="1"/>
    <col min="264" max="264" width="9.625" style="120" bestFit="1" customWidth="1"/>
    <col min="265" max="265" width="8.5" style="120" customWidth="1"/>
    <col min="266" max="266" width="9.5" style="120" customWidth="1"/>
    <col min="267" max="267" width="9.375" style="120" customWidth="1"/>
    <col min="268" max="268" width="9.25" style="120" customWidth="1"/>
    <col min="269" max="512" width="9" style="120"/>
    <col min="513" max="513" width="5" style="120" customWidth="1"/>
    <col min="514" max="514" width="33" style="120" bestFit="1" customWidth="1"/>
    <col min="515" max="515" width="10.5" style="120" customWidth="1"/>
    <col min="516" max="516" width="10.625" style="120" customWidth="1"/>
    <col min="517" max="517" width="7.75" style="120" customWidth="1"/>
    <col min="518" max="518" width="7.5" style="120" customWidth="1"/>
    <col min="519" max="519" width="8" style="120" customWidth="1"/>
    <col min="520" max="520" width="9.625" style="120" bestFit="1" customWidth="1"/>
    <col min="521" max="521" width="8.5" style="120" customWidth="1"/>
    <col min="522" max="522" width="9.5" style="120" customWidth="1"/>
    <col min="523" max="523" width="9.375" style="120" customWidth="1"/>
    <col min="524" max="524" width="9.25" style="120" customWidth="1"/>
    <col min="525" max="768" width="9" style="120"/>
    <col min="769" max="769" width="5" style="120" customWidth="1"/>
    <col min="770" max="770" width="33" style="120" bestFit="1" customWidth="1"/>
    <col min="771" max="771" width="10.5" style="120" customWidth="1"/>
    <col min="772" max="772" width="10.625" style="120" customWidth="1"/>
    <col min="773" max="773" width="7.75" style="120" customWidth="1"/>
    <col min="774" max="774" width="7.5" style="120" customWidth="1"/>
    <col min="775" max="775" width="8" style="120" customWidth="1"/>
    <col min="776" max="776" width="9.625" style="120" bestFit="1" customWidth="1"/>
    <col min="777" max="777" width="8.5" style="120" customWidth="1"/>
    <col min="778" max="778" width="9.5" style="120" customWidth="1"/>
    <col min="779" max="779" width="9.375" style="120" customWidth="1"/>
    <col min="780" max="780" width="9.25" style="120" customWidth="1"/>
    <col min="781" max="1024" width="9" style="120"/>
    <col min="1025" max="1025" width="5" style="120" customWidth="1"/>
    <col min="1026" max="1026" width="33" style="120" bestFit="1" customWidth="1"/>
    <col min="1027" max="1027" width="10.5" style="120" customWidth="1"/>
    <col min="1028" max="1028" width="10.625" style="120" customWidth="1"/>
    <col min="1029" max="1029" width="7.75" style="120" customWidth="1"/>
    <col min="1030" max="1030" width="7.5" style="120" customWidth="1"/>
    <col min="1031" max="1031" width="8" style="120" customWidth="1"/>
    <col min="1032" max="1032" width="9.625" style="120" bestFit="1" customWidth="1"/>
    <col min="1033" max="1033" width="8.5" style="120" customWidth="1"/>
    <col min="1034" max="1034" width="9.5" style="120" customWidth="1"/>
    <col min="1035" max="1035" width="9.375" style="120" customWidth="1"/>
    <col min="1036" max="1036" width="9.25" style="120" customWidth="1"/>
    <col min="1037" max="1280" width="9" style="120"/>
    <col min="1281" max="1281" width="5" style="120" customWidth="1"/>
    <col min="1282" max="1282" width="33" style="120" bestFit="1" customWidth="1"/>
    <col min="1283" max="1283" width="10.5" style="120" customWidth="1"/>
    <col min="1284" max="1284" width="10.625" style="120" customWidth="1"/>
    <col min="1285" max="1285" width="7.75" style="120" customWidth="1"/>
    <col min="1286" max="1286" width="7.5" style="120" customWidth="1"/>
    <col min="1287" max="1287" width="8" style="120" customWidth="1"/>
    <col min="1288" max="1288" width="9.625" style="120" bestFit="1" customWidth="1"/>
    <col min="1289" max="1289" width="8.5" style="120" customWidth="1"/>
    <col min="1290" max="1290" width="9.5" style="120" customWidth="1"/>
    <col min="1291" max="1291" width="9.375" style="120" customWidth="1"/>
    <col min="1292" max="1292" width="9.25" style="120" customWidth="1"/>
    <col min="1293" max="1536" width="9" style="120"/>
    <col min="1537" max="1537" width="5" style="120" customWidth="1"/>
    <col min="1538" max="1538" width="33" style="120" bestFit="1" customWidth="1"/>
    <col min="1539" max="1539" width="10.5" style="120" customWidth="1"/>
    <col min="1540" max="1540" width="10.625" style="120" customWidth="1"/>
    <col min="1541" max="1541" width="7.75" style="120" customWidth="1"/>
    <col min="1542" max="1542" width="7.5" style="120" customWidth="1"/>
    <col min="1543" max="1543" width="8" style="120" customWidth="1"/>
    <col min="1544" max="1544" width="9.625" style="120" bestFit="1" customWidth="1"/>
    <col min="1545" max="1545" width="8.5" style="120" customWidth="1"/>
    <col min="1546" max="1546" width="9.5" style="120" customWidth="1"/>
    <col min="1547" max="1547" width="9.375" style="120" customWidth="1"/>
    <col min="1548" max="1548" width="9.25" style="120" customWidth="1"/>
    <col min="1549" max="1792" width="9" style="120"/>
    <col min="1793" max="1793" width="5" style="120" customWidth="1"/>
    <col min="1794" max="1794" width="33" style="120" bestFit="1" customWidth="1"/>
    <col min="1795" max="1795" width="10.5" style="120" customWidth="1"/>
    <col min="1796" max="1796" width="10.625" style="120" customWidth="1"/>
    <col min="1797" max="1797" width="7.75" style="120" customWidth="1"/>
    <col min="1798" max="1798" width="7.5" style="120" customWidth="1"/>
    <col min="1799" max="1799" width="8" style="120" customWidth="1"/>
    <col min="1800" max="1800" width="9.625" style="120" bestFit="1" customWidth="1"/>
    <col min="1801" max="1801" width="8.5" style="120" customWidth="1"/>
    <col min="1802" max="1802" width="9.5" style="120" customWidth="1"/>
    <col min="1803" max="1803" width="9.375" style="120" customWidth="1"/>
    <col min="1804" max="1804" width="9.25" style="120" customWidth="1"/>
    <col min="1805" max="2048" width="9" style="120"/>
    <col min="2049" max="2049" width="5" style="120" customWidth="1"/>
    <col min="2050" max="2050" width="33" style="120" bestFit="1" customWidth="1"/>
    <col min="2051" max="2051" width="10.5" style="120" customWidth="1"/>
    <col min="2052" max="2052" width="10.625" style="120" customWidth="1"/>
    <col min="2053" max="2053" width="7.75" style="120" customWidth="1"/>
    <col min="2054" max="2054" width="7.5" style="120" customWidth="1"/>
    <col min="2055" max="2055" width="8" style="120" customWidth="1"/>
    <col min="2056" max="2056" width="9.625" style="120" bestFit="1" customWidth="1"/>
    <col min="2057" max="2057" width="8.5" style="120" customWidth="1"/>
    <col min="2058" max="2058" width="9.5" style="120" customWidth="1"/>
    <col min="2059" max="2059" width="9.375" style="120" customWidth="1"/>
    <col min="2060" max="2060" width="9.25" style="120" customWidth="1"/>
    <col min="2061" max="2304" width="9" style="120"/>
    <col min="2305" max="2305" width="5" style="120" customWidth="1"/>
    <col min="2306" max="2306" width="33" style="120" bestFit="1" customWidth="1"/>
    <col min="2307" max="2307" width="10.5" style="120" customWidth="1"/>
    <col min="2308" max="2308" width="10.625" style="120" customWidth="1"/>
    <col min="2309" max="2309" width="7.75" style="120" customWidth="1"/>
    <col min="2310" max="2310" width="7.5" style="120" customWidth="1"/>
    <col min="2311" max="2311" width="8" style="120" customWidth="1"/>
    <col min="2312" max="2312" width="9.625" style="120" bestFit="1" customWidth="1"/>
    <col min="2313" max="2313" width="8.5" style="120" customWidth="1"/>
    <col min="2314" max="2314" width="9.5" style="120" customWidth="1"/>
    <col min="2315" max="2315" width="9.375" style="120" customWidth="1"/>
    <col min="2316" max="2316" width="9.25" style="120" customWidth="1"/>
    <col min="2317" max="2560" width="9" style="120"/>
    <col min="2561" max="2561" width="5" style="120" customWidth="1"/>
    <col min="2562" max="2562" width="33" style="120" bestFit="1" customWidth="1"/>
    <col min="2563" max="2563" width="10.5" style="120" customWidth="1"/>
    <col min="2564" max="2564" width="10.625" style="120" customWidth="1"/>
    <col min="2565" max="2565" width="7.75" style="120" customWidth="1"/>
    <col min="2566" max="2566" width="7.5" style="120" customWidth="1"/>
    <col min="2567" max="2567" width="8" style="120" customWidth="1"/>
    <col min="2568" max="2568" width="9.625" style="120" bestFit="1" customWidth="1"/>
    <col min="2569" max="2569" width="8.5" style="120" customWidth="1"/>
    <col min="2570" max="2570" width="9.5" style="120" customWidth="1"/>
    <col min="2571" max="2571" width="9.375" style="120" customWidth="1"/>
    <col min="2572" max="2572" width="9.25" style="120" customWidth="1"/>
    <col min="2573" max="2816" width="9" style="120"/>
    <col min="2817" max="2817" width="5" style="120" customWidth="1"/>
    <col min="2818" max="2818" width="33" style="120" bestFit="1" customWidth="1"/>
    <col min="2819" max="2819" width="10.5" style="120" customWidth="1"/>
    <col min="2820" max="2820" width="10.625" style="120" customWidth="1"/>
    <col min="2821" max="2821" width="7.75" style="120" customWidth="1"/>
    <col min="2822" max="2822" width="7.5" style="120" customWidth="1"/>
    <col min="2823" max="2823" width="8" style="120" customWidth="1"/>
    <col min="2824" max="2824" width="9.625" style="120" bestFit="1" customWidth="1"/>
    <col min="2825" max="2825" width="8.5" style="120" customWidth="1"/>
    <col min="2826" max="2826" width="9.5" style="120" customWidth="1"/>
    <col min="2827" max="2827" width="9.375" style="120" customWidth="1"/>
    <col min="2828" max="2828" width="9.25" style="120" customWidth="1"/>
    <col min="2829" max="3072" width="9" style="120"/>
    <col min="3073" max="3073" width="5" style="120" customWidth="1"/>
    <col min="3074" max="3074" width="33" style="120" bestFit="1" customWidth="1"/>
    <col min="3075" max="3075" width="10.5" style="120" customWidth="1"/>
    <col min="3076" max="3076" width="10.625" style="120" customWidth="1"/>
    <col min="3077" max="3077" width="7.75" style="120" customWidth="1"/>
    <col min="3078" max="3078" width="7.5" style="120" customWidth="1"/>
    <col min="3079" max="3079" width="8" style="120" customWidth="1"/>
    <col min="3080" max="3080" width="9.625" style="120" bestFit="1" customWidth="1"/>
    <col min="3081" max="3081" width="8.5" style="120" customWidth="1"/>
    <col min="3082" max="3082" width="9.5" style="120" customWidth="1"/>
    <col min="3083" max="3083" width="9.375" style="120" customWidth="1"/>
    <col min="3084" max="3084" width="9.25" style="120" customWidth="1"/>
    <col min="3085" max="3328" width="9" style="120"/>
    <col min="3329" max="3329" width="5" style="120" customWidth="1"/>
    <col min="3330" max="3330" width="33" style="120" bestFit="1" customWidth="1"/>
    <col min="3331" max="3331" width="10.5" style="120" customWidth="1"/>
    <col min="3332" max="3332" width="10.625" style="120" customWidth="1"/>
    <col min="3333" max="3333" width="7.75" style="120" customWidth="1"/>
    <col min="3334" max="3334" width="7.5" style="120" customWidth="1"/>
    <col min="3335" max="3335" width="8" style="120" customWidth="1"/>
    <col min="3336" max="3336" width="9.625" style="120" bestFit="1" customWidth="1"/>
    <col min="3337" max="3337" width="8.5" style="120" customWidth="1"/>
    <col min="3338" max="3338" width="9.5" style="120" customWidth="1"/>
    <col min="3339" max="3339" width="9.375" style="120" customWidth="1"/>
    <col min="3340" max="3340" width="9.25" style="120" customWidth="1"/>
    <col min="3341" max="3584" width="9" style="120"/>
    <col min="3585" max="3585" width="5" style="120" customWidth="1"/>
    <col min="3586" max="3586" width="33" style="120" bestFit="1" customWidth="1"/>
    <col min="3587" max="3587" width="10.5" style="120" customWidth="1"/>
    <col min="3588" max="3588" width="10.625" style="120" customWidth="1"/>
    <col min="3589" max="3589" width="7.75" style="120" customWidth="1"/>
    <col min="3590" max="3590" width="7.5" style="120" customWidth="1"/>
    <col min="3591" max="3591" width="8" style="120" customWidth="1"/>
    <col min="3592" max="3592" width="9.625" style="120" bestFit="1" customWidth="1"/>
    <col min="3593" max="3593" width="8.5" style="120" customWidth="1"/>
    <col min="3594" max="3594" width="9.5" style="120" customWidth="1"/>
    <col min="3595" max="3595" width="9.375" style="120" customWidth="1"/>
    <col min="3596" max="3596" width="9.25" style="120" customWidth="1"/>
    <col min="3597" max="3840" width="9" style="120"/>
    <col min="3841" max="3841" width="5" style="120" customWidth="1"/>
    <col min="3842" max="3842" width="33" style="120" bestFit="1" customWidth="1"/>
    <col min="3843" max="3843" width="10.5" style="120" customWidth="1"/>
    <col min="3844" max="3844" width="10.625" style="120" customWidth="1"/>
    <col min="3845" max="3845" width="7.75" style="120" customWidth="1"/>
    <col min="3846" max="3846" width="7.5" style="120" customWidth="1"/>
    <col min="3847" max="3847" width="8" style="120" customWidth="1"/>
    <col min="3848" max="3848" width="9.625" style="120" bestFit="1" customWidth="1"/>
    <col min="3849" max="3849" width="8.5" style="120" customWidth="1"/>
    <col min="3850" max="3850" width="9.5" style="120" customWidth="1"/>
    <col min="3851" max="3851" width="9.375" style="120" customWidth="1"/>
    <col min="3852" max="3852" width="9.25" style="120" customWidth="1"/>
    <col min="3853" max="4096" width="9" style="120"/>
    <col min="4097" max="4097" width="5" style="120" customWidth="1"/>
    <col min="4098" max="4098" width="33" style="120" bestFit="1" customWidth="1"/>
    <col min="4099" max="4099" width="10.5" style="120" customWidth="1"/>
    <col min="4100" max="4100" width="10.625" style="120" customWidth="1"/>
    <col min="4101" max="4101" width="7.75" style="120" customWidth="1"/>
    <col min="4102" max="4102" width="7.5" style="120" customWidth="1"/>
    <col min="4103" max="4103" width="8" style="120" customWidth="1"/>
    <col min="4104" max="4104" width="9.625" style="120" bestFit="1" customWidth="1"/>
    <col min="4105" max="4105" width="8.5" style="120" customWidth="1"/>
    <col min="4106" max="4106" width="9.5" style="120" customWidth="1"/>
    <col min="4107" max="4107" width="9.375" style="120" customWidth="1"/>
    <col min="4108" max="4108" width="9.25" style="120" customWidth="1"/>
    <col min="4109" max="4352" width="9" style="120"/>
    <col min="4353" max="4353" width="5" style="120" customWidth="1"/>
    <col min="4354" max="4354" width="33" style="120" bestFit="1" customWidth="1"/>
    <col min="4355" max="4355" width="10.5" style="120" customWidth="1"/>
    <col min="4356" max="4356" width="10.625" style="120" customWidth="1"/>
    <col min="4357" max="4357" width="7.75" style="120" customWidth="1"/>
    <col min="4358" max="4358" width="7.5" style="120" customWidth="1"/>
    <col min="4359" max="4359" width="8" style="120" customWidth="1"/>
    <col min="4360" max="4360" width="9.625" style="120" bestFit="1" customWidth="1"/>
    <col min="4361" max="4361" width="8.5" style="120" customWidth="1"/>
    <col min="4362" max="4362" width="9.5" style="120" customWidth="1"/>
    <col min="4363" max="4363" width="9.375" style="120" customWidth="1"/>
    <col min="4364" max="4364" width="9.25" style="120" customWidth="1"/>
    <col min="4365" max="4608" width="9" style="120"/>
    <col min="4609" max="4609" width="5" style="120" customWidth="1"/>
    <col min="4610" max="4610" width="33" style="120" bestFit="1" customWidth="1"/>
    <col min="4611" max="4611" width="10.5" style="120" customWidth="1"/>
    <col min="4612" max="4612" width="10.625" style="120" customWidth="1"/>
    <col min="4613" max="4613" width="7.75" style="120" customWidth="1"/>
    <col min="4614" max="4614" width="7.5" style="120" customWidth="1"/>
    <col min="4615" max="4615" width="8" style="120" customWidth="1"/>
    <col min="4616" max="4616" width="9.625" style="120" bestFit="1" customWidth="1"/>
    <col min="4617" max="4617" width="8.5" style="120" customWidth="1"/>
    <col min="4618" max="4618" width="9.5" style="120" customWidth="1"/>
    <col min="4619" max="4619" width="9.375" style="120" customWidth="1"/>
    <col min="4620" max="4620" width="9.25" style="120" customWidth="1"/>
    <col min="4621" max="4864" width="9" style="120"/>
    <col min="4865" max="4865" width="5" style="120" customWidth="1"/>
    <col min="4866" max="4866" width="33" style="120" bestFit="1" customWidth="1"/>
    <col min="4867" max="4867" width="10.5" style="120" customWidth="1"/>
    <col min="4868" max="4868" width="10.625" style="120" customWidth="1"/>
    <col min="4869" max="4869" width="7.75" style="120" customWidth="1"/>
    <col min="4870" max="4870" width="7.5" style="120" customWidth="1"/>
    <col min="4871" max="4871" width="8" style="120" customWidth="1"/>
    <col min="4872" max="4872" width="9.625" style="120" bestFit="1" customWidth="1"/>
    <col min="4873" max="4873" width="8.5" style="120" customWidth="1"/>
    <col min="4874" max="4874" width="9.5" style="120" customWidth="1"/>
    <col min="4875" max="4875" width="9.375" style="120" customWidth="1"/>
    <col min="4876" max="4876" width="9.25" style="120" customWidth="1"/>
    <col min="4877" max="5120" width="9" style="120"/>
    <col min="5121" max="5121" width="5" style="120" customWidth="1"/>
    <col min="5122" max="5122" width="33" style="120" bestFit="1" customWidth="1"/>
    <col min="5123" max="5123" width="10.5" style="120" customWidth="1"/>
    <col min="5124" max="5124" width="10.625" style="120" customWidth="1"/>
    <col min="5125" max="5125" width="7.75" style="120" customWidth="1"/>
    <col min="5126" max="5126" width="7.5" style="120" customWidth="1"/>
    <col min="5127" max="5127" width="8" style="120" customWidth="1"/>
    <col min="5128" max="5128" width="9.625" style="120" bestFit="1" customWidth="1"/>
    <col min="5129" max="5129" width="8.5" style="120" customWidth="1"/>
    <col min="5130" max="5130" width="9.5" style="120" customWidth="1"/>
    <col min="5131" max="5131" width="9.375" style="120" customWidth="1"/>
    <col min="5132" max="5132" width="9.25" style="120" customWidth="1"/>
    <col min="5133" max="5376" width="9" style="120"/>
    <col min="5377" max="5377" width="5" style="120" customWidth="1"/>
    <col min="5378" max="5378" width="33" style="120" bestFit="1" customWidth="1"/>
    <col min="5379" max="5379" width="10.5" style="120" customWidth="1"/>
    <col min="5380" max="5380" width="10.625" style="120" customWidth="1"/>
    <col min="5381" max="5381" width="7.75" style="120" customWidth="1"/>
    <col min="5382" max="5382" width="7.5" style="120" customWidth="1"/>
    <col min="5383" max="5383" width="8" style="120" customWidth="1"/>
    <col min="5384" max="5384" width="9.625" style="120" bestFit="1" customWidth="1"/>
    <col min="5385" max="5385" width="8.5" style="120" customWidth="1"/>
    <col min="5386" max="5386" width="9.5" style="120" customWidth="1"/>
    <col min="5387" max="5387" width="9.375" style="120" customWidth="1"/>
    <col min="5388" max="5388" width="9.25" style="120" customWidth="1"/>
    <col min="5389" max="5632" width="9" style="120"/>
    <col min="5633" max="5633" width="5" style="120" customWidth="1"/>
    <col min="5634" max="5634" width="33" style="120" bestFit="1" customWidth="1"/>
    <col min="5635" max="5635" width="10.5" style="120" customWidth="1"/>
    <col min="5636" max="5636" width="10.625" style="120" customWidth="1"/>
    <col min="5637" max="5637" width="7.75" style="120" customWidth="1"/>
    <col min="5638" max="5638" width="7.5" style="120" customWidth="1"/>
    <col min="5639" max="5639" width="8" style="120" customWidth="1"/>
    <col min="5640" max="5640" width="9.625" style="120" bestFit="1" customWidth="1"/>
    <col min="5641" max="5641" width="8.5" style="120" customWidth="1"/>
    <col min="5642" max="5642" width="9.5" style="120" customWidth="1"/>
    <col min="5643" max="5643" width="9.375" style="120" customWidth="1"/>
    <col min="5644" max="5644" width="9.25" style="120" customWidth="1"/>
    <col min="5645" max="5888" width="9" style="120"/>
    <col min="5889" max="5889" width="5" style="120" customWidth="1"/>
    <col min="5890" max="5890" width="33" style="120" bestFit="1" customWidth="1"/>
    <col min="5891" max="5891" width="10.5" style="120" customWidth="1"/>
    <col min="5892" max="5892" width="10.625" style="120" customWidth="1"/>
    <col min="5893" max="5893" width="7.75" style="120" customWidth="1"/>
    <col min="5894" max="5894" width="7.5" style="120" customWidth="1"/>
    <col min="5895" max="5895" width="8" style="120" customWidth="1"/>
    <col min="5896" max="5896" width="9.625" style="120" bestFit="1" customWidth="1"/>
    <col min="5897" max="5897" width="8.5" style="120" customWidth="1"/>
    <col min="5898" max="5898" width="9.5" style="120" customWidth="1"/>
    <col min="5899" max="5899" width="9.375" style="120" customWidth="1"/>
    <col min="5900" max="5900" width="9.25" style="120" customWidth="1"/>
    <col min="5901" max="6144" width="9" style="120"/>
    <col min="6145" max="6145" width="5" style="120" customWidth="1"/>
    <col min="6146" max="6146" width="33" style="120" bestFit="1" customWidth="1"/>
    <col min="6147" max="6147" width="10.5" style="120" customWidth="1"/>
    <col min="6148" max="6148" width="10.625" style="120" customWidth="1"/>
    <col min="6149" max="6149" width="7.75" style="120" customWidth="1"/>
    <col min="6150" max="6150" width="7.5" style="120" customWidth="1"/>
    <col min="6151" max="6151" width="8" style="120" customWidth="1"/>
    <col min="6152" max="6152" width="9.625" style="120" bestFit="1" customWidth="1"/>
    <col min="6153" max="6153" width="8.5" style="120" customWidth="1"/>
    <col min="6154" max="6154" width="9.5" style="120" customWidth="1"/>
    <col min="6155" max="6155" width="9.375" style="120" customWidth="1"/>
    <col min="6156" max="6156" width="9.25" style="120" customWidth="1"/>
    <col min="6157" max="6400" width="9" style="120"/>
    <col min="6401" max="6401" width="5" style="120" customWidth="1"/>
    <col min="6402" max="6402" width="33" style="120" bestFit="1" customWidth="1"/>
    <col min="6403" max="6403" width="10.5" style="120" customWidth="1"/>
    <col min="6404" max="6404" width="10.625" style="120" customWidth="1"/>
    <col min="6405" max="6405" width="7.75" style="120" customWidth="1"/>
    <col min="6406" max="6406" width="7.5" style="120" customWidth="1"/>
    <col min="6407" max="6407" width="8" style="120" customWidth="1"/>
    <col min="6408" max="6408" width="9.625" style="120" bestFit="1" customWidth="1"/>
    <col min="6409" max="6409" width="8.5" style="120" customWidth="1"/>
    <col min="6410" max="6410" width="9.5" style="120" customWidth="1"/>
    <col min="6411" max="6411" width="9.375" style="120" customWidth="1"/>
    <col min="6412" max="6412" width="9.25" style="120" customWidth="1"/>
    <col min="6413" max="6656" width="9" style="120"/>
    <col min="6657" max="6657" width="5" style="120" customWidth="1"/>
    <col min="6658" max="6658" width="33" style="120" bestFit="1" customWidth="1"/>
    <col min="6659" max="6659" width="10.5" style="120" customWidth="1"/>
    <col min="6660" max="6660" width="10.625" style="120" customWidth="1"/>
    <col min="6661" max="6661" width="7.75" style="120" customWidth="1"/>
    <col min="6662" max="6662" width="7.5" style="120" customWidth="1"/>
    <col min="6663" max="6663" width="8" style="120" customWidth="1"/>
    <col min="6664" max="6664" width="9.625" style="120" bestFit="1" customWidth="1"/>
    <col min="6665" max="6665" width="8.5" style="120" customWidth="1"/>
    <col min="6666" max="6666" width="9.5" style="120" customWidth="1"/>
    <col min="6667" max="6667" width="9.375" style="120" customWidth="1"/>
    <col min="6668" max="6668" width="9.25" style="120" customWidth="1"/>
    <col min="6669" max="6912" width="9" style="120"/>
    <col min="6913" max="6913" width="5" style="120" customWidth="1"/>
    <col min="6914" max="6914" width="33" style="120" bestFit="1" customWidth="1"/>
    <col min="6915" max="6915" width="10.5" style="120" customWidth="1"/>
    <col min="6916" max="6916" width="10.625" style="120" customWidth="1"/>
    <col min="6917" max="6917" width="7.75" style="120" customWidth="1"/>
    <col min="6918" max="6918" width="7.5" style="120" customWidth="1"/>
    <col min="6919" max="6919" width="8" style="120" customWidth="1"/>
    <col min="6920" max="6920" width="9.625" style="120" bestFit="1" customWidth="1"/>
    <col min="6921" max="6921" width="8.5" style="120" customWidth="1"/>
    <col min="6922" max="6922" width="9.5" style="120" customWidth="1"/>
    <col min="6923" max="6923" width="9.375" style="120" customWidth="1"/>
    <col min="6924" max="6924" width="9.25" style="120" customWidth="1"/>
    <col min="6925" max="7168" width="9" style="120"/>
    <col min="7169" max="7169" width="5" style="120" customWidth="1"/>
    <col min="7170" max="7170" width="33" style="120" bestFit="1" customWidth="1"/>
    <col min="7171" max="7171" width="10.5" style="120" customWidth="1"/>
    <col min="7172" max="7172" width="10.625" style="120" customWidth="1"/>
    <col min="7173" max="7173" width="7.75" style="120" customWidth="1"/>
    <col min="7174" max="7174" width="7.5" style="120" customWidth="1"/>
    <col min="7175" max="7175" width="8" style="120" customWidth="1"/>
    <col min="7176" max="7176" width="9.625" style="120" bestFit="1" customWidth="1"/>
    <col min="7177" max="7177" width="8.5" style="120" customWidth="1"/>
    <col min="7178" max="7178" width="9.5" style="120" customWidth="1"/>
    <col min="7179" max="7179" width="9.375" style="120" customWidth="1"/>
    <col min="7180" max="7180" width="9.25" style="120" customWidth="1"/>
    <col min="7181" max="7424" width="9" style="120"/>
    <col min="7425" max="7425" width="5" style="120" customWidth="1"/>
    <col min="7426" max="7426" width="33" style="120" bestFit="1" customWidth="1"/>
    <col min="7427" max="7427" width="10.5" style="120" customWidth="1"/>
    <col min="7428" max="7428" width="10.625" style="120" customWidth="1"/>
    <col min="7429" max="7429" width="7.75" style="120" customWidth="1"/>
    <col min="7430" max="7430" width="7.5" style="120" customWidth="1"/>
    <col min="7431" max="7431" width="8" style="120" customWidth="1"/>
    <col min="7432" max="7432" width="9.625" style="120" bestFit="1" customWidth="1"/>
    <col min="7433" max="7433" width="8.5" style="120" customWidth="1"/>
    <col min="7434" max="7434" width="9.5" style="120" customWidth="1"/>
    <col min="7435" max="7435" width="9.375" style="120" customWidth="1"/>
    <col min="7436" max="7436" width="9.25" style="120" customWidth="1"/>
    <col min="7437" max="7680" width="9" style="120"/>
    <col min="7681" max="7681" width="5" style="120" customWidth="1"/>
    <col min="7682" max="7682" width="33" style="120" bestFit="1" customWidth="1"/>
    <col min="7683" max="7683" width="10.5" style="120" customWidth="1"/>
    <col min="7684" max="7684" width="10.625" style="120" customWidth="1"/>
    <col min="7685" max="7685" width="7.75" style="120" customWidth="1"/>
    <col min="7686" max="7686" width="7.5" style="120" customWidth="1"/>
    <col min="7687" max="7687" width="8" style="120" customWidth="1"/>
    <col min="7688" max="7688" width="9.625" style="120" bestFit="1" customWidth="1"/>
    <col min="7689" max="7689" width="8.5" style="120" customWidth="1"/>
    <col min="7690" max="7690" width="9.5" style="120" customWidth="1"/>
    <col min="7691" max="7691" width="9.375" style="120" customWidth="1"/>
    <col min="7692" max="7692" width="9.25" style="120" customWidth="1"/>
    <col min="7693" max="7936" width="9" style="120"/>
    <col min="7937" max="7937" width="5" style="120" customWidth="1"/>
    <col min="7938" max="7938" width="33" style="120" bestFit="1" customWidth="1"/>
    <col min="7939" max="7939" width="10.5" style="120" customWidth="1"/>
    <col min="7940" max="7940" width="10.625" style="120" customWidth="1"/>
    <col min="7941" max="7941" width="7.75" style="120" customWidth="1"/>
    <col min="7942" max="7942" width="7.5" style="120" customWidth="1"/>
    <col min="7943" max="7943" width="8" style="120" customWidth="1"/>
    <col min="7944" max="7944" width="9.625" style="120" bestFit="1" customWidth="1"/>
    <col min="7945" max="7945" width="8.5" style="120" customWidth="1"/>
    <col min="7946" max="7946" width="9.5" style="120" customWidth="1"/>
    <col min="7947" max="7947" width="9.375" style="120" customWidth="1"/>
    <col min="7948" max="7948" width="9.25" style="120" customWidth="1"/>
    <col min="7949" max="8192" width="9" style="120"/>
    <col min="8193" max="8193" width="5" style="120" customWidth="1"/>
    <col min="8194" max="8194" width="33" style="120" bestFit="1" customWidth="1"/>
    <col min="8195" max="8195" width="10.5" style="120" customWidth="1"/>
    <col min="8196" max="8196" width="10.625" style="120" customWidth="1"/>
    <col min="8197" max="8197" width="7.75" style="120" customWidth="1"/>
    <col min="8198" max="8198" width="7.5" style="120" customWidth="1"/>
    <col min="8199" max="8199" width="8" style="120" customWidth="1"/>
    <col min="8200" max="8200" width="9.625" style="120" bestFit="1" customWidth="1"/>
    <col min="8201" max="8201" width="8.5" style="120" customWidth="1"/>
    <col min="8202" max="8202" width="9.5" style="120" customWidth="1"/>
    <col min="8203" max="8203" width="9.375" style="120" customWidth="1"/>
    <col min="8204" max="8204" width="9.25" style="120" customWidth="1"/>
    <col min="8205" max="8448" width="9" style="120"/>
    <col min="8449" max="8449" width="5" style="120" customWidth="1"/>
    <col min="8450" max="8450" width="33" style="120" bestFit="1" customWidth="1"/>
    <col min="8451" max="8451" width="10.5" style="120" customWidth="1"/>
    <col min="8452" max="8452" width="10.625" style="120" customWidth="1"/>
    <col min="8453" max="8453" width="7.75" style="120" customWidth="1"/>
    <col min="8454" max="8454" width="7.5" style="120" customWidth="1"/>
    <col min="8455" max="8455" width="8" style="120" customWidth="1"/>
    <col min="8456" max="8456" width="9.625" style="120" bestFit="1" customWidth="1"/>
    <col min="8457" max="8457" width="8.5" style="120" customWidth="1"/>
    <col min="8458" max="8458" width="9.5" style="120" customWidth="1"/>
    <col min="8459" max="8459" width="9.375" style="120" customWidth="1"/>
    <col min="8460" max="8460" width="9.25" style="120" customWidth="1"/>
    <col min="8461" max="8704" width="9" style="120"/>
    <col min="8705" max="8705" width="5" style="120" customWidth="1"/>
    <col min="8706" max="8706" width="33" style="120" bestFit="1" customWidth="1"/>
    <col min="8707" max="8707" width="10.5" style="120" customWidth="1"/>
    <col min="8708" max="8708" width="10.625" style="120" customWidth="1"/>
    <col min="8709" max="8709" width="7.75" style="120" customWidth="1"/>
    <col min="8710" max="8710" width="7.5" style="120" customWidth="1"/>
    <col min="8711" max="8711" width="8" style="120" customWidth="1"/>
    <col min="8712" max="8712" width="9.625" style="120" bestFit="1" customWidth="1"/>
    <col min="8713" max="8713" width="8.5" style="120" customWidth="1"/>
    <col min="8714" max="8714" width="9.5" style="120" customWidth="1"/>
    <col min="8715" max="8715" width="9.375" style="120" customWidth="1"/>
    <col min="8716" max="8716" width="9.25" style="120" customWidth="1"/>
    <col min="8717" max="8960" width="9" style="120"/>
    <col min="8961" max="8961" width="5" style="120" customWidth="1"/>
    <col min="8962" max="8962" width="33" style="120" bestFit="1" customWidth="1"/>
    <col min="8963" max="8963" width="10.5" style="120" customWidth="1"/>
    <col min="8964" max="8964" width="10.625" style="120" customWidth="1"/>
    <col min="8965" max="8965" width="7.75" style="120" customWidth="1"/>
    <col min="8966" max="8966" width="7.5" style="120" customWidth="1"/>
    <col min="8967" max="8967" width="8" style="120" customWidth="1"/>
    <col min="8968" max="8968" width="9.625" style="120" bestFit="1" customWidth="1"/>
    <col min="8969" max="8969" width="8.5" style="120" customWidth="1"/>
    <col min="8970" max="8970" width="9.5" style="120" customWidth="1"/>
    <col min="8971" max="8971" width="9.375" style="120" customWidth="1"/>
    <col min="8972" max="8972" width="9.25" style="120" customWidth="1"/>
    <col min="8973" max="9216" width="9" style="120"/>
    <col min="9217" max="9217" width="5" style="120" customWidth="1"/>
    <col min="9218" max="9218" width="33" style="120" bestFit="1" customWidth="1"/>
    <col min="9219" max="9219" width="10.5" style="120" customWidth="1"/>
    <col min="9220" max="9220" width="10.625" style="120" customWidth="1"/>
    <col min="9221" max="9221" width="7.75" style="120" customWidth="1"/>
    <col min="9222" max="9222" width="7.5" style="120" customWidth="1"/>
    <col min="9223" max="9223" width="8" style="120" customWidth="1"/>
    <col min="9224" max="9224" width="9.625" style="120" bestFit="1" customWidth="1"/>
    <col min="9225" max="9225" width="8.5" style="120" customWidth="1"/>
    <col min="9226" max="9226" width="9.5" style="120" customWidth="1"/>
    <col min="9227" max="9227" width="9.375" style="120" customWidth="1"/>
    <col min="9228" max="9228" width="9.25" style="120" customWidth="1"/>
    <col min="9229" max="9472" width="9" style="120"/>
    <col min="9473" max="9473" width="5" style="120" customWidth="1"/>
    <col min="9474" max="9474" width="33" style="120" bestFit="1" customWidth="1"/>
    <col min="9475" max="9475" width="10.5" style="120" customWidth="1"/>
    <col min="9476" max="9476" width="10.625" style="120" customWidth="1"/>
    <col min="9477" max="9477" width="7.75" style="120" customWidth="1"/>
    <col min="9478" max="9478" width="7.5" style="120" customWidth="1"/>
    <col min="9479" max="9479" width="8" style="120" customWidth="1"/>
    <col min="9480" max="9480" width="9.625" style="120" bestFit="1" customWidth="1"/>
    <col min="9481" max="9481" width="8.5" style="120" customWidth="1"/>
    <col min="9482" max="9482" width="9.5" style="120" customWidth="1"/>
    <col min="9483" max="9483" width="9.375" style="120" customWidth="1"/>
    <col min="9484" max="9484" width="9.25" style="120" customWidth="1"/>
    <col min="9485" max="9728" width="9" style="120"/>
    <col min="9729" max="9729" width="5" style="120" customWidth="1"/>
    <col min="9730" max="9730" width="33" style="120" bestFit="1" customWidth="1"/>
    <col min="9731" max="9731" width="10.5" style="120" customWidth="1"/>
    <col min="9732" max="9732" width="10.625" style="120" customWidth="1"/>
    <col min="9733" max="9733" width="7.75" style="120" customWidth="1"/>
    <col min="9734" max="9734" width="7.5" style="120" customWidth="1"/>
    <col min="9735" max="9735" width="8" style="120" customWidth="1"/>
    <col min="9736" max="9736" width="9.625" style="120" bestFit="1" customWidth="1"/>
    <col min="9737" max="9737" width="8.5" style="120" customWidth="1"/>
    <col min="9738" max="9738" width="9.5" style="120" customWidth="1"/>
    <col min="9739" max="9739" width="9.375" style="120" customWidth="1"/>
    <col min="9740" max="9740" width="9.25" style="120" customWidth="1"/>
    <col min="9741" max="9984" width="9" style="120"/>
    <col min="9985" max="9985" width="5" style="120" customWidth="1"/>
    <col min="9986" max="9986" width="33" style="120" bestFit="1" customWidth="1"/>
    <col min="9987" max="9987" width="10.5" style="120" customWidth="1"/>
    <col min="9988" max="9988" width="10.625" style="120" customWidth="1"/>
    <col min="9989" max="9989" width="7.75" style="120" customWidth="1"/>
    <col min="9990" max="9990" width="7.5" style="120" customWidth="1"/>
    <col min="9991" max="9991" width="8" style="120" customWidth="1"/>
    <col min="9992" max="9992" width="9.625" style="120" bestFit="1" customWidth="1"/>
    <col min="9993" max="9993" width="8.5" style="120" customWidth="1"/>
    <col min="9994" max="9994" width="9.5" style="120" customWidth="1"/>
    <col min="9995" max="9995" width="9.375" style="120" customWidth="1"/>
    <col min="9996" max="9996" width="9.25" style="120" customWidth="1"/>
    <col min="9997" max="10240" width="9" style="120"/>
    <col min="10241" max="10241" width="5" style="120" customWidth="1"/>
    <col min="10242" max="10242" width="33" style="120" bestFit="1" customWidth="1"/>
    <col min="10243" max="10243" width="10.5" style="120" customWidth="1"/>
    <col min="10244" max="10244" width="10.625" style="120" customWidth="1"/>
    <col min="10245" max="10245" width="7.75" style="120" customWidth="1"/>
    <col min="10246" max="10246" width="7.5" style="120" customWidth="1"/>
    <col min="10247" max="10247" width="8" style="120" customWidth="1"/>
    <col min="10248" max="10248" width="9.625" style="120" bestFit="1" customWidth="1"/>
    <col min="10249" max="10249" width="8.5" style="120" customWidth="1"/>
    <col min="10250" max="10250" width="9.5" style="120" customWidth="1"/>
    <col min="10251" max="10251" width="9.375" style="120" customWidth="1"/>
    <col min="10252" max="10252" width="9.25" style="120" customWidth="1"/>
    <col min="10253" max="10496" width="9" style="120"/>
    <col min="10497" max="10497" width="5" style="120" customWidth="1"/>
    <col min="10498" max="10498" width="33" style="120" bestFit="1" customWidth="1"/>
    <col min="10499" max="10499" width="10.5" style="120" customWidth="1"/>
    <col min="10500" max="10500" width="10.625" style="120" customWidth="1"/>
    <col min="10501" max="10501" width="7.75" style="120" customWidth="1"/>
    <col min="10502" max="10502" width="7.5" style="120" customWidth="1"/>
    <col min="10503" max="10503" width="8" style="120" customWidth="1"/>
    <col min="10504" max="10504" width="9.625" style="120" bestFit="1" customWidth="1"/>
    <col min="10505" max="10505" width="8.5" style="120" customWidth="1"/>
    <col min="10506" max="10506" width="9.5" style="120" customWidth="1"/>
    <col min="10507" max="10507" width="9.375" style="120" customWidth="1"/>
    <col min="10508" max="10508" width="9.25" style="120" customWidth="1"/>
    <col min="10509" max="10752" width="9" style="120"/>
    <col min="10753" max="10753" width="5" style="120" customWidth="1"/>
    <col min="10754" max="10754" width="33" style="120" bestFit="1" customWidth="1"/>
    <col min="10755" max="10755" width="10.5" style="120" customWidth="1"/>
    <col min="10756" max="10756" width="10.625" style="120" customWidth="1"/>
    <col min="10757" max="10757" width="7.75" style="120" customWidth="1"/>
    <col min="10758" max="10758" width="7.5" style="120" customWidth="1"/>
    <col min="10759" max="10759" width="8" style="120" customWidth="1"/>
    <col min="10760" max="10760" width="9.625" style="120" bestFit="1" customWidth="1"/>
    <col min="10761" max="10761" width="8.5" style="120" customWidth="1"/>
    <col min="10762" max="10762" width="9.5" style="120" customWidth="1"/>
    <col min="10763" max="10763" width="9.375" style="120" customWidth="1"/>
    <col min="10764" max="10764" width="9.25" style="120" customWidth="1"/>
    <col min="10765" max="11008" width="9" style="120"/>
    <col min="11009" max="11009" width="5" style="120" customWidth="1"/>
    <col min="11010" max="11010" width="33" style="120" bestFit="1" customWidth="1"/>
    <col min="11011" max="11011" width="10.5" style="120" customWidth="1"/>
    <col min="11012" max="11012" width="10.625" style="120" customWidth="1"/>
    <col min="11013" max="11013" width="7.75" style="120" customWidth="1"/>
    <col min="11014" max="11014" width="7.5" style="120" customWidth="1"/>
    <col min="11015" max="11015" width="8" style="120" customWidth="1"/>
    <col min="11016" max="11016" width="9.625" style="120" bestFit="1" customWidth="1"/>
    <col min="11017" max="11017" width="8.5" style="120" customWidth="1"/>
    <col min="11018" max="11018" width="9.5" style="120" customWidth="1"/>
    <col min="11019" max="11019" width="9.375" style="120" customWidth="1"/>
    <col min="11020" max="11020" width="9.25" style="120" customWidth="1"/>
    <col min="11021" max="11264" width="9" style="120"/>
    <col min="11265" max="11265" width="5" style="120" customWidth="1"/>
    <col min="11266" max="11266" width="33" style="120" bestFit="1" customWidth="1"/>
    <col min="11267" max="11267" width="10.5" style="120" customWidth="1"/>
    <col min="11268" max="11268" width="10.625" style="120" customWidth="1"/>
    <col min="11269" max="11269" width="7.75" style="120" customWidth="1"/>
    <col min="11270" max="11270" width="7.5" style="120" customWidth="1"/>
    <col min="11271" max="11271" width="8" style="120" customWidth="1"/>
    <col min="11272" max="11272" width="9.625" style="120" bestFit="1" customWidth="1"/>
    <col min="11273" max="11273" width="8.5" style="120" customWidth="1"/>
    <col min="11274" max="11274" width="9.5" style="120" customWidth="1"/>
    <col min="11275" max="11275" width="9.375" style="120" customWidth="1"/>
    <col min="11276" max="11276" width="9.25" style="120" customWidth="1"/>
    <col min="11277" max="11520" width="9" style="120"/>
    <col min="11521" max="11521" width="5" style="120" customWidth="1"/>
    <col min="11522" max="11522" width="33" style="120" bestFit="1" customWidth="1"/>
    <col min="11523" max="11523" width="10.5" style="120" customWidth="1"/>
    <col min="11524" max="11524" width="10.625" style="120" customWidth="1"/>
    <col min="11525" max="11525" width="7.75" style="120" customWidth="1"/>
    <col min="11526" max="11526" width="7.5" style="120" customWidth="1"/>
    <col min="11527" max="11527" width="8" style="120" customWidth="1"/>
    <col min="11528" max="11528" width="9.625" style="120" bestFit="1" customWidth="1"/>
    <col min="11529" max="11529" width="8.5" style="120" customWidth="1"/>
    <col min="11530" max="11530" width="9.5" style="120" customWidth="1"/>
    <col min="11531" max="11531" width="9.375" style="120" customWidth="1"/>
    <col min="11532" max="11532" width="9.25" style="120" customWidth="1"/>
    <col min="11533" max="11776" width="9" style="120"/>
    <col min="11777" max="11777" width="5" style="120" customWidth="1"/>
    <col min="11778" max="11778" width="33" style="120" bestFit="1" customWidth="1"/>
    <col min="11779" max="11779" width="10.5" style="120" customWidth="1"/>
    <col min="11780" max="11780" width="10.625" style="120" customWidth="1"/>
    <col min="11781" max="11781" width="7.75" style="120" customWidth="1"/>
    <col min="11782" max="11782" width="7.5" style="120" customWidth="1"/>
    <col min="11783" max="11783" width="8" style="120" customWidth="1"/>
    <col min="11784" max="11784" width="9.625" style="120" bestFit="1" customWidth="1"/>
    <col min="11785" max="11785" width="8.5" style="120" customWidth="1"/>
    <col min="11786" max="11786" width="9.5" style="120" customWidth="1"/>
    <col min="11787" max="11787" width="9.375" style="120" customWidth="1"/>
    <col min="11788" max="11788" width="9.25" style="120" customWidth="1"/>
    <col min="11789" max="12032" width="9" style="120"/>
    <col min="12033" max="12033" width="5" style="120" customWidth="1"/>
    <col min="12034" max="12034" width="33" style="120" bestFit="1" customWidth="1"/>
    <col min="12035" max="12035" width="10.5" style="120" customWidth="1"/>
    <col min="12036" max="12036" width="10.625" style="120" customWidth="1"/>
    <col min="12037" max="12037" width="7.75" style="120" customWidth="1"/>
    <col min="12038" max="12038" width="7.5" style="120" customWidth="1"/>
    <col min="12039" max="12039" width="8" style="120" customWidth="1"/>
    <col min="12040" max="12040" width="9.625" style="120" bestFit="1" customWidth="1"/>
    <col min="12041" max="12041" width="8.5" style="120" customWidth="1"/>
    <col min="12042" max="12042" width="9.5" style="120" customWidth="1"/>
    <col min="12043" max="12043" width="9.375" style="120" customWidth="1"/>
    <col min="12044" max="12044" width="9.25" style="120" customWidth="1"/>
    <col min="12045" max="12288" width="9" style="120"/>
    <col min="12289" max="12289" width="5" style="120" customWidth="1"/>
    <col min="12290" max="12290" width="33" style="120" bestFit="1" customWidth="1"/>
    <col min="12291" max="12291" width="10.5" style="120" customWidth="1"/>
    <col min="12292" max="12292" width="10.625" style="120" customWidth="1"/>
    <col min="12293" max="12293" width="7.75" style="120" customWidth="1"/>
    <col min="12294" max="12294" width="7.5" style="120" customWidth="1"/>
    <col min="12295" max="12295" width="8" style="120" customWidth="1"/>
    <col min="12296" max="12296" width="9.625" style="120" bestFit="1" customWidth="1"/>
    <col min="12297" max="12297" width="8.5" style="120" customWidth="1"/>
    <col min="12298" max="12298" width="9.5" style="120" customWidth="1"/>
    <col min="12299" max="12299" width="9.375" style="120" customWidth="1"/>
    <col min="12300" max="12300" width="9.25" style="120" customWidth="1"/>
    <col min="12301" max="12544" width="9" style="120"/>
    <col min="12545" max="12545" width="5" style="120" customWidth="1"/>
    <col min="12546" max="12546" width="33" style="120" bestFit="1" customWidth="1"/>
    <col min="12547" max="12547" width="10.5" style="120" customWidth="1"/>
    <col min="12548" max="12548" width="10.625" style="120" customWidth="1"/>
    <col min="12549" max="12549" width="7.75" style="120" customWidth="1"/>
    <col min="12550" max="12550" width="7.5" style="120" customWidth="1"/>
    <col min="12551" max="12551" width="8" style="120" customWidth="1"/>
    <col min="12552" max="12552" width="9.625" style="120" bestFit="1" customWidth="1"/>
    <col min="12553" max="12553" width="8.5" style="120" customWidth="1"/>
    <col min="12554" max="12554" width="9.5" style="120" customWidth="1"/>
    <col min="12555" max="12555" width="9.375" style="120" customWidth="1"/>
    <col min="12556" max="12556" width="9.25" style="120" customWidth="1"/>
    <col min="12557" max="12800" width="9" style="120"/>
    <col min="12801" max="12801" width="5" style="120" customWidth="1"/>
    <col min="12802" max="12802" width="33" style="120" bestFit="1" customWidth="1"/>
    <col min="12803" max="12803" width="10.5" style="120" customWidth="1"/>
    <col min="12804" max="12804" width="10.625" style="120" customWidth="1"/>
    <col min="12805" max="12805" width="7.75" style="120" customWidth="1"/>
    <col min="12806" max="12806" width="7.5" style="120" customWidth="1"/>
    <col min="12807" max="12807" width="8" style="120" customWidth="1"/>
    <col min="12808" max="12808" width="9.625" style="120" bestFit="1" customWidth="1"/>
    <col min="12809" max="12809" width="8.5" style="120" customWidth="1"/>
    <col min="12810" max="12810" width="9.5" style="120" customWidth="1"/>
    <col min="12811" max="12811" width="9.375" style="120" customWidth="1"/>
    <col min="12812" max="12812" width="9.25" style="120" customWidth="1"/>
    <col min="12813" max="13056" width="9" style="120"/>
    <col min="13057" max="13057" width="5" style="120" customWidth="1"/>
    <col min="13058" max="13058" width="33" style="120" bestFit="1" customWidth="1"/>
    <col min="13059" max="13059" width="10.5" style="120" customWidth="1"/>
    <col min="13060" max="13060" width="10.625" style="120" customWidth="1"/>
    <col min="13061" max="13061" width="7.75" style="120" customWidth="1"/>
    <col min="13062" max="13062" width="7.5" style="120" customWidth="1"/>
    <col min="13063" max="13063" width="8" style="120" customWidth="1"/>
    <col min="13064" max="13064" width="9.625" style="120" bestFit="1" customWidth="1"/>
    <col min="13065" max="13065" width="8.5" style="120" customWidth="1"/>
    <col min="13066" max="13066" width="9.5" style="120" customWidth="1"/>
    <col min="13067" max="13067" width="9.375" style="120" customWidth="1"/>
    <col min="13068" max="13068" width="9.25" style="120" customWidth="1"/>
    <col min="13069" max="13312" width="9" style="120"/>
    <col min="13313" max="13313" width="5" style="120" customWidth="1"/>
    <col min="13314" max="13314" width="33" style="120" bestFit="1" customWidth="1"/>
    <col min="13315" max="13315" width="10.5" style="120" customWidth="1"/>
    <col min="13316" max="13316" width="10.625" style="120" customWidth="1"/>
    <col min="13317" max="13317" width="7.75" style="120" customWidth="1"/>
    <col min="13318" max="13318" width="7.5" style="120" customWidth="1"/>
    <col min="13319" max="13319" width="8" style="120" customWidth="1"/>
    <col min="13320" max="13320" width="9.625" style="120" bestFit="1" customWidth="1"/>
    <col min="13321" max="13321" width="8.5" style="120" customWidth="1"/>
    <col min="13322" max="13322" width="9.5" style="120" customWidth="1"/>
    <col min="13323" max="13323" width="9.375" style="120" customWidth="1"/>
    <col min="13324" max="13324" width="9.25" style="120" customWidth="1"/>
    <col min="13325" max="13568" width="9" style="120"/>
    <col min="13569" max="13569" width="5" style="120" customWidth="1"/>
    <col min="13570" max="13570" width="33" style="120" bestFit="1" customWidth="1"/>
    <col min="13571" max="13571" width="10.5" style="120" customWidth="1"/>
    <col min="13572" max="13572" width="10.625" style="120" customWidth="1"/>
    <col min="13573" max="13573" width="7.75" style="120" customWidth="1"/>
    <col min="13574" max="13574" width="7.5" style="120" customWidth="1"/>
    <col min="13575" max="13575" width="8" style="120" customWidth="1"/>
    <col min="13576" max="13576" width="9.625" style="120" bestFit="1" customWidth="1"/>
    <col min="13577" max="13577" width="8.5" style="120" customWidth="1"/>
    <col min="13578" max="13578" width="9.5" style="120" customWidth="1"/>
    <col min="13579" max="13579" width="9.375" style="120" customWidth="1"/>
    <col min="13580" max="13580" width="9.25" style="120" customWidth="1"/>
    <col min="13581" max="13824" width="9" style="120"/>
    <col min="13825" max="13825" width="5" style="120" customWidth="1"/>
    <col min="13826" max="13826" width="33" style="120" bestFit="1" customWidth="1"/>
    <col min="13827" max="13827" width="10.5" style="120" customWidth="1"/>
    <col min="13828" max="13828" width="10.625" style="120" customWidth="1"/>
    <col min="13829" max="13829" width="7.75" style="120" customWidth="1"/>
    <col min="13830" max="13830" width="7.5" style="120" customWidth="1"/>
    <col min="13831" max="13831" width="8" style="120" customWidth="1"/>
    <col min="13832" max="13832" width="9.625" style="120" bestFit="1" customWidth="1"/>
    <col min="13833" max="13833" width="8.5" style="120" customWidth="1"/>
    <col min="13834" max="13834" width="9.5" style="120" customWidth="1"/>
    <col min="13835" max="13835" width="9.375" style="120" customWidth="1"/>
    <col min="13836" max="13836" width="9.25" style="120" customWidth="1"/>
    <col min="13837" max="14080" width="9" style="120"/>
    <col min="14081" max="14081" width="5" style="120" customWidth="1"/>
    <col min="14082" max="14082" width="33" style="120" bestFit="1" customWidth="1"/>
    <col min="14083" max="14083" width="10.5" style="120" customWidth="1"/>
    <col min="14084" max="14084" width="10.625" style="120" customWidth="1"/>
    <col min="14085" max="14085" width="7.75" style="120" customWidth="1"/>
    <col min="14086" max="14086" width="7.5" style="120" customWidth="1"/>
    <col min="14087" max="14087" width="8" style="120" customWidth="1"/>
    <col min="14088" max="14088" width="9.625" style="120" bestFit="1" customWidth="1"/>
    <col min="14089" max="14089" width="8.5" style="120" customWidth="1"/>
    <col min="14090" max="14090" width="9.5" style="120" customWidth="1"/>
    <col min="14091" max="14091" width="9.375" style="120" customWidth="1"/>
    <col min="14092" max="14092" width="9.25" style="120" customWidth="1"/>
    <col min="14093" max="14336" width="9" style="120"/>
    <col min="14337" max="14337" width="5" style="120" customWidth="1"/>
    <col min="14338" max="14338" width="33" style="120" bestFit="1" customWidth="1"/>
    <col min="14339" max="14339" width="10.5" style="120" customWidth="1"/>
    <col min="14340" max="14340" width="10.625" style="120" customWidth="1"/>
    <col min="14341" max="14341" width="7.75" style="120" customWidth="1"/>
    <col min="14342" max="14342" width="7.5" style="120" customWidth="1"/>
    <col min="14343" max="14343" width="8" style="120" customWidth="1"/>
    <col min="14344" max="14344" width="9.625" style="120" bestFit="1" customWidth="1"/>
    <col min="14345" max="14345" width="8.5" style="120" customWidth="1"/>
    <col min="14346" max="14346" width="9.5" style="120" customWidth="1"/>
    <col min="14347" max="14347" width="9.375" style="120" customWidth="1"/>
    <col min="14348" max="14348" width="9.25" style="120" customWidth="1"/>
    <col min="14349" max="14592" width="9" style="120"/>
    <col min="14593" max="14593" width="5" style="120" customWidth="1"/>
    <col min="14594" max="14594" width="33" style="120" bestFit="1" customWidth="1"/>
    <col min="14595" max="14595" width="10.5" style="120" customWidth="1"/>
    <col min="14596" max="14596" width="10.625" style="120" customWidth="1"/>
    <col min="14597" max="14597" width="7.75" style="120" customWidth="1"/>
    <col min="14598" max="14598" width="7.5" style="120" customWidth="1"/>
    <col min="14599" max="14599" width="8" style="120" customWidth="1"/>
    <col min="14600" max="14600" width="9.625" style="120" bestFit="1" customWidth="1"/>
    <col min="14601" max="14601" width="8.5" style="120" customWidth="1"/>
    <col min="14602" max="14602" width="9.5" style="120" customWidth="1"/>
    <col min="14603" max="14603" width="9.375" style="120" customWidth="1"/>
    <col min="14604" max="14604" width="9.25" style="120" customWidth="1"/>
    <col min="14605" max="14848" width="9" style="120"/>
    <col min="14849" max="14849" width="5" style="120" customWidth="1"/>
    <col min="14850" max="14850" width="33" style="120" bestFit="1" customWidth="1"/>
    <col min="14851" max="14851" width="10.5" style="120" customWidth="1"/>
    <col min="14852" max="14852" width="10.625" style="120" customWidth="1"/>
    <col min="14853" max="14853" width="7.75" style="120" customWidth="1"/>
    <col min="14854" max="14854" width="7.5" style="120" customWidth="1"/>
    <col min="14855" max="14855" width="8" style="120" customWidth="1"/>
    <col min="14856" max="14856" width="9.625" style="120" bestFit="1" customWidth="1"/>
    <col min="14857" max="14857" width="8.5" style="120" customWidth="1"/>
    <col min="14858" max="14858" width="9.5" style="120" customWidth="1"/>
    <col min="14859" max="14859" width="9.375" style="120" customWidth="1"/>
    <col min="14860" max="14860" width="9.25" style="120" customWidth="1"/>
    <col min="14861" max="15104" width="9" style="120"/>
    <col min="15105" max="15105" width="5" style="120" customWidth="1"/>
    <col min="15106" max="15106" width="33" style="120" bestFit="1" customWidth="1"/>
    <col min="15107" max="15107" width="10.5" style="120" customWidth="1"/>
    <col min="15108" max="15108" width="10.625" style="120" customWidth="1"/>
    <col min="15109" max="15109" width="7.75" style="120" customWidth="1"/>
    <col min="15110" max="15110" width="7.5" style="120" customWidth="1"/>
    <col min="15111" max="15111" width="8" style="120" customWidth="1"/>
    <col min="15112" max="15112" width="9.625" style="120" bestFit="1" customWidth="1"/>
    <col min="15113" max="15113" width="8.5" style="120" customWidth="1"/>
    <col min="15114" max="15114" width="9.5" style="120" customWidth="1"/>
    <col min="15115" max="15115" width="9.375" style="120" customWidth="1"/>
    <col min="15116" max="15116" width="9.25" style="120" customWidth="1"/>
    <col min="15117" max="15360" width="9" style="120"/>
    <col min="15361" max="15361" width="5" style="120" customWidth="1"/>
    <col min="15362" max="15362" width="33" style="120" bestFit="1" customWidth="1"/>
    <col min="15363" max="15363" width="10.5" style="120" customWidth="1"/>
    <col min="15364" max="15364" width="10.625" style="120" customWidth="1"/>
    <col min="15365" max="15365" width="7.75" style="120" customWidth="1"/>
    <col min="15366" max="15366" width="7.5" style="120" customWidth="1"/>
    <col min="15367" max="15367" width="8" style="120" customWidth="1"/>
    <col min="15368" max="15368" width="9.625" style="120" bestFit="1" customWidth="1"/>
    <col min="15369" max="15369" width="8.5" style="120" customWidth="1"/>
    <col min="15370" max="15370" width="9.5" style="120" customWidth="1"/>
    <col min="15371" max="15371" width="9.375" style="120" customWidth="1"/>
    <col min="15372" max="15372" width="9.25" style="120" customWidth="1"/>
    <col min="15373" max="15616" width="9" style="120"/>
    <col min="15617" max="15617" width="5" style="120" customWidth="1"/>
    <col min="15618" max="15618" width="33" style="120" bestFit="1" customWidth="1"/>
    <col min="15619" max="15619" width="10.5" style="120" customWidth="1"/>
    <col min="15620" max="15620" width="10.625" style="120" customWidth="1"/>
    <col min="15621" max="15621" width="7.75" style="120" customWidth="1"/>
    <col min="15622" max="15622" width="7.5" style="120" customWidth="1"/>
    <col min="15623" max="15623" width="8" style="120" customWidth="1"/>
    <col min="15624" max="15624" width="9.625" style="120" bestFit="1" customWidth="1"/>
    <col min="15625" max="15625" width="8.5" style="120" customWidth="1"/>
    <col min="15626" max="15626" width="9.5" style="120" customWidth="1"/>
    <col min="15627" max="15627" width="9.375" style="120" customWidth="1"/>
    <col min="15628" max="15628" width="9.25" style="120" customWidth="1"/>
    <col min="15629" max="15872" width="9" style="120"/>
    <col min="15873" max="15873" width="5" style="120" customWidth="1"/>
    <col min="15874" max="15874" width="33" style="120" bestFit="1" customWidth="1"/>
    <col min="15875" max="15875" width="10.5" style="120" customWidth="1"/>
    <col min="15876" max="15876" width="10.625" style="120" customWidth="1"/>
    <col min="15877" max="15877" width="7.75" style="120" customWidth="1"/>
    <col min="15878" max="15878" width="7.5" style="120" customWidth="1"/>
    <col min="15879" max="15879" width="8" style="120" customWidth="1"/>
    <col min="15880" max="15880" width="9.625" style="120" bestFit="1" customWidth="1"/>
    <col min="15881" max="15881" width="8.5" style="120" customWidth="1"/>
    <col min="15882" max="15882" width="9.5" style="120" customWidth="1"/>
    <col min="15883" max="15883" width="9.375" style="120" customWidth="1"/>
    <col min="15884" max="15884" width="9.25" style="120" customWidth="1"/>
    <col min="15885" max="16128" width="9" style="120"/>
    <col min="16129" max="16129" width="5" style="120" customWidth="1"/>
    <col min="16130" max="16130" width="33" style="120" bestFit="1" customWidth="1"/>
    <col min="16131" max="16131" width="10.5" style="120" customWidth="1"/>
    <col min="16132" max="16132" width="10.625" style="120" customWidth="1"/>
    <col min="16133" max="16133" width="7.75" style="120" customWidth="1"/>
    <col min="16134" max="16134" width="7.5" style="120" customWidth="1"/>
    <col min="16135" max="16135" width="8" style="120" customWidth="1"/>
    <col min="16136" max="16136" width="9.625" style="120" bestFit="1" customWidth="1"/>
    <col min="16137" max="16137" width="8.5" style="120" customWidth="1"/>
    <col min="16138" max="16138" width="9.5" style="120" customWidth="1"/>
    <col min="16139" max="16139" width="9.375" style="120" customWidth="1"/>
    <col min="16140" max="16140" width="9.25" style="120" customWidth="1"/>
    <col min="16141" max="16384" width="9" style="120"/>
  </cols>
  <sheetData>
    <row r="1" spans="1:15">
      <c r="A1" s="116" t="s">
        <v>1238</v>
      </c>
      <c r="B1" s="116"/>
      <c r="C1" s="117"/>
      <c r="D1" s="116"/>
      <c r="E1" s="118"/>
      <c r="F1" s="119"/>
      <c r="G1" s="119"/>
      <c r="H1" s="119"/>
      <c r="I1" s="119"/>
      <c r="J1" s="119"/>
      <c r="K1" s="119"/>
      <c r="L1" s="119"/>
    </row>
    <row r="2" spans="1:15" ht="22.5">
      <c r="A2" s="356" t="s">
        <v>114</v>
      </c>
      <c r="B2" s="357"/>
      <c r="C2" s="357"/>
      <c r="D2" s="357"/>
      <c r="E2" s="357"/>
      <c r="F2" s="357"/>
      <c r="G2" s="357"/>
      <c r="H2" s="357"/>
      <c r="I2" s="357"/>
      <c r="J2" s="357"/>
      <c r="K2" s="357"/>
      <c r="L2" s="357"/>
    </row>
    <row r="3" spans="1:15">
      <c r="A3" s="121"/>
      <c r="B3" s="122"/>
      <c r="C3" s="122"/>
      <c r="D3" s="122"/>
      <c r="E3" s="122"/>
      <c r="F3" s="123"/>
      <c r="G3" s="123"/>
      <c r="H3" s="123"/>
      <c r="I3" s="123"/>
      <c r="J3" s="123"/>
      <c r="K3" s="123"/>
      <c r="L3" s="123"/>
    </row>
    <row r="4" spans="1:15" ht="15.75" customHeight="1">
      <c r="A4" s="358" t="s">
        <v>33</v>
      </c>
      <c r="B4" s="360" t="s">
        <v>115</v>
      </c>
      <c r="C4" s="363" t="s">
        <v>116</v>
      </c>
      <c r="D4" s="363"/>
      <c r="E4" s="363"/>
      <c r="F4" s="363"/>
      <c r="G4" s="363"/>
      <c r="H4" s="363"/>
      <c r="I4" s="363"/>
      <c r="J4" s="355" t="s">
        <v>117</v>
      </c>
      <c r="K4" s="355" t="s">
        <v>118</v>
      </c>
      <c r="L4" s="364" t="s">
        <v>119</v>
      </c>
    </row>
    <row r="5" spans="1:15" ht="15.75" customHeight="1">
      <c r="A5" s="358"/>
      <c r="B5" s="361"/>
      <c r="C5" s="365" t="s">
        <v>120</v>
      </c>
      <c r="D5" s="366"/>
      <c r="E5" s="367" t="s">
        <v>121</v>
      </c>
      <c r="F5" s="355" t="s">
        <v>122</v>
      </c>
      <c r="G5" s="355" t="s">
        <v>123</v>
      </c>
      <c r="H5" s="355" t="s">
        <v>124</v>
      </c>
      <c r="I5" s="355" t="s">
        <v>125</v>
      </c>
      <c r="J5" s="355"/>
      <c r="K5" s="355"/>
      <c r="L5" s="364"/>
    </row>
    <row r="6" spans="1:15">
      <c r="A6" s="359"/>
      <c r="B6" s="362"/>
      <c r="C6" s="125" t="s">
        <v>126</v>
      </c>
      <c r="D6" s="126" t="s">
        <v>127</v>
      </c>
      <c r="E6" s="367"/>
      <c r="F6" s="355"/>
      <c r="G6" s="355"/>
      <c r="H6" s="355"/>
      <c r="I6" s="355"/>
      <c r="J6" s="355"/>
      <c r="K6" s="355"/>
      <c r="L6" s="364"/>
    </row>
    <row r="7" spans="1:15">
      <c r="A7" s="128" t="str">
        <f>新增工艺设备!A6</f>
        <v>一</v>
      </c>
      <c r="B7" s="129" t="str">
        <f>新增工艺设备!B6</f>
        <v>板单元生产线</v>
      </c>
      <c r="C7" s="126">
        <f>新增工艺设备!H6</f>
        <v>0</v>
      </c>
      <c r="D7" s="126">
        <f>新增工艺设备!I6</f>
        <v>0</v>
      </c>
      <c r="E7" s="126"/>
      <c r="F7" s="126"/>
      <c r="G7" s="126"/>
      <c r="H7" s="126"/>
      <c r="I7" s="126"/>
      <c r="J7" s="126"/>
      <c r="K7" s="126"/>
      <c r="L7" s="124"/>
      <c r="N7" s="132"/>
      <c r="O7" s="132"/>
    </row>
    <row r="8" spans="1:15">
      <c r="A8" s="128" t="str">
        <f>新增工艺设备!A7</f>
        <v>（一）</v>
      </c>
      <c r="B8" s="129" t="str">
        <f>新增工艺设备!B7</f>
        <v>钢材预处理生产线</v>
      </c>
      <c r="C8" s="126">
        <f>新增工艺设备!H7</f>
        <v>0</v>
      </c>
      <c r="D8" s="126">
        <f>新增工艺设备!I7</f>
        <v>0</v>
      </c>
      <c r="E8" s="126"/>
      <c r="F8" s="126"/>
      <c r="G8" s="130"/>
      <c r="H8" s="130">
        <f>C8+E8+F8+G8</f>
        <v>0</v>
      </c>
      <c r="I8" s="126"/>
      <c r="J8" s="130"/>
      <c r="K8" s="130"/>
      <c r="L8" s="131"/>
      <c r="N8" s="132"/>
      <c r="O8" s="127"/>
    </row>
    <row r="9" spans="1:15">
      <c r="A9" s="215">
        <f>新增工艺设备!A8</f>
        <v>1.1000000000000001</v>
      </c>
      <c r="B9" s="129" t="str">
        <f>新增工艺设备!B8</f>
        <v>钢板矫平机</v>
      </c>
      <c r="C9" s="126">
        <f>新增工艺设备!H8</f>
        <v>993.6</v>
      </c>
      <c r="D9" s="126">
        <f>新增工艺设备!I8</f>
        <v>0</v>
      </c>
      <c r="E9" s="126"/>
      <c r="F9" s="126"/>
      <c r="G9" s="130">
        <f>C9*6%</f>
        <v>59.616</v>
      </c>
      <c r="H9" s="130">
        <f t="shared" ref="H9:H72" si="0">C9+E9+F9+G9</f>
        <v>1053.2160000000001</v>
      </c>
      <c r="I9" s="126"/>
      <c r="J9" s="130"/>
      <c r="K9" s="130">
        <f>C9*3%</f>
        <v>29.808</v>
      </c>
      <c r="L9" s="131"/>
      <c r="N9" s="132"/>
      <c r="O9" s="127"/>
    </row>
    <row r="10" spans="1:15">
      <c r="A10" s="128" t="str">
        <f>新增工艺设备!A9</f>
        <v>（二）</v>
      </c>
      <c r="B10" s="129" t="str">
        <f>新增工艺设备!B9</f>
        <v>下料切割生产线</v>
      </c>
      <c r="C10" s="126">
        <f>新增工艺设备!H9</f>
        <v>0</v>
      </c>
      <c r="D10" s="126">
        <f>新增工艺设备!I9</f>
        <v>0</v>
      </c>
      <c r="E10" s="126"/>
      <c r="F10" s="126"/>
      <c r="G10" s="130"/>
      <c r="H10" s="130">
        <f t="shared" si="0"/>
        <v>0</v>
      </c>
      <c r="I10" s="126"/>
      <c r="J10" s="130"/>
      <c r="K10" s="130"/>
      <c r="L10" s="131"/>
      <c r="N10" s="132"/>
      <c r="O10" s="127"/>
    </row>
    <row r="11" spans="1:15">
      <c r="A11" s="128">
        <f>新增工艺设备!A10</f>
        <v>1</v>
      </c>
      <c r="B11" s="129" t="str">
        <f>新增工艺设备!B10</f>
        <v>数控等离子切割机</v>
      </c>
      <c r="C11" s="126">
        <f>新增工艺设备!H10</f>
        <v>92.2</v>
      </c>
      <c r="D11" s="126">
        <f>新增工艺设备!I10</f>
        <v>0</v>
      </c>
      <c r="E11" s="126"/>
      <c r="F11" s="126"/>
      <c r="G11" s="207">
        <f t="shared" ref="G11:G14" si="1">C11*6%</f>
        <v>5.532</v>
      </c>
      <c r="H11" s="130">
        <f t="shared" si="0"/>
        <v>97.731999999999999</v>
      </c>
      <c r="I11" s="126"/>
      <c r="J11" s="130"/>
      <c r="K11" s="207">
        <f t="shared" ref="K11:K19" si="2">C11*3%</f>
        <v>2.766</v>
      </c>
      <c r="L11" s="131"/>
      <c r="N11" s="132"/>
      <c r="O11" s="127"/>
    </row>
    <row r="12" spans="1:15">
      <c r="A12" s="128">
        <f>新增工艺设备!A11</f>
        <v>2</v>
      </c>
      <c r="B12" s="129" t="str">
        <f>新增工艺设备!B11</f>
        <v>数控火焰切割机</v>
      </c>
      <c r="C12" s="126">
        <f>新增工艺设备!H11</f>
        <v>95.6</v>
      </c>
      <c r="D12" s="126">
        <f>新增工艺设备!I11</f>
        <v>0</v>
      </c>
      <c r="E12" s="126"/>
      <c r="F12" s="126"/>
      <c r="G12" s="207">
        <f t="shared" si="1"/>
        <v>5.7359999999999998</v>
      </c>
      <c r="H12" s="130">
        <f t="shared" si="0"/>
        <v>101.336</v>
      </c>
      <c r="I12" s="126"/>
      <c r="J12" s="130"/>
      <c r="K12" s="207">
        <f t="shared" si="2"/>
        <v>2.8679999999999999</v>
      </c>
      <c r="L12" s="131"/>
      <c r="N12" s="132"/>
      <c r="O12" s="127"/>
    </row>
    <row r="13" spans="1:15">
      <c r="A13" s="128">
        <f>新增工艺设备!A12</f>
        <v>3</v>
      </c>
      <c r="B13" s="129" t="str">
        <f>新增工艺设备!B12</f>
        <v>门式多头火焰切割机</v>
      </c>
      <c r="C13" s="126">
        <f>新增工艺设备!H12</f>
        <v>103.5</v>
      </c>
      <c r="D13" s="126">
        <f>新增工艺设备!I12</f>
        <v>0</v>
      </c>
      <c r="E13" s="126"/>
      <c r="F13" s="126"/>
      <c r="G13" s="207">
        <f t="shared" si="1"/>
        <v>6.21</v>
      </c>
      <c r="H13" s="130">
        <f t="shared" si="0"/>
        <v>109.71</v>
      </c>
      <c r="I13" s="126"/>
      <c r="J13" s="130"/>
      <c r="K13" s="207">
        <f t="shared" si="2"/>
        <v>3.105</v>
      </c>
      <c r="L13" s="131"/>
      <c r="N13" s="132"/>
      <c r="O13" s="127"/>
    </row>
    <row r="14" spans="1:15">
      <c r="A14" s="128">
        <f>新增工艺设备!A13</f>
        <v>4</v>
      </c>
      <c r="B14" s="129" t="str">
        <f>新增工艺设备!B13</f>
        <v>数控划线号料机</v>
      </c>
      <c r="C14" s="126">
        <f>新增工艺设备!H13</f>
        <v>98.6</v>
      </c>
      <c r="D14" s="126">
        <f>新增工艺设备!I13</f>
        <v>0</v>
      </c>
      <c r="E14" s="126"/>
      <c r="F14" s="126"/>
      <c r="G14" s="207">
        <f t="shared" si="1"/>
        <v>5.9159999999999995</v>
      </c>
      <c r="H14" s="130">
        <f t="shared" si="0"/>
        <v>104.51599999999999</v>
      </c>
      <c r="I14" s="126"/>
      <c r="J14" s="130"/>
      <c r="K14" s="207">
        <f t="shared" si="2"/>
        <v>2.9579999999999997</v>
      </c>
      <c r="L14" s="131"/>
      <c r="N14" s="132"/>
      <c r="O14" s="127"/>
    </row>
    <row r="15" spans="1:15">
      <c r="A15" s="128" t="str">
        <f>新增工艺设备!A14</f>
        <v>（三）</v>
      </c>
      <c r="B15" s="129" t="str">
        <f>新增工艺设备!B14</f>
        <v>U肋生产线</v>
      </c>
      <c r="C15" s="126">
        <f>新增工艺设备!H14</f>
        <v>0</v>
      </c>
      <c r="D15" s="126">
        <f>新增工艺设备!I14</f>
        <v>0</v>
      </c>
      <c r="E15" s="126"/>
      <c r="F15" s="126"/>
      <c r="G15" s="130"/>
      <c r="H15" s="130">
        <f t="shared" si="0"/>
        <v>0</v>
      </c>
      <c r="I15" s="126"/>
      <c r="J15" s="130"/>
      <c r="K15" s="130"/>
      <c r="L15" s="131"/>
      <c r="N15" s="132"/>
      <c r="O15" s="127"/>
    </row>
    <row r="16" spans="1:15">
      <c r="A16" s="128">
        <f>新增工艺设备!A15</f>
        <v>1</v>
      </c>
      <c r="B16" s="129" t="str">
        <f>新增工艺设备!B15</f>
        <v>坡口铣边机</v>
      </c>
      <c r="C16" s="126">
        <f>新增工艺设备!H15</f>
        <v>240</v>
      </c>
      <c r="D16" s="126">
        <f>新增工艺设备!I15</f>
        <v>0</v>
      </c>
      <c r="E16" s="126"/>
      <c r="F16" s="126"/>
      <c r="G16" s="207">
        <f t="shared" ref="G16:G21" si="3">C16*6%</f>
        <v>14.399999999999999</v>
      </c>
      <c r="H16" s="130">
        <f t="shared" si="0"/>
        <v>254.4</v>
      </c>
      <c r="I16" s="126"/>
      <c r="J16" s="130"/>
      <c r="K16" s="207">
        <f t="shared" si="2"/>
        <v>7.1999999999999993</v>
      </c>
      <c r="L16" s="131"/>
      <c r="N16" s="132"/>
      <c r="O16" s="127"/>
    </row>
    <row r="17" spans="1:15">
      <c r="A17" s="128">
        <f>新增工艺设备!A16</f>
        <v>2</v>
      </c>
      <c r="B17" s="129" t="str">
        <f>新增工艺设备!B16</f>
        <v>双头坡口铣边机</v>
      </c>
      <c r="C17" s="126">
        <f>新增工艺设备!H16</f>
        <v>70</v>
      </c>
      <c r="D17" s="126">
        <f>新增工艺设备!I16</f>
        <v>0</v>
      </c>
      <c r="E17" s="126"/>
      <c r="F17" s="126"/>
      <c r="G17" s="207">
        <f t="shared" si="3"/>
        <v>4.2</v>
      </c>
      <c r="H17" s="130">
        <f t="shared" si="0"/>
        <v>74.2</v>
      </c>
      <c r="I17" s="126"/>
      <c r="J17" s="130"/>
      <c r="K17" s="207">
        <f t="shared" si="2"/>
        <v>2.1</v>
      </c>
      <c r="L17" s="131"/>
      <c r="N17" s="132"/>
      <c r="O17" s="127"/>
    </row>
    <row r="18" spans="1:15">
      <c r="A18" s="128">
        <f>新增工艺设备!A17</f>
        <v>3</v>
      </c>
      <c r="B18" s="129" t="str">
        <f>新增工艺设备!B17</f>
        <v>R2倒角机</v>
      </c>
      <c r="C18" s="126">
        <f>新增工艺设备!H17</f>
        <v>40</v>
      </c>
      <c r="D18" s="126">
        <f>新增工艺设备!I17</f>
        <v>0</v>
      </c>
      <c r="E18" s="126"/>
      <c r="F18" s="126"/>
      <c r="G18" s="207">
        <f t="shared" si="3"/>
        <v>2.4</v>
      </c>
      <c r="H18" s="130">
        <f t="shared" si="0"/>
        <v>42.4</v>
      </c>
      <c r="I18" s="126"/>
      <c r="J18" s="130"/>
      <c r="K18" s="207">
        <f t="shared" si="2"/>
        <v>1.2</v>
      </c>
      <c r="L18" s="131"/>
      <c r="N18" s="132"/>
      <c r="O18" s="127"/>
    </row>
    <row r="19" spans="1:15">
      <c r="A19" s="128">
        <f>新增工艺设备!A18</f>
        <v>4</v>
      </c>
      <c r="B19" s="129" t="str">
        <f>新增工艺设备!B18</f>
        <v>U肋板矫平机</v>
      </c>
      <c r="C19" s="126">
        <f>新增工艺设备!H18</f>
        <v>90</v>
      </c>
      <c r="D19" s="126">
        <f>新增工艺设备!I18</f>
        <v>0</v>
      </c>
      <c r="E19" s="126"/>
      <c r="F19" s="126"/>
      <c r="G19" s="207">
        <f t="shared" si="3"/>
        <v>5.3999999999999995</v>
      </c>
      <c r="H19" s="130">
        <f t="shared" si="0"/>
        <v>95.4</v>
      </c>
      <c r="I19" s="126"/>
      <c r="J19" s="130"/>
      <c r="K19" s="207">
        <f t="shared" si="2"/>
        <v>2.6999999999999997</v>
      </c>
      <c r="L19" s="131"/>
      <c r="N19" s="132"/>
      <c r="O19" s="127"/>
    </row>
    <row r="20" spans="1:15">
      <c r="A20" s="128">
        <f>新增工艺设备!A19</f>
        <v>5</v>
      </c>
      <c r="B20" s="129" t="str">
        <f>新增工艺设备!B19</f>
        <v>数控多边坡口成型机</v>
      </c>
      <c r="C20" s="126">
        <f>新增工艺设备!H19</f>
        <v>372</v>
      </c>
      <c r="D20" s="126">
        <f>新增工艺设备!I19</f>
        <v>0</v>
      </c>
      <c r="E20" s="126"/>
      <c r="F20" s="126"/>
      <c r="G20" s="207">
        <f t="shared" si="3"/>
        <v>22.32</v>
      </c>
      <c r="H20" s="130">
        <f t="shared" si="0"/>
        <v>394.32</v>
      </c>
      <c r="I20" s="126"/>
      <c r="J20" s="130">
        <f>C20*8%</f>
        <v>29.76</v>
      </c>
      <c r="K20" s="130"/>
      <c r="L20" s="131"/>
      <c r="N20" s="132"/>
      <c r="O20" s="127"/>
    </row>
    <row r="21" spans="1:15">
      <c r="A21" s="128">
        <f>新增工艺设备!A20</f>
        <v>6</v>
      </c>
      <c r="B21" s="129" t="str">
        <f>新增工艺设备!B20</f>
        <v>双台联动电液伺服数控折弯机</v>
      </c>
      <c r="C21" s="126">
        <f>新增工艺设备!H20</f>
        <v>404.5</v>
      </c>
      <c r="D21" s="126">
        <f>新增工艺设备!I20</f>
        <v>0</v>
      </c>
      <c r="E21" s="126"/>
      <c r="F21" s="126"/>
      <c r="G21" s="207">
        <f t="shared" si="3"/>
        <v>24.27</v>
      </c>
      <c r="H21" s="130">
        <f t="shared" si="0"/>
        <v>428.77</v>
      </c>
      <c r="I21" s="126"/>
      <c r="J21" s="130"/>
      <c r="K21" s="130"/>
      <c r="L21" s="131"/>
      <c r="N21" s="132"/>
      <c r="O21" s="127"/>
    </row>
    <row r="22" spans="1:15">
      <c r="A22" s="128" t="str">
        <f>新增工艺设备!A21</f>
        <v>（四）</v>
      </c>
      <c r="B22" s="129" t="str">
        <f>新增工艺设备!B21</f>
        <v>U肋板单元生产线</v>
      </c>
      <c r="C22" s="126">
        <f>新增工艺设备!H21</f>
        <v>0</v>
      </c>
      <c r="D22" s="126">
        <f>新增工艺设备!I21</f>
        <v>0</v>
      </c>
      <c r="E22" s="126"/>
      <c r="F22" s="126"/>
      <c r="G22" s="130"/>
      <c r="H22" s="130">
        <f t="shared" si="0"/>
        <v>0</v>
      </c>
      <c r="I22" s="126"/>
      <c r="J22" s="130"/>
      <c r="K22" s="130"/>
      <c r="L22" s="131"/>
      <c r="N22" s="132"/>
      <c r="O22" s="127"/>
    </row>
    <row r="23" spans="1:15">
      <c r="A23" s="128">
        <f>新增工艺设备!A22</f>
        <v>1</v>
      </c>
      <c r="B23" s="129" t="str">
        <f>新增工艺设备!B22</f>
        <v>U肋端口栓孔定位装置</v>
      </c>
      <c r="C23" s="126">
        <f>新增工艺设备!H22</f>
        <v>55.9</v>
      </c>
      <c r="D23" s="126">
        <f>新增工艺设备!I22</f>
        <v>0</v>
      </c>
      <c r="E23" s="126"/>
      <c r="F23" s="126"/>
      <c r="G23" s="207">
        <f t="shared" ref="G23:G24" si="4">C23*6%</f>
        <v>3.3539999999999996</v>
      </c>
      <c r="H23" s="130">
        <f t="shared" si="0"/>
        <v>59.253999999999998</v>
      </c>
      <c r="I23" s="126"/>
      <c r="J23" s="130"/>
      <c r="K23" s="130"/>
      <c r="L23" s="131"/>
      <c r="N23" s="132"/>
      <c r="O23" s="127"/>
    </row>
    <row r="24" spans="1:15">
      <c r="A24" s="128">
        <f>新增工艺设备!A23</f>
        <v>2</v>
      </c>
      <c r="B24" s="129" t="str">
        <f>新增工艺设备!B23</f>
        <v>移动式U肋装配机</v>
      </c>
      <c r="C24" s="126">
        <f>新增工艺设备!H23</f>
        <v>222.4</v>
      </c>
      <c r="D24" s="126">
        <f>新增工艺设备!I23</f>
        <v>0</v>
      </c>
      <c r="E24" s="126"/>
      <c r="F24" s="126"/>
      <c r="G24" s="207">
        <f t="shared" si="4"/>
        <v>13.343999999999999</v>
      </c>
      <c r="H24" s="130">
        <f t="shared" si="0"/>
        <v>235.744</v>
      </c>
      <c r="I24" s="126"/>
      <c r="J24" s="130"/>
      <c r="K24" s="130"/>
      <c r="L24" s="131"/>
      <c r="N24" s="132"/>
      <c r="O24" s="127"/>
    </row>
    <row r="25" spans="1:15" s="222" customFormat="1">
      <c r="A25" s="218">
        <f>新增工艺设备!A24</f>
        <v>3</v>
      </c>
      <c r="B25" s="219" t="str">
        <f>新增工艺设备!B24</f>
        <v>U肋龙门焊接系统</v>
      </c>
      <c r="C25" s="220">
        <f>SUM(C26:C27)</f>
        <v>838.7</v>
      </c>
      <c r="D25" s="220">
        <f t="shared" ref="D25:L25" si="5">SUM(D26:D27)</f>
        <v>0</v>
      </c>
      <c r="E25" s="220">
        <f t="shared" si="5"/>
        <v>0</v>
      </c>
      <c r="F25" s="220">
        <f t="shared" si="5"/>
        <v>0</v>
      </c>
      <c r="G25" s="220">
        <f t="shared" si="5"/>
        <v>50.322000000000003</v>
      </c>
      <c r="H25" s="220">
        <f t="shared" si="5"/>
        <v>889.02200000000005</v>
      </c>
      <c r="I25" s="220">
        <f t="shared" si="5"/>
        <v>0</v>
      </c>
      <c r="J25" s="220">
        <f t="shared" si="5"/>
        <v>0</v>
      </c>
      <c r="K25" s="220">
        <f t="shared" si="5"/>
        <v>25.161000000000001</v>
      </c>
      <c r="L25" s="220">
        <f t="shared" si="5"/>
        <v>0</v>
      </c>
      <c r="N25" s="223"/>
      <c r="O25" s="224"/>
    </row>
    <row r="26" spans="1:15">
      <c r="A26" s="216">
        <f>新增工艺设备!A25</f>
        <v>1</v>
      </c>
      <c r="B26" s="129" t="str">
        <f>新增工艺设备!B25</f>
        <v>U肋龙门焊接机</v>
      </c>
      <c r="C26" s="217">
        <f>新增工艺设备!H25</f>
        <v>718.7</v>
      </c>
      <c r="D26" s="217">
        <f>新增工艺设备!I25</f>
        <v>0</v>
      </c>
      <c r="E26" s="217"/>
      <c r="F26" s="217"/>
      <c r="G26" s="207">
        <f t="shared" ref="G26:G29" si="6">C26*6%</f>
        <v>43.122</v>
      </c>
      <c r="H26" s="217">
        <f t="shared" si="0"/>
        <v>761.822</v>
      </c>
      <c r="I26" s="216"/>
      <c r="J26" s="216"/>
      <c r="K26" s="217">
        <f t="shared" ref="K26:K28" si="7">C26*3%</f>
        <v>21.561</v>
      </c>
      <c r="L26" s="216"/>
      <c r="N26" s="132"/>
      <c r="O26" s="127"/>
    </row>
    <row r="27" spans="1:15">
      <c r="A27" s="216">
        <f>新增工艺设备!A26</f>
        <v>2</v>
      </c>
      <c r="B27" s="129" t="str">
        <f>新增工艺设备!B26</f>
        <v>逆变埋弧自动焊机</v>
      </c>
      <c r="C27" s="217">
        <f>新增工艺设备!H26</f>
        <v>120</v>
      </c>
      <c r="D27" s="217">
        <f>新增工艺设备!I26</f>
        <v>0</v>
      </c>
      <c r="E27" s="217"/>
      <c r="F27" s="217"/>
      <c r="G27" s="207">
        <f t="shared" ref="G27" si="8">C27*6%</f>
        <v>7.1999999999999993</v>
      </c>
      <c r="H27" s="217">
        <f t="shared" ref="H27" si="9">C27+E27+F27+G27</f>
        <v>127.2</v>
      </c>
      <c r="I27" s="216"/>
      <c r="J27" s="216"/>
      <c r="K27" s="217">
        <f t="shared" ref="K27" si="10">C27*3%</f>
        <v>3.5999999999999996</v>
      </c>
      <c r="L27" s="216"/>
      <c r="N27" s="132"/>
      <c r="O27" s="127"/>
    </row>
    <row r="28" spans="1:15">
      <c r="A28" s="128">
        <f>新增工艺设备!A27</f>
        <v>4</v>
      </c>
      <c r="B28" s="129" t="str">
        <f>新增工艺设备!B27</f>
        <v>U肋板单元机械滚压矫正机</v>
      </c>
      <c r="C28" s="126">
        <f>新增工艺设备!H27</f>
        <v>417.90000000000003</v>
      </c>
      <c r="D28" s="126">
        <f>新增工艺设备!I27</f>
        <v>0</v>
      </c>
      <c r="E28" s="126"/>
      <c r="F28" s="126"/>
      <c r="G28" s="207">
        <f t="shared" si="6"/>
        <v>25.074000000000002</v>
      </c>
      <c r="H28" s="130">
        <f t="shared" si="0"/>
        <v>442.97400000000005</v>
      </c>
      <c r="I28" s="126"/>
      <c r="J28" s="130"/>
      <c r="K28" s="207">
        <f t="shared" si="7"/>
        <v>12.537000000000001</v>
      </c>
      <c r="L28" s="131"/>
      <c r="N28" s="132"/>
      <c r="O28" s="127"/>
    </row>
    <row r="29" spans="1:15">
      <c r="A29" s="128">
        <f>新增工艺设备!A28</f>
        <v>5</v>
      </c>
      <c r="B29" s="129" t="str">
        <f>新增工艺设备!B28</f>
        <v>底板对齐装配胎架</v>
      </c>
      <c r="C29" s="126">
        <f>新增工艺设备!H28</f>
        <v>78.8</v>
      </c>
      <c r="D29" s="126">
        <f>新增工艺设备!I28</f>
        <v>0</v>
      </c>
      <c r="E29" s="126"/>
      <c r="F29" s="126"/>
      <c r="G29" s="207">
        <f t="shared" si="6"/>
        <v>4.7279999999999998</v>
      </c>
      <c r="H29" s="130">
        <f t="shared" si="0"/>
        <v>83.527999999999992</v>
      </c>
      <c r="I29" s="126"/>
      <c r="J29" s="130"/>
      <c r="K29" s="216"/>
      <c r="L29" s="131"/>
      <c r="N29" s="132"/>
      <c r="O29" s="127"/>
    </row>
    <row r="30" spans="1:15" s="222" customFormat="1" ht="16.5" customHeight="1">
      <c r="A30" s="218">
        <f>新增工艺设备!A29</f>
        <v>6</v>
      </c>
      <c r="B30" s="219" t="str">
        <f>新增工艺设备!B29</f>
        <v>U肋反变形焊接系统</v>
      </c>
      <c r="C30" s="220">
        <f>SUM(C31:C32)</f>
        <v>686.4</v>
      </c>
      <c r="D30" s="220">
        <f t="shared" ref="D30:K30" si="11">SUM(D31:D32)</f>
        <v>0</v>
      </c>
      <c r="E30" s="220">
        <f t="shared" si="11"/>
        <v>0</v>
      </c>
      <c r="F30" s="220">
        <f t="shared" si="11"/>
        <v>0</v>
      </c>
      <c r="G30" s="220">
        <f t="shared" si="11"/>
        <v>41.183999999999997</v>
      </c>
      <c r="H30" s="220">
        <f t="shared" si="11"/>
        <v>727.58399999999995</v>
      </c>
      <c r="I30" s="220">
        <f t="shared" si="11"/>
        <v>0</v>
      </c>
      <c r="J30" s="220">
        <f t="shared" si="11"/>
        <v>0</v>
      </c>
      <c r="K30" s="220">
        <f t="shared" si="11"/>
        <v>0</v>
      </c>
      <c r="L30" s="221"/>
      <c r="N30" s="223"/>
      <c r="O30" s="224"/>
    </row>
    <row r="31" spans="1:15">
      <c r="A31" s="216">
        <f>新增工艺设备!A30</f>
        <v>1</v>
      </c>
      <c r="B31" s="129" t="str">
        <f>新增工艺设备!B30</f>
        <v>可调式液压反变形胎架</v>
      </c>
      <c r="C31" s="217">
        <f>新增工艺设备!H30</f>
        <v>446.4</v>
      </c>
      <c r="D31" s="217">
        <f>新增工艺设备!I30</f>
        <v>0</v>
      </c>
      <c r="E31" s="217"/>
      <c r="F31" s="217"/>
      <c r="G31" s="207">
        <f t="shared" ref="G31:G32" si="12">C31*6%</f>
        <v>26.783999999999999</v>
      </c>
      <c r="H31" s="217">
        <f t="shared" si="0"/>
        <v>473.18399999999997</v>
      </c>
      <c r="I31" s="216"/>
      <c r="J31" s="216"/>
      <c r="K31" s="216"/>
      <c r="L31" s="216"/>
      <c r="N31" s="132"/>
      <c r="O31" s="127"/>
    </row>
    <row r="32" spans="1:15">
      <c r="A32" s="216">
        <f>新增工艺设备!A31</f>
        <v>2</v>
      </c>
      <c r="B32" s="129" t="str">
        <f>新增工艺设备!B31</f>
        <v>CO2气体保护焊机</v>
      </c>
      <c r="C32" s="217">
        <f>新增工艺设备!H31</f>
        <v>240</v>
      </c>
      <c r="D32" s="217">
        <f>新增工艺设备!I31</f>
        <v>0</v>
      </c>
      <c r="E32" s="217"/>
      <c r="F32" s="217"/>
      <c r="G32" s="207">
        <f t="shared" si="12"/>
        <v>14.399999999999999</v>
      </c>
      <c r="H32" s="217">
        <f t="shared" si="0"/>
        <v>254.4</v>
      </c>
      <c r="I32" s="216"/>
      <c r="J32" s="216"/>
      <c r="K32" s="216"/>
      <c r="L32" s="216"/>
      <c r="N32" s="132"/>
      <c r="O32" s="127"/>
    </row>
    <row r="33" spans="1:15">
      <c r="A33" s="128" t="str">
        <f>新增工艺设备!A32</f>
        <v>（五）</v>
      </c>
      <c r="B33" s="129" t="str">
        <f>新增工艺设备!B32</f>
        <v>板肋板单元生产线</v>
      </c>
      <c r="C33" s="126">
        <f>新增工艺设备!H32</f>
        <v>0</v>
      </c>
      <c r="D33" s="126">
        <f>新增工艺设备!I32</f>
        <v>0</v>
      </c>
      <c r="E33" s="126"/>
      <c r="F33" s="126"/>
      <c r="G33" s="130"/>
      <c r="H33" s="130">
        <f t="shared" si="0"/>
        <v>0</v>
      </c>
      <c r="I33" s="126"/>
      <c r="J33" s="130"/>
      <c r="K33" s="130"/>
      <c r="L33" s="131"/>
      <c r="N33" s="132"/>
      <c r="O33" s="127"/>
    </row>
    <row r="34" spans="1:15">
      <c r="A34" s="128">
        <f>新增工艺设备!A33</f>
        <v>1</v>
      </c>
      <c r="B34" s="129" t="str">
        <f>新增工艺设备!B33</f>
        <v>钢板对齐装配胎架</v>
      </c>
      <c r="C34" s="126">
        <f>新增工艺设备!H33</f>
        <v>40.4</v>
      </c>
      <c r="D34" s="126">
        <f>新增工艺设备!I33</f>
        <v>0</v>
      </c>
      <c r="E34" s="126"/>
      <c r="F34" s="126"/>
      <c r="G34" s="207">
        <f t="shared" ref="G34:G39" si="13">C34*6%</f>
        <v>2.4239999999999999</v>
      </c>
      <c r="H34" s="130">
        <f t="shared" si="0"/>
        <v>42.823999999999998</v>
      </c>
      <c r="I34" s="126"/>
      <c r="J34" s="130"/>
      <c r="K34" s="130"/>
      <c r="L34" s="131"/>
      <c r="N34" s="132"/>
      <c r="O34" s="127"/>
    </row>
    <row r="35" spans="1:15">
      <c r="A35" s="128">
        <f>新增工艺设备!A34</f>
        <v>2</v>
      </c>
      <c r="B35" s="129" t="str">
        <f>新增工艺设备!B34</f>
        <v>板肋定位装置</v>
      </c>
      <c r="C35" s="126">
        <f>新增工艺设备!H34</f>
        <v>24.2</v>
      </c>
      <c r="D35" s="126">
        <f>新增工艺设备!I34</f>
        <v>0</v>
      </c>
      <c r="E35" s="126"/>
      <c r="F35" s="126"/>
      <c r="G35" s="207">
        <f t="shared" si="13"/>
        <v>1.452</v>
      </c>
      <c r="H35" s="130">
        <f t="shared" si="0"/>
        <v>25.652000000000001</v>
      </c>
      <c r="I35" s="126"/>
      <c r="J35" s="130"/>
      <c r="K35" s="130"/>
      <c r="L35" s="131"/>
      <c r="N35" s="132"/>
      <c r="O35" s="127"/>
    </row>
    <row r="36" spans="1:15">
      <c r="A36" s="128">
        <f>新增工艺设备!A35</f>
        <v>3</v>
      </c>
      <c r="B36" s="129" t="str">
        <f>新增工艺设备!B35</f>
        <v>移动式板肋装配机</v>
      </c>
      <c r="C36" s="126">
        <f>新增工艺设备!H35</f>
        <v>289.89999999999998</v>
      </c>
      <c r="D36" s="126">
        <f>新增工艺设备!I35</f>
        <v>0</v>
      </c>
      <c r="E36" s="126"/>
      <c r="F36" s="126"/>
      <c r="G36" s="207">
        <f t="shared" si="13"/>
        <v>17.393999999999998</v>
      </c>
      <c r="H36" s="130">
        <f t="shared" si="0"/>
        <v>307.29399999999998</v>
      </c>
      <c r="I36" s="126"/>
      <c r="J36" s="130"/>
      <c r="K36" s="130"/>
      <c r="L36" s="131"/>
      <c r="N36" s="132"/>
      <c r="O36" s="127"/>
    </row>
    <row r="37" spans="1:15">
      <c r="A37" s="128">
        <f>新增工艺设备!A36</f>
        <v>4</v>
      </c>
      <c r="B37" s="129" t="str">
        <f>新增工艺设备!B36</f>
        <v>板肋板单元对齐压紧焊接胎架</v>
      </c>
      <c r="C37" s="126">
        <f>新增工艺设备!H36</f>
        <v>80.8</v>
      </c>
      <c r="D37" s="126">
        <f>新增工艺设备!I36</f>
        <v>0</v>
      </c>
      <c r="E37" s="126"/>
      <c r="F37" s="126"/>
      <c r="G37" s="207">
        <f t="shared" si="13"/>
        <v>4.8479999999999999</v>
      </c>
      <c r="H37" s="130">
        <f t="shared" si="0"/>
        <v>85.647999999999996</v>
      </c>
      <c r="I37" s="126"/>
      <c r="J37" s="130"/>
      <c r="K37" s="130"/>
      <c r="L37" s="131"/>
      <c r="N37" s="132"/>
      <c r="O37" s="127"/>
    </row>
    <row r="38" spans="1:15">
      <c r="A38" s="128">
        <f>新增工艺设备!A37</f>
        <v>5</v>
      </c>
      <c r="B38" s="129" t="str">
        <f>新增工艺设备!B37</f>
        <v>十头双丝双边板肋龙门焊接机</v>
      </c>
      <c r="C38" s="126">
        <f>新增工艺设备!H37</f>
        <v>485.3</v>
      </c>
      <c r="D38" s="126">
        <f>新增工艺设备!I37</f>
        <v>0</v>
      </c>
      <c r="E38" s="126"/>
      <c r="F38" s="126"/>
      <c r="G38" s="207">
        <f t="shared" si="13"/>
        <v>29.117999999999999</v>
      </c>
      <c r="H38" s="130">
        <f t="shared" si="0"/>
        <v>514.41800000000001</v>
      </c>
      <c r="I38" s="126"/>
      <c r="J38" s="130"/>
      <c r="K38" s="207">
        <f t="shared" ref="K38:K39" si="14">C38*3%</f>
        <v>14.558999999999999</v>
      </c>
      <c r="L38" s="131"/>
      <c r="N38" s="132"/>
      <c r="O38" s="127"/>
    </row>
    <row r="39" spans="1:15">
      <c r="A39" s="128">
        <f>新增工艺设备!A38</f>
        <v>6</v>
      </c>
      <c r="B39" s="129" t="str">
        <f>新增工艺设备!B38</f>
        <v>板肋板单元机械滚压矫正机</v>
      </c>
      <c r="C39" s="126">
        <f>新增工艺设备!H38</f>
        <v>445.1</v>
      </c>
      <c r="D39" s="126">
        <f>新增工艺设备!I38</f>
        <v>0</v>
      </c>
      <c r="E39" s="126"/>
      <c r="F39" s="126"/>
      <c r="G39" s="207">
        <f t="shared" si="13"/>
        <v>26.706</v>
      </c>
      <c r="H39" s="130">
        <f t="shared" si="0"/>
        <v>471.80600000000004</v>
      </c>
      <c r="I39" s="126"/>
      <c r="J39" s="130"/>
      <c r="K39" s="207">
        <f t="shared" si="14"/>
        <v>13.353</v>
      </c>
      <c r="L39" s="131"/>
      <c r="N39" s="132"/>
      <c r="O39" s="127"/>
    </row>
    <row r="40" spans="1:15">
      <c r="A40" s="128" t="str">
        <f>新增工艺设备!A39</f>
        <v>（六）</v>
      </c>
      <c r="B40" s="129" t="str">
        <f>新增工艺设备!B39</f>
        <v>横隔板单元件生产线</v>
      </c>
      <c r="C40" s="126">
        <f>新增工艺设备!H39</f>
        <v>0</v>
      </c>
      <c r="D40" s="126">
        <f>新增工艺设备!I39</f>
        <v>0</v>
      </c>
      <c r="E40" s="126"/>
      <c r="F40" s="126"/>
      <c r="G40" s="130"/>
      <c r="H40" s="130">
        <f t="shared" si="0"/>
        <v>0</v>
      </c>
      <c r="I40" s="126"/>
      <c r="J40" s="130"/>
      <c r="K40" s="130"/>
      <c r="L40" s="131"/>
      <c r="N40" s="132"/>
      <c r="O40" s="127"/>
    </row>
    <row r="41" spans="1:15">
      <c r="A41" s="128">
        <f>新增工艺设备!A40</f>
        <v>1</v>
      </c>
      <c r="B41" s="129" t="str">
        <f>新增工艺设备!B40</f>
        <v>钢板对齐装配胎架</v>
      </c>
      <c r="C41" s="126">
        <f>新增工艺设备!H40</f>
        <v>56.7</v>
      </c>
      <c r="D41" s="126">
        <f>新增工艺设备!I40</f>
        <v>0</v>
      </c>
      <c r="E41" s="126"/>
      <c r="F41" s="126"/>
      <c r="G41" s="207">
        <f t="shared" ref="G41:G44" si="15">C41*6%</f>
        <v>3.4020000000000001</v>
      </c>
      <c r="H41" s="130">
        <f t="shared" si="0"/>
        <v>60.102000000000004</v>
      </c>
      <c r="I41" s="126"/>
      <c r="J41" s="130"/>
      <c r="K41" s="130"/>
      <c r="L41" s="131"/>
      <c r="N41" s="132"/>
      <c r="O41" s="127"/>
    </row>
    <row r="42" spans="1:15">
      <c r="A42" s="128">
        <f>新增工艺设备!A41</f>
        <v>2</v>
      </c>
      <c r="B42" s="129" t="str">
        <f>新增工艺设备!B41</f>
        <v>焊机存放移动龙门架</v>
      </c>
      <c r="C42" s="126">
        <f>新增工艺设备!H41</f>
        <v>232.8</v>
      </c>
      <c r="D42" s="126">
        <f>新增工艺设备!I41</f>
        <v>0</v>
      </c>
      <c r="E42" s="126"/>
      <c r="F42" s="126"/>
      <c r="G42" s="207">
        <f t="shared" si="15"/>
        <v>13.968</v>
      </c>
      <c r="H42" s="130">
        <f t="shared" si="0"/>
        <v>246.768</v>
      </c>
      <c r="I42" s="126"/>
      <c r="J42" s="130"/>
      <c r="K42" s="207">
        <f t="shared" ref="K42:K44" si="16">C42*3%</f>
        <v>6.984</v>
      </c>
      <c r="L42" s="131"/>
      <c r="N42" s="132"/>
      <c r="O42" s="127"/>
    </row>
    <row r="43" spans="1:15">
      <c r="A43" s="128">
        <f>新增工艺设备!A42</f>
        <v>3</v>
      </c>
      <c r="B43" s="129" t="str">
        <f>新增工艺设备!B42</f>
        <v>压点可移动油压矫正机</v>
      </c>
      <c r="C43" s="126">
        <f>新增工艺设备!H42</f>
        <v>310.5</v>
      </c>
      <c r="D43" s="126">
        <f>新增工艺设备!I42</f>
        <v>0</v>
      </c>
      <c r="E43" s="126"/>
      <c r="F43" s="126"/>
      <c r="G43" s="207">
        <f t="shared" si="15"/>
        <v>18.63</v>
      </c>
      <c r="H43" s="130">
        <f t="shared" si="0"/>
        <v>329.13</v>
      </c>
      <c r="I43" s="126"/>
      <c r="J43" s="130"/>
      <c r="K43" s="207">
        <f t="shared" si="16"/>
        <v>9.3149999999999995</v>
      </c>
      <c r="L43" s="131"/>
      <c r="N43" s="132"/>
      <c r="O43" s="127"/>
    </row>
    <row r="44" spans="1:15">
      <c r="A44" s="128">
        <f>新增工艺设备!A43</f>
        <v>4</v>
      </c>
      <c r="B44" s="129" t="str">
        <f>新增工艺设备!B43</f>
        <v>横隔板焊接机器人系统</v>
      </c>
      <c r="C44" s="126">
        <f>新增工艺设备!H43</f>
        <v>475</v>
      </c>
      <c r="D44" s="126">
        <f>新增工艺设备!I43</f>
        <v>0</v>
      </c>
      <c r="E44" s="126"/>
      <c r="F44" s="126"/>
      <c r="G44" s="207">
        <f t="shared" si="15"/>
        <v>28.5</v>
      </c>
      <c r="H44" s="130">
        <f t="shared" si="0"/>
        <v>503.5</v>
      </c>
      <c r="I44" s="126"/>
      <c r="J44" s="130"/>
      <c r="K44" s="207">
        <f t="shared" si="16"/>
        <v>14.25</v>
      </c>
      <c r="L44" s="131"/>
      <c r="N44" s="132"/>
      <c r="O44" s="127"/>
    </row>
    <row r="45" spans="1:15">
      <c r="A45" s="128" t="str">
        <f>新增工艺设备!A44</f>
        <v>（七）</v>
      </c>
      <c r="B45" s="129" t="str">
        <f>新增工艺设备!B44</f>
        <v>T型梁单元件生产线</v>
      </c>
      <c r="C45" s="126">
        <f>新增工艺设备!H44</f>
        <v>0</v>
      </c>
      <c r="D45" s="126">
        <f>新增工艺设备!I44</f>
        <v>0</v>
      </c>
      <c r="E45" s="126"/>
      <c r="F45" s="126"/>
      <c r="G45" s="130"/>
      <c r="H45" s="130">
        <f t="shared" si="0"/>
        <v>0</v>
      </c>
      <c r="I45" s="126"/>
      <c r="J45" s="130"/>
      <c r="K45" s="130"/>
      <c r="L45" s="131"/>
      <c r="N45" s="132"/>
      <c r="O45" s="127"/>
    </row>
    <row r="46" spans="1:15">
      <c r="A46" s="128">
        <f>新增工艺设备!A45</f>
        <v>1</v>
      </c>
      <c r="B46" s="129" t="str">
        <f>新增工艺设备!B45</f>
        <v>T型梁装焊矫正机</v>
      </c>
      <c r="C46" s="126">
        <f>新增工艺设备!H45</f>
        <v>51.8</v>
      </c>
      <c r="D46" s="126">
        <f>新增工艺设备!I45</f>
        <v>0</v>
      </c>
      <c r="E46" s="126"/>
      <c r="F46" s="126"/>
      <c r="G46" s="207">
        <f>C46*6%</f>
        <v>3.1079999999999997</v>
      </c>
      <c r="H46" s="130">
        <f t="shared" si="0"/>
        <v>54.907999999999994</v>
      </c>
      <c r="I46" s="126"/>
      <c r="J46" s="130"/>
      <c r="K46" s="207">
        <f t="shared" ref="K46" si="17">C46*3%</f>
        <v>1.5539999999999998</v>
      </c>
      <c r="L46" s="131"/>
      <c r="N46" s="132"/>
      <c r="O46" s="127"/>
    </row>
    <row r="47" spans="1:15">
      <c r="A47" s="128" t="str">
        <f>新增工艺设备!A46</f>
        <v>（八）</v>
      </c>
      <c r="B47" s="129" t="str">
        <f>新增工艺设备!B46</f>
        <v>钢塔生产线</v>
      </c>
      <c r="C47" s="126">
        <f>新增工艺设备!H46</f>
        <v>0</v>
      </c>
      <c r="D47" s="126">
        <f>新增工艺设备!I46</f>
        <v>0</v>
      </c>
      <c r="E47" s="126"/>
      <c r="F47" s="126"/>
      <c r="G47" s="130"/>
      <c r="H47" s="130">
        <f t="shared" si="0"/>
        <v>0</v>
      </c>
      <c r="I47" s="126"/>
      <c r="J47" s="130"/>
      <c r="K47" s="130"/>
      <c r="L47" s="131"/>
      <c r="N47" s="132"/>
      <c r="O47" s="127"/>
    </row>
    <row r="48" spans="1:15">
      <c r="A48" s="128">
        <f>新增工艺设备!A47</f>
        <v>1</v>
      </c>
      <c r="B48" s="129" t="str">
        <f>新增工艺设备!B47</f>
        <v>数控落地铣镗床</v>
      </c>
      <c r="C48" s="126">
        <f>新增工艺设备!H47</f>
        <v>698.5</v>
      </c>
      <c r="D48" s="126">
        <f>新增工艺设备!I47</f>
        <v>0</v>
      </c>
      <c r="E48" s="126"/>
      <c r="F48" s="126"/>
      <c r="G48" s="207">
        <f t="shared" ref="G48:G49" si="18">C48*6%</f>
        <v>41.91</v>
      </c>
      <c r="H48" s="130">
        <f t="shared" si="0"/>
        <v>740.41</v>
      </c>
      <c r="I48" s="126"/>
      <c r="J48" s="130"/>
      <c r="K48" s="130"/>
      <c r="L48" s="131"/>
      <c r="N48" s="132"/>
      <c r="O48" s="127"/>
    </row>
    <row r="49" spans="1:15">
      <c r="A49" s="128">
        <f>新增工艺设备!A48</f>
        <v>2</v>
      </c>
      <c r="B49" s="129" t="str">
        <f>新增工艺设备!B48</f>
        <v>龙门数控钻床</v>
      </c>
      <c r="C49" s="126">
        <f>新增工艺设备!H48</f>
        <v>212</v>
      </c>
      <c r="D49" s="126">
        <f>新增工艺设备!I48</f>
        <v>0</v>
      </c>
      <c r="E49" s="126"/>
      <c r="F49" s="126"/>
      <c r="G49" s="207">
        <f t="shared" si="18"/>
        <v>12.719999999999999</v>
      </c>
      <c r="H49" s="130">
        <f t="shared" si="0"/>
        <v>224.72</v>
      </c>
      <c r="I49" s="126"/>
      <c r="J49" s="130"/>
      <c r="K49" s="207">
        <f t="shared" ref="K49" si="19">C49*3%</f>
        <v>6.3599999999999994</v>
      </c>
      <c r="L49" s="131"/>
      <c r="N49" s="132"/>
      <c r="O49" s="127"/>
    </row>
    <row r="50" spans="1:15">
      <c r="A50" s="128">
        <f>新增工艺设备!A49</f>
        <v>3</v>
      </c>
      <c r="B50" s="129" t="str">
        <f>新增工艺设备!B49</f>
        <v>铣镗床加工调整平台</v>
      </c>
      <c r="C50" s="126">
        <f>新增工艺设备!H49</f>
        <v>204</v>
      </c>
      <c r="D50" s="126">
        <f>新增工艺设备!I49</f>
        <v>0</v>
      </c>
      <c r="E50" s="126"/>
      <c r="F50" s="126"/>
      <c r="G50" s="130"/>
      <c r="H50" s="130">
        <f t="shared" si="0"/>
        <v>204</v>
      </c>
      <c r="I50" s="126"/>
      <c r="J50" s="130"/>
      <c r="K50" s="130"/>
      <c r="L50" s="131"/>
      <c r="N50" s="132"/>
      <c r="O50" s="127"/>
    </row>
    <row r="51" spans="1:15">
      <c r="A51" s="128">
        <f>新增工艺设备!A50</f>
        <v>4</v>
      </c>
      <c r="B51" s="129" t="str">
        <f>新增工艺设备!B50</f>
        <v>摇臂转床</v>
      </c>
      <c r="C51" s="126">
        <f>新增工艺设备!H50</f>
        <v>20</v>
      </c>
      <c r="D51" s="126">
        <f>新增工艺设备!I50</f>
        <v>0</v>
      </c>
      <c r="E51" s="126"/>
      <c r="F51" s="126"/>
      <c r="G51" s="207">
        <f>C51*6%</f>
        <v>1.2</v>
      </c>
      <c r="H51" s="130">
        <f t="shared" si="0"/>
        <v>21.2</v>
      </c>
      <c r="I51" s="126"/>
      <c r="J51" s="130"/>
      <c r="K51" s="130"/>
      <c r="L51" s="131"/>
      <c r="N51" s="132"/>
      <c r="O51" s="127"/>
    </row>
    <row r="52" spans="1:15">
      <c r="A52" s="128">
        <f>新增工艺设备!A51</f>
        <v>5</v>
      </c>
      <c r="B52" s="129" t="str">
        <f>新增工艺设备!B51</f>
        <v>桥式起重机220t</v>
      </c>
      <c r="C52" s="126">
        <f>新增工艺设备!H51</f>
        <v>330</v>
      </c>
      <c r="D52" s="126">
        <f>新增工艺设备!I51</f>
        <v>0</v>
      </c>
      <c r="E52" s="126"/>
      <c r="F52" s="126"/>
      <c r="G52" s="130"/>
      <c r="H52" s="130">
        <f t="shared" si="0"/>
        <v>330</v>
      </c>
      <c r="I52" s="126"/>
      <c r="J52" s="207">
        <f>C52*10%</f>
        <v>33</v>
      </c>
      <c r="K52" s="130"/>
      <c r="L52" s="131"/>
      <c r="N52" s="132"/>
      <c r="O52" s="127"/>
    </row>
    <row r="53" spans="1:15">
      <c r="A53" s="128" t="str">
        <f>新增工艺设备!A52</f>
        <v>（九）</v>
      </c>
      <c r="B53" s="129" t="str">
        <f>新增工艺设备!B52</f>
        <v>焊接切割小型设备</v>
      </c>
      <c r="C53" s="126">
        <f>新增工艺设备!H52</f>
        <v>0</v>
      </c>
      <c r="D53" s="126">
        <f>新增工艺设备!I52</f>
        <v>0</v>
      </c>
      <c r="E53" s="126"/>
      <c r="F53" s="126"/>
      <c r="G53" s="130"/>
      <c r="H53" s="130">
        <f t="shared" si="0"/>
        <v>0</v>
      </c>
      <c r="I53" s="126"/>
      <c r="J53" s="130"/>
      <c r="K53" s="130"/>
      <c r="L53" s="131"/>
      <c r="N53" s="132"/>
      <c r="O53" s="127"/>
    </row>
    <row r="54" spans="1:15">
      <c r="A54" s="128">
        <f>新增工艺设备!A53</f>
        <v>1</v>
      </c>
      <c r="B54" s="129" t="str">
        <f>新增工艺设备!B53</f>
        <v>全位置焊接小车</v>
      </c>
      <c r="C54" s="126">
        <f>新增工艺设备!H53</f>
        <v>20</v>
      </c>
      <c r="D54" s="126">
        <f>新增工艺设备!I53</f>
        <v>0</v>
      </c>
      <c r="E54" s="126"/>
      <c r="F54" s="126"/>
      <c r="G54" s="130"/>
      <c r="H54" s="130">
        <f t="shared" si="0"/>
        <v>20</v>
      </c>
      <c r="I54" s="126"/>
      <c r="J54" s="130"/>
      <c r="K54" s="130"/>
      <c r="L54" s="131"/>
      <c r="N54" s="132"/>
      <c r="O54" s="127"/>
    </row>
    <row r="55" spans="1:15">
      <c r="A55" s="128">
        <f>新增工艺设备!A54</f>
        <v>2</v>
      </c>
      <c r="B55" s="129" t="str">
        <f>新增工艺设备!B54</f>
        <v>半自动切割机</v>
      </c>
      <c r="C55" s="126">
        <f>新增工艺设备!H54</f>
        <v>40.020000000000003</v>
      </c>
      <c r="D55" s="126">
        <f>新增工艺设备!I54</f>
        <v>0</v>
      </c>
      <c r="E55" s="126"/>
      <c r="F55" s="126"/>
      <c r="G55" s="130"/>
      <c r="H55" s="130">
        <f t="shared" si="0"/>
        <v>40.020000000000003</v>
      </c>
      <c r="I55" s="126"/>
      <c r="J55" s="130"/>
      <c r="K55" s="130"/>
      <c r="L55" s="131"/>
      <c r="N55" s="132"/>
      <c r="O55" s="127"/>
    </row>
    <row r="56" spans="1:15">
      <c r="A56" s="128">
        <f>新增工艺设备!A55</f>
        <v>3</v>
      </c>
      <c r="B56" s="129" t="str">
        <f>新增工艺设备!B55</f>
        <v>全位置切割机</v>
      </c>
      <c r="C56" s="126">
        <f>新增工艺设备!H55</f>
        <v>20</v>
      </c>
      <c r="D56" s="126">
        <f>新增工艺设备!I55</f>
        <v>0</v>
      </c>
      <c r="E56" s="126"/>
      <c r="F56" s="126"/>
      <c r="G56" s="130"/>
      <c r="H56" s="130">
        <f t="shared" si="0"/>
        <v>20</v>
      </c>
      <c r="I56" s="126"/>
      <c r="J56" s="130"/>
      <c r="K56" s="130"/>
      <c r="L56" s="131"/>
      <c r="N56" s="132"/>
      <c r="O56" s="127"/>
    </row>
    <row r="57" spans="1:15">
      <c r="A57" s="128">
        <f>新增工艺设备!A56</f>
        <v>0</v>
      </c>
      <c r="B57" s="129">
        <f>新增工艺设备!B56</f>
        <v>0</v>
      </c>
      <c r="C57" s="126">
        <f>新增工艺设备!H56</f>
        <v>0</v>
      </c>
      <c r="D57" s="126">
        <f>新增工艺设备!I56</f>
        <v>0</v>
      </c>
      <c r="E57" s="126"/>
      <c r="F57" s="126"/>
      <c r="G57" s="130"/>
      <c r="H57" s="130">
        <f t="shared" si="0"/>
        <v>0</v>
      </c>
      <c r="I57" s="126"/>
      <c r="J57" s="130"/>
      <c r="K57" s="130"/>
      <c r="L57" s="131"/>
      <c r="N57" s="132"/>
      <c r="O57" s="127"/>
    </row>
    <row r="58" spans="1:15" s="212" customFormat="1">
      <c r="A58" s="208">
        <f>新增工艺设备!A57</f>
        <v>0</v>
      </c>
      <c r="B58" s="209" t="str">
        <f>新增工艺设备!B57</f>
        <v>小   计</v>
      </c>
      <c r="C58" s="210">
        <f>SUM(C9:C25)+C28+C29+C30+SUM(C34:C56)</f>
        <v>8937.119999999999</v>
      </c>
      <c r="D58" s="210">
        <f t="shared" ref="D58:K58" si="20">SUM(D9:D25)+D28+D29+D30+SUM(D34:D56)</f>
        <v>0</v>
      </c>
      <c r="E58" s="210">
        <f t="shared" si="20"/>
        <v>0</v>
      </c>
      <c r="F58" s="210">
        <f t="shared" si="20"/>
        <v>0</v>
      </c>
      <c r="G58" s="210">
        <f t="shared" si="20"/>
        <v>499.38600000000008</v>
      </c>
      <c r="H58" s="210">
        <f t="shared" si="20"/>
        <v>9436.5060000000012</v>
      </c>
      <c r="I58" s="210">
        <f t="shared" si="20"/>
        <v>0</v>
      </c>
      <c r="J58" s="210">
        <f t="shared" si="20"/>
        <v>62.760000000000005</v>
      </c>
      <c r="K58" s="210">
        <f t="shared" si="20"/>
        <v>158.77800000000002</v>
      </c>
      <c r="L58" s="211"/>
      <c r="N58" s="213"/>
      <c r="O58" s="214"/>
    </row>
    <row r="59" spans="1:15">
      <c r="A59" s="128">
        <f>新增工艺设备!A58</f>
        <v>0</v>
      </c>
      <c r="B59" s="129">
        <f>新增工艺设备!B58</f>
        <v>0</v>
      </c>
      <c r="C59" s="126">
        <f>新增工艺设备!H58</f>
        <v>0</v>
      </c>
      <c r="D59" s="126">
        <f>新增工艺设备!I58</f>
        <v>0</v>
      </c>
      <c r="E59" s="126"/>
      <c r="F59" s="126"/>
      <c r="G59" s="130"/>
      <c r="H59" s="130">
        <f t="shared" si="0"/>
        <v>0</v>
      </c>
      <c r="I59" s="126"/>
      <c r="J59" s="130"/>
      <c r="K59" s="130"/>
      <c r="L59" s="131"/>
      <c r="N59" s="132"/>
      <c r="O59" s="127"/>
    </row>
    <row r="60" spans="1:15">
      <c r="A60" s="128" t="str">
        <f>新增工艺设备!A59</f>
        <v>二</v>
      </c>
      <c r="B60" s="129" t="str">
        <f>新增工艺设备!B59</f>
        <v>测量设备</v>
      </c>
      <c r="C60" s="126">
        <f>新增工艺设备!H59</f>
        <v>0</v>
      </c>
      <c r="D60" s="126">
        <f>新增工艺设备!I59</f>
        <v>0</v>
      </c>
      <c r="E60" s="126"/>
      <c r="F60" s="126"/>
      <c r="G60" s="130"/>
      <c r="H60" s="130">
        <f t="shared" si="0"/>
        <v>0</v>
      </c>
      <c r="I60" s="126"/>
      <c r="J60" s="130"/>
      <c r="K60" s="130"/>
      <c r="L60" s="131"/>
      <c r="N60" s="132"/>
      <c r="O60" s="127"/>
    </row>
    <row r="61" spans="1:15">
      <c r="A61" s="128">
        <f>新增工艺设备!A60</f>
        <v>1</v>
      </c>
      <c r="B61" s="129" t="str">
        <f>新增工艺设备!B60</f>
        <v>油漆干膜测厚仪</v>
      </c>
      <c r="C61" s="126">
        <f>新增工艺设备!H60</f>
        <v>5</v>
      </c>
      <c r="D61" s="126">
        <f>新增工艺设备!I60</f>
        <v>0</v>
      </c>
      <c r="E61" s="126"/>
      <c r="F61" s="126"/>
      <c r="G61" s="130"/>
      <c r="H61" s="130">
        <f t="shared" si="0"/>
        <v>5</v>
      </c>
      <c r="I61" s="126"/>
      <c r="J61" s="130"/>
      <c r="K61" s="130"/>
      <c r="L61" s="131"/>
      <c r="N61" s="132"/>
      <c r="O61" s="127"/>
    </row>
    <row r="62" spans="1:15">
      <c r="A62" s="128">
        <f>新增工艺设备!A61</f>
        <v>2</v>
      </c>
      <c r="B62" s="129" t="str">
        <f>新增工艺设备!B61</f>
        <v>激光经纬仪</v>
      </c>
      <c r="C62" s="126">
        <f>新增工艺设备!H61</f>
        <v>10</v>
      </c>
      <c r="D62" s="126">
        <f>新增工艺设备!I61</f>
        <v>0</v>
      </c>
      <c r="E62" s="126"/>
      <c r="F62" s="126"/>
      <c r="G62" s="130"/>
      <c r="H62" s="130">
        <f t="shared" si="0"/>
        <v>10</v>
      </c>
      <c r="I62" s="126"/>
      <c r="J62" s="130"/>
      <c r="K62" s="130"/>
      <c r="L62" s="131"/>
      <c r="N62" s="132"/>
      <c r="O62" s="127"/>
    </row>
    <row r="63" spans="1:15">
      <c r="A63" s="128">
        <f>新增工艺设备!A62</f>
        <v>3</v>
      </c>
      <c r="B63" s="129" t="str">
        <f>新增工艺设备!B62</f>
        <v>电子全站仪</v>
      </c>
      <c r="C63" s="126">
        <f>新增工艺设备!H62</f>
        <v>69.998999999999995</v>
      </c>
      <c r="D63" s="126">
        <f>新增工艺设备!I62</f>
        <v>0</v>
      </c>
      <c r="E63" s="126"/>
      <c r="F63" s="126"/>
      <c r="G63" s="130"/>
      <c r="H63" s="130">
        <f t="shared" si="0"/>
        <v>69.998999999999995</v>
      </c>
      <c r="I63" s="126"/>
      <c r="J63" s="130"/>
      <c r="K63" s="130"/>
      <c r="L63" s="131"/>
      <c r="N63" s="132"/>
      <c r="O63" s="127"/>
    </row>
    <row r="64" spans="1:15">
      <c r="A64" s="128">
        <f>新增工艺设备!A63</f>
        <v>4</v>
      </c>
      <c r="B64" s="129" t="str">
        <f>新增工艺设备!B63</f>
        <v>拉拔（附着力测试）仪</v>
      </c>
      <c r="C64" s="126">
        <f>新增工艺设备!H63</f>
        <v>2</v>
      </c>
      <c r="D64" s="126">
        <f>新增工艺设备!I63</f>
        <v>0</v>
      </c>
      <c r="E64" s="126"/>
      <c r="F64" s="126"/>
      <c r="G64" s="130"/>
      <c r="H64" s="130">
        <f t="shared" si="0"/>
        <v>2</v>
      </c>
      <c r="I64" s="126"/>
      <c r="J64" s="130"/>
      <c r="K64" s="130"/>
      <c r="L64" s="131"/>
      <c r="N64" s="132"/>
      <c r="O64" s="127"/>
    </row>
    <row r="65" spans="1:15">
      <c r="A65" s="128">
        <f>新增工艺设备!A64</f>
        <v>5</v>
      </c>
      <c r="B65" s="129" t="str">
        <f>新增工艺设备!B64</f>
        <v>露点测试仪</v>
      </c>
      <c r="C65" s="126">
        <f>新增工艺设备!H64</f>
        <v>3</v>
      </c>
      <c r="D65" s="126">
        <f>新增工艺设备!I64</f>
        <v>0</v>
      </c>
      <c r="E65" s="126"/>
      <c r="F65" s="126"/>
      <c r="G65" s="130"/>
      <c r="H65" s="130">
        <f t="shared" si="0"/>
        <v>3</v>
      </c>
      <c r="I65" s="126"/>
      <c r="J65" s="130"/>
      <c r="K65" s="130"/>
      <c r="L65" s="131"/>
      <c r="N65" s="132"/>
      <c r="O65" s="127"/>
    </row>
    <row r="66" spans="1:15">
      <c r="A66" s="128">
        <f>新增工艺设备!A65</f>
        <v>0</v>
      </c>
      <c r="B66" s="129">
        <f>新增工艺设备!B65</f>
        <v>0</v>
      </c>
      <c r="C66" s="126">
        <f>新增工艺设备!H65</f>
        <v>0</v>
      </c>
      <c r="D66" s="126">
        <f>新增工艺设备!I65</f>
        <v>0</v>
      </c>
      <c r="E66" s="126"/>
      <c r="F66" s="126"/>
      <c r="G66" s="130"/>
      <c r="H66" s="130">
        <f t="shared" si="0"/>
        <v>0</v>
      </c>
      <c r="I66" s="126"/>
      <c r="J66" s="130"/>
      <c r="K66" s="130"/>
      <c r="L66" s="131"/>
      <c r="N66" s="132"/>
      <c r="O66" s="127"/>
    </row>
    <row r="67" spans="1:15" s="212" customFormat="1">
      <c r="A67" s="208">
        <f>新增工艺设备!A66</f>
        <v>0</v>
      </c>
      <c r="B67" s="209" t="str">
        <f>新增工艺设备!B66</f>
        <v>小   计</v>
      </c>
      <c r="C67" s="210">
        <f>SUM(C61:C66)</f>
        <v>89.998999999999995</v>
      </c>
      <c r="D67" s="210">
        <f t="shared" ref="D67:K67" si="21">SUM(D61:D66)</f>
        <v>0</v>
      </c>
      <c r="E67" s="210">
        <f t="shared" si="21"/>
        <v>0</v>
      </c>
      <c r="F67" s="210">
        <f t="shared" si="21"/>
        <v>0</v>
      </c>
      <c r="G67" s="210">
        <f t="shared" si="21"/>
        <v>0</v>
      </c>
      <c r="H67" s="210">
        <f t="shared" si="21"/>
        <v>89.998999999999995</v>
      </c>
      <c r="I67" s="210">
        <f t="shared" si="21"/>
        <v>0</v>
      </c>
      <c r="J67" s="210">
        <f t="shared" si="21"/>
        <v>0</v>
      </c>
      <c r="K67" s="210">
        <f t="shared" si="21"/>
        <v>0</v>
      </c>
      <c r="L67" s="211"/>
      <c r="N67" s="213"/>
      <c r="O67" s="214"/>
    </row>
    <row r="68" spans="1:15">
      <c r="A68" s="128">
        <f>新增工艺设备!A67</f>
        <v>0</v>
      </c>
      <c r="B68" s="129">
        <f>新增工艺设备!B67</f>
        <v>0</v>
      </c>
      <c r="C68" s="126">
        <f>新增工艺设备!H67</f>
        <v>0</v>
      </c>
      <c r="D68" s="126">
        <f>新增工艺设备!I67</f>
        <v>0</v>
      </c>
      <c r="E68" s="126"/>
      <c r="F68" s="126"/>
      <c r="G68" s="130"/>
      <c r="H68" s="130">
        <f t="shared" si="0"/>
        <v>0</v>
      </c>
      <c r="I68" s="126"/>
      <c r="J68" s="130"/>
      <c r="K68" s="130"/>
      <c r="L68" s="131"/>
      <c r="N68" s="132"/>
      <c r="O68" s="127"/>
    </row>
    <row r="69" spans="1:15">
      <c r="A69" s="128" t="str">
        <f>新增工艺设备!A68</f>
        <v>三</v>
      </c>
      <c r="B69" s="129" t="str">
        <f>新增工艺设备!B68</f>
        <v>监控设备</v>
      </c>
      <c r="C69" s="126">
        <f>新增工艺设备!H68</f>
        <v>0</v>
      </c>
      <c r="D69" s="126">
        <f>新增工艺设备!I68</f>
        <v>0</v>
      </c>
      <c r="E69" s="126"/>
      <c r="F69" s="126"/>
      <c r="G69" s="130"/>
      <c r="H69" s="130">
        <f t="shared" si="0"/>
        <v>0</v>
      </c>
      <c r="I69" s="126"/>
      <c r="J69" s="130"/>
      <c r="K69" s="130"/>
      <c r="L69" s="131"/>
      <c r="N69" s="132"/>
      <c r="O69" s="127"/>
    </row>
    <row r="70" spans="1:15">
      <c r="A70" s="128">
        <f>新增工艺设备!A69</f>
        <v>1</v>
      </c>
      <c r="B70" s="129" t="str">
        <f>新增工艺设备!B69</f>
        <v>监控系统</v>
      </c>
      <c r="C70" s="126"/>
      <c r="D70" s="126"/>
      <c r="E70" s="126"/>
      <c r="F70" s="126"/>
      <c r="G70" s="130"/>
      <c r="H70" s="130"/>
      <c r="I70" s="126"/>
      <c r="J70" s="130"/>
      <c r="K70" s="130"/>
      <c r="L70" s="131"/>
      <c r="N70" s="132"/>
      <c r="O70" s="127"/>
    </row>
    <row r="71" spans="1:15">
      <c r="A71" s="216">
        <f>新增工艺设备!A70</f>
        <v>1</v>
      </c>
      <c r="B71" s="129" t="str">
        <f>新增工艺设备!B70</f>
        <v>红外摄像头</v>
      </c>
      <c r="C71" s="217">
        <f>新增工艺设备!H70</f>
        <v>24.400000000000002</v>
      </c>
      <c r="D71" s="217">
        <f>新增工艺设备!I70</f>
        <v>0</v>
      </c>
      <c r="E71" s="217"/>
      <c r="F71" s="217"/>
      <c r="G71" s="217"/>
      <c r="H71" s="217">
        <f t="shared" si="0"/>
        <v>24.400000000000002</v>
      </c>
      <c r="I71" s="216"/>
      <c r="J71" s="216"/>
      <c r="K71" s="216"/>
      <c r="L71" s="216"/>
      <c r="N71" s="132"/>
      <c r="O71" s="127"/>
    </row>
    <row r="72" spans="1:15">
      <c r="A72" s="216">
        <f>新增工艺设备!A71</f>
        <v>2</v>
      </c>
      <c r="B72" s="129" t="str">
        <f>新增工艺设备!B71</f>
        <v>摄像头电源</v>
      </c>
      <c r="C72" s="217">
        <f>新增工艺设备!H71</f>
        <v>14.639999999999999</v>
      </c>
      <c r="D72" s="217">
        <f>新增工艺设备!I71</f>
        <v>0</v>
      </c>
      <c r="E72" s="217"/>
      <c r="F72" s="217"/>
      <c r="G72" s="217"/>
      <c r="H72" s="217">
        <f t="shared" si="0"/>
        <v>14.639999999999999</v>
      </c>
      <c r="I72" s="216"/>
      <c r="J72" s="216"/>
      <c r="K72" s="216"/>
      <c r="L72" s="216"/>
      <c r="N72" s="132"/>
      <c r="O72" s="127"/>
    </row>
    <row r="73" spans="1:15">
      <c r="A73" s="216">
        <f>新增工艺设备!A72</f>
        <v>3</v>
      </c>
      <c r="B73" s="129" t="str">
        <f>新增工艺设备!B72</f>
        <v>红外摄像头支架</v>
      </c>
      <c r="C73" s="217">
        <f>新增工艺设备!H72</f>
        <v>0.61</v>
      </c>
      <c r="D73" s="217">
        <f>新增工艺设备!I72</f>
        <v>0</v>
      </c>
      <c r="E73" s="217"/>
      <c r="F73" s="217"/>
      <c r="G73" s="217"/>
      <c r="H73" s="217">
        <f t="shared" ref="H73:H94" si="22">C73+E73+F73+G73</f>
        <v>0.61</v>
      </c>
      <c r="I73" s="216"/>
      <c r="J73" s="216"/>
      <c r="K73" s="216"/>
      <c r="L73" s="216"/>
      <c r="N73" s="132"/>
      <c r="O73" s="127"/>
    </row>
    <row r="74" spans="1:15">
      <c r="A74" s="216">
        <f>新增工艺设备!A73</f>
        <v>4</v>
      </c>
      <c r="B74" s="129" t="str">
        <f>新增工艺设备!B73</f>
        <v>一体化摄像机</v>
      </c>
      <c r="C74" s="217">
        <f>新增工艺设备!H73</f>
        <v>48.800000000000004</v>
      </c>
      <c r="D74" s="217">
        <f>新增工艺设备!I73</f>
        <v>0</v>
      </c>
      <c r="E74" s="217"/>
      <c r="F74" s="217"/>
      <c r="G74" s="217"/>
      <c r="H74" s="217">
        <f t="shared" si="22"/>
        <v>48.800000000000004</v>
      </c>
      <c r="I74" s="216"/>
      <c r="J74" s="216"/>
      <c r="K74" s="216"/>
      <c r="L74" s="216"/>
      <c r="N74" s="132"/>
      <c r="O74" s="127"/>
    </row>
    <row r="75" spans="1:15">
      <c r="A75" s="216">
        <f>新增工艺设备!A74</f>
        <v>5</v>
      </c>
      <c r="B75" s="129" t="str">
        <f>新增工艺设备!B74</f>
        <v>红外灯板</v>
      </c>
      <c r="C75" s="217">
        <f>新增工艺设备!H74</f>
        <v>12.200000000000001</v>
      </c>
      <c r="D75" s="217">
        <f>新增工艺设备!I74</f>
        <v>0</v>
      </c>
      <c r="E75" s="217"/>
      <c r="F75" s="217"/>
      <c r="G75" s="217"/>
      <c r="H75" s="217">
        <f t="shared" si="22"/>
        <v>12.200000000000001</v>
      </c>
      <c r="I75" s="216"/>
      <c r="J75" s="216"/>
      <c r="K75" s="216"/>
      <c r="L75" s="216"/>
      <c r="N75" s="132"/>
      <c r="O75" s="127"/>
    </row>
    <row r="76" spans="1:15">
      <c r="A76" s="216">
        <f>新增工艺设备!A75</f>
        <v>6</v>
      </c>
      <c r="B76" s="129" t="str">
        <f>新增工艺设备!B75</f>
        <v>重型云台</v>
      </c>
      <c r="C76" s="217">
        <f>新增工艺设备!H75</f>
        <v>12.200000000000001</v>
      </c>
      <c r="D76" s="217">
        <f>新增工艺设备!I75</f>
        <v>0</v>
      </c>
      <c r="E76" s="217"/>
      <c r="F76" s="217"/>
      <c r="G76" s="217"/>
      <c r="H76" s="217">
        <f t="shared" si="22"/>
        <v>12.200000000000001</v>
      </c>
      <c r="I76" s="216"/>
      <c r="J76" s="216"/>
      <c r="K76" s="216"/>
      <c r="L76" s="216"/>
      <c r="N76" s="132"/>
      <c r="O76" s="127"/>
    </row>
    <row r="77" spans="1:15">
      <c r="A77" s="216">
        <f>新增工艺设备!A76</f>
        <v>7</v>
      </c>
      <c r="B77" s="129" t="str">
        <f>新增工艺设备!B76</f>
        <v>摄像机外壳</v>
      </c>
      <c r="C77" s="217">
        <f>新增工艺设备!H76</f>
        <v>6.1000000000000005</v>
      </c>
      <c r="D77" s="217">
        <f>新增工艺设备!I76</f>
        <v>0</v>
      </c>
      <c r="E77" s="217"/>
      <c r="F77" s="217"/>
      <c r="G77" s="217"/>
      <c r="H77" s="217">
        <f t="shared" si="22"/>
        <v>6.1000000000000005</v>
      </c>
      <c r="I77" s="216"/>
      <c r="J77" s="216"/>
      <c r="K77" s="216"/>
      <c r="L77" s="216"/>
      <c r="N77" s="132"/>
      <c r="O77" s="127"/>
    </row>
    <row r="78" spans="1:15">
      <c r="A78" s="216">
        <f>新增工艺设备!A77</f>
        <v>8</v>
      </c>
      <c r="B78" s="129" t="str">
        <f>新增工艺设备!B77</f>
        <v>解码器</v>
      </c>
      <c r="C78" s="217">
        <f>新增工艺设备!H77</f>
        <v>12.200000000000001</v>
      </c>
      <c r="D78" s="217">
        <f>新增工艺设备!I77</f>
        <v>0</v>
      </c>
      <c r="E78" s="217"/>
      <c r="F78" s="217"/>
      <c r="G78" s="217"/>
      <c r="H78" s="217">
        <f t="shared" si="22"/>
        <v>12.200000000000001</v>
      </c>
      <c r="I78" s="216"/>
      <c r="J78" s="216"/>
      <c r="K78" s="216"/>
      <c r="L78" s="216"/>
      <c r="N78" s="132"/>
      <c r="O78" s="127"/>
    </row>
    <row r="79" spans="1:15">
      <c r="A79" s="216">
        <f>新增工艺设备!A78</f>
        <v>9</v>
      </c>
      <c r="B79" s="129" t="str">
        <f>新增工艺设备!B78</f>
        <v>光端机</v>
      </c>
      <c r="C79" s="217">
        <f>新增工艺设备!H78</f>
        <v>161.04000000000002</v>
      </c>
      <c r="D79" s="217">
        <f>新增工艺设备!I78</f>
        <v>0</v>
      </c>
      <c r="E79" s="217"/>
      <c r="F79" s="217"/>
      <c r="G79" s="217"/>
      <c r="H79" s="217">
        <f t="shared" si="22"/>
        <v>161.04000000000002</v>
      </c>
      <c r="I79" s="216"/>
      <c r="J79" s="216"/>
      <c r="K79" s="216"/>
      <c r="L79" s="216"/>
      <c r="N79" s="132"/>
      <c r="O79" s="127"/>
    </row>
    <row r="80" spans="1:15">
      <c r="A80" s="216">
        <f>新增工艺设备!A79</f>
        <v>10</v>
      </c>
      <c r="B80" s="129" t="str">
        <f>新增工艺设备!B79</f>
        <v>防水终端箱</v>
      </c>
      <c r="C80" s="217">
        <f>新增工艺设备!H79</f>
        <v>20</v>
      </c>
      <c r="D80" s="217">
        <f>新增工艺设备!I79</f>
        <v>0</v>
      </c>
      <c r="E80" s="217"/>
      <c r="F80" s="217"/>
      <c r="G80" s="217"/>
      <c r="H80" s="217">
        <f t="shared" si="22"/>
        <v>20</v>
      </c>
      <c r="I80" s="216"/>
      <c r="J80" s="216"/>
      <c r="K80" s="216"/>
      <c r="L80" s="216"/>
      <c r="N80" s="132"/>
      <c r="O80" s="127"/>
    </row>
    <row r="81" spans="1:15">
      <c r="A81" s="216">
        <f>新增工艺设备!A80</f>
        <v>11</v>
      </c>
      <c r="B81" s="129" t="str">
        <f>新增工艺设备!B80</f>
        <v>云台支架</v>
      </c>
      <c r="C81" s="217">
        <f>新增工艺设备!H80</f>
        <v>3.6599999999999997</v>
      </c>
      <c r="D81" s="217">
        <f>新增工艺设备!I80</f>
        <v>0</v>
      </c>
      <c r="E81" s="217"/>
      <c r="F81" s="217"/>
      <c r="G81" s="217"/>
      <c r="H81" s="217">
        <f t="shared" si="22"/>
        <v>3.6599999999999997</v>
      </c>
      <c r="I81" s="216"/>
      <c r="J81" s="216"/>
      <c r="K81" s="216"/>
      <c r="L81" s="216"/>
      <c r="N81" s="132"/>
      <c r="O81" s="127"/>
    </row>
    <row r="82" spans="1:15">
      <c r="A82" s="216">
        <f>新增工艺设备!A81</f>
        <v>12</v>
      </c>
      <c r="B82" s="129" t="str">
        <f>新增工艺设备!B81</f>
        <v>熔纤盒</v>
      </c>
      <c r="C82" s="217">
        <f>新增工艺设备!H81</f>
        <v>2</v>
      </c>
      <c r="D82" s="217">
        <f>新增工艺设备!I81</f>
        <v>0</v>
      </c>
      <c r="E82" s="217"/>
      <c r="F82" s="217"/>
      <c r="G82" s="217"/>
      <c r="H82" s="217">
        <f t="shared" si="22"/>
        <v>2</v>
      </c>
      <c r="I82" s="216"/>
      <c r="J82" s="216"/>
      <c r="K82" s="216"/>
      <c r="L82" s="216"/>
      <c r="N82" s="132"/>
      <c r="O82" s="127"/>
    </row>
    <row r="83" spans="1:15">
      <c r="A83" s="216">
        <f>新增工艺设备!A82</f>
        <v>13</v>
      </c>
      <c r="B83" s="129" t="str">
        <f>新增工艺设备!B82</f>
        <v>法兰盘</v>
      </c>
      <c r="C83" s="217">
        <f>新增工艺设备!H82</f>
        <v>1.2</v>
      </c>
      <c r="D83" s="217">
        <f>新增工艺设备!I82</f>
        <v>0</v>
      </c>
      <c r="E83" s="217"/>
      <c r="F83" s="217"/>
      <c r="G83" s="217"/>
      <c r="H83" s="217">
        <f t="shared" si="22"/>
        <v>1.2</v>
      </c>
      <c r="I83" s="216"/>
      <c r="J83" s="216"/>
      <c r="K83" s="216"/>
      <c r="L83" s="216"/>
      <c r="N83" s="132"/>
      <c r="O83" s="127"/>
    </row>
    <row r="84" spans="1:15">
      <c r="A84" s="216">
        <f>新增工艺设备!A83</f>
        <v>14</v>
      </c>
      <c r="B84" s="129" t="str">
        <f>新增工艺设备!B83</f>
        <v>视频编码器</v>
      </c>
      <c r="C84" s="217">
        <f>新增工艺设备!H83</f>
        <v>48</v>
      </c>
      <c r="D84" s="217">
        <f>新增工艺设备!I83</f>
        <v>0</v>
      </c>
      <c r="E84" s="217"/>
      <c r="F84" s="217"/>
      <c r="G84" s="217"/>
      <c r="H84" s="217">
        <f t="shared" si="22"/>
        <v>48</v>
      </c>
      <c r="I84" s="216"/>
      <c r="J84" s="216"/>
      <c r="K84" s="216"/>
      <c r="L84" s="216"/>
      <c r="N84" s="132"/>
      <c r="O84" s="127"/>
    </row>
    <row r="85" spans="1:15">
      <c r="A85" s="216">
        <f>新增工艺设备!A84</f>
        <v>15</v>
      </c>
      <c r="B85" s="129" t="str">
        <f>新增工艺设备!B84</f>
        <v>硬盘录像机</v>
      </c>
      <c r="C85" s="217">
        <f>新增工艺设备!H84</f>
        <v>8</v>
      </c>
      <c r="D85" s="217">
        <f>新增工艺设备!I84</f>
        <v>0</v>
      </c>
      <c r="E85" s="217"/>
      <c r="F85" s="217"/>
      <c r="G85" s="217"/>
      <c r="H85" s="217">
        <f t="shared" si="22"/>
        <v>8</v>
      </c>
      <c r="I85" s="216"/>
      <c r="J85" s="216"/>
      <c r="K85" s="216"/>
      <c r="L85" s="216"/>
      <c r="N85" s="132"/>
      <c r="O85" s="127"/>
    </row>
    <row r="86" spans="1:15">
      <c r="A86" s="216">
        <f>新增工艺设备!A85</f>
        <v>16</v>
      </c>
      <c r="B86" s="129" t="str">
        <f>新增工艺设备!B85</f>
        <v>操作台</v>
      </c>
      <c r="C86" s="217">
        <f>新增工艺设备!H85</f>
        <v>3.2</v>
      </c>
      <c r="D86" s="217">
        <f>新增工艺设备!I85</f>
        <v>0</v>
      </c>
      <c r="E86" s="217"/>
      <c r="F86" s="217"/>
      <c r="G86" s="217"/>
      <c r="H86" s="217">
        <f t="shared" si="22"/>
        <v>3.2</v>
      </c>
      <c r="I86" s="216"/>
      <c r="J86" s="216"/>
      <c r="K86" s="216"/>
      <c r="L86" s="216"/>
      <c r="N86" s="132"/>
      <c r="O86" s="127"/>
    </row>
    <row r="87" spans="1:15">
      <c r="A87" s="216">
        <f>新增工艺设备!A86</f>
        <v>17</v>
      </c>
      <c r="B87" s="129" t="str">
        <f>新增工艺设备!B86</f>
        <v>显示器</v>
      </c>
      <c r="C87" s="217">
        <f>新增工艺设备!H86</f>
        <v>15</v>
      </c>
      <c r="D87" s="217">
        <f>新增工艺设备!I86</f>
        <v>0</v>
      </c>
      <c r="E87" s="217"/>
      <c r="F87" s="217"/>
      <c r="G87" s="217"/>
      <c r="H87" s="217">
        <f t="shared" si="22"/>
        <v>15</v>
      </c>
      <c r="I87" s="216"/>
      <c r="J87" s="216"/>
      <c r="K87" s="216"/>
      <c r="L87" s="216"/>
      <c r="N87" s="132"/>
      <c r="O87" s="127"/>
    </row>
    <row r="88" spans="1:15">
      <c r="A88" s="216">
        <f>新增工艺设备!A87</f>
        <v>18</v>
      </c>
      <c r="B88" s="129" t="str">
        <f>新增工艺设备!B87</f>
        <v>交换机</v>
      </c>
      <c r="C88" s="217">
        <f>新增工艺设备!H87</f>
        <v>0.4</v>
      </c>
      <c r="D88" s="217">
        <f>新增工艺设备!I87</f>
        <v>0</v>
      </c>
      <c r="E88" s="217"/>
      <c r="F88" s="217"/>
      <c r="G88" s="217"/>
      <c r="H88" s="217">
        <f t="shared" si="22"/>
        <v>0.4</v>
      </c>
      <c r="I88" s="216"/>
      <c r="J88" s="216"/>
      <c r="K88" s="216"/>
      <c r="L88" s="216"/>
      <c r="N88" s="132"/>
      <c r="O88" s="127"/>
    </row>
    <row r="89" spans="1:15">
      <c r="A89" s="216">
        <f>新增工艺设备!A88</f>
        <v>19</v>
      </c>
      <c r="B89" s="129" t="str">
        <f>新增工艺设备!B88</f>
        <v>距阵</v>
      </c>
      <c r="C89" s="217">
        <f>新增工艺设备!H88</f>
        <v>9.6</v>
      </c>
      <c r="D89" s="217">
        <f>新增工艺设备!I88</f>
        <v>0</v>
      </c>
      <c r="E89" s="217"/>
      <c r="F89" s="217"/>
      <c r="G89" s="217"/>
      <c r="H89" s="217">
        <f t="shared" si="22"/>
        <v>9.6</v>
      </c>
      <c r="I89" s="216"/>
      <c r="J89" s="216"/>
      <c r="K89" s="216"/>
      <c r="L89" s="216"/>
      <c r="N89" s="132"/>
      <c r="O89" s="127"/>
    </row>
    <row r="90" spans="1:15">
      <c r="A90" s="216">
        <f>新增工艺设备!A89</f>
        <v>20</v>
      </c>
      <c r="B90" s="129" t="str">
        <f>新增工艺设备!B89</f>
        <v>距阵键盘</v>
      </c>
      <c r="C90" s="217">
        <f>新增工艺设备!H89</f>
        <v>2.4</v>
      </c>
      <c r="D90" s="217">
        <f>新增工艺设备!I89</f>
        <v>0</v>
      </c>
      <c r="E90" s="217"/>
      <c r="F90" s="217"/>
      <c r="G90" s="217"/>
      <c r="H90" s="217">
        <f t="shared" si="22"/>
        <v>2.4</v>
      </c>
      <c r="I90" s="216"/>
      <c r="J90" s="216"/>
      <c r="K90" s="216"/>
      <c r="L90" s="216"/>
      <c r="N90" s="132"/>
      <c r="O90" s="127"/>
    </row>
    <row r="91" spans="1:15">
      <c r="A91" s="216">
        <f>新增工艺设备!A90</f>
        <v>21</v>
      </c>
      <c r="B91" s="129" t="str">
        <f>新增工艺设备!B90</f>
        <v>辅材及安装件</v>
      </c>
      <c r="C91" s="217">
        <f>新增工艺设备!H90</f>
        <v>95</v>
      </c>
      <c r="D91" s="217">
        <f>新增工艺设备!I90</f>
        <v>0</v>
      </c>
      <c r="E91" s="217"/>
      <c r="F91" s="217"/>
      <c r="G91" s="217"/>
      <c r="H91" s="217">
        <f t="shared" si="22"/>
        <v>95</v>
      </c>
      <c r="I91" s="216"/>
      <c r="J91" s="216"/>
      <c r="K91" s="216"/>
      <c r="L91" s="216"/>
      <c r="N91" s="132"/>
      <c r="O91" s="127"/>
    </row>
    <row r="92" spans="1:15">
      <c r="A92" s="128">
        <f>新增工艺设备!A91</f>
        <v>0</v>
      </c>
      <c r="B92" s="129">
        <f>新增工艺设备!B91</f>
        <v>0</v>
      </c>
      <c r="C92" s="126">
        <f>新增工艺设备!H91</f>
        <v>0</v>
      </c>
      <c r="D92" s="126">
        <f>新增工艺设备!I91</f>
        <v>0</v>
      </c>
      <c r="E92" s="126"/>
      <c r="F92" s="126"/>
      <c r="G92" s="130"/>
      <c r="H92" s="130">
        <f t="shared" si="22"/>
        <v>0</v>
      </c>
      <c r="I92" s="126"/>
      <c r="J92" s="130"/>
      <c r="K92" s="130"/>
      <c r="L92" s="131"/>
      <c r="N92" s="132"/>
      <c r="O92" s="127"/>
    </row>
    <row r="93" spans="1:15" s="230" customFormat="1">
      <c r="A93" s="225">
        <f>新增工艺设备!A92</f>
        <v>0</v>
      </c>
      <c r="B93" s="226" t="str">
        <f>新增工艺设备!B92</f>
        <v>小   计</v>
      </c>
      <c r="C93" s="227">
        <f>SUM(C70:C92)</f>
        <v>500.65000000000003</v>
      </c>
      <c r="D93" s="227">
        <f t="shared" ref="D93:H93" si="23">SUM(D70:D92)</f>
        <v>0</v>
      </c>
      <c r="E93" s="227">
        <f t="shared" si="23"/>
        <v>0</v>
      </c>
      <c r="F93" s="227">
        <f t="shared" si="23"/>
        <v>0</v>
      </c>
      <c r="G93" s="227">
        <f t="shared" si="23"/>
        <v>0</v>
      </c>
      <c r="H93" s="227">
        <f t="shared" si="23"/>
        <v>500.65000000000003</v>
      </c>
      <c r="I93" s="227">
        <f>SUM(I70:I92)</f>
        <v>0</v>
      </c>
      <c r="J93" s="228">
        <f>C93*3%</f>
        <v>15.019500000000001</v>
      </c>
      <c r="K93" s="227">
        <f t="shared" ref="K93" si="24">SUM(K70:K92)</f>
        <v>0</v>
      </c>
      <c r="L93" s="229"/>
      <c r="N93" s="231"/>
      <c r="O93" s="232"/>
    </row>
    <row r="94" spans="1:15">
      <c r="A94" s="128">
        <f>新增工艺设备!A93</f>
        <v>0</v>
      </c>
      <c r="B94" s="129">
        <f>新增工艺设备!B93</f>
        <v>0</v>
      </c>
      <c r="C94" s="126">
        <f>新增工艺设备!H93</f>
        <v>0</v>
      </c>
      <c r="D94" s="126">
        <f>新增工艺设备!I93</f>
        <v>0</v>
      </c>
      <c r="E94" s="126"/>
      <c r="F94" s="126"/>
      <c r="G94" s="130"/>
      <c r="H94" s="130">
        <f t="shared" si="22"/>
        <v>0</v>
      </c>
      <c r="I94" s="126"/>
      <c r="J94" s="130"/>
      <c r="K94" s="130"/>
      <c r="L94" s="131"/>
      <c r="N94" s="132"/>
      <c r="O94" s="127"/>
    </row>
    <row r="95" spans="1:15" s="136" customFormat="1">
      <c r="A95" s="133">
        <f>'[19]设备表（董提资）'!A650</f>
        <v>0</v>
      </c>
      <c r="B95" s="134" t="str">
        <f>'[19]设备表（董提资）'!B650</f>
        <v>总   计</v>
      </c>
      <c r="C95" s="135">
        <f>C93+C67+C58</f>
        <v>9527.7689999999984</v>
      </c>
      <c r="D95" s="135">
        <f t="shared" ref="D95:L95" si="25">D93+D67+D58</f>
        <v>0</v>
      </c>
      <c r="E95" s="135">
        <f t="shared" si="25"/>
        <v>0</v>
      </c>
      <c r="F95" s="135">
        <f t="shared" si="25"/>
        <v>0</v>
      </c>
      <c r="G95" s="135">
        <f t="shared" si="25"/>
        <v>499.38600000000008</v>
      </c>
      <c r="H95" s="135">
        <f t="shared" si="25"/>
        <v>10027.155000000001</v>
      </c>
      <c r="I95" s="135">
        <f t="shared" si="25"/>
        <v>0</v>
      </c>
      <c r="J95" s="135">
        <f t="shared" si="25"/>
        <v>77.779500000000013</v>
      </c>
      <c r="K95" s="135">
        <f t="shared" si="25"/>
        <v>158.77800000000002</v>
      </c>
      <c r="L95" s="135">
        <f t="shared" si="25"/>
        <v>0</v>
      </c>
      <c r="N95" s="137"/>
      <c r="O95" s="127"/>
    </row>
    <row r="96" spans="1:15" ht="15" customHeight="1">
      <c r="A96" s="128"/>
      <c r="B96" s="129"/>
      <c r="C96" s="138"/>
      <c r="D96" s="138"/>
      <c r="E96" s="139"/>
      <c r="F96" s="140"/>
      <c r="G96" s="140"/>
      <c r="H96" s="140"/>
      <c r="I96" s="140"/>
      <c r="J96" s="140"/>
      <c r="K96" s="140"/>
      <c r="L96" s="139"/>
    </row>
  </sheetData>
  <mergeCells count="13">
    <mergeCell ref="G5:G6"/>
    <mergeCell ref="H5:H6"/>
    <mergeCell ref="I5:I6"/>
    <mergeCell ref="A2:L2"/>
    <mergeCell ref="A4:A6"/>
    <mergeCell ref="B4:B6"/>
    <mergeCell ref="C4:I4"/>
    <mergeCell ref="J4:J6"/>
    <mergeCell ref="K4:K6"/>
    <mergeCell ref="L4:L6"/>
    <mergeCell ref="C5:D5"/>
    <mergeCell ref="E5:E6"/>
    <mergeCell ref="F5:F6"/>
  </mergeCells>
  <phoneticPr fontId="34" type="noConversion"/>
  <printOptions horizontalCentered="1"/>
  <pageMargins left="0.59055118110236227" right="0.59055118110236227" top="0.59055118110236227" bottom="0.59055118110236227" header="0.47244094488188981" footer="0.31496062992125984"/>
  <pageSetup paperSize="9" scale="96" fitToHeight="0" orientation="landscape" blackAndWhite="1" verticalDpi="300" r:id="rId1"/>
  <headerFooter alignWithMargins="0">
    <oddFooter>&amp;C&amp;P</oddFooter>
  </headerFooter>
</worksheet>
</file>

<file path=xl/worksheets/sheet4.xml><?xml version="1.0" encoding="utf-8"?>
<worksheet xmlns="http://schemas.openxmlformats.org/spreadsheetml/2006/main" xmlns:r="http://schemas.openxmlformats.org/officeDocument/2006/relationships">
  <sheetPr>
    <tabColor indexed="22"/>
    <pageSetUpPr fitToPage="1"/>
  </sheetPr>
  <dimension ref="A1:IU68"/>
  <sheetViews>
    <sheetView topLeftCell="A43" zoomScale="115" workbookViewId="0">
      <selection activeCell="A3" sqref="A3"/>
    </sheetView>
  </sheetViews>
  <sheetFormatPr defaultColWidth="9" defaultRowHeight="13.5"/>
  <cols>
    <col min="1" max="1" width="7.25" style="236" customWidth="1"/>
    <col min="2" max="2" width="30.375" style="235" bestFit="1" customWidth="1"/>
    <col min="3" max="3" width="30.625" style="235" customWidth="1"/>
    <col min="4" max="4" width="8.25" style="235" customWidth="1"/>
    <col min="5" max="5" width="9" style="236" customWidth="1"/>
    <col min="6" max="6" width="10.625" style="236" customWidth="1"/>
    <col min="7" max="7" width="10.75" style="235" customWidth="1"/>
    <col min="8" max="8" width="9.875" style="235" bestFit="1" customWidth="1"/>
    <col min="9" max="256" width="9" style="235"/>
    <col min="257" max="257" width="7.25" style="235" customWidth="1"/>
    <col min="258" max="258" width="30.375" style="235" bestFit="1" customWidth="1"/>
    <col min="259" max="259" width="30.625" style="235" customWidth="1"/>
    <col min="260" max="260" width="8.25" style="235" customWidth="1"/>
    <col min="261" max="261" width="9" style="235" customWidth="1"/>
    <col min="262" max="262" width="10.625" style="235" customWidth="1"/>
    <col min="263" max="263" width="10.75" style="235" customWidth="1"/>
    <col min="264" max="264" width="9.875" style="235" bestFit="1" customWidth="1"/>
    <col min="265" max="512" width="9" style="235"/>
    <col min="513" max="513" width="7.25" style="235" customWidth="1"/>
    <col min="514" max="514" width="30.375" style="235" bestFit="1" customWidth="1"/>
    <col min="515" max="515" width="30.625" style="235" customWidth="1"/>
    <col min="516" max="516" width="8.25" style="235" customWidth="1"/>
    <col min="517" max="517" width="9" style="235" customWidth="1"/>
    <col min="518" max="518" width="10.625" style="235" customWidth="1"/>
    <col min="519" max="519" width="10.75" style="235" customWidth="1"/>
    <col min="520" max="520" width="9.875" style="235" bestFit="1" customWidth="1"/>
    <col min="521" max="768" width="9" style="235"/>
    <col min="769" max="769" width="7.25" style="235" customWidth="1"/>
    <col min="770" max="770" width="30.375" style="235" bestFit="1" customWidth="1"/>
    <col min="771" max="771" width="30.625" style="235" customWidth="1"/>
    <col min="772" max="772" width="8.25" style="235" customWidth="1"/>
    <col min="773" max="773" width="9" style="235" customWidth="1"/>
    <col min="774" max="774" width="10.625" style="235" customWidth="1"/>
    <col min="775" max="775" width="10.75" style="235" customWidth="1"/>
    <col min="776" max="776" width="9.875" style="235" bestFit="1" customWidth="1"/>
    <col min="777" max="1024" width="9" style="235"/>
    <col min="1025" max="1025" width="7.25" style="235" customWidth="1"/>
    <col min="1026" max="1026" width="30.375" style="235" bestFit="1" customWidth="1"/>
    <col min="1027" max="1027" width="30.625" style="235" customWidth="1"/>
    <col min="1028" max="1028" width="8.25" style="235" customWidth="1"/>
    <col min="1029" max="1029" width="9" style="235" customWidth="1"/>
    <col min="1030" max="1030" width="10.625" style="235" customWidth="1"/>
    <col min="1031" max="1031" width="10.75" style="235" customWidth="1"/>
    <col min="1032" max="1032" width="9.875" style="235" bestFit="1" customWidth="1"/>
    <col min="1033" max="1280" width="9" style="235"/>
    <col min="1281" max="1281" width="7.25" style="235" customWidth="1"/>
    <col min="1282" max="1282" width="30.375" style="235" bestFit="1" customWidth="1"/>
    <col min="1283" max="1283" width="30.625" style="235" customWidth="1"/>
    <col min="1284" max="1284" width="8.25" style="235" customWidth="1"/>
    <col min="1285" max="1285" width="9" style="235" customWidth="1"/>
    <col min="1286" max="1286" width="10.625" style="235" customWidth="1"/>
    <col min="1287" max="1287" width="10.75" style="235" customWidth="1"/>
    <col min="1288" max="1288" width="9.875" style="235" bestFit="1" customWidth="1"/>
    <col min="1289" max="1536" width="9" style="235"/>
    <col min="1537" max="1537" width="7.25" style="235" customWidth="1"/>
    <col min="1538" max="1538" width="30.375" style="235" bestFit="1" customWidth="1"/>
    <col min="1539" max="1539" width="30.625" style="235" customWidth="1"/>
    <col min="1540" max="1540" width="8.25" style="235" customWidth="1"/>
    <col min="1541" max="1541" width="9" style="235" customWidth="1"/>
    <col min="1542" max="1542" width="10.625" style="235" customWidth="1"/>
    <col min="1543" max="1543" width="10.75" style="235" customWidth="1"/>
    <col min="1544" max="1544" width="9.875" style="235" bestFit="1" customWidth="1"/>
    <col min="1545" max="1792" width="9" style="235"/>
    <col min="1793" max="1793" width="7.25" style="235" customWidth="1"/>
    <col min="1794" max="1794" width="30.375" style="235" bestFit="1" customWidth="1"/>
    <col min="1795" max="1795" width="30.625" style="235" customWidth="1"/>
    <col min="1796" max="1796" width="8.25" style="235" customWidth="1"/>
    <col min="1797" max="1797" width="9" style="235" customWidth="1"/>
    <col min="1798" max="1798" width="10.625" style="235" customWidth="1"/>
    <col min="1799" max="1799" width="10.75" style="235" customWidth="1"/>
    <col min="1800" max="1800" width="9.875" style="235" bestFit="1" customWidth="1"/>
    <col min="1801" max="2048" width="9" style="235"/>
    <col min="2049" max="2049" width="7.25" style="235" customWidth="1"/>
    <col min="2050" max="2050" width="30.375" style="235" bestFit="1" customWidth="1"/>
    <col min="2051" max="2051" width="30.625" style="235" customWidth="1"/>
    <col min="2052" max="2052" width="8.25" style="235" customWidth="1"/>
    <col min="2053" max="2053" width="9" style="235" customWidth="1"/>
    <col min="2054" max="2054" width="10.625" style="235" customWidth="1"/>
    <col min="2055" max="2055" width="10.75" style="235" customWidth="1"/>
    <col min="2056" max="2056" width="9.875" style="235" bestFit="1" customWidth="1"/>
    <col min="2057" max="2304" width="9" style="235"/>
    <col min="2305" max="2305" width="7.25" style="235" customWidth="1"/>
    <col min="2306" max="2306" width="30.375" style="235" bestFit="1" customWidth="1"/>
    <col min="2307" max="2307" width="30.625" style="235" customWidth="1"/>
    <col min="2308" max="2308" width="8.25" style="235" customWidth="1"/>
    <col min="2309" max="2309" width="9" style="235" customWidth="1"/>
    <col min="2310" max="2310" width="10.625" style="235" customWidth="1"/>
    <col min="2311" max="2311" width="10.75" style="235" customWidth="1"/>
    <col min="2312" max="2312" width="9.875" style="235" bestFit="1" customWidth="1"/>
    <col min="2313" max="2560" width="9" style="235"/>
    <col min="2561" max="2561" width="7.25" style="235" customWidth="1"/>
    <col min="2562" max="2562" width="30.375" style="235" bestFit="1" customWidth="1"/>
    <col min="2563" max="2563" width="30.625" style="235" customWidth="1"/>
    <col min="2564" max="2564" width="8.25" style="235" customWidth="1"/>
    <col min="2565" max="2565" width="9" style="235" customWidth="1"/>
    <col min="2566" max="2566" width="10.625" style="235" customWidth="1"/>
    <col min="2567" max="2567" width="10.75" style="235" customWidth="1"/>
    <col min="2568" max="2568" width="9.875" style="235" bestFit="1" customWidth="1"/>
    <col min="2569" max="2816" width="9" style="235"/>
    <col min="2817" max="2817" width="7.25" style="235" customWidth="1"/>
    <col min="2818" max="2818" width="30.375" style="235" bestFit="1" customWidth="1"/>
    <col min="2819" max="2819" width="30.625" style="235" customWidth="1"/>
    <col min="2820" max="2820" width="8.25" style="235" customWidth="1"/>
    <col min="2821" max="2821" width="9" style="235" customWidth="1"/>
    <col min="2822" max="2822" width="10.625" style="235" customWidth="1"/>
    <col min="2823" max="2823" width="10.75" style="235" customWidth="1"/>
    <col min="2824" max="2824" width="9.875" style="235" bestFit="1" customWidth="1"/>
    <col min="2825" max="3072" width="9" style="235"/>
    <col min="3073" max="3073" width="7.25" style="235" customWidth="1"/>
    <col min="3074" max="3074" width="30.375" style="235" bestFit="1" customWidth="1"/>
    <col min="3075" max="3075" width="30.625" style="235" customWidth="1"/>
    <col min="3076" max="3076" width="8.25" style="235" customWidth="1"/>
    <col min="3077" max="3077" width="9" style="235" customWidth="1"/>
    <col min="3078" max="3078" width="10.625" style="235" customWidth="1"/>
    <col min="3079" max="3079" width="10.75" style="235" customWidth="1"/>
    <col min="3080" max="3080" width="9.875" style="235" bestFit="1" customWidth="1"/>
    <col min="3081" max="3328" width="9" style="235"/>
    <col min="3329" max="3329" width="7.25" style="235" customWidth="1"/>
    <col min="3330" max="3330" width="30.375" style="235" bestFit="1" customWidth="1"/>
    <col min="3331" max="3331" width="30.625" style="235" customWidth="1"/>
    <col min="3332" max="3332" width="8.25" style="235" customWidth="1"/>
    <col min="3333" max="3333" width="9" style="235" customWidth="1"/>
    <col min="3334" max="3334" width="10.625" style="235" customWidth="1"/>
    <col min="3335" max="3335" width="10.75" style="235" customWidth="1"/>
    <col min="3336" max="3336" width="9.875" style="235" bestFit="1" customWidth="1"/>
    <col min="3337" max="3584" width="9" style="235"/>
    <col min="3585" max="3585" width="7.25" style="235" customWidth="1"/>
    <col min="3586" max="3586" width="30.375" style="235" bestFit="1" customWidth="1"/>
    <col min="3587" max="3587" width="30.625" style="235" customWidth="1"/>
    <col min="3588" max="3588" width="8.25" style="235" customWidth="1"/>
    <col min="3589" max="3589" width="9" style="235" customWidth="1"/>
    <col min="3590" max="3590" width="10.625" style="235" customWidth="1"/>
    <col min="3591" max="3591" width="10.75" style="235" customWidth="1"/>
    <col min="3592" max="3592" width="9.875" style="235" bestFit="1" customWidth="1"/>
    <col min="3593" max="3840" width="9" style="235"/>
    <col min="3841" max="3841" width="7.25" style="235" customWidth="1"/>
    <col min="3842" max="3842" width="30.375" style="235" bestFit="1" customWidth="1"/>
    <col min="3843" max="3843" width="30.625" style="235" customWidth="1"/>
    <col min="3844" max="3844" width="8.25" style="235" customWidth="1"/>
    <col min="3845" max="3845" width="9" style="235" customWidth="1"/>
    <col min="3846" max="3846" width="10.625" style="235" customWidth="1"/>
    <col min="3847" max="3847" width="10.75" style="235" customWidth="1"/>
    <col min="3848" max="3848" width="9.875" style="235" bestFit="1" customWidth="1"/>
    <col min="3849" max="4096" width="9" style="235"/>
    <col min="4097" max="4097" width="7.25" style="235" customWidth="1"/>
    <col min="4098" max="4098" width="30.375" style="235" bestFit="1" customWidth="1"/>
    <col min="4099" max="4099" width="30.625" style="235" customWidth="1"/>
    <col min="4100" max="4100" width="8.25" style="235" customWidth="1"/>
    <col min="4101" max="4101" width="9" style="235" customWidth="1"/>
    <col min="4102" max="4102" width="10.625" style="235" customWidth="1"/>
    <col min="4103" max="4103" width="10.75" style="235" customWidth="1"/>
    <col min="4104" max="4104" width="9.875" style="235" bestFit="1" customWidth="1"/>
    <col min="4105" max="4352" width="9" style="235"/>
    <col min="4353" max="4353" width="7.25" style="235" customWidth="1"/>
    <col min="4354" max="4354" width="30.375" style="235" bestFit="1" customWidth="1"/>
    <col min="4355" max="4355" width="30.625" style="235" customWidth="1"/>
    <col min="4356" max="4356" width="8.25" style="235" customWidth="1"/>
    <col min="4357" max="4357" width="9" style="235" customWidth="1"/>
    <col min="4358" max="4358" width="10.625" style="235" customWidth="1"/>
    <col min="4359" max="4359" width="10.75" style="235" customWidth="1"/>
    <col min="4360" max="4360" width="9.875" style="235" bestFit="1" customWidth="1"/>
    <col min="4361" max="4608" width="9" style="235"/>
    <col min="4609" max="4609" width="7.25" style="235" customWidth="1"/>
    <col min="4610" max="4610" width="30.375" style="235" bestFit="1" customWidth="1"/>
    <col min="4611" max="4611" width="30.625" style="235" customWidth="1"/>
    <col min="4612" max="4612" width="8.25" style="235" customWidth="1"/>
    <col min="4613" max="4613" width="9" style="235" customWidth="1"/>
    <col min="4614" max="4614" width="10.625" style="235" customWidth="1"/>
    <col min="4615" max="4615" width="10.75" style="235" customWidth="1"/>
    <col min="4616" max="4616" width="9.875" style="235" bestFit="1" customWidth="1"/>
    <col min="4617" max="4864" width="9" style="235"/>
    <col min="4865" max="4865" width="7.25" style="235" customWidth="1"/>
    <col min="4866" max="4866" width="30.375" style="235" bestFit="1" customWidth="1"/>
    <col min="4867" max="4867" width="30.625" style="235" customWidth="1"/>
    <col min="4868" max="4868" width="8.25" style="235" customWidth="1"/>
    <col min="4869" max="4869" width="9" style="235" customWidth="1"/>
    <col min="4870" max="4870" width="10.625" style="235" customWidth="1"/>
    <col min="4871" max="4871" width="10.75" style="235" customWidth="1"/>
    <col min="4872" max="4872" width="9.875" style="235" bestFit="1" customWidth="1"/>
    <col min="4873" max="5120" width="9" style="235"/>
    <col min="5121" max="5121" width="7.25" style="235" customWidth="1"/>
    <col min="5122" max="5122" width="30.375" style="235" bestFit="1" customWidth="1"/>
    <col min="5123" max="5123" width="30.625" style="235" customWidth="1"/>
    <col min="5124" max="5124" width="8.25" style="235" customWidth="1"/>
    <col min="5125" max="5125" width="9" style="235" customWidth="1"/>
    <col min="5126" max="5126" width="10.625" style="235" customWidth="1"/>
    <col min="5127" max="5127" width="10.75" style="235" customWidth="1"/>
    <col min="5128" max="5128" width="9.875" style="235" bestFit="1" customWidth="1"/>
    <col min="5129" max="5376" width="9" style="235"/>
    <col min="5377" max="5377" width="7.25" style="235" customWidth="1"/>
    <col min="5378" max="5378" width="30.375" style="235" bestFit="1" customWidth="1"/>
    <col min="5379" max="5379" width="30.625" style="235" customWidth="1"/>
    <col min="5380" max="5380" width="8.25" style="235" customWidth="1"/>
    <col min="5381" max="5381" width="9" style="235" customWidth="1"/>
    <col min="5382" max="5382" width="10.625" style="235" customWidth="1"/>
    <col min="5383" max="5383" width="10.75" style="235" customWidth="1"/>
    <col min="5384" max="5384" width="9.875" style="235" bestFit="1" customWidth="1"/>
    <col min="5385" max="5632" width="9" style="235"/>
    <col min="5633" max="5633" width="7.25" style="235" customWidth="1"/>
    <col min="5634" max="5634" width="30.375" style="235" bestFit="1" customWidth="1"/>
    <col min="5635" max="5635" width="30.625" style="235" customWidth="1"/>
    <col min="5636" max="5636" width="8.25" style="235" customWidth="1"/>
    <col min="5637" max="5637" width="9" style="235" customWidth="1"/>
    <col min="5638" max="5638" width="10.625" style="235" customWidth="1"/>
    <col min="5639" max="5639" width="10.75" style="235" customWidth="1"/>
    <col min="5640" max="5640" width="9.875" style="235" bestFit="1" customWidth="1"/>
    <col min="5641" max="5888" width="9" style="235"/>
    <col min="5889" max="5889" width="7.25" style="235" customWidth="1"/>
    <col min="5890" max="5890" width="30.375" style="235" bestFit="1" customWidth="1"/>
    <col min="5891" max="5891" width="30.625" style="235" customWidth="1"/>
    <col min="5892" max="5892" width="8.25" style="235" customWidth="1"/>
    <col min="5893" max="5893" width="9" style="235" customWidth="1"/>
    <col min="5894" max="5894" width="10.625" style="235" customWidth="1"/>
    <col min="5895" max="5895" width="10.75" style="235" customWidth="1"/>
    <col min="5896" max="5896" width="9.875" style="235" bestFit="1" customWidth="1"/>
    <col min="5897" max="6144" width="9" style="235"/>
    <col min="6145" max="6145" width="7.25" style="235" customWidth="1"/>
    <col min="6146" max="6146" width="30.375" style="235" bestFit="1" customWidth="1"/>
    <col min="6147" max="6147" width="30.625" style="235" customWidth="1"/>
    <col min="6148" max="6148" width="8.25" style="235" customWidth="1"/>
    <col min="6149" max="6149" width="9" style="235" customWidth="1"/>
    <col min="6150" max="6150" width="10.625" style="235" customWidth="1"/>
    <col min="6151" max="6151" width="10.75" style="235" customWidth="1"/>
    <col min="6152" max="6152" width="9.875" style="235" bestFit="1" customWidth="1"/>
    <col min="6153" max="6400" width="9" style="235"/>
    <col min="6401" max="6401" width="7.25" style="235" customWidth="1"/>
    <col min="6402" max="6402" width="30.375" style="235" bestFit="1" customWidth="1"/>
    <col min="6403" max="6403" width="30.625" style="235" customWidth="1"/>
    <col min="6404" max="6404" width="8.25" style="235" customWidth="1"/>
    <col min="6405" max="6405" width="9" style="235" customWidth="1"/>
    <col min="6406" max="6406" width="10.625" style="235" customWidth="1"/>
    <col min="6407" max="6407" width="10.75" style="235" customWidth="1"/>
    <col min="6408" max="6408" width="9.875" style="235" bestFit="1" customWidth="1"/>
    <col min="6409" max="6656" width="9" style="235"/>
    <col min="6657" max="6657" width="7.25" style="235" customWidth="1"/>
    <col min="6658" max="6658" width="30.375" style="235" bestFit="1" customWidth="1"/>
    <col min="6659" max="6659" width="30.625" style="235" customWidth="1"/>
    <col min="6660" max="6660" width="8.25" style="235" customWidth="1"/>
    <col min="6661" max="6661" width="9" style="235" customWidth="1"/>
    <col min="6662" max="6662" width="10.625" style="235" customWidth="1"/>
    <col min="6663" max="6663" width="10.75" style="235" customWidth="1"/>
    <col min="6664" max="6664" width="9.875" style="235" bestFit="1" customWidth="1"/>
    <col min="6665" max="6912" width="9" style="235"/>
    <col min="6913" max="6913" width="7.25" style="235" customWidth="1"/>
    <col min="6914" max="6914" width="30.375" style="235" bestFit="1" customWidth="1"/>
    <col min="6915" max="6915" width="30.625" style="235" customWidth="1"/>
    <col min="6916" max="6916" width="8.25" style="235" customWidth="1"/>
    <col min="6917" max="6917" width="9" style="235" customWidth="1"/>
    <col min="6918" max="6918" width="10.625" style="235" customWidth="1"/>
    <col min="6919" max="6919" width="10.75" style="235" customWidth="1"/>
    <col min="6920" max="6920" width="9.875" style="235" bestFit="1" customWidth="1"/>
    <col min="6921" max="7168" width="9" style="235"/>
    <col min="7169" max="7169" width="7.25" style="235" customWidth="1"/>
    <col min="7170" max="7170" width="30.375" style="235" bestFit="1" customWidth="1"/>
    <col min="7171" max="7171" width="30.625" style="235" customWidth="1"/>
    <col min="7172" max="7172" width="8.25" style="235" customWidth="1"/>
    <col min="7173" max="7173" width="9" style="235" customWidth="1"/>
    <col min="7174" max="7174" width="10.625" style="235" customWidth="1"/>
    <col min="7175" max="7175" width="10.75" style="235" customWidth="1"/>
    <col min="7176" max="7176" width="9.875" style="235" bestFit="1" customWidth="1"/>
    <col min="7177" max="7424" width="9" style="235"/>
    <col min="7425" max="7425" width="7.25" style="235" customWidth="1"/>
    <col min="7426" max="7426" width="30.375" style="235" bestFit="1" customWidth="1"/>
    <col min="7427" max="7427" width="30.625" style="235" customWidth="1"/>
    <col min="7428" max="7428" width="8.25" style="235" customWidth="1"/>
    <col min="7429" max="7429" width="9" style="235" customWidth="1"/>
    <col min="7430" max="7430" width="10.625" style="235" customWidth="1"/>
    <col min="7431" max="7431" width="10.75" style="235" customWidth="1"/>
    <col min="7432" max="7432" width="9.875" style="235" bestFit="1" customWidth="1"/>
    <col min="7433" max="7680" width="9" style="235"/>
    <col min="7681" max="7681" width="7.25" style="235" customWidth="1"/>
    <col min="7682" max="7682" width="30.375" style="235" bestFit="1" customWidth="1"/>
    <col min="7683" max="7683" width="30.625" style="235" customWidth="1"/>
    <col min="7684" max="7684" width="8.25" style="235" customWidth="1"/>
    <col min="7685" max="7685" width="9" style="235" customWidth="1"/>
    <col min="7686" max="7686" width="10.625" style="235" customWidth="1"/>
    <col min="7687" max="7687" width="10.75" style="235" customWidth="1"/>
    <col min="7688" max="7688" width="9.875" style="235" bestFit="1" customWidth="1"/>
    <col min="7689" max="7936" width="9" style="235"/>
    <col min="7937" max="7937" width="7.25" style="235" customWidth="1"/>
    <col min="7938" max="7938" width="30.375" style="235" bestFit="1" customWidth="1"/>
    <col min="7939" max="7939" width="30.625" style="235" customWidth="1"/>
    <col min="7940" max="7940" width="8.25" style="235" customWidth="1"/>
    <col min="7941" max="7941" width="9" style="235" customWidth="1"/>
    <col min="7942" max="7942" width="10.625" style="235" customWidth="1"/>
    <col min="7943" max="7943" width="10.75" style="235" customWidth="1"/>
    <col min="7944" max="7944" width="9.875" style="235" bestFit="1" customWidth="1"/>
    <col min="7945" max="8192" width="9" style="235"/>
    <col min="8193" max="8193" width="7.25" style="235" customWidth="1"/>
    <col min="8194" max="8194" width="30.375" style="235" bestFit="1" customWidth="1"/>
    <col min="8195" max="8195" width="30.625" style="235" customWidth="1"/>
    <col min="8196" max="8196" width="8.25" style="235" customWidth="1"/>
    <col min="8197" max="8197" width="9" style="235" customWidth="1"/>
    <col min="8198" max="8198" width="10.625" style="235" customWidth="1"/>
    <col min="8199" max="8199" width="10.75" style="235" customWidth="1"/>
    <col min="8200" max="8200" width="9.875" style="235" bestFit="1" customWidth="1"/>
    <col min="8201" max="8448" width="9" style="235"/>
    <col min="8449" max="8449" width="7.25" style="235" customWidth="1"/>
    <col min="8450" max="8450" width="30.375" style="235" bestFit="1" customWidth="1"/>
    <col min="8451" max="8451" width="30.625" style="235" customWidth="1"/>
    <col min="8452" max="8452" width="8.25" style="235" customWidth="1"/>
    <col min="8453" max="8453" width="9" style="235" customWidth="1"/>
    <col min="8454" max="8454" width="10.625" style="235" customWidth="1"/>
    <col min="8455" max="8455" width="10.75" style="235" customWidth="1"/>
    <col min="8456" max="8456" width="9.875" style="235" bestFit="1" customWidth="1"/>
    <col min="8457" max="8704" width="9" style="235"/>
    <col min="8705" max="8705" width="7.25" style="235" customWidth="1"/>
    <col min="8706" max="8706" width="30.375" style="235" bestFit="1" customWidth="1"/>
    <col min="8707" max="8707" width="30.625" style="235" customWidth="1"/>
    <col min="8708" max="8708" width="8.25" style="235" customWidth="1"/>
    <col min="8709" max="8709" width="9" style="235" customWidth="1"/>
    <col min="8710" max="8710" width="10.625" style="235" customWidth="1"/>
    <col min="8711" max="8711" width="10.75" style="235" customWidth="1"/>
    <col min="8712" max="8712" width="9.875" style="235" bestFit="1" customWidth="1"/>
    <col min="8713" max="8960" width="9" style="235"/>
    <col min="8961" max="8961" width="7.25" style="235" customWidth="1"/>
    <col min="8962" max="8962" width="30.375" style="235" bestFit="1" customWidth="1"/>
    <col min="8963" max="8963" width="30.625" style="235" customWidth="1"/>
    <col min="8964" max="8964" width="8.25" style="235" customWidth="1"/>
    <col min="8965" max="8965" width="9" style="235" customWidth="1"/>
    <col min="8966" max="8966" width="10.625" style="235" customWidth="1"/>
    <col min="8967" max="8967" width="10.75" style="235" customWidth="1"/>
    <col min="8968" max="8968" width="9.875" style="235" bestFit="1" customWidth="1"/>
    <col min="8969" max="9216" width="9" style="235"/>
    <col min="9217" max="9217" width="7.25" style="235" customWidth="1"/>
    <col min="9218" max="9218" width="30.375" style="235" bestFit="1" customWidth="1"/>
    <col min="9219" max="9219" width="30.625" style="235" customWidth="1"/>
    <col min="9220" max="9220" width="8.25" style="235" customWidth="1"/>
    <col min="9221" max="9221" width="9" style="235" customWidth="1"/>
    <col min="9222" max="9222" width="10.625" style="235" customWidth="1"/>
    <col min="9223" max="9223" width="10.75" style="235" customWidth="1"/>
    <col min="9224" max="9224" width="9.875" style="235" bestFit="1" customWidth="1"/>
    <col min="9225" max="9472" width="9" style="235"/>
    <col min="9473" max="9473" width="7.25" style="235" customWidth="1"/>
    <col min="9474" max="9474" width="30.375" style="235" bestFit="1" customWidth="1"/>
    <col min="9475" max="9475" width="30.625" style="235" customWidth="1"/>
    <col min="9476" max="9476" width="8.25" style="235" customWidth="1"/>
    <col min="9477" max="9477" width="9" style="235" customWidth="1"/>
    <col min="9478" max="9478" width="10.625" style="235" customWidth="1"/>
    <col min="9479" max="9479" width="10.75" style="235" customWidth="1"/>
    <col min="9480" max="9480" width="9.875" style="235" bestFit="1" customWidth="1"/>
    <col min="9481" max="9728" width="9" style="235"/>
    <col min="9729" max="9729" width="7.25" style="235" customWidth="1"/>
    <col min="9730" max="9730" width="30.375" style="235" bestFit="1" customWidth="1"/>
    <col min="9731" max="9731" width="30.625" style="235" customWidth="1"/>
    <col min="9732" max="9732" width="8.25" style="235" customWidth="1"/>
    <col min="9733" max="9733" width="9" style="235" customWidth="1"/>
    <col min="9734" max="9734" width="10.625" style="235" customWidth="1"/>
    <col min="9735" max="9735" width="10.75" style="235" customWidth="1"/>
    <col min="9736" max="9736" width="9.875" style="235" bestFit="1" customWidth="1"/>
    <col min="9737" max="9984" width="9" style="235"/>
    <col min="9985" max="9985" width="7.25" style="235" customWidth="1"/>
    <col min="9986" max="9986" width="30.375" style="235" bestFit="1" customWidth="1"/>
    <col min="9987" max="9987" width="30.625" style="235" customWidth="1"/>
    <col min="9988" max="9988" width="8.25" style="235" customWidth="1"/>
    <col min="9989" max="9989" width="9" style="235" customWidth="1"/>
    <col min="9990" max="9990" width="10.625" style="235" customWidth="1"/>
    <col min="9991" max="9991" width="10.75" style="235" customWidth="1"/>
    <col min="9992" max="9992" width="9.875" style="235" bestFit="1" customWidth="1"/>
    <col min="9993" max="10240" width="9" style="235"/>
    <col min="10241" max="10241" width="7.25" style="235" customWidth="1"/>
    <col min="10242" max="10242" width="30.375" style="235" bestFit="1" customWidth="1"/>
    <col min="10243" max="10243" width="30.625" style="235" customWidth="1"/>
    <col min="10244" max="10244" width="8.25" style="235" customWidth="1"/>
    <col min="10245" max="10245" width="9" style="235" customWidth="1"/>
    <col min="10246" max="10246" width="10.625" style="235" customWidth="1"/>
    <col min="10247" max="10247" width="10.75" style="235" customWidth="1"/>
    <col min="10248" max="10248" width="9.875" style="235" bestFit="1" customWidth="1"/>
    <col min="10249" max="10496" width="9" style="235"/>
    <col min="10497" max="10497" width="7.25" style="235" customWidth="1"/>
    <col min="10498" max="10498" width="30.375" style="235" bestFit="1" customWidth="1"/>
    <col min="10499" max="10499" width="30.625" style="235" customWidth="1"/>
    <col min="10500" max="10500" width="8.25" style="235" customWidth="1"/>
    <col min="10501" max="10501" width="9" style="235" customWidth="1"/>
    <col min="10502" max="10502" width="10.625" style="235" customWidth="1"/>
    <col min="10503" max="10503" width="10.75" style="235" customWidth="1"/>
    <col min="10504" max="10504" width="9.875" style="235" bestFit="1" customWidth="1"/>
    <col min="10505" max="10752" width="9" style="235"/>
    <col min="10753" max="10753" width="7.25" style="235" customWidth="1"/>
    <col min="10754" max="10754" width="30.375" style="235" bestFit="1" customWidth="1"/>
    <col min="10755" max="10755" width="30.625" style="235" customWidth="1"/>
    <col min="10756" max="10756" width="8.25" style="235" customWidth="1"/>
    <col min="10757" max="10757" width="9" style="235" customWidth="1"/>
    <col min="10758" max="10758" width="10.625" style="235" customWidth="1"/>
    <col min="10759" max="10759" width="10.75" style="235" customWidth="1"/>
    <col min="10760" max="10760" width="9.875" style="235" bestFit="1" customWidth="1"/>
    <col min="10761" max="11008" width="9" style="235"/>
    <col min="11009" max="11009" width="7.25" style="235" customWidth="1"/>
    <col min="11010" max="11010" width="30.375" style="235" bestFit="1" customWidth="1"/>
    <col min="11011" max="11011" width="30.625" style="235" customWidth="1"/>
    <col min="11012" max="11012" width="8.25" style="235" customWidth="1"/>
    <col min="11013" max="11013" width="9" style="235" customWidth="1"/>
    <col min="11014" max="11014" width="10.625" style="235" customWidth="1"/>
    <col min="11015" max="11015" width="10.75" style="235" customWidth="1"/>
    <col min="11016" max="11016" width="9.875" style="235" bestFit="1" customWidth="1"/>
    <col min="11017" max="11264" width="9" style="235"/>
    <col min="11265" max="11265" width="7.25" style="235" customWidth="1"/>
    <col min="11266" max="11266" width="30.375" style="235" bestFit="1" customWidth="1"/>
    <col min="11267" max="11267" width="30.625" style="235" customWidth="1"/>
    <col min="11268" max="11268" width="8.25" style="235" customWidth="1"/>
    <col min="11269" max="11269" width="9" style="235" customWidth="1"/>
    <col min="11270" max="11270" width="10.625" style="235" customWidth="1"/>
    <col min="11271" max="11271" width="10.75" style="235" customWidth="1"/>
    <col min="11272" max="11272" width="9.875" style="235" bestFit="1" customWidth="1"/>
    <col min="11273" max="11520" width="9" style="235"/>
    <col min="11521" max="11521" width="7.25" style="235" customWidth="1"/>
    <col min="11522" max="11522" width="30.375" style="235" bestFit="1" customWidth="1"/>
    <col min="11523" max="11523" width="30.625" style="235" customWidth="1"/>
    <col min="11524" max="11524" width="8.25" style="235" customWidth="1"/>
    <col min="11525" max="11525" width="9" style="235" customWidth="1"/>
    <col min="11526" max="11526" width="10.625" style="235" customWidth="1"/>
    <col min="11527" max="11527" width="10.75" style="235" customWidth="1"/>
    <col min="11528" max="11528" width="9.875" style="235" bestFit="1" customWidth="1"/>
    <col min="11529" max="11776" width="9" style="235"/>
    <col min="11777" max="11777" width="7.25" style="235" customWidth="1"/>
    <col min="11778" max="11778" width="30.375" style="235" bestFit="1" customWidth="1"/>
    <col min="11779" max="11779" width="30.625" style="235" customWidth="1"/>
    <col min="11780" max="11780" width="8.25" style="235" customWidth="1"/>
    <col min="11781" max="11781" width="9" style="235" customWidth="1"/>
    <col min="11782" max="11782" width="10.625" style="235" customWidth="1"/>
    <col min="11783" max="11783" width="10.75" style="235" customWidth="1"/>
    <col min="11784" max="11784" width="9.875" style="235" bestFit="1" customWidth="1"/>
    <col min="11785" max="12032" width="9" style="235"/>
    <col min="12033" max="12033" width="7.25" style="235" customWidth="1"/>
    <col min="12034" max="12034" width="30.375" style="235" bestFit="1" customWidth="1"/>
    <col min="12035" max="12035" width="30.625" style="235" customWidth="1"/>
    <col min="12036" max="12036" width="8.25" style="235" customWidth="1"/>
    <col min="12037" max="12037" width="9" style="235" customWidth="1"/>
    <col min="12038" max="12038" width="10.625" style="235" customWidth="1"/>
    <col min="12039" max="12039" width="10.75" style="235" customWidth="1"/>
    <col min="12040" max="12040" width="9.875" style="235" bestFit="1" customWidth="1"/>
    <col min="12041" max="12288" width="9" style="235"/>
    <col min="12289" max="12289" width="7.25" style="235" customWidth="1"/>
    <col min="12290" max="12290" width="30.375" style="235" bestFit="1" customWidth="1"/>
    <col min="12291" max="12291" width="30.625" style="235" customWidth="1"/>
    <col min="12292" max="12292" width="8.25" style="235" customWidth="1"/>
    <col min="12293" max="12293" width="9" style="235" customWidth="1"/>
    <col min="12294" max="12294" width="10.625" style="235" customWidth="1"/>
    <col min="12295" max="12295" width="10.75" style="235" customWidth="1"/>
    <col min="12296" max="12296" width="9.875" style="235" bestFit="1" customWidth="1"/>
    <col min="12297" max="12544" width="9" style="235"/>
    <col min="12545" max="12545" width="7.25" style="235" customWidth="1"/>
    <col min="12546" max="12546" width="30.375" style="235" bestFit="1" customWidth="1"/>
    <col min="12547" max="12547" width="30.625" style="235" customWidth="1"/>
    <col min="12548" max="12548" width="8.25" style="235" customWidth="1"/>
    <col min="12549" max="12549" width="9" style="235" customWidth="1"/>
    <col min="12550" max="12550" width="10.625" style="235" customWidth="1"/>
    <col min="12551" max="12551" width="10.75" style="235" customWidth="1"/>
    <col min="12552" max="12552" width="9.875" style="235" bestFit="1" customWidth="1"/>
    <col min="12553" max="12800" width="9" style="235"/>
    <col min="12801" max="12801" width="7.25" style="235" customWidth="1"/>
    <col min="12802" max="12802" width="30.375" style="235" bestFit="1" customWidth="1"/>
    <col min="12803" max="12803" width="30.625" style="235" customWidth="1"/>
    <col min="12804" max="12804" width="8.25" style="235" customWidth="1"/>
    <col min="12805" max="12805" width="9" style="235" customWidth="1"/>
    <col min="12806" max="12806" width="10.625" style="235" customWidth="1"/>
    <col min="12807" max="12807" width="10.75" style="235" customWidth="1"/>
    <col min="12808" max="12808" width="9.875" style="235" bestFit="1" customWidth="1"/>
    <col min="12809" max="13056" width="9" style="235"/>
    <col min="13057" max="13057" width="7.25" style="235" customWidth="1"/>
    <col min="13058" max="13058" width="30.375" style="235" bestFit="1" customWidth="1"/>
    <col min="13059" max="13059" width="30.625" style="235" customWidth="1"/>
    <col min="13060" max="13060" width="8.25" style="235" customWidth="1"/>
    <col min="13061" max="13061" width="9" style="235" customWidth="1"/>
    <col min="13062" max="13062" width="10.625" style="235" customWidth="1"/>
    <col min="13063" max="13063" width="10.75" style="235" customWidth="1"/>
    <col min="13064" max="13064" width="9.875" style="235" bestFit="1" customWidth="1"/>
    <col min="13065" max="13312" width="9" style="235"/>
    <col min="13313" max="13313" width="7.25" style="235" customWidth="1"/>
    <col min="13314" max="13314" width="30.375" style="235" bestFit="1" customWidth="1"/>
    <col min="13315" max="13315" width="30.625" style="235" customWidth="1"/>
    <col min="13316" max="13316" width="8.25" style="235" customWidth="1"/>
    <col min="13317" max="13317" width="9" style="235" customWidth="1"/>
    <col min="13318" max="13318" width="10.625" style="235" customWidth="1"/>
    <col min="13319" max="13319" width="10.75" style="235" customWidth="1"/>
    <col min="13320" max="13320" width="9.875" style="235" bestFit="1" customWidth="1"/>
    <col min="13321" max="13568" width="9" style="235"/>
    <col min="13569" max="13569" width="7.25" style="235" customWidth="1"/>
    <col min="13570" max="13570" width="30.375" style="235" bestFit="1" customWidth="1"/>
    <col min="13571" max="13571" width="30.625" style="235" customWidth="1"/>
    <col min="13572" max="13572" width="8.25" style="235" customWidth="1"/>
    <col min="13573" max="13573" width="9" style="235" customWidth="1"/>
    <col min="13574" max="13574" width="10.625" style="235" customWidth="1"/>
    <col min="13575" max="13575" width="10.75" style="235" customWidth="1"/>
    <col min="13576" max="13576" width="9.875" style="235" bestFit="1" customWidth="1"/>
    <col min="13577" max="13824" width="9" style="235"/>
    <col min="13825" max="13825" width="7.25" style="235" customWidth="1"/>
    <col min="13826" max="13826" width="30.375" style="235" bestFit="1" customWidth="1"/>
    <col min="13827" max="13827" width="30.625" style="235" customWidth="1"/>
    <col min="13828" max="13828" width="8.25" style="235" customWidth="1"/>
    <col min="13829" max="13829" width="9" style="235" customWidth="1"/>
    <col min="13830" max="13830" width="10.625" style="235" customWidth="1"/>
    <col min="13831" max="13831" width="10.75" style="235" customWidth="1"/>
    <col min="13832" max="13832" width="9.875" style="235" bestFit="1" customWidth="1"/>
    <col min="13833" max="14080" width="9" style="235"/>
    <col min="14081" max="14081" width="7.25" style="235" customWidth="1"/>
    <col min="14082" max="14082" width="30.375" style="235" bestFit="1" customWidth="1"/>
    <col min="14083" max="14083" width="30.625" style="235" customWidth="1"/>
    <col min="14084" max="14084" width="8.25" style="235" customWidth="1"/>
    <col min="14085" max="14085" width="9" style="235" customWidth="1"/>
    <col min="14086" max="14086" width="10.625" style="235" customWidth="1"/>
    <col min="14087" max="14087" width="10.75" style="235" customWidth="1"/>
    <col min="14088" max="14088" width="9.875" style="235" bestFit="1" customWidth="1"/>
    <col min="14089" max="14336" width="9" style="235"/>
    <col min="14337" max="14337" width="7.25" style="235" customWidth="1"/>
    <col min="14338" max="14338" width="30.375" style="235" bestFit="1" customWidth="1"/>
    <col min="14339" max="14339" width="30.625" style="235" customWidth="1"/>
    <col min="14340" max="14340" width="8.25" style="235" customWidth="1"/>
    <col min="14341" max="14341" width="9" style="235" customWidth="1"/>
    <col min="14342" max="14342" width="10.625" style="235" customWidth="1"/>
    <col min="14343" max="14343" width="10.75" style="235" customWidth="1"/>
    <col min="14344" max="14344" width="9.875" style="235" bestFit="1" customWidth="1"/>
    <col min="14345" max="14592" width="9" style="235"/>
    <col min="14593" max="14593" width="7.25" style="235" customWidth="1"/>
    <col min="14594" max="14594" width="30.375" style="235" bestFit="1" customWidth="1"/>
    <col min="14595" max="14595" width="30.625" style="235" customWidth="1"/>
    <col min="14596" max="14596" width="8.25" style="235" customWidth="1"/>
    <col min="14597" max="14597" width="9" style="235" customWidth="1"/>
    <col min="14598" max="14598" width="10.625" style="235" customWidth="1"/>
    <col min="14599" max="14599" width="10.75" style="235" customWidth="1"/>
    <col min="14600" max="14600" width="9.875" style="235" bestFit="1" customWidth="1"/>
    <col min="14601" max="14848" width="9" style="235"/>
    <col min="14849" max="14849" width="7.25" style="235" customWidth="1"/>
    <col min="14850" max="14850" width="30.375" style="235" bestFit="1" customWidth="1"/>
    <col min="14851" max="14851" width="30.625" style="235" customWidth="1"/>
    <col min="14852" max="14852" width="8.25" style="235" customWidth="1"/>
    <col min="14853" max="14853" width="9" style="235" customWidth="1"/>
    <col min="14854" max="14854" width="10.625" style="235" customWidth="1"/>
    <col min="14855" max="14855" width="10.75" style="235" customWidth="1"/>
    <col min="14856" max="14856" width="9.875" style="235" bestFit="1" customWidth="1"/>
    <col min="14857" max="15104" width="9" style="235"/>
    <col min="15105" max="15105" width="7.25" style="235" customWidth="1"/>
    <col min="15106" max="15106" width="30.375" style="235" bestFit="1" customWidth="1"/>
    <col min="15107" max="15107" width="30.625" style="235" customWidth="1"/>
    <col min="15108" max="15108" width="8.25" style="235" customWidth="1"/>
    <col min="15109" max="15109" width="9" style="235" customWidth="1"/>
    <col min="15110" max="15110" width="10.625" style="235" customWidth="1"/>
    <col min="15111" max="15111" width="10.75" style="235" customWidth="1"/>
    <col min="15112" max="15112" width="9.875" style="235" bestFit="1" customWidth="1"/>
    <col min="15113" max="15360" width="9" style="235"/>
    <col min="15361" max="15361" width="7.25" style="235" customWidth="1"/>
    <col min="15362" max="15362" width="30.375" style="235" bestFit="1" customWidth="1"/>
    <col min="15363" max="15363" width="30.625" style="235" customWidth="1"/>
    <col min="15364" max="15364" width="8.25" style="235" customWidth="1"/>
    <col min="15365" max="15365" width="9" style="235" customWidth="1"/>
    <col min="15366" max="15366" width="10.625" style="235" customWidth="1"/>
    <col min="15367" max="15367" width="10.75" style="235" customWidth="1"/>
    <col min="15368" max="15368" width="9.875" style="235" bestFit="1" customWidth="1"/>
    <col min="15369" max="15616" width="9" style="235"/>
    <col min="15617" max="15617" width="7.25" style="235" customWidth="1"/>
    <col min="15618" max="15618" width="30.375" style="235" bestFit="1" customWidth="1"/>
    <col min="15619" max="15619" width="30.625" style="235" customWidth="1"/>
    <col min="15620" max="15620" width="8.25" style="235" customWidth="1"/>
    <col min="15621" max="15621" width="9" style="235" customWidth="1"/>
    <col min="15622" max="15622" width="10.625" style="235" customWidth="1"/>
    <col min="15623" max="15623" width="10.75" style="235" customWidth="1"/>
    <col min="15624" max="15624" width="9.875" style="235" bestFit="1" customWidth="1"/>
    <col min="15625" max="15872" width="9" style="235"/>
    <col min="15873" max="15873" width="7.25" style="235" customWidth="1"/>
    <col min="15874" max="15874" width="30.375" style="235" bestFit="1" customWidth="1"/>
    <col min="15875" max="15875" width="30.625" style="235" customWidth="1"/>
    <col min="15876" max="15876" width="8.25" style="235" customWidth="1"/>
    <col min="15877" max="15877" width="9" style="235" customWidth="1"/>
    <col min="15878" max="15878" width="10.625" style="235" customWidth="1"/>
    <col min="15879" max="15879" width="10.75" style="235" customWidth="1"/>
    <col min="15880" max="15880" width="9.875" style="235" bestFit="1" customWidth="1"/>
    <col min="15881" max="16128" width="9" style="235"/>
    <col min="16129" max="16129" width="7.25" style="235" customWidth="1"/>
    <col min="16130" max="16130" width="30.375" style="235" bestFit="1" customWidth="1"/>
    <col min="16131" max="16131" width="30.625" style="235" customWidth="1"/>
    <col min="16132" max="16132" width="8.25" style="235" customWidth="1"/>
    <col min="16133" max="16133" width="9" style="235" customWidth="1"/>
    <col min="16134" max="16134" width="10.625" style="235" customWidth="1"/>
    <col min="16135" max="16135" width="10.75" style="235" customWidth="1"/>
    <col min="16136" max="16136" width="9.875" style="235" bestFit="1" customWidth="1"/>
    <col min="16137" max="16384" width="9" style="235"/>
  </cols>
  <sheetData>
    <row r="1" spans="1:255" s="276" customFormat="1" ht="15" customHeight="1">
      <c r="A1" s="368" t="s">
        <v>1239</v>
      </c>
      <c r="B1" s="368"/>
      <c r="C1" s="277"/>
      <c r="D1" s="368"/>
      <c r="E1" s="368"/>
      <c r="F1" s="368"/>
      <c r="G1" s="368"/>
      <c r="H1" s="277"/>
      <c r="I1" s="277"/>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8"/>
      <c r="AO1" s="368"/>
      <c r="AP1" s="368"/>
      <c r="AQ1" s="368"/>
      <c r="AR1" s="368"/>
      <c r="AS1" s="368"/>
      <c r="AT1" s="368"/>
      <c r="AU1" s="368"/>
      <c r="AV1" s="368"/>
      <c r="AW1" s="368"/>
      <c r="AX1" s="368"/>
      <c r="AY1" s="368"/>
      <c r="AZ1" s="368"/>
      <c r="BA1" s="368"/>
      <c r="BB1" s="368"/>
      <c r="BC1" s="368"/>
      <c r="BD1" s="368"/>
      <c r="BE1" s="368"/>
      <c r="BF1" s="368"/>
      <c r="BG1" s="368"/>
      <c r="BH1" s="368"/>
      <c r="BI1" s="368"/>
      <c r="BJ1" s="368"/>
      <c r="BK1" s="368"/>
      <c r="BL1" s="368"/>
      <c r="BM1" s="368"/>
      <c r="BN1" s="368"/>
      <c r="BO1" s="368"/>
      <c r="BP1" s="368"/>
      <c r="BQ1" s="368"/>
      <c r="BR1" s="368"/>
      <c r="BS1" s="368"/>
      <c r="BT1" s="368"/>
      <c r="BU1" s="368"/>
      <c r="BV1" s="368"/>
      <c r="BW1" s="368"/>
      <c r="BX1" s="368"/>
      <c r="BY1" s="368"/>
      <c r="BZ1" s="368"/>
      <c r="CA1" s="368"/>
      <c r="CB1" s="368"/>
      <c r="CC1" s="368"/>
      <c r="CD1" s="368"/>
      <c r="CE1" s="368"/>
      <c r="CF1" s="368"/>
      <c r="CG1" s="368"/>
      <c r="CH1" s="368"/>
      <c r="CI1" s="368"/>
      <c r="CJ1" s="368"/>
      <c r="CK1" s="368"/>
      <c r="CL1" s="368"/>
      <c r="CM1" s="368"/>
      <c r="CN1" s="368"/>
      <c r="CO1" s="368"/>
      <c r="CP1" s="368"/>
      <c r="CQ1" s="368"/>
      <c r="CR1" s="368"/>
      <c r="CS1" s="368"/>
      <c r="CT1" s="368"/>
      <c r="CU1" s="368"/>
      <c r="CV1" s="368"/>
      <c r="CW1" s="368"/>
      <c r="CX1" s="368"/>
      <c r="CY1" s="368"/>
      <c r="CZ1" s="368"/>
      <c r="DA1" s="368"/>
      <c r="DB1" s="368"/>
      <c r="DC1" s="368"/>
      <c r="DD1" s="368"/>
      <c r="DE1" s="368"/>
      <c r="DF1" s="368"/>
      <c r="DG1" s="368"/>
      <c r="DH1" s="368"/>
      <c r="DI1" s="368"/>
      <c r="DJ1" s="368"/>
      <c r="DK1" s="368"/>
      <c r="DL1" s="368"/>
      <c r="DM1" s="368"/>
      <c r="DN1" s="368"/>
      <c r="DO1" s="368"/>
      <c r="DP1" s="368"/>
      <c r="DQ1" s="368"/>
      <c r="DR1" s="368"/>
      <c r="DS1" s="368"/>
      <c r="DT1" s="368"/>
      <c r="DU1" s="368"/>
      <c r="DV1" s="368"/>
      <c r="DW1" s="368"/>
      <c r="DX1" s="368"/>
      <c r="DY1" s="368"/>
      <c r="DZ1" s="368"/>
      <c r="EA1" s="368"/>
      <c r="EB1" s="368"/>
      <c r="EC1" s="368"/>
      <c r="ED1" s="368"/>
      <c r="EE1" s="368"/>
      <c r="EF1" s="368"/>
      <c r="EG1" s="368"/>
      <c r="EH1" s="368"/>
      <c r="EI1" s="368"/>
      <c r="EJ1" s="368"/>
      <c r="EK1" s="368"/>
      <c r="EL1" s="368"/>
      <c r="EM1" s="368"/>
      <c r="EN1" s="368"/>
      <c r="EO1" s="368"/>
      <c r="EP1" s="368"/>
      <c r="EQ1" s="368"/>
      <c r="ER1" s="368"/>
      <c r="ES1" s="368"/>
      <c r="ET1" s="368"/>
      <c r="EU1" s="368"/>
      <c r="EV1" s="368"/>
      <c r="EW1" s="368"/>
      <c r="EX1" s="368"/>
      <c r="EY1" s="368"/>
      <c r="EZ1" s="368"/>
      <c r="FA1" s="368"/>
      <c r="FB1" s="368"/>
      <c r="FC1" s="368"/>
      <c r="FD1" s="368"/>
      <c r="FE1" s="368"/>
      <c r="FF1" s="368"/>
      <c r="FG1" s="368"/>
      <c r="FH1" s="368"/>
      <c r="FI1" s="368"/>
      <c r="FJ1" s="368"/>
      <c r="FK1" s="368"/>
      <c r="FL1" s="368"/>
      <c r="FM1" s="368"/>
      <c r="FN1" s="368"/>
      <c r="FO1" s="368"/>
      <c r="FP1" s="368"/>
      <c r="FQ1" s="368"/>
      <c r="FR1" s="368"/>
      <c r="FS1" s="368"/>
      <c r="FT1" s="368"/>
      <c r="FU1" s="368"/>
      <c r="FV1" s="368"/>
      <c r="FW1" s="368"/>
      <c r="FX1" s="368"/>
      <c r="FY1" s="368"/>
      <c r="FZ1" s="368"/>
      <c r="GA1" s="368"/>
      <c r="GB1" s="368"/>
      <c r="GC1" s="368"/>
      <c r="GD1" s="368"/>
      <c r="GE1" s="368"/>
      <c r="GF1" s="368"/>
      <c r="GG1" s="368"/>
      <c r="GH1" s="368"/>
      <c r="GI1" s="368"/>
      <c r="GJ1" s="368"/>
      <c r="GK1" s="368"/>
      <c r="GL1" s="368"/>
      <c r="GM1" s="368"/>
      <c r="GN1" s="368"/>
      <c r="GO1" s="368"/>
      <c r="GP1" s="368"/>
      <c r="GQ1" s="368"/>
      <c r="GR1" s="368"/>
      <c r="GS1" s="368"/>
      <c r="GT1" s="368"/>
      <c r="GU1" s="368"/>
      <c r="GV1" s="368"/>
      <c r="GW1" s="368"/>
      <c r="GX1" s="368"/>
      <c r="GY1" s="368"/>
      <c r="GZ1" s="368"/>
      <c r="HA1" s="368"/>
      <c r="HB1" s="368"/>
      <c r="HC1" s="368"/>
      <c r="HD1" s="368"/>
      <c r="HE1" s="368"/>
      <c r="HF1" s="368"/>
      <c r="HG1" s="368"/>
      <c r="HH1" s="368"/>
      <c r="HI1" s="368"/>
      <c r="HJ1" s="368"/>
      <c r="HK1" s="368"/>
      <c r="HL1" s="368"/>
      <c r="HM1" s="368"/>
      <c r="HN1" s="368"/>
      <c r="HO1" s="368"/>
      <c r="HP1" s="368"/>
      <c r="HQ1" s="368"/>
      <c r="HR1" s="368"/>
      <c r="HS1" s="368"/>
      <c r="HT1" s="368"/>
      <c r="HU1" s="368"/>
      <c r="HV1" s="368"/>
      <c r="HW1" s="368"/>
      <c r="HX1" s="368"/>
      <c r="HY1" s="368"/>
      <c r="HZ1" s="368"/>
      <c r="IA1" s="368"/>
      <c r="IB1" s="368"/>
      <c r="IC1" s="368"/>
      <c r="ID1" s="368"/>
      <c r="IE1" s="368"/>
      <c r="IF1" s="368"/>
      <c r="IG1" s="368"/>
      <c r="IH1" s="368"/>
      <c r="II1" s="368"/>
      <c r="IJ1" s="368"/>
      <c r="IK1" s="368"/>
      <c r="IL1" s="368"/>
      <c r="IM1" s="368"/>
      <c r="IN1" s="368"/>
      <c r="IO1" s="368"/>
      <c r="IP1" s="368"/>
      <c r="IQ1" s="368"/>
      <c r="IR1" s="368"/>
      <c r="IS1" s="368"/>
      <c r="IT1" s="368"/>
      <c r="IU1" s="368"/>
    </row>
    <row r="2" spans="1:255" s="237" customFormat="1" ht="22.5">
      <c r="A2" s="369" t="s">
        <v>388</v>
      </c>
      <c r="B2" s="369"/>
      <c r="C2" s="369"/>
      <c r="D2" s="369"/>
      <c r="E2" s="369"/>
      <c r="F2" s="369"/>
      <c r="G2" s="369"/>
      <c r="H2" s="369"/>
    </row>
    <row r="3" spans="1:255" s="237" customFormat="1" ht="12">
      <c r="A3" s="275"/>
      <c r="E3" s="238"/>
      <c r="F3" s="238"/>
      <c r="G3" s="274" t="s">
        <v>387</v>
      </c>
    </row>
    <row r="4" spans="1:255" s="237" customFormat="1" ht="18.75" customHeight="1">
      <c r="A4" s="240" t="s">
        <v>42</v>
      </c>
      <c r="B4" s="240" t="s">
        <v>386</v>
      </c>
      <c r="C4" s="240" t="s">
        <v>385</v>
      </c>
      <c r="D4" s="240" t="s">
        <v>384</v>
      </c>
      <c r="E4" s="240" t="s">
        <v>383</v>
      </c>
      <c r="F4" s="240" t="s">
        <v>382</v>
      </c>
      <c r="G4" s="240" t="s">
        <v>381</v>
      </c>
      <c r="H4" s="240" t="s">
        <v>380</v>
      </c>
    </row>
    <row r="5" spans="1:255" s="242" customFormat="1" ht="18.75" customHeight="1">
      <c r="A5" s="245" t="s">
        <v>51</v>
      </c>
      <c r="B5" s="245" t="s">
        <v>379</v>
      </c>
      <c r="C5" s="245"/>
      <c r="D5" s="245"/>
      <c r="E5" s="245"/>
      <c r="F5" s="245"/>
      <c r="G5" s="245"/>
      <c r="H5" s="243"/>
    </row>
    <row r="6" spans="1:255" s="242" customFormat="1" ht="18.75" customHeight="1">
      <c r="A6" s="245"/>
      <c r="B6" s="245" t="s">
        <v>391</v>
      </c>
      <c r="C6" s="245"/>
      <c r="D6" s="245"/>
      <c r="E6" s="245"/>
      <c r="F6" s="245"/>
      <c r="G6" s="245"/>
      <c r="H6" s="243"/>
    </row>
    <row r="7" spans="1:255" s="237" customFormat="1" ht="12">
      <c r="A7" s="240">
        <v>1</v>
      </c>
      <c r="B7" s="254" t="s">
        <v>378</v>
      </c>
      <c r="C7" s="254" t="s">
        <v>377</v>
      </c>
      <c r="D7" s="240" t="s">
        <v>309</v>
      </c>
      <c r="E7" s="240">
        <v>2</v>
      </c>
      <c r="F7" s="241">
        <v>18</v>
      </c>
      <c r="G7" s="241">
        <f>F7*E7</f>
        <v>36</v>
      </c>
      <c r="H7" s="239"/>
    </row>
    <row r="8" spans="1:255" s="237" customFormat="1" ht="12">
      <c r="A8" s="240">
        <v>2</v>
      </c>
      <c r="B8" s="254" t="s">
        <v>376</v>
      </c>
      <c r="C8" s="254" t="s">
        <v>375</v>
      </c>
      <c r="D8" s="240" t="s">
        <v>309</v>
      </c>
      <c r="E8" s="240">
        <v>4</v>
      </c>
      <c r="F8" s="241">
        <v>10</v>
      </c>
      <c r="G8" s="241">
        <f>F8*E8</f>
        <v>40</v>
      </c>
      <c r="H8" s="239"/>
    </row>
    <row r="9" spans="1:255" s="237" customFormat="1" ht="12">
      <c r="A9" s="240">
        <v>3</v>
      </c>
      <c r="B9" s="254" t="s">
        <v>374</v>
      </c>
      <c r="C9" s="254" t="s">
        <v>373</v>
      </c>
      <c r="D9" s="240" t="s">
        <v>309</v>
      </c>
      <c r="E9" s="240">
        <v>9</v>
      </c>
      <c r="F9" s="241">
        <v>4</v>
      </c>
      <c r="G9" s="241">
        <f>F9*E9</f>
        <v>36</v>
      </c>
      <c r="H9" s="239"/>
    </row>
    <row r="10" spans="1:255" s="242" customFormat="1" ht="18.75" customHeight="1">
      <c r="A10" s="245"/>
      <c r="B10" s="245" t="s">
        <v>392</v>
      </c>
      <c r="C10" s="245"/>
      <c r="D10" s="245"/>
      <c r="E10" s="245"/>
      <c r="F10" s="245"/>
      <c r="G10" s="245"/>
      <c r="H10" s="243"/>
    </row>
    <row r="11" spans="1:255" s="237" customFormat="1" ht="12">
      <c r="A11" s="240">
        <v>1</v>
      </c>
      <c r="B11" s="254" t="s">
        <v>369</v>
      </c>
      <c r="C11" s="278" t="s">
        <v>368</v>
      </c>
      <c r="D11" s="240" t="s">
        <v>312</v>
      </c>
      <c r="E11" s="240">
        <v>1</v>
      </c>
      <c r="F11" s="241">
        <f>209*3000/10000</f>
        <v>62.7</v>
      </c>
      <c r="G11" s="241">
        <f>F11*E11</f>
        <v>62.7</v>
      </c>
      <c r="H11" s="239"/>
    </row>
    <row r="12" spans="1:255" s="237" customFormat="1" ht="12">
      <c r="A12" s="240">
        <v>2</v>
      </c>
      <c r="B12" s="254" t="s">
        <v>367</v>
      </c>
      <c r="C12" s="278" t="s">
        <v>366</v>
      </c>
      <c r="D12" s="240" t="s">
        <v>312</v>
      </c>
      <c r="E12" s="240">
        <v>1</v>
      </c>
      <c r="F12" s="241">
        <f>326*2000/10000</f>
        <v>65.2</v>
      </c>
      <c r="G12" s="241">
        <f>F12*E12</f>
        <v>65.2</v>
      </c>
      <c r="H12" s="239"/>
    </row>
    <row r="13" spans="1:255" s="248" customFormat="1" ht="12">
      <c r="A13" s="253"/>
      <c r="B13" s="253" t="s">
        <v>308</v>
      </c>
      <c r="C13" s="259"/>
      <c r="D13" s="253"/>
      <c r="E13" s="253"/>
      <c r="F13" s="250"/>
      <c r="G13" s="250">
        <f>SUM(G7:G12)</f>
        <v>239.89999999999998</v>
      </c>
      <c r="H13" s="249"/>
    </row>
    <row r="14" spans="1:255" s="237" customFormat="1" ht="12">
      <c r="A14" s="240"/>
      <c r="B14" s="240"/>
      <c r="C14" s="240"/>
      <c r="D14" s="240"/>
      <c r="E14" s="240"/>
      <c r="F14" s="241"/>
      <c r="G14" s="241"/>
      <c r="H14" s="239"/>
    </row>
    <row r="15" spans="1:255" s="242" customFormat="1" ht="19.5" customHeight="1">
      <c r="A15" s="245" t="s">
        <v>365</v>
      </c>
      <c r="B15" s="245" t="s">
        <v>364</v>
      </c>
      <c r="C15" s="245"/>
      <c r="D15" s="245"/>
      <c r="E15" s="245"/>
      <c r="F15" s="244"/>
      <c r="G15" s="244"/>
      <c r="H15" s="243"/>
    </row>
    <row r="16" spans="1:255" s="237" customFormat="1" ht="36">
      <c r="A16" s="240">
        <v>1</v>
      </c>
      <c r="B16" s="264" t="s">
        <v>363</v>
      </c>
      <c r="C16" s="263" t="s">
        <v>362</v>
      </c>
      <c r="D16" s="261" t="s">
        <v>309</v>
      </c>
      <c r="E16" s="261">
        <v>1</v>
      </c>
      <c r="F16" s="241">
        <v>0.8</v>
      </c>
      <c r="G16" s="241">
        <f t="shared" ref="G16:G46" si="0">F16*E16</f>
        <v>0.8</v>
      </c>
      <c r="H16" s="239"/>
    </row>
    <row r="17" spans="1:10" s="237" customFormat="1" ht="24">
      <c r="A17" s="240">
        <v>2</v>
      </c>
      <c r="B17" s="264" t="s">
        <v>356</v>
      </c>
      <c r="C17" s="263" t="s">
        <v>361</v>
      </c>
      <c r="D17" s="262" t="s">
        <v>309</v>
      </c>
      <c r="E17" s="261">
        <v>2</v>
      </c>
      <c r="F17" s="241">
        <v>1</v>
      </c>
      <c r="G17" s="241">
        <f t="shared" si="0"/>
        <v>2</v>
      </c>
      <c r="H17" s="239"/>
    </row>
    <row r="18" spans="1:10" s="237" customFormat="1" ht="36">
      <c r="A18" s="240">
        <v>3</v>
      </c>
      <c r="B18" s="264" t="s">
        <v>358</v>
      </c>
      <c r="C18" s="263" t="s">
        <v>360</v>
      </c>
      <c r="D18" s="262" t="s">
        <v>309</v>
      </c>
      <c r="E18" s="261">
        <v>1</v>
      </c>
      <c r="F18" s="241">
        <v>0.15</v>
      </c>
      <c r="G18" s="241">
        <f t="shared" si="0"/>
        <v>0.15</v>
      </c>
      <c r="H18" s="239"/>
    </row>
    <row r="19" spans="1:10" s="237" customFormat="1" ht="36">
      <c r="A19" s="240">
        <v>4</v>
      </c>
      <c r="B19" s="264" t="s">
        <v>358</v>
      </c>
      <c r="C19" s="263" t="s">
        <v>359</v>
      </c>
      <c r="D19" s="262" t="s">
        <v>309</v>
      </c>
      <c r="E19" s="261">
        <v>1</v>
      </c>
      <c r="F19" s="241">
        <v>0.3</v>
      </c>
      <c r="G19" s="241">
        <f t="shared" si="0"/>
        <v>0.3</v>
      </c>
      <c r="H19" s="239"/>
    </row>
    <row r="20" spans="1:10" s="237" customFormat="1" ht="36">
      <c r="A20" s="240">
        <v>5</v>
      </c>
      <c r="B20" s="264" t="s">
        <v>358</v>
      </c>
      <c r="C20" s="263" t="s">
        <v>357</v>
      </c>
      <c r="D20" s="262" t="s">
        <v>309</v>
      </c>
      <c r="E20" s="261">
        <v>1</v>
      </c>
      <c r="F20" s="241">
        <v>0.15</v>
      </c>
      <c r="G20" s="241">
        <f t="shared" si="0"/>
        <v>0.15</v>
      </c>
      <c r="H20" s="239"/>
    </row>
    <row r="21" spans="1:10" s="237" customFormat="1" ht="36">
      <c r="A21" s="240">
        <v>6</v>
      </c>
      <c r="B21" s="264" t="s">
        <v>356</v>
      </c>
      <c r="C21" s="263" t="s">
        <v>355</v>
      </c>
      <c r="D21" s="262" t="s">
        <v>309</v>
      </c>
      <c r="E21" s="261">
        <v>2</v>
      </c>
      <c r="F21" s="241">
        <v>0.5</v>
      </c>
      <c r="G21" s="241">
        <f t="shared" si="0"/>
        <v>1</v>
      </c>
      <c r="H21" s="239"/>
    </row>
    <row r="22" spans="1:10" s="237" customFormat="1" ht="36">
      <c r="A22" s="240">
        <v>7</v>
      </c>
      <c r="B22" s="264" t="s">
        <v>349</v>
      </c>
      <c r="C22" s="263" t="s">
        <v>354</v>
      </c>
      <c r="D22" s="261" t="s">
        <v>309</v>
      </c>
      <c r="E22" s="261">
        <v>30</v>
      </c>
      <c r="F22" s="260">
        <v>0.12</v>
      </c>
      <c r="G22" s="241">
        <f t="shared" si="0"/>
        <v>3.5999999999999996</v>
      </c>
      <c r="H22" s="239"/>
    </row>
    <row r="23" spans="1:10" s="237" customFormat="1" ht="36">
      <c r="A23" s="240">
        <v>8</v>
      </c>
      <c r="B23" s="264" t="s">
        <v>349</v>
      </c>
      <c r="C23" s="263" t="s">
        <v>353</v>
      </c>
      <c r="D23" s="261" t="s">
        <v>309</v>
      </c>
      <c r="E23" s="261">
        <v>29</v>
      </c>
      <c r="F23" s="260">
        <v>0.15</v>
      </c>
      <c r="G23" s="241">
        <f t="shared" si="0"/>
        <v>4.3499999999999996</v>
      </c>
      <c r="H23" s="239"/>
    </row>
    <row r="24" spans="1:10" s="237" customFormat="1" ht="36">
      <c r="A24" s="240">
        <v>9</v>
      </c>
      <c r="B24" s="264" t="s">
        <v>349</v>
      </c>
      <c r="C24" s="263" t="s">
        <v>352</v>
      </c>
      <c r="D24" s="261" t="s">
        <v>309</v>
      </c>
      <c r="E24" s="261">
        <v>171</v>
      </c>
      <c r="F24" s="260">
        <v>0.16</v>
      </c>
      <c r="G24" s="241">
        <f t="shared" si="0"/>
        <v>27.36</v>
      </c>
      <c r="H24" s="239"/>
    </row>
    <row r="25" spans="1:10" s="237" customFormat="1" ht="36">
      <c r="A25" s="240">
        <v>10</v>
      </c>
      <c r="B25" s="264" t="s">
        <v>349</v>
      </c>
      <c r="C25" s="263" t="s">
        <v>351</v>
      </c>
      <c r="D25" s="261" t="s">
        <v>309</v>
      </c>
      <c r="E25" s="261">
        <v>8</v>
      </c>
      <c r="F25" s="260">
        <v>0.17</v>
      </c>
      <c r="G25" s="241">
        <f t="shared" si="0"/>
        <v>1.36</v>
      </c>
      <c r="H25" s="239"/>
    </row>
    <row r="26" spans="1:10" s="237" customFormat="1" ht="36">
      <c r="A26" s="240">
        <v>11</v>
      </c>
      <c r="B26" s="264" t="s">
        <v>349</v>
      </c>
      <c r="C26" s="263" t="s">
        <v>350</v>
      </c>
      <c r="D26" s="261" t="s">
        <v>309</v>
      </c>
      <c r="E26" s="261">
        <v>12</v>
      </c>
      <c r="F26" s="260">
        <v>0.18</v>
      </c>
      <c r="G26" s="241">
        <f t="shared" si="0"/>
        <v>2.16</v>
      </c>
      <c r="H26" s="239"/>
    </row>
    <row r="27" spans="1:10" s="237" customFormat="1" ht="36">
      <c r="A27" s="240">
        <v>12</v>
      </c>
      <c r="B27" s="264" t="s">
        <v>349</v>
      </c>
      <c r="C27" s="263" t="s">
        <v>348</v>
      </c>
      <c r="D27" s="261" t="s">
        <v>309</v>
      </c>
      <c r="E27" s="261">
        <v>41</v>
      </c>
      <c r="F27" s="260">
        <v>0.2</v>
      </c>
      <c r="G27" s="241">
        <f t="shared" si="0"/>
        <v>8.2000000000000011</v>
      </c>
      <c r="H27" s="239"/>
    </row>
    <row r="28" spans="1:10" s="237" customFormat="1" ht="24">
      <c r="A28" s="240">
        <v>13</v>
      </c>
      <c r="B28" s="264" t="s">
        <v>347</v>
      </c>
      <c r="C28" s="273" t="s">
        <v>346</v>
      </c>
      <c r="D28" s="261" t="s">
        <v>309</v>
      </c>
      <c r="E28" s="261">
        <v>3</v>
      </c>
      <c r="F28" s="241">
        <v>0.5</v>
      </c>
      <c r="G28" s="241">
        <f t="shared" si="0"/>
        <v>1.5</v>
      </c>
      <c r="H28" s="239"/>
    </row>
    <row r="29" spans="1:10" s="237" customFormat="1" ht="36">
      <c r="A29" s="240">
        <v>14</v>
      </c>
      <c r="B29" s="264" t="s">
        <v>345</v>
      </c>
      <c r="C29" s="273" t="s">
        <v>344</v>
      </c>
      <c r="D29" s="261" t="s">
        <v>309</v>
      </c>
      <c r="E29" s="261">
        <v>1</v>
      </c>
      <c r="F29" s="241">
        <v>2.5</v>
      </c>
      <c r="G29" s="241">
        <f t="shared" si="0"/>
        <v>2.5</v>
      </c>
      <c r="H29" s="239"/>
      <c r="J29" s="237">
        <f>12.6/2.4*0.4</f>
        <v>2.1</v>
      </c>
    </row>
    <row r="30" spans="1:10" s="237" customFormat="1" ht="36">
      <c r="A30" s="240">
        <v>15</v>
      </c>
      <c r="B30" s="272" t="s">
        <v>343</v>
      </c>
      <c r="C30" s="269" t="s">
        <v>342</v>
      </c>
      <c r="D30" s="271" t="s">
        <v>309</v>
      </c>
      <c r="E30" s="261">
        <v>4</v>
      </c>
      <c r="F30" s="241">
        <v>35</v>
      </c>
      <c r="G30" s="241">
        <f t="shared" si="0"/>
        <v>140</v>
      </c>
      <c r="H30" s="239"/>
    </row>
    <row r="31" spans="1:10" s="237" customFormat="1" ht="24">
      <c r="A31" s="240">
        <v>16</v>
      </c>
      <c r="B31" s="264" t="s">
        <v>341</v>
      </c>
      <c r="C31" s="269" t="s">
        <v>340</v>
      </c>
      <c r="D31" s="262" t="s">
        <v>309</v>
      </c>
      <c r="E31" s="261">
        <v>3</v>
      </c>
      <c r="F31" s="241">
        <v>1.5</v>
      </c>
      <c r="G31" s="241">
        <f t="shared" si="0"/>
        <v>4.5</v>
      </c>
      <c r="H31" s="239"/>
    </row>
    <row r="32" spans="1:10" s="237" customFormat="1" ht="24">
      <c r="A32" s="240">
        <v>17</v>
      </c>
      <c r="B32" s="270" t="s">
        <v>339</v>
      </c>
      <c r="C32" s="269" t="s">
        <v>338</v>
      </c>
      <c r="D32" s="262" t="s">
        <v>309</v>
      </c>
      <c r="E32" s="261">
        <v>2</v>
      </c>
      <c r="F32" s="241">
        <v>0.6</v>
      </c>
      <c r="G32" s="241">
        <f t="shared" si="0"/>
        <v>1.2</v>
      </c>
      <c r="H32" s="239"/>
    </row>
    <row r="33" spans="1:10" s="237" customFormat="1" ht="12">
      <c r="A33" s="240">
        <v>18</v>
      </c>
      <c r="B33" s="268" t="s">
        <v>337</v>
      </c>
      <c r="C33" s="267" t="s">
        <v>336</v>
      </c>
      <c r="D33" s="262" t="s">
        <v>309</v>
      </c>
      <c r="E33" s="261">
        <v>1</v>
      </c>
      <c r="F33" s="241">
        <v>1.5</v>
      </c>
      <c r="G33" s="241">
        <f t="shared" si="0"/>
        <v>1.5</v>
      </c>
      <c r="H33" s="239"/>
    </row>
    <row r="34" spans="1:10" s="237" customFormat="1" ht="12">
      <c r="A34" s="240">
        <v>19</v>
      </c>
      <c r="B34" s="266" t="s">
        <v>335</v>
      </c>
      <c r="C34" s="267" t="s">
        <v>334</v>
      </c>
      <c r="D34" s="262" t="s">
        <v>309</v>
      </c>
      <c r="E34" s="261">
        <v>1</v>
      </c>
      <c r="F34" s="241">
        <v>1</v>
      </c>
      <c r="G34" s="241">
        <f t="shared" si="0"/>
        <v>1</v>
      </c>
      <c r="H34" s="239"/>
    </row>
    <row r="35" spans="1:10" s="237" customFormat="1" ht="27" customHeight="1">
      <c r="A35" s="240">
        <v>20</v>
      </c>
      <c r="B35" s="266" t="s">
        <v>333</v>
      </c>
      <c r="C35" s="265" t="s">
        <v>332</v>
      </c>
      <c r="D35" s="262" t="s">
        <v>309</v>
      </c>
      <c r="E35" s="261">
        <v>1</v>
      </c>
      <c r="F35" s="241">
        <v>1</v>
      </c>
      <c r="G35" s="241">
        <f t="shared" si="0"/>
        <v>1</v>
      </c>
      <c r="H35" s="239"/>
    </row>
    <row r="36" spans="1:10" s="237" customFormat="1" ht="36">
      <c r="A36" s="240">
        <v>21</v>
      </c>
      <c r="B36" s="264" t="s">
        <v>330</v>
      </c>
      <c r="C36" s="263" t="s">
        <v>331</v>
      </c>
      <c r="D36" s="261" t="s">
        <v>309</v>
      </c>
      <c r="E36" s="261">
        <v>1</v>
      </c>
      <c r="F36" s="241">
        <v>0.6</v>
      </c>
      <c r="G36" s="241">
        <f t="shared" si="0"/>
        <v>0.6</v>
      </c>
      <c r="H36" s="239"/>
    </row>
    <row r="37" spans="1:10" s="237" customFormat="1" ht="36">
      <c r="A37" s="240">
        <v>22</v>
      </c>
      <c r="B37" s="264" t="s">
        <v>330</v>
      </c>
      <c r="C37" s="263" t="s">
        <v>329</v>
      </c>
      <c r="D37" s="261" t="s">
        <v>309</v>
      </c>
      <c r="E37" s="261">
        <v>1</v>
      </c>
      <c r="F37" s="241">
        <v>0.8</v>
      </c>
      <c r="G37" s="241">
        <f t="shared" si="0"/>
        <v>0.8</v>
      </c>
      <c r="H37" s="239"/>
    </row>
    <row r="38" spans="1:10" s="237" customFormat="1" ht="36">
      <c r="A38" s="240">
        <v>23</v>
      </c>
      <c r="B38" s="264" t="s">
        <v>326</v>
      </c>
      <c r="C38" s="263" t="s">
        <v>328</v>
      </c>
      <c r="D38" s="261" t="s">
        <v>309</v>
      </c>
      <c r="E38" s="261">
        <v>1</v>
      </c>
      <c r="F38" s="241">
        <v>1</v>
      </c>
      <c r="G38" s="241">
        <f t="shared" si="0"/>
        <v>1</v>
      </c>
      <c r="H38" s="239"/>
    </row>
    <row r="39" spans="1:10" s="237" customFormat="1" ht="48">
      <c r="A39" s="240">
        <v>24</v>
      </c>
      <c r="B39" s="264" t="s">
        <v>326</v>
      </c>
      <c r="C39" s="263" t="s">
        <v>327</v>
      </c>
      <c r="D39" s="261" t="s">
        <v>309</v>
      </c>
      <c r="E39" s="261">
        <v>8</v>
      </c>
      <c r="F39" s="241">
        <v>1.2</v>
      </c>
      <c r="G39" s="241">
        <f t="shared" si="0"/>
        <v>9.6</v>
      </c>
      <c r="H39" s="239"/>
    </row>
    <row r="40" spans="1:10" s="237" customFormat="1" ht="36">
      <c r="A40" s="240">
        <v>25</v>
      </c>
      <c r="B40" s="264" t="s">
        <v>326</v>
      </c>
      <c r="C40" s="263" t="s">
        <v>325</v>
      </c>
      <c r="D40" s="261" t="s">
        <v>309</v>
      </c>
      <c r="E40" s="261">
        <v>2</v>
      </c>
      <c r="F40" s="241">
        <v>1.5</v>
      </c>
      <c r="G40" s="241">
        <f t="shared" si="0"/>
        <v>3</v>
      </c>
      <c r="H40" s="239"/>
    </row>
    <row r="41" spans="1:10" s="237" customFormat="1" ht="36">
      <c r="A41" s="240">
        <v>26</v>
      </c>
      <c r="B41" s="264" t="s">
        <v>323</v>
      </c>
      <c r="C41" s="263" t="s">
        <v>324</v>
      </c>
      <c r="D41" s="262" t="s">
        <v>309</v>
      </c>
      <c r="E41" s="261">
        <v>1</v>
      </c>
      <c r="F41" s="241">
        <v>0.2</v>
      </c>
      <c r="G41" s="241">
        <f t="shared" si="0"/>
        <v>0.2</v>
      </c>
      <c r="H41" s="239"/>
    </row>
    <row r="42" spans="1:10" s="237" customFormat="1" ht="36">
      <c r="A42" s="240">
        <v>27</v>
      </c>
      <c r="B42" s="264" t="s">
        <v>323</v>
      </c>
      <c r="C42" s="263" t="s">
        <v>322</v>
      </c>
      <c r="D42" s="262" t="s">
        <v>309</v>
      </c>
      <c r="E42" s="261">
        <v>1</v>
      </c>
      <c r="F42" s="260">
        <v>0.3</v>
      </c>
      <c r="G42" s="260">
        <f t="shared" si="0"/>
        <v>0.3</v>
      </c>
      <c r="H42" s="239"/>
    </row>
    <row r="43" spans="1:10" s="237" customFormat="1" ht="36">
      <c r="A43" s="240">
        <v>28</v>
      </c>
      <c r="B43" s="264" t="s">
        <v>318</v>
      </c>
      <c r="C43" s="263" t="s">
        <v>321</v>
      </c>
      <c r="D43" s="262" t="s">
        <v>309</v>
      </c>
      <c r="E43" s="261">
        <v>2</v>
      </c>
      <c r="F43" s="260">
        <v>1.2</v>
      </c>
      <c r="G43" s="260">
        <f t="shared" si="0"/>
        <v>2.4</v>
      </c>
      <c r="H43" s="239"/>
    </row>
    <row r="44" spans="1:10" s="237" customFormat="1" ht="36">
      <c r="A44" s="240">
        <v>29</v>
      </c>
      <c r="B44" s="264" t="s">
        <v>318</v>
      </c>
      <c r="C44" s="263" t="s">
        <v>320</v>
      </c>
      <c r="D44" s="262" t="s">
        <v>309</v>
      </c>
      <c r="E44" s="261">
        <v>2</v>
      </c>
      <c r="F44" s="260">
        <v>1.5</v>
      </c>
      <c r="G44" s="260">
        <f t="shared" si="0"/>
        <v>3</v>
      </c>
      <c r="H44" s="239"/>
    </row>
    <row r="45" spans="1:10" s="237" customFormat="1" ht="36">
      <c r="A45" s="240">
        <v>30</v>
      </c>
      <c r="B45" s="264" t="s">
        <v>318</v>
      </c>
      <c r="C45" s="263" t="s">
        <v>319</v>
      </c>
      <c r="D45" s="262" t="s">
        <v>309</v>
      </c>
      <c r="E45" s="261">
        <v>1</v>
      </c>
      <c r="F45" s="260">
        <v>1</v>
      </c>
      <c r="G45" s="260">
        <f t="shared" si="0"/>
        <v>1</v>
      </c>
      <c r="H45" s="239"/>
    </row>
    <row r="46" spans="1:10" s="237" customFormat="1" ht="36">
      <c r="A46" s="240">
        <v>31</v>
      </c>
      <c r="B46" s="264" t="s">
        <v>318</v>
      </c>
      <c r="C46" s="263" t="s">
        <v>317</v>
      </c>
      <c r="D46" s="262" t="s">
        <v>309</v>
      </c>
      <c r="E46" s="261">
        <v>1</v>
      </c>
      <c r="F46" s="260">
        <v>0.8</v>
      </c>
      <c r="G46" s="260">
        <f t="shared" si="0"/>
        <v>0.8</v>
      </c>
      <c r="H46" s="239"/>
    </row>
    <row r="47" spans="1:10" s="248" customFormat="1" ht="12">
      <c r="A47" s="253"/>
      <c r="B47" s="253" t="s">
        <v>308</v>
      </c>
      <c r="C47" s="259"/>
      <c r="D47" s="253"/>
      <c r="E47" s="253"/>
      <c r="F47" s="250"/>
      <c r="G47" s="250">
        <f>SUM(G16:G46)</f>
        <v>227.33</v>
      </c>
      <c r="H47" s="249"/>
      <c r="J47" s="248">
        <f>G47/总概!D8*10000</f>
        <v>185.99898053609402</v>
      </c>
    </row>
    <row r="48" spans="1:10" s="237" customFormat="1" ht="12">
      <c r="A48" s="240"/>
      <c r="B48" s="240"/>
      <c r="C48" s="247"/>
      <c r="D48" s="240"/>
      <c r="E48" s="240"/>
      <c r="F48" s="241"/>
      <c r="G48" s="241"/>
      <c r="H48" s="239"/>
    </row>
    <row r="49" spans="1:10" s="237" customFormat="1" ht="12">
      <c r="A49" s="245" t="s">
        <v>316</v>
      </c>
      <c r="B49" s="245" t="s">
        <v>315</v>
      </c>
      <c r="C49" s="258"/>
      <c r="D49" s="257"/>
      <c r="E49" s="257"/>
      <c r="F49" s="241"/>
      <c r="G49" s="241"/>
      <c r="H49" s="256"/>
    </row>
    <row r="50" spans="1:10" s="237" customFormat="1" ht="28.5" customHeight="1">
      <c r="A50" s="240">
        <v>1</v>
      </c>
      <c r="B50" s="254" t="s">
        <v>314</v>
      </c>
      <c r="C50" s="255" t="s">
        <v>313</v>
      </c>
      <c r="D50" s="240" t="s">
        <v>312</v>
      </c>
      <c r="E50" s="240">
        <v>1</v>
      </c>
      <c r="F50" s="241">
        <v>1.2</v>
      </c>
      <c r="G50" s="241">
        <f>F50*E50</f>
        <v>1.2</v>
      </c>
      <c r="H50" s="254"/>
    </row>
    <row r="51" spans="1:10" s="237" customFormat="1" ht="28.5" customHeight="1">
      <c r="A51" s="240">
        <v>1</v>
      </c>
      <c r="B51" s="254" t="s">
        <v>311</v>
      </c>
      <c r="C51" s="255" t="s">
        <v>310</v>
      </c>
      <c r="D51" s="240" t="s">
        <v>309</v>
      </c>
      <c r="E51" s="240">
        <v>2</v>
      </c>
      <c r="F51" s="241">
        <v>0.9</v>
      </c>
      <c r="G51" s="241">
        <f>F51*E51</f>
        <v>1.8</v>
      </c>
      <c r="H51" s="254"/>
    </row>
    <row r="52" spans="1:10" s="248" customFormat="1" ht="12">
      <c r="A52" s="251"/>
      <c r="B52" s="253" t="s">
        <v>308</v>
      </c>
      <c r="C52" s="252"/>
      <c r="D52" s="251"/>
      <c r="E52" s="251"/>
      <c r="F52" s="250"/>
      <c r="G52" s="250">
        <f>SUM(G50:G51)</f>
        <v>3</v>
      </c>
      <c r="H52" s="249"/>
    </row>
    <row r="53" spans="1:10" s="237" customFormat="1" ht="12">
      <c r="A53" s="279"/>
      <c r="B53" s="240"/>
      <c r="C53" s="280"/>
      <c r="D53" s="279"/>
      <c r="E53" s="279"/>
      <c r="F53" s="241"/>
      <c r="G53" s="241"/>
      <c r="H53" s="239"/>
    </row>
    <row r="54" spans="1:10" s="237" customFormat="1" ht="12.75" customHeight="1">
      <c r="A54" s="245" t="s">
        <v>394</v>
      </c>
      <c r="B54" s="281" t="s">
        <v>372</v>
      </c>
      <c r="C54" s="254" t="s">
        <v>371</v>
      </c>
      <c r="D54" s="240" t="s">
        <v>370</v>
      </c>
      <c r="E54" s="240">
        <v>3</v>
      </c>
      <c r="F54" s="241">
        <v>60</v>
      </c>
      <c r="G54" s="241">
        <f>F54*E54</f>
        <v>180</v>
      </c>
      <c r="H54" s="239"/>
    </row>
    <row r="55" spans="1:10" s="237" customFormat="1" ht="15.75" customHeight="1">
      <c r="A55" s="240"/>
      <c r="B55" s="240"/>
      <c r="C55" s="247"/>
      <c r="D55" s="240"/>
      <c r="E55" s="240"/>
      <c r="F55" s="241"/>
      <c r="G55" s="241"/>
      <c r="H55" s="239"/>
    </row>
    <row r="56" spans="1:10" s="242" customFormat="1" ht="12">
      <c r="A56" s="245"/>
      <c r="B56" s="245" t="s">
        <v>17</v>
      </c>
      <c r="C56" s="246"/>
      <c r="D56" s="245"/>
      <c r="E56" s="245"/>
      <c r="F56" s="244"/>
      <c r="G56" s="244">
        <f>SUM(G52,G47,G13,G54)</f>
        <v>650.23</v>
      </c>
      <c r="H56" s="243"/>
      <c r="J56" s="282">
        <f>G13+G47+G52+G54</f>
        <v>650.23</v>
      </c>
    </row>
    <row r="57" spans="1:10" s="237" customFormat="1" ht="12">
      <c r="A57" s="240"/>
      <c r="B57" s="239"/>
      <c r="C57" s="240"/>
      <c r="D57" s="240"/>
      <c r="E57" s="240"/>
      <c r="F57" s="241"/>
      <c r="G57" s="241"/>
      <c r="H57" s="239"/>
    </row>
    <row r="58" spans="1:10" s="237" customFormat="1" ht="12">
      <c r="A58" s="240"/>
      <c r="B58" s="239"/>
      <c r="C58" s="239"/>
      <c r="D58" s="239"/>
      <c r="E58" s="240"/>
      <c r="F58" s="240"/>
      <c r="G58" s="239"/>
      <c r="H58" s="239"/>
    </row>
    <row r="59" spans="1:10" s="237" customFormat="1" ht="12">
      <c r="A59" s="238"/>
      <c r="E59" s="238"/>
      <c r="F59" s="238"/>
    </row>
    <row r="60" spans="1:10" s="237" customFormat="1" ht="12">
      <c r="A60" s="238"/>
      <c r="E60" s="238"/>
      <c r="F60" s="238"/>
    </row>
    <row r="61" spans="1:10" s="237" customFormat="1" ht="12">
      <c r="A61" s="238"/>
      <c r="E61" s="238"/>
      <c r="F61" s="238"/>
    </row>
    <row r="62" spans="1:10" s="237" customFormat="1" ht="12">
      <c r="A62" s="238"/>
      <c r="E62" s="238"/>
      <c r="F62" s="238"/>
    </row>
    <row r="63" spans="1:10" s="237" customFormat="1" ht="12">
      <c r="A63" s="238"/>
      <c r="E63" s="238"/>
      <c r="F63" s="238"/>
    </row>
    <row r="64" spans="1:10" s="237" customFormat="1" ht="12">
      <c r="A64" s="238"/>
      <c r="E64" s="238"/>
      <c r="F64" s="238"/>
    </row>
    <row r="65" spans="1:6" s="237" customFormat="1" ht="12">
      <c r="A65" s="238"/>
      <c r="E65" s="238"/>
      <c r="F65" s="238"/>
    </row>
    <row r="66" spans="1:6" s="237" customFormat="1" ht="12">
      <c r="A66" s="238"/>
      <c r="E66" s="238"/>
      <c r="F66" s="238"/>
    </row>
    <row r="67" spans="1:6" s="237" customFormat="1" ht="12">
      <c r="A67" s="238"/>
      <c r="E67" s="238"/>
      <c r="F67" s="238"/>
    </row>
    <row r="68" spans="1:6" s="237" customFormat="1" ht="12">
      <c r="A68" s="238"/>
      <c r="E68" s="238"/>
      <c r="F68" s="238"/>
    </row>
  </sheetData>
  <mergeCells count="127">
    <mergeCell ref="IT1:IU1"/>
    <mergeCell ref="HX1:HY1"/>
    <mergeCell ref="HZ1:IA1"/>
    <mergeCell ref="IB1:IC1"/>
    <mergeCell ref="ID1:IE1"/>
    <mergeCell ref="IF1:IG1"/>
    <mergeCell ref="IH1:II1"/>
    <mergeCell ref="A2:H2"/>
    <mergeCell ref="IJ1:IK1"/>
    <mergeCell ref="IL1:IM1"/>
    <mergeCell ref="IN1:IO1"/>
    <mergeCell ref="IP1:IQ1"/>
    <mergeCell ref="IR1:IS1"/>
    <mergeCell ref="HL1:HM1"/>
    <mergeCell ref="HN1:HO1"/>
    <mergeCell ref="HP1:HQ1"/>
    <mergeCell ref="HR1:HS1"/>
    <mergeCell ref="GT1:GU1"/>
    <mergeCell ref="GV1:GW1"/>
    <mergeCell ref="GX1:GY1"/>
    <mergeCell ref="HT1:HU1"/>
    <mergeCell ref="HV1:HW1"/>
    <mergeCell ref="GZ1:HA1"/>
    <mergeCell ref="HB1:HC1"/>
    <mergeCell ref="HD1:HE1"/>
    <mergeCell ref="HF1:HG1"/>
    <mergeCell ref="HH1:HI1"/>
    <mergeCell ref="HJ1:HK1"/>
    <mergeCell ref="GB1:GC1"/>
    <mergeCell ref="GD1:GE1"/>
    <mergeCell ref="GF1:GG1"/>
    <mergeCell ref="GH1:GI1"/>
    <mergeCell ref="GJ1:GK1"/>
    <mergeCell ref="GL1:GM1"/>
    <mergeCell ref="GN1:GO1"/>
    <mergeCell ref="GP1:GQ1"/>
    <mergeCell ref="GR1:GS1"/>
    <mergeCell ref="FJ1:FK1"/>
    <mergeCell ref="FL1:FM1"/>
    <mergeCell ref="FN1:FO1"/>
    <mergeCell ref="FP1:FQ1"/>
    <mergeCell ref="FR1:FS1"/>
    <mergeCell ref="FT1:FU1"/>
    <mergeCell ref="FV1:FW1"/>
    <mergeCell ref="FX1:FY1"/>
    <mergeCell ref="FZ1:GA1"/>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DH1:DI1"/>
    <mergeCell ref="DJ1:DK1"/>
    <mergeCell ref="DL1:DM1"/>
    <mergeCell ref="DN1:DO1"/>
    <mergeCell ref="DP1:DQ1"/>
    <mergeCell ref="DR1:DS1"/>
    <mergeCell ref="DT1:DU1"/>
    <mergeCell ref="DV1:DW1"/>
    <mergeCell ref="DX1:DY1"/>
    <mergeCell ref="CP1:CQ1"/>
    <mergeCell ref="CR1:CS1"/>
    <mergeCell ref="CT1:CU1"/>
    <mergeCell ref="CV1:CW1"/>
    <mergeCell ref="CX1:CY1"/>
    <mergeCell ref="CZ1:DA1"/>
    <mergeCell ref="DB1:DC1"/>
    <mergeCell ref="DD1:DE1"/>
    <mergeCell ref="DF1:DG1"/>
    <mergeCell ref="BX1:BY1"/>
    <mergeCell ref="BZ1:CA1"/>
    <mergeCell ref="CB1:CC1"/>
    <mergeCell ref="CD1:CE1"/>
    <mergeCell ref="CF1:CG1"/>
    <mergeCell ref="CH1:CI1"/>
    <mergeCell ref="CJ1:CK1"/>
    <mergeCell ref="CL1:CM1"/>
    <mergeCell ref="CN1:CO1"/>
    <mergeCell ref="BF1:BG1"/>
    <mergeCell ref="BH1:BI1"/>
    <mergeCell ref="BJ1:BK1"/>
    <mergeCell ref="BL1:BM1"/>
    <mergeCell ref="BN1:BO1"/>
    <mergeCell ref="BP1:BQ1"/>
    <mergeCell ref="BR1:BS1"/>
    <mergeCell ref="BT1:BU1"/>
    <mergeCell ref="BV1:BW1"/>
    <mergeCell ref="AN1:AO1"/>
    <mergeCell ref="AP1:AQ1"/>
    <mergeCell ref="AR1:AS1"/>
    <mergeCell ref="AT1:AU1"/>
    <mergeCell ref="AV1:AW1"/>
    <mergeCell ref="AX1:AY1"/>
    <mergeCell ref="AZ1:BA1"/>
    <mergeCell ref="BB1:BC1"/>
    <mergeCell ref="BD1:BE1"/>
    <mergeCell ref="A1:B1"/>
    <mergeCell ref="D1:E1"/>
    <mergeCell ref="F1:G1"/>
    <mergeCell ref="J1:K1"/>
    <mergeCell ref="L1:M1"/>
    <mergeCell ref="N1:O1"/>
    <mergeCell ref="AH1:AI1"/>
    <mergeCell ref="AJ1:AK1"/>
    <mergeCell ref="AL1:AM1"/>
    <mergeCell ref="P1:Q1"/>
    <mergeCell ref="R1:S1"/>
    <mergeCell ref="T1:U1"/>
    <mergeCell ref="V1:W1"/>
    <mergeCell ref="X1:Y1"/>
    <mergeCell ref="Z1:AA1"/>
    <mergeCell ref="AB1:AC1"/>
    <mergeCell ref="AD1:AE1"/>
    <mergeCell ref="AF1:AG1"/>
  </mergeCells>
  <phoneticPr fontId="34" type="noConversion"/>
  <pageMargins left="0.74803149606299213" right="0.74803149606299213" top="1.2204724409448819" bottom="0.78740157480314965" header="0.51181102362204722" footer="0.51181102362204722"/>
  <pageSetup paperSize="9" firstPageNumber="4294963191" fitToHeight="0" orientation="landscape" blackAndWhite="1" r:id="rId1"/>
  <headerFooter alignWithMargins="0">
    <oddFooter>&amp;C第 &amp;P 页，共 &amp;N 页</oddFooter>
  </headerFooter>
</worksheet>
</file>

<file path=xl/worksheets/sheet5.xml><?xml version="1.0" encoding="utf-8"?>
<worksheet xmlns="http://schemas.openxmlformats.org/spreadsheetml/2006/main" xmlns:r="http://schemas.openxmlformats.org/officeDocument/2006/relationships">
  <sheetPr>
    <tabColor theme="8" tint="0.39997558519241921"/>
    <pageSetUpPr fitToPage="1"/>
  </sheetPr>
  <dimension ref="A1:N104"/>
  <sheetViews>
    <sheetView view="pageBreakPreview" zoomScale="85" zoomScaleNormal="75" zoomScaleSheetLayoutView="85" workbookViewId="0">
      <pane ySplit="5" topLeftCell="A84" activePane="bottomLeft" state="frozen"/>
      <selection pane="bottomLeft" activeCell="Q84" sqref="Q84"/>
    </sheetView>
  </sheetViews>
  <sheetFormatPr defaultColWidth="9" defaultRowHeight="21.95" customHeight="1"/>
  <cols>
    <col min="1" max="1" width="8.125" style="149" customWidth="1"/>
    <col min="2" max="2" width="35.5" style="151" customWidth="1"/>
    <col min="3" max="3" width="34.625" style="149" customWidth="1"/>
    <col min="4" max="4" width="8.875" style="149" customWidth="1"/>
    <col min="5" max="5" width="8.75" style="149" customWidth="1"/>
    <col min="6" max="6" width="8" style="149" customWidth="1"/>
    <col min="7" max="7" width="9.625" style="150" customWidth="1"/>
    <col min="8" max="8" width="10.375" style="150" customWidth="1"/>
    <col min="9" max="9" width="9.625" style="205" customWidth="1"/>
    <col min="10" max="10" width="10.625" style="205" customWidth="1"/>
    <col min="11" max="11" width="11.25" style="151" customWidth="1"/>
    <col min="12" max="256" width="9" style="151"/>
    <col min="257" max="257" width="8.125" style="151" customWidth="1"/>
    <col min="258" max="258" width="35.5" style="151" customWidth="1"/>
    <col min="259" max="259" width="34.625" style="151" customWidth="1"/>
    <col min="260" max="260" width="8.875" style="151" customWidth="1"/>
    <col min="261" max="261" width="8.75" style="151" customWidth="1"/>
    <col min="262" max="262" width="8" style="151" customWidth="1"/>
    <col min="263" max="263" width="9.625" style="151" customWidth="1"/>
    <col min="264" max="264" width="10.375" style="151" customWidth="1"/>
    <col min="265" max="265" width="9.625" style="151" customWidth="1"/>
    <col min="266" max="266" width="10.625" style="151" customWidth="1"/>
    <col min="267" max="267" width="11.25" style="151" customWidth="1"/>
    <col min="268" max="512" width="9" style="151"/>
    <col min="513" max="513" width="8.125" style="151" customWidth="1"/>
    <col min="514" max="514" width="35.5" style="151" customWidth="1"/>
    <col min="515" max="515" width="34.625" style="151" customWidth="1"/>
    <col min="516" max="516" width="8.875" style="151" customWidth="1"/>
    <col min="517" max="517" width="8.75" style="151" customWidth="1"/>
    <col min="518" max="518" width="8" style="151" customWidth="1"/>
    <col min="519" max="519" width="9.625" style="151" customWidth="1"/>
    <col min="520" max="520" width="10.375" style="151" customWidth="1"/>
    <col min="521" max="521" width="9.625" style="151" customWidth="1"/>
    <col min="522" max="522" width="10.625" style="151" customWidth="1"/>
    <col min="523" max="523" width="11.25" style="151" customWidth="1"/>
    <col min="524" max="768" width="9" style="151"/>
    <col min="769" max="769" width="8.125" style="151" customWidth="1"/>
    <col min="770" max="770" width="35.5" style="151" customWidth="1"/>
    <col min="771" max="771" width="34.625" style="151" customWidth="1"/>
    <col min="772" max="772" width="8.875" style="151" customWidth="1"/>
    <col min="773" max="773" width="8.75" style="151" customWidth="1"/>
    <col min="774" max="774" width="8" style="151" customWidth="1"/>
    <col min="775" max="775" width="9.625" style="151" customWidth="1"/>
    <col min="776" max="776" width="10.375" style="151" customWidth="1"/>
    <col min="777" max="777" width="9.625" style="151" customWidth="1"/>
    <col min="778" max="778" width="10.625" style="151" customWidth="1"/>
    <col min="779" max="779" width="11.25" style="151" customWidth="1"/>
    <col min="780" max="1024" width="9" style="151"/>
    <col min="1025" max="1025" width="8.125" style="151" customWidth="1"/>
    <col min="1026" max="1026" width="35.5" style="151" customWidth="1"/>
    <col min="1027" max="1027" width="34.625" style="151" customWidth="1"/>
    <col min="1028" max="1028" width="8.875" style="151" customWidth="1"/>
    <col min="1029" max="1029" width="8.75" style="151" customWidth="1"/>
    <col min="1030" max="1030" width="8" style="151" customWidth="1"/>
    <col min="1031" max="1031" width="9.625" style="151" customWidth="1"/>
    <col min="1032" max="1032" width="10.375" style="151" customWidth="1"/>
    <col min="1033" max="1033" width="9.625" style="151" customWidth="1"/>
    <col min="1034" max="1034" width="10.625" style="151" customWidth="1"/>
    <col min="1035" max="1035" width="11.25" style="151" customWidth="1"/>
    <col min="1036" max="1280" width="9" style="151"/>
    <col min="1281" max="1281" width="8.125" style="151" customWidth="1"/>
    <col min="1282" max="1282" width="35.5" style="151" customWidth="1"/>
    <col min="1283" max="1283" width="34.625" style="151" customWidth="1"/>
    <col min="1284" max="1284" width="8.875" style="151" customWidth="1"/>
    <col min="1285" max="1285" width="8.75" style="151" customWidth="1"/>
    <col min="1286" max="1286" width="8" style="151" customWidth="1"/>
    <col min="1287" max="1287" width="9.625" style="151" customWidth="1"/>
    <col min="1288" max="1288" width="10.375" style="151" customWidth="1"/>
    <col min="1289" max="1289" width="9.625" style="151" customWidth="1"/>
    <col min="1290" max="1290" width="10.625" style="151" customWidth="1"/>
    <col min="1291" max="1291" width="11.25" style="151" customWidth="1"/>
    <col min="1292" max="1536" width="9" style="151"/>
    <col min="1537" max="1537" width="8.125" style="151" customWidth="1"/>
    <col min="1538" max="1538" width="35.5" style="151" customWidth="1"/>
    <col min="1539" max="1539" width="34.625" style="151" customWidth="1"/>
    <col min="1540" max="1540" width="8.875" style="151" customWidth="1"/>
    <col min="1541" max="1541" width="8.75" style="151" customWidth="1"/>
    <col min="1542" max="1542" width="8" style="151" customWidth="1"/>
    <col min="1543" max="1543" width="9.625" style="151" customWidth="1"/>
    <col min="1544" max="1544" width="10.375" style="151" customWidth="1"/>
    <col min="1545" max="1545" width="9.625" style="151" customWidth="1"/>
    <col min="1546" max="1546" width="10.625" style="151" customWidth="1"/>
    <col min="1547" max="1547" width="11.25" style="151" customWidth="1"/>
    <col min="1548" max="1792" width="9" style="151"/>
    <col min="1793" max="1793" width="8.125" style="151" customWidth="1"/>
    <col min="1794" max="1794" width="35.5" style="151" customWidth="1"/>
    <col min="1795" max="1795" width="34.625" style="151" customWidth="1"/>
    <col min="1796" max="1796" width="8.875" style="151" customWidth="1"/>
    <col min="1797" max="1797" width="8.75" style="151" customWidth="1"/>
    <col min="1798" max="1798" width="8" style="151" customWidth="1"/>
    <col min="1799" max="1799" width="9.625" style="151" customWidth="1"/>
    <col min="1800" max="1800" width="10.375" style="151" customWidth="1"/>
    <col min="1801" max="1801" width="9.625" style="151" customWidth="1"/>
    <col min="1802" max="1802" width="10.625" style="151" customWidth="1"/>
    <col min="1803" max="1803" width="11.25" style="151" customWidth="1"/>
    <col min="1804" max="2048" width="9" style="151"/>
    <col min="2049" max="2049" width="8.125" style="151" customWidth="1"/>
    <col min="2050" max="2050" width="35.5" style="151" customWidth="1"/>
    <col min="2051" max="2051" width="34.625" style="151" customWidth="1"/>
    <col min="2052" max="2052" width="8.875" style="151" customWidth="1"/>
    <col min="2053" max="2053" width="8.75" style="151" customWidth="1"/>
    <col min="2054" max="2054" width="8" style="151" customWidth="1"/>
    <col min="2055" max="2055" width="9.625" style="151" customWidth="1"/>
    <col min="2056" max="2056" width="10.375" style="151" customWidth="1"/>
    <col min="2057" max="2057" width="9.625" style="151" customWidth="1"/>
    <col min="2058" max="2058" width="10.625" style="151" customWidth="1"/>
    <col min="2059" max="2059" width="11.25" style="151" customWidth="1"/>
    <col min="2060" max="2304" width="9" style="151"/>
    <col min="2305" max="2305" width="8.125" style="151" customWidth="1"/>
    <col min="2306" max="2306" width="35.5" style="151" customWidth="1"/>
    <col min="2307" max="2307" width="34.625" style="151" customWidth="1"/>
    <col min="2308" max="2308" width="8.875" style="151" customWidth="1"/>
    <col min="2309" max="2309" width="8.75" style="151" customWidth="1"/>
    <col min="2310" max="2310" width="8" style="151" customWidth="1"/>
    <col min="2311" max="2311" width="9.625" style="151" customWidth="1"/>
    <col min="2312" max="2312" width="10.375" style="151" customWidth="1"/>
    <col min="2313" max="2313" width="9.625" style="151" customWidth="1"/>
    <col min="2314" max="2314" width="10.625" style="151" customWidth="1"/>
    <col min="2315" max="2315" width="11.25" style="151" customWidth="1"/>
    <col min="2316" max="2560" width="9" style="151"/>
    <col min="2561" max="2561" width="8.125" style="151" customWidth="1"/>
    <col min="2562" max="2562" width="35.5" style="151" customWidth="1"/>
    <col min="2563" max="2563" width="34.625" style="151" customWidth="1"/>
    <col min="2564" max="2564" width="8.875" style="151" customWidth="1"/>
    <col min="2565" max="2565" width="8.75" style="151" customWidth="1"/>
    <col min="2566" max="2566" width="8" style="151" customWidth="1"/>
    <col min="2567" max="2567" width="9.625" style="151" customWidth="1"/>
    <col min="2568" max="2568" width="10.375" style="151" customWidth="1"/>
    <col min="2569" max="2569" width="9.625" style="151" customWidth="1"/>
    <col min="2570" max="2570" width="10.625" style="151" customWidth="1"/>
    <col min="2571" max="2571" width="11.25" style="151" customWidth="1"/>
    <col min="2572" max="2816" width="9" style="151"/>
    <col min="2817" max="2817" width="8.125" style="151" customWidth="1"/>
    <col min="2818" max="2818" width="35.5" style="151" customWidth="1"/>
    <col min="2819" max="2819" width="34.625" style="151" customWidth="1"/>
    <col min="2820" max="2820" width="8.875" style="151" customWidth="1"/>
    <col min="2821" max="2821" width="8.75" style="151" customWidth="1"/>
    <col min="2822" max="2822" width="8" style="151" customWidth="1"/>
    <col min="2823" max="2823" width="9.625" style="151" customWidth="1"/>
    <col min="2824" max="2824" width="10.375" style="151" customWidth="1"/>
    <col min="2825" max="2825" width="9.625" style="151" customWidth="1"/>
    <col min="2826" max="2826" width="10.625" style="151" customWidth="1"/>
    <col min="2827" max="2827" width="11.25" style="151" customWidth="1"/>
    <col min="2828" max="3072" width="9" style="151"/>
    <col min="3073" max="3073" width="8.125" style="151" customWidth="1"/>
    <col min="3074" max="3074" width="35.5" style="151" customWidth="1"/>
    <col min="3075" max="3075" width="34.625" style="151" customWidth="1"/>
    <col min="3076" max="3076" width="8.875" style="151" customWidth="1"/>
    <col min="3077" max="3077" width="8.75" style="151" customWidth="1"/>
    <col min="3078" max="3078" width="8" style="151" customWidth="1"/>
    <col min="3079" max="3079" width="9.625" style="151" customWidth="1"/>
    <col min="3080" max="3080" width="10.375" style="151" customWidth="1"/>
    <col min="3081" max="3081" width="9.625" style="151" customWidth="1"/>
    <col min="3082" max="3082" width="10.625" style="151" customWidth="1"/>
    <col min="3083" max="3083" width="11.25" style="151" customWidth="1"/>
    <col min="3084" max="3328" width="9" style="151"/>
    <col min="3329" max="3329" width="8.125" style="151" customWidth="1"/>
    <col min="3330" max="3330" width="35.5" style="151" customWidth="1"/>
    <col min="3331" max="3331" width="34.625" style="151" customWidth="1"/>
    <col min="3332" max="3332" width="8.875" style="151" customWidth="1"/>
    <col min="3333" max="3333" width="8.75" style="151" customWidth="1"/>
    <col min="3334" max="3334" width="8" style="151" customWidth="1"/>
    <col min="3335" max="3335" width="9.625" style="151" customWidth="1"/>
    <col min="3336" max="3336" width="10.375" style="151" customWidth="1"/>
    <col min="3337" max="3337" width="9.625" style="151" customWidth="1"/>
    <col min="3338" max="3338" width="10.625" style="151" customWidth="1"/>
    <col min="3339" max="3339" width="11.25" style="151" customWidth="1"/>
    <col min="3340" max="3584" width="9" style="151"/>
    <col min="3585" max="3585" width="8.125" style="151" customWidth="1"/>
    <col min="3586" max="3586" width="35.5" style="151" customWidth="1"/>
    <col min="3587" max="3587" width="34.625" style="151" customWidth="1"/>
    <col min="3588" max="3588" width="8.875" style="151" customWidth="1"/>
    <col min="3589" max="3589" width="8.75" style="151" customWidth="1"/>
    <col min="3590" max="3590" width="8" style="151" customWidth="1"/>
    <col min="3591" max="3591" width="9.625" style="151" customWidth="1"/>
    <col min="3592" max="3592" width="10.375" style="151" customWidth="1"/>
    <col min="3593" max="3593" width="9.625" style="151" customWidth="1"/>
    <col min="3594" max="3594" width="10.625" style="151" customWidth="1"/>
    <col min="3595" max="3595" width="11.25" style="151" customWidth="1"/>
    <col min="3596" max="3840" width="9" style="151"/>
    <col min="3841" max="3841" width="8.125" style="151" customWidth="1"/>
    <col min="3842" max="3842" width="35.5" style="151" customWidth="1"/>
    <col min="3843" max="3843" width="34.625" style="151" customWidth="1"/>
    <col min="3844" max="3844" width="8.875" style="151" customWidth="1"/>
    <col min="3845" max="3845" width="8.75" style="151" customWidth="1"/>
    <col min="3846" max="3846" width="8" style="151" customWidth="1"/>
    <col min="3847" max="3847" width="9.625" style="151" customWidth="1"/>
    <col min="3848" max="3848" width="10.375" style="151" customWidth="1"/>
    <col min="3849" max="3849" width="9.625" style="151" customWidth="1"/>
    <col min="3850" max="3850" width="10.625" style="151" customWidth="1"/>
    <col min="3851" max="3851" width="11.25" style="151" customWidth="1"/>
    <col min="3852" max="4096" width="9" style="151"/>
    <col min="4097" max="4097" width="8.125" style="151" customWidth="1"/>
    <col min="4098" max="4098" width="35.5" style="151" customWidth="1"/>
    <col min="4099" max="4099" width="34.625" style="151" customWidth="1"/>
    <col min="4100" max="4100" width="8.875" style="151" customWidth="1"/>
    <col min="4101" max="4101" width="8.75" style="151" customWidth="1"/>
    <col min="4102" max="4102" width="8" style="151" customWidth="1"/>
    <col min="4103" max="4103" width="9.625" style="151" customWidth="1"/>
    <col min="4104" max="4104" width="10.375" style="151" customWidth="1"/>
    <col min="4105" max="4105" width="9.625" style="151" customWidth="1"/>
    <col min="4106" max="4106" width="10.625" style="151" customWidth="1"/>
    <col min="4107" max="4107" width="11.25" style="151" customWidth="1"/>
    <col min="4108" max="4352" width="9" style="151"/>
    <col min="4353" max="4353" width="8.125" style="151" customWidth="1"/>
    <col min="4354" max="4354" width="35.5" style="151" customWidth="1"/>
    <col min="4355" max="4355" width="34.625" style="151" customWidth="1"/>
    <col min="4356" max="4356" width="8.875" style="151" customWidth="1"/>
    <col min="4357" max="4357" width="8.75" style="151" customWidth="1"/>
    <col min="4358" max="4358" width="8" style="151" customWidth="1"/>
    <col min="4359" max="4359" width="9.625" style="151" customWidth="1"/>
    <col min="4360" max="4360" width="10.375" style="151" customWidth="1"/>
    <col min="4361" max="4361" width="9.625" style="151" customWidth="1"/>
    <col min="4362" max="4362" width="10.625" style="151" customWidth="1"/>
    <col min="4363" max="4363" width="11.25" style="151" customWidth="1"/>
    <col min="4364" max="4608" width="9" style="151"/>
    <col min="4609" max="4609" width="8.125" style="151" customWidth="1"/>
    <col min="4610" max="4610" width="35.5" style="151" customWidth="1"/>
    <col min="4611" max="4611" width="34.625" style="151" customWidth="1"/>
    <col min="4612" max="4612" width="8.875" style="151" customWidth="1"/>
    <col min="4613" max="4613" width="8.75" style="151" customWidth="1"/>
    <col min="4614" max="4614" width="8" style="151" customWidth="1"/>
    <col min="4615" max="4615" width="9.625" style="151" customWidth="1"/>
    <col min="4616" max="4616" width="10.375" style="151" customWidth="1"/>
    <col min="4617" max="4617" width="9.625" style="151" customWidth="1"/>
    <col min="4618" max="4618" width="10.625" style="151" customWidth="1"/>
    <col min="4619" max="4619" width="11.25" style="151" customWidth="1"/>
    <col min="4620" max="4864" width="9" style="151"/>
    <col min="4865" max="4865" width="8.125" style="151" customWidth="1"/>
    <col min="4866" max="4866" width="35.5" style="151" customWidth="1"/>
    <col min="4867" max="4867" width="34.625" style="151" customWidth="1"/>
    <col min="4868" max="4868" width="8.875" style="151" customWidth="1"/>
    <col min="4869" max="4869" width="8.75" style="151" customWidth="1"/>
    <col min="4870" max="4870" width="8" style="151" customWidth="1"/>
    <col min="4871" max="4871" width="9.625" style="151" customWidth="1"/>
    <col min="4872" max="4872" width="10.375" style="151" customWidth="1"/>
    <col min="4873" max="4873" width="9.625" style="151" customWidth="1"/>
    <col min="4874" max="4874" width="10.625" style="151" customWidth="1"/>
    <col min="4875" max="4875" width="11.25" style="151" customWidth="1"/>
    <col min="4876" max="5120" width="9" style="151"/>
    <col min="5121" max="5121" width="8.125" style="151" customWidth="1"/>
    <col min="5122" max="5122" width="35.5" style="151" customWidth="1"/>
    <col min="5123" max="5123" width="34.625" style="151" customWidth="1"/>
    <col min="5124" max="5124" width="8.875" style="151" customWidth="1"/>
    <col min="5125" max="5125" width="8.75" style="151" customWidth="1"/>
    <col min="5126" max="5126" width="8" style="151" customWidth="1"/>
    <col min="5127" max="5127" width="9.625" style="151" customWidth="1"/>
    <col min="5128" max="5128" width="10.375" style="151" customWidth="1"/>
    <col min="5129" max="5129" width="9.625" style="151" customWidth="1"/>
    <col min="5130" max="5130" width="10.625" style="151" customWidth="1"/>
    <col min="5131" max="5131" width="11.25" style="151" customWidth="1"/>
    <col min="5132" max="5376" width="9" style="151"/>
    <col min="5377" max="5377" width="8.125" style="151" customWidth="1"/>
    <col min="5378" max="5378" width="35.5" style="151" customWidth="1"/>
    <col min="5379" max="5379" width="34.625" style="151" customWidth="1"/>
    <col min="5380" max="5380" width="8.875" style="151" customWidth="1"/>
    <col min="5381" max="5381" width="8.75" style="151" customWidth="1"/>
    <col min="5382" max="5382" width="8" style="151" customWidth="1"/>
    <col min="5383" max="5383" width="9.625" style="151" customWidth="1"/>
    <col min="5384" max="5384" width="10.375" style="151" customWidth="1"/>
    <col min="5385" max="5385" width="9.625" style="151" customWidth="1"/>
    <col min="5386" max="5386" width="10.625" style="151" customWidth="1"/>
    <col min="5387" max="5387" width="11.25" style="151" customWidth="1"/>
    <col min="5388" max="5632" width="9" style="151"/>
    <col min="5633" max="5633" width="8.125" style="151" customWidth="1"/>
    <col min="5634" max="5634" width="35.5" style="151" customWidth="1"/>
    <col min="5635" max="5635" width="34.625" style="151" customWidth="1"/>
    <col min="5636" max="5636" width="8.875" style="151" customWidth="1"/>
    <col min="5637" max="5637" width="8.75" style="151" customWidth="1"/>
    <col min="5638" max="5638" width="8" style="151" customWidth="1"/>
    <col min="5639" max="5639" width="9.625" style="151" customWidth="1"/>
    <col min="5640" max="5640" width="10.375" style="151" customWidth="1"/>
    <col min="5641" max="5641" width="9.625" style="151" customWidth="1"/>
    <col min="5642" max="5642" width="10.625" style="151" customWidth="1"/>
    <col min="5643" max="5643" width="11.25" style="151" customWidth="1"/>
    <col min="5644" max="5888" width="9" style="151"/>
    <col min="5889" max="5889" width="8.125" style="151" customWidth="1"/>
    <col min="5890" max="5890" width="35.5" style="151" customWidth="1"/>
    <col min="5891" max="5891" width="34.625" style="151" customWidth="1"/>
    <col min="5892" max="5892" width="8.875" style="151" customWidth="1"/>
    <col min="5893" max="5893" width="8.75" style="151" customWidth="1"/>
    <col min="5894" max="5894" width="8" style="151" customWidth="1"/>
    <col min="5895" max="5895" width="9.625" style="151" customWidth="1"/>
    <col min="5896" max="5896" width="10.375" style="151" customWidth="1"/>
    <col min="5897" max="5897" width="9.625" style="151" customWidth="1"/>
    <col min="5898" max="5898" width="10.625" style="151" customWidth="1"/>
    <col min="5899" max="5899" width="11.25" style="151" customWidth="1"/>
    <col min="5900" max="6144" width="9" style="151"/>
    <col min="6145" max="6145" width="8.125" style="151" customWidth="1"/>
    <col min="6146" max="6146" width="35.5" style="151" customWidth="1"/>
    <col min="6147" max="6147" width="34.625" style="151" customWidth="1"/>
    <col min="6148" max="6148" width="8.875" style="151" customWidth="1"/>
    <col min="6149" max="6149" width="8.75" style="151" customWidth="1"/>
    <col min="6150" max="6150" width="8" style="151" customWidth="1"/>
    <col min="6151" max="6151" width="9.625" style="151" customWidth="1"/>
    <col min="6152" max="6152" width="10.375" style="151" customWidth="1"/>
    <col min="6153" max="6153" width="9.625" style="151" customWidth="1"/>
    <col min="6154" max="6154" width="10.625" style="151" customWidth="1"/>
    <col min="6155" max="6155" width="11.25" style="151" customWidth="1"/>
    <col min="6156" max="6400" width="9" style="151"/>
    <col min="6401" max="6401" width="8.125" style="151" customWidth="1"/>
    <col min="6402" max="6402" width="35.5" style="151" customWidth="1"/>
    <col min="6403" max="6403" width="34.625" style="151" customWidth="1"/>
    <col min="6404" max="6404" width="8.875" style="151" customWidth="1"/>
    <col min="6405" max="6405" width="8.75" style="151" customWidth="1"/>
    <col min="6406" max="6406" width="8" style="151" customWidth="1"/>
    <col min="6407" max="6407" width="9.625" style="151" customWidth="1"/>
    <col min="6408" max="6408" width="10.375" style="151" customWidth="1"/>
    <col min="6409" max="6409" width="9.625" style="151" customWidth="1"/>
    <col min="6410" max="6410" width="10.625" style="151" customWidth="1"/>
    <col min="6411" max="6411" width="11.25" style="151" customWidth="1"/>
    <col min="6412" max="6656" width="9" style="151"/>
    <col min="6657" max="6657" width="8.125" style="151" customWidth="1"/>
    <col min="6658" max="6658" width="35.5" style="151" customWidth="1"/>
    <col min="6659" max="6659" width="34.625" style="151" customWidth="1"/>
    <col min="6660" max="6660" width="8.875" style="151" customWidth="1"/>
    <col min="6661" max="6661" width="8.75" style="151" customWidth="1"/>
    <col min="6662" max="6662" width="8" style="151" customWidth="1"/>
    <col min="6663" max="6663" width="9.625" style="151" customWidth="1"/>
    <col min="6664" max="6664" width="10.375" style="151" customWidth="1"/>
    <col min="6665" max="6665" width="9.625" style="151" customWidth="1"/>
    <col min="6666" max="6666" width="10.625" style="151" customWidth="1"/>
    <col min="6667" max="6667" width="11.25" style="151" customWidth="1"/>
    <col min="6668" max="6912" width="9" style="151"/>
    <col min="6913" max="6913" width="8.125" style="151" customWidth="1"/>
    <col min="6914" max="6914" width="35.5" style="151" customWidth="1"/>
    <col min="6915" max="6915" width="34.625" style="151" customWidth="1"/>
    <col min="6916" max="6916" width="8.875" style="151" customWidth="1"/>
    <col min="6917" max="6917" width="8.75" style="151" customWidth="1"/>
    <col min="6918" max="6918" width="8" style="151" customWidth="1"/>
    <col min="6919" max="6919" width="9.625" style="151" customWidth="1"/>
    <col min="6920" max="6920" width="10.375" style="151" customWidth="1"/>
    <col min="6921" max="6921" width="9.625" style="151" customWidth="1"/>
    <col min="6922" max="6922" width="10.625" style="151" customWidth="1"/>
    <col min="6923" max="6923" width="11.25" style="151" customWidth="1"/>
    <col min="6924" max="7168" width="9" style="151"/>
    <col min="7169" max="7169" width="8.125" style="151" customWidth="1"/>
    <col min="7170" max="7170" width="35.5" style="151" customWidth="1"/>
    <col min="7171" max="7171" width="34.625" style="151" customWidth="1"/>
    <col min="7172" max="7172" width="8.875" style="151" customWidth="1"/>
    <col min="7173" max="7173" width="8.75" style="151" customWidth="1"/>
    <col min="7174" max="7174" width="8" style="151" customWidth="1"/>
    <col min="7175" max="7175" width="9.625" style="151" customWidth="1"/>
    <col min="7176" max="7176" width="10.375" style="151" customWidth="1"/>
    <col min="7177" max="7177" width="9.625" style="151" customWidth="1"/>
    <col min="7178" max="7178" width="10.625" style="151" customWidth="1"/>
    <col min="7179" max="7179" width="11.25" style="151" customWidth="1"/>
    <col min="7180" max="7424" width="9" style="151"/>
    <col min="7425" max="7425" width="8.125" style="151" customWidth="1"/>
    <col min="7426" max="7426" width="35.5" style="151" customWidth="1"/>
    <col min="7427" max="7427" width="34.625" style="151" customWidth="1"/>
    <col min="7428" max="7428" width="8.875" style="151" customWidth="1"/>
    <col min="7429" max="7429" width="8.75" style="151" customWidth="1"/>
    <col min="7430" max="7430" width="8" style="151" customWidth="1"/>
    <col min="7431" max="7431" width="9.625" style="151" customWidth="1"/>
    <col min="7432" max="7432" width="10.375" style="151" customWidth="1"/>
    <col min="7433" max="7433" width="9.625" style="151" customWidth="1"/>
    <col min="7434" max="7434" width="10.625" style="151" customWidth="1"/>
    <col min="7435" max="7435" width="11.25" style="151" customWidth="1"/>
    <col min="7436" max="7680" width="9" style="151"/>
    <col min="7681" max="7681" width="8.125" style="151" customWidth="1"/>
    <col min="7682" max="7682" width="35.5" style="151" customWidth="1"/>
    <col min="7683" max="7683" width="34.625" style="151" customWidth="1"/>
    <col min="7684" max="7684" width="8.875" style="151" customWidth="1"/>
    <col min="7685" max="7685" width="8.75" style="151" customWidth="1"/>
    <col min="7686" max="7686" width="8" style="151" customWidth="1"/>
    <col min="7687" max="7687" width="9.625" style="151" customWidth="1"/>
    <col min="7688" max="7688" width="10.375" style="151" customWidth="1"/>
    <col min="7689" max="7689" width="9.625" style="151" customWidth="1"/>
    <col min="7690" max="7690" width="10.625" style="151" customWidth="1"/>
    <col min="7691" max="7691" width="11.25" style="151" customWidth="1"/>
    <col min="7692" max="7936" width="9" style="151"/>
    <col min="7937" max="7937" width="8.125" style="151" customWidth="1"/>
    <col min="7938" max="7938" width="35.5" style="151" customWidth="1"/>
    <col min="7939" max="7939" width="34.625" style="151" customWidth="1"/>
    <col min="7940" max="7940" width="8.875" style="151" customWidth="1"/>
    <col min="7941" max="7941" width="8.75" style="151" customWidth="1"/>
    <col min="7942" max="7942" width="8" style="151" customWidth="1"/>
    <col min="7943" max="7943" width="9.625" style="151" customWidth="1"/>
    <col min="7944" max="7944" width="10.375" style="151" customWidth="1"/>
    <col min="7945" max="7945" width="9.625" style="151" customWidth="1"/>
    <col min="7946" max="7946" width="10.625" style="151" customWidth="1"/>
    <col min="7947" max="7947" width="11.25" style="151" customWidth="1"/>
    <col min="7948" max="8192" width="9" style="151"/>
    <col min="8193" max="8193" width="8.125" style="151" customWidth="1"/>
    <col min="8194" max="8194" width="35.5" style="151" customWidth="1"/>
    <col min="8195" max="8195" width="34.625" style="151" customWidth="1"/>
    <col min="8196" max="8196" width="8.875" style="151" customWidth="1"/>
    <col min="8197" max="8197" width="8.75" style="151" customWidth="1"/>
    <col min="8198" max="8198" width="8" style="151" customWidth="1"/>
    <col min="8199" max="8199" width="9.625" style="151" customWidth="1"/>
    <col min="8200" max="8200" width="10.375" style="151" customWidth="1"/>
    <col min="8201" max="8201" width="9.625" style="151" customWidth="1"/>
    <col min="8202" max="8202" width="10.625" style="151" customWidth="1"/>
    <col min="8203" max="8203" width="11.25" style="151" customWidth="1"/>
    <col min="8204" max="8448" width="9" style="151"/>
    <col min="8449" max="8449" width="8.125" style="151" customWidth="1"/>
    <col min="8450" max="8450" width="35.5" style="151" customWidth="1"/>
    <col min="8451" max="8451" width="34.625" style="151" customWidth="1"/>
    <col min="8452" max="8452" width="8.875" style="151" customWidth="1"/>
    <col min="8453" max="8453" width="8.75" style="151" customWidth="1"/>
    <col min="8454" max="8454" width="8" style="151" customWidth="1"/>
    <col min="8455" max="8455" width="9.625" style="151" customWidth="1"/>
    <col min="8456" max="8456" width="10.375" style="151" customWidth="1"/>
    <col min="8457" max="8457" width="9.625" style="151" customWidth="1"/>
    <col min="8458" max="8458" width="10.625" style="151" customWidth="1"/>
    <col min="8459" max="8459" width="11.25" style="151" customWidth="1"/>
    <col min="8460" max="8704" width="9" style="151"/>
    <col min="8705" max="8705" width="8.125" style="151" customWidth="1"/>
    <col min="8706" max="8706" width="35.5" style="151" customWidth="1"/>
    <col min="8707" max="8707" width="34.625" style="151" customWidth="1"/>
    <col min="8708" max="8708" width="8.875" style="151" customWidth="1"/>
    <col min="8709" max="8709" width="8.75" style="151" customWidth="1"/>
    <col min="8710" max="8710" width="8" style="151" customWidth="1"/>
    <col min="8711" max="8711" width="9.625" style="151" customWidth="1"/>
    <col min="8712" max="8712" width="10.375" style="151" customWidth="1"/>
    <col min="8713" max="8713" width="9.625" style="151" customWidth="1"/>
    <col min="8714" max="8714" width="10.625" style="151" customWidth="1"/>
    <col min="8715" max="8715" width="11.25" style="151" customWidth="1"/>
    <col min="8716" max="8960" width="9" style="151"/>
    <col min="8961" max="8961" width="8.125" style="151" customWidth="1"/>
    <col min="8962" max="8962" width="35.5" style="151" customWidth="1"/>
    <col min="8963" max="8963" width="34.625" style="151" customWidth="1"/>
    <col min="8964" max="8964" width="8.875" style="151" customWidth="1"/>
    <col min="8965" max="8965" width="8.75" style="151" customWidth="1"/>
    <col min="8966" max="8966" width="8" style="151" customWidth="1"/>
    <col min="8967" max="8967" width="9.625" style="151" customWidth="1"/>
    <col min="8968" max="8968" width="10.375" style="151" customWidth="1"/>
    <col min="8969" max="8969" width="9.625" style="151" customWidth="1"/>
    <col min="8970" max="8970" width="10.625" style="151" customWidth="1"/>
    <col min="8971" max="8971" width="11.25" style="151" customWidth="1"/>
    <col min="8972" max="9216" width="9" style="151"/>
    <col min="9217" max="9217" width="8.125" style="151" customWidth="1"/>
    <col min="9218" max="9218" width="35.5" style="151" customWidth="1"/>
    <col min="9219" max="9219" width="34.625" style="151" customWidth="1"/>
    <col min="9220" max="9220" width="8.875" style="151" customWidth="1"/>
    <col min="9221" max="9221" width="8.75" style="151" customWidth="1"/>
    <col min="9222" max="9222" width="8" style="151" customWidth="1"/>
    <col min="9223" max="9223" width="9.625" style="151" customWidth="1"/>
    <col min="9224" max="9224" width="10.375" style="151" customWidth="1"/>
    <col min="9225" max="9225" width="9.625" style="151" customWidth="1"/>
    <col min="9226" max="9226" width="10.625" style="151" customWidth="1"/>
    <col min="9227" max="9227" width="11.25" style="151" customWidth="1"/>
    <col min="9228" max="9472" width="9" style="151"/>
    <col min="9473" max="9473" width="8.125" style="151" customWidth="1"/>
    <col min="9474" max="9474" width="35.5" style="151" customWidth="1"/>
    <col min="9475" max="9475" width="34.625" style="151" customWidth="1"/>
    <col min="9476" max="9476" width="8.875" style="151" customWidth="1"/>
    <col min="9477" max="9477" width="8.75" style="151" customWidth="1"/>
    <col min="9478" max="9478" width="8" style="151" customWidth="1"/>
    <col min="9479" max="9479" width="9.625" style="151" customWidth="1"/>
    <col min="9480" max="9480" width="10.375" style="151" customWidth="1"/>
    <col min="9481" max="9481" width="9.625" style="151" customWidth="1"/>
    <col min="9482" max="9482" width="10.625" style="151" customWidth="1"/>
    <col min="9483" max="9483" width="11.25" style="151" customWidth="1"/>
    <col min="9484" max="9728" width="9" style="151"/>
    <col min="9729" max="9729" width="8.125" style="151" customWidth="1"/>
    <col min="9730" max="9730" width="35.5" style="151" customWidth="1"/>
    <col min="9731" max="9731" width="34.625" style="151" customWidth="1"/>
    <col min="9732" max="9732" width="8.875" style="151" customWidth="1"/>
    <col min="9733" max="9733" width="8.75" style="151" customWidth="1"/>
    <col min="9734" max="9734" width="8" style="151" customWidth="1"/>
    <col min="9735" max="9735" width="9.625" style="151" customWidth="1"/>
    <col min="9736" max="9736" width="10.375" style="151" customWidth="1"/>
    <col min="9737" max="9737" width="9.625" style="151" customWidth="1"/>
    <col min="9738" max="9738" width="10.625" style="151" customWidth="1"/>
    <col min="9739" max="9739" width="11.25" style="151" customWidth="1"/>
    <col min="9740" max="9984" width="9" style="151"/>
    <col min="9985" max="9985" width="8.125" style="151" customWidth="1"/>
    <col min="9986" max="9986" width="35.5" style="151" customWidth="1"/>
    <col min="9987" max="9987" width="34.625" style="151" customWidth="1"/>
    <col min="9988" max="9988" width="8.875" style="151" customWidth="1"/>
    <col min="9989" max="9989" width="8.75" style="151" customWidth="1"/>
    <col min="9990" max="9990" width="8" style="151" customWidth="1"/>
    <col min="9991" max="9991" width="9.625" style="151" customWidth="1"/>
    <col min="9992" max="9992" width="10.375" style="151" customWidth="1"/>
    <col min="9993" max="9993" width="9.625" style="151" customWidth="1"/>
    <col min="9994" max="9994" width="10.625" style="151" customWidth="1"/>
    <col min="9995" max="9995" width="11.25" style="151" customWidth="1"/>
    <col min="9996" max="10240" width="9" style="151"/>
    <col min="10241" max="10241" width="8.125" style="151" customWidth="1"/>
    <col min="10242" max="10242" width="35.5" style="151" customWidth="1"/>
    <col min="10243" max="10243" width="34.625" style="151" customWidth="1"/>
    <col min="10244" max="10244" width="8.875" style="151" customWidth="1"/>
    <col min="10245" max="10245" width="8.75" style="151" customWidth="1"/>
    <col min="10246" max="10246" width="8" style="151" customWidth="1"/>
    <col min="10247" max="10247" width="9.625" style="151" customWidth="1"/>
    <col min="10248" max="10248" width="10.375" style="151" customWidth="1"/>
    <col min="10249" max="10249" width="9.625" style="151" customWidth="1"/>
    <col min="10250" max="10250" width="10.625" style="151" customWidth="1"/>
    <col min="10251" max="10251" width="11.25" style="151" customWidth="1"/>
    <col min="10252" max="10496" width="9" style="151"/>
    <col min="10497" max="10497" width="8.125" style="151" customWidth="1"/>
    <col min="10498" max="10498" width="35.5" style="151" customWidth="1"/>
    <col min="10499" max="10499" width="34.625" style="151" customWidth="1"/>
    <col min="10500" max="10500" width="8.875" style="151" customWidth="1"/>
    <col min="10501" max="10501" width="8.75" style="151" customWidth="1"/>
    <col min="10502" max="10502" width="8" style="151" customWidth="1"/>
    <col min="10503" max="10503" width="9.625" style="151" customWidth="1"/>
    <col min="10504" max="10504" width="10.375" style="151" customWidth="1"/>
    <col min="10505" max="10505" width="9.625" style="151" customWidth="1"/>
    <col min="10506" max="10506" width="10.625" style="151" customWidth="1"/>
    <col min="10507" max="10507" width="11.25" style="151" customWidth="1"/>
    <col min="10508" max="10752" width="9" style="151"/>
    <col min="10753" max="10753" width="8.125" style="151" customWidth="1"/>
    <col min="10754" max="10754" width="35.5" style="151" customWidth="1"/>
    <col min="10755" max="10755" width="34.625" style="151" customWidth="1"/>
    <col min="10756" max="10756" width="8.875" style="151" customWidth="1"/>
    <col min="10757" max="10757" width="8.75" style="151" customWidth="1"/>
    <col min="10758" max="10758" width="8" style="151" customWidth="1"/>
    <col min="10759" max="10759" width="9.625" style="151" customWidth="1"/>
    <col min="10760" max="10760" width="10.375" style="151" customWidth="1"/>
    <col min="10761" max="10761" width="9.625" style="151" customWidth="1"/>
    <col min="10762" max="10762" width="10.625" style="151" customWidth="1"/>
    <col min="10763" max="10763" width="11.25" style="151" customWidth="1"/>
    <col min="10764" max="11008" width="9" style="151"/>
    <col min="11009" max="11009" width="8.125" style="151" customWidth="1"/>
    <col min="11010" max="11010" width="35.5" style="151" customWidth="1"/>
    <col min="11011" max="11011" width="34.625" style="151" customWidth="1"/>
    <col min="11012" max="11012" width="8.875" style="151" customWidth="1"/>
    <col min="11013" max="11013" width="8.75" style="151" customWidth="1"/>
    <col min="11014" max="11014" width="8" style="151" customWidth="1"/>
    <col min="11015" max="11015" width="9.625" style="151" customWidth="1"/>
    <col min="11016" max="11016" width="10.375" style="151" customWidth="1"/>
    <col min="11017" max="11017" width="9.625" style="151" customWidth="1"/>
    <col min="11018" max="11018" width="10.625" style="151" customWidth="1"/>
    <col min="11019" max="11019" width="11.25" style="151" customWidth="1"/>
    <col min="11020" max="11264" width="9" style="151"/>
    <col min="11265" max="11265" width="8.125" style="151" customWidth="1"/>
    <col min="11266" max="11266" width="35.5" style="151" customWidth="1"/>
    <col min="11267" max="11267" width="34.625" style="151" customWidth="1"/>
    <col min="11268" max="11268" width="8.875" style="151" customWidth="1"/>
    <col min="11269" max="11269" width="8.75" style="151" customWidth="1"/>
    <col min="11270" max="11270" width="8" style="151" customWidth="1"/>
    <col min="11271" max="11271" width="9.625" style="151" customWidth="1"/>
    <col min="11272" max="11272" width="10.375" style="151" customWidth="1"/>
    <col min="11273" max="11273" width="9.625" style="151" customWidth="1"/>
    <col min="11274" max="11274" width="10.625" style="151" customWidth="1"/>
    <col min="11275" max="11275" width="11.25" style="151" customWidth="1"/>
    <col min="11276" max="11520" width="9" style="151"/>
    <col min="11521" max="11521" width="8.125" style="151" customWidth="1"/>
    <col min="11522" max="11522" width="35.5" style="151" customWidth="1"/>
    <col min="11523" max="11523" width="34.625" style="151" customWidth="1"/>
    <col min="11524" max="11524" width="8.875" style="151" customWidth="1"/>
    <col min="11525" max="11525" width="8.75" style="151" customWidth="1"/>
    <col min="11526" max="11526" width="8" style="151" customWidth="1"/>
    <col min="11527" max="11527" width="9.625" style="151" customWidth="1"/>
    <col min="11528" max="11528" width="10.375" style="151" customWidth="1"/>
    <col min="11529" max="11529" width="9.625" style="151" customWidth="1"/>
    <col min="11530" max="11530" width="10.625" style="151" customWidth="1"/>
    <col min="11531" max="11531" width="11.25" style="151" customWidth="1"/>
    <col min="11532" max="11776" width="9" style="151"/>
    <col min="11777" max="11777" width="8.125" style="151" customWidth="1"/>
    <col min="11778" max="11778" width="35.5" style="151" customWidth="1"/>
    <col min="11779" max="11779" width="34.625" style="151" customWidth="1"/>
    <col min="11780" max="11780" width="8.875" style="151" customWidth="1"/>
    <col min="11781" max="11781" width="8.75" style="151" customWidth="1"/>
    <col min="11782" max="11782" width="8" style="151" customWidth="1"/>
    <col min="11783" max="11783" width="9.625" style="151" customWidth="1"/>
    <col min="11784" max="11784" width="10.375" style="151" customWidth="1"/>
    <col min="11785" max="11785" width="9.625" style="151" customWidth="1"/>
    <col min="11786" max="11786" width="10.625" style="151" customWidth="1"/>
    <col min="11787" max="11787" width="11.25" style="151" customWidth="1"/>
    <col min="11788" max="12032" width="9" style="151"/>
    <col min="12033" max="12033" width="8.125" style="151" customWidth="1"/>
    <col min="12034" max="12034" width="35.5" style="151" customWidth="1"/>
    <col min="12035" max="12035" width="34.625" style="151" customWidth="1"/>
    <col min="12036" max="12036" width="8.875" style="151" customWidth="1"/>
    <col min="12037" max="12037" width="8.75" style="151" customWidth="1"/>
    <col min="12038" max="12038" width="8" style="151" customWidth="1"/>
    <col min="12039" max="12039" width="9.625" style="151" customWidth="1"/>
    <col min="12040" max="12040" width="10.375" style="151" customWidth="1"/>
    <col min="12041" max="12041" width="9.625" style="151" customWidth="1"/>
    <col min="12042" max="12042" width="10.625" style="151" customWidth="1"/>
    <col min="12043" max="12043" width="11.25" style="151" customWidth="1"/>
    <col min="12044" max="12288" width="9" style="151"/>
    <col min="12289" max="12289" width="8.125" style="151" customWidth="1"/>
    <col min="12290" max="12290" width="35.5" style="151" customWidth="1"/>
    <col min="12291" max="12291" width="34.625" style="151" customWidth="1"/>
    <col min="12292" max="12292" width="8.875" style="151" customWidth="1"/>
    <col min="12293" max="12293" width="8.75" style="151" customWidth="1"/>
    <col min="12294" max="12294" width="8" style="151" customWidth="1"/>
    <col min="12295" max="12295" width="9.625" style="151" customWidth="1"/>
    <col min="12296" max="12296" width="10.375" style="151" customWidth="1"/>
    <col min="12297" max="12297" width="9.625" style="151" customWidth="1"/>
    <col min="12298" max="12298" width="10.625" style="151" customWidth="1"/>
    <col min="12299" max="12299" width="11.25" style="151" customWidth="1"/>
    <col min="12300" max="12544" width="9" style="151"/>
    <col min="12545" max="12545" width="8.125" style="151" customWidth="1"/>
    <col min="12546" max="12546" width="35.5" style="151" customWidth="1"/>
    <col min="12547" max="12547" width="34.625" style="151" customWidth="1"/>
    <col min="12548" max="12548" width="8.875" style="151" customWidth="1"/>
    <col min="12549" max="12549" width="8.75" style="151" customWidth="1"/>
    <col min="12550" max="12550" width="8" style="151" customWidth="1"/>
    <col min="12551" max="12551" width="9.625" style="151" customWidth="1"/>
    <col min="12552" max="12552" width="10.375" style="151" customWidth="1"/>
    <col min="12553" max="12553" width="9.625" style="151" customWidth="1"/>
    <col min="12554" max="12554" width="10.625" style="151" customWidth="1"/>
    <col min="12555" max="12555" width="11.25" style="151" customWidth="1"/>
    <col min="12556" max="12800" width="9" style="151"/>
    <col min="12801" max="12801" width="8.125" style="151" customWidth="1"/>
    <col min="12802" max="12802" width="35.5" style="151" customWidth="1"/>
    <col min="12803" max="12803" width="34.625" style="151" customWidth="1"/>
    <col min="12804" max="12804" width="8.875" style="151" customWidth="1"/>
    <col min="12805" max="12805" width="8.75" style="151" customWidth="1"/>
    <col min="12806" max="12806" width="8" style="151" customWidth="1"/>
    <col min="12807" max="12807" width="9.625" style="151" customWidth="1"/>
    <col min="12808" max="12808" width="10.375" style="151" customWidth="1"/>
    <col min="12809" max="12809" width="9.625" style="151" customWidth="1"/>
    <col min="12810" max="12810" width="10.625" style="151" customWidth="1"/>
    <col min="12811" max="12811" width="11.25" style="151" customWidth="1"/>
    <col min="12812" max="13056" width="9" style="151"/>
    <col min="13057" max="13057" width="8.125" style="151" customWidth="1"/>
    <col min="13058" max="13058" width="35.5" style="151" customWidth="1"/>
    <col min="13059" max="13059" width="34.625" style="151" customWidth="1"/>
    <col min="13060" max="13060" width="8.875" style="151" customWidth="1"/>
    <col min="13061" max="13061" width="8.75" style="151" customWidth="1"/>
    <col min="13062" max="13062" width="8" style="151" customWidth="1"/>
    <col min="13063" max="13063" width="9.625" style="151" customWidth="1"/>
    <col min="13064" max="13064" width="10.375" style="151" customWidth="1"/>
    <col min="13065" max="13065" width="9.625" style="151" customWidth="1"/>
    <col min="13066" max="13066" width="10.625" style="151" customWidth="1"/>
    <col min="13067" max="13067" width="11.25" style="151" customWidth="1"/>
    <col min="13068" max="13312" width="9" style="151"/>
    <col min="13313" max="13313" width="8.125" style="151" customWidth="1"/>
    <col min="13314" max="13314" width="35.5" style="151" customWidth="1"/>
    <col min="13315" max="13315" width="34.625" style="151" customWidth="1"/>
    <col min="13316" max="13316" width="8.875" style="151" customWidth="1"/>
    <col min="13317" max="13317" width="8.75" style="151" customWidth="1"/>
    <col min="13318" max="13318" width="8" style="151" customWidth="1"/>
    <col min="13319" max="13319" width="9.625" style="151" customWidth="1"/>
    <col min="13320" max="13320" width="10.375" style="151" customWidth="1"/>
    <col min="13321" max="13321" width="9.625" style="151" customWidth="1"/>
    <col min="13322" max="13322" width="10.625" style="151" customWidth="1"/>
    <col min="13323" max="13323" width="11.25" style="151" customWidth="1"/>
    <col min="13324" max="13568" width="9" style="151"/>
    <col min="13569" max="13569" width="8.125" style="151" customWidth="1"/>
    <col min="13570" max="13570" width="35.5" style="151" customWidth="1"/>
    <col min="13571" max="13571" width="34.625" style="151" customWidth="1"/>
    <col min="13572" max="13572" width="8.875" style="151" customWidth="1"/>
    <col min="13573" max="13573" width="8.75" style="151" customWidth="1"/>
    <col min="13574" max="13574" width="8" style="151" customWidth="1"/>
    <col min="13575" max="13575" width="9.625" style="151" customWidth="1"/>
    <col min="13576" max="13576" width="10.375" style="151" customWidth="1"/>
    <col min="13577" max="13577" width="9.625" style="151" customWidth="1"/>
    <col min="13578" max="13578" width="10.625" style="151" customWidth="1"/>
    <col min="13579" max="13579" width="11.25" style="151" customWidth="1"/>
    <col min="13580" max="13824" width="9" style="151"/>
    <col min="13825" max="13825" width="8.125" style="151" customWidth="1"/>
    <col min="13826" max="13826" width="35.5" style="151" customWidth="1"/>
    <col min="13827" max="13827" width="34.625" style="151" customWidth="1"/>
    <col min="13828" max="13828" width="8.875" style="151" customWidth="1"/>
    <col min="13829" max="13829" width="8.75" style="151" customWidth="1"/>
    <col min="13830" max="13830" width="8" style="151" customWidth="1"/>
    <col min="13831" max="13831" width="9.625" style="151" customWidth="1"/>
    <col min="13832" max="13832" width="10.375" style="151" customWidth="1"/>
    <col min="13833" max="13833" width="9.625" style="151" customWidth="1"/>
    <col min="13834" max="13834" width="10.625" style="151" customWidth="1"/>
    <col min="13835" max="13835" width="11.25" style="151" customWidth="1"/>
    <col min="13836" max="14080" width="9" style="151"/>
    <col min="14081" max="14081" width="8.125" style="151" customWidth="1"/>
    <col min="14082" max="14082" width="35.5" style="151" customWidth="1"/>
    <col min="14083" max="14083" width="34.625" style="151" customWidth="1"/>
    <col min="14084" max="14084" width="8.875" style="151" customWidth="1"/>
    <col min="14085" max="14085" width="8.75" style="151" customWidth="1"/>
    <col min="14086" max="14086" width="8" style="151" customWidth="1"/>
    <col min="14087" max="14087" width="9.625" style="151" customWidth="1"/>
    <col min="14088" max="14088" width="10.375" style="151" customWidth="1"/>
    <col min="14089" max="14089" width="9.625" style="151" customWidth="1"/>
    <col min="14090" max="14090" width="10.625" style="151" customWidth="1"/>
    <col min="14091" max="14091" width="11.25" style="151" customWidth="1"/>
    <col min="14092" max="14336" width="9" style="151"/>
    <col min="14337" max="14337" width="8.125" style="151" customWidth="1"/>
    <col min="14338" max="14338" width="35.5" style="151" customWidth="1"/>
    <col min="14339" max="14339" width="34.625" style="151" customWidth="1"/>
    <col min="14340" max="14340" width="8.875" style="151" customWidth="1"/>
    <col min="14341" max="14341" width="8.75" style="151" customWidth="1"/>
    <col min="14342" max="14342" width="8" style="151" customWidth="1"/>
    <col min="14343" max="14343" width="9.625" style="151" customWidth="1"/>
    <col min="14344" max="14344" width="10.375" style="151" customWidth="1"/>
    <col min="14345" max="14345" width="9.625" style="151" customWidth="1"/>
    <col min="14346" max="14346" width="10.625" style="151" customWidth="1"/>
    <col min="14347" max="14347" width="11.25" style="151" customWidth="1"/>
    <col min="14348" max="14592" width="9" style="151"/>
    <col min="14593" max="14593" width="8.125" style="151" customWidth="1"/>
    <col min="14594" max="14594" width="35.5" style="151" customWidth="1"/>
    <col min="14595" max="14595" width="34.625" style="151" customWidth="1"/>
    <col min="14596" max="14596" width="8.875" style="151" customWidth="1"/>
    <col min="14597" max="14597" width="8.75" style="151" customWidth="1"/>
    <col min="14598" max="14598" width="8" style="151" customWidth="1"/>
    <col min="14599" max="14599" width="9.625" style="151" customWidth="1"/>
    <col min="14600" max="14600" width="10.375" style="151" customWidth="1"/>
    <col min="14601" max="14601" width="9.625" style="151" customWidth="1"/>
    <col min="14602" max="14602" width="10.625" style="151" customWidth="1"/>
    <col min="14603" max="14603" width="11.25" style="151" customWidth="1"/>
    <col min="14604" max="14848" width="9" style="151"/>
    <col min="14849" max="14849" width="8.125" style="151" customWidth="1"/>
    <col min="14850" max="14850" width="35.5" style="151" customWidth="1"/>
    <col min="14851" max="14851" width="34.625" style="151" customWidth="1"/>
    <col min="14852" max="14852" width="8.875" style="151" customWidth="1"/>
    <col min="14853" max="14853" width="8.75" style="151" customWidth="1"/>
    <col min="14854" max="14854" width="8" style="151" customWidth="1"/>
    <col min="14855" max="14855" width="9.625" style="151" customWidth="1"/>
    <col min="14856" max="14856" width="10.375" style="151" customWidth="1"/>
    <col min="14857" max="14857" width="9.625" style="151" customWidth="1"/>
    <col min="14858" max="14858" width="10.625" style="151" customWidth="1"/>
    <col min="14859" max="14859" width="11.25" style="151" customWidth="1"/>
    <col min="14860" max="15104" width="9" style="151"/>
    <col min="15105" max="15105" width="8.125" style="151" customWidth="1"/>
    <col min="15106" max="15106" width="35.5" style="151" customWidth="1"/>
    <col min="15107" max="15107" width="34.625" style="151" customWidth="1"/>
    <col min="15108" max="15108" width="8.875" style="151" customWidth="1"/>
    <col min="15109" max="15109" width="8.75" style="151" customWidth="1"/>
    <col min="15110" max="15110" width="8" style="151" customWidth="1"/>
    <col min="15111" max="15111" width="9.625" style="151" customWidth="1"/>
    <col min="15112" max="15112" width="10.375" style="151" customWidth="1"/>
    <col min="15113" max="15113" width="9.625" style="151" customWidth="1"/>
    <col min="15114" max="15114" width="10.625" style="151" customWidth="1"/>
    <col min="15115" max="15115" width="11.25" style="151" customWidth="1"/>
    <col min="15116" max="15360" width="9" style="151"/>
    <col min="15361" max="15361" width="8.125" style="151" customWidth="1"/>
    <col min="15362" max="15362" width="35.5" style="151" customWidth="1"/>
    <col min="15363" max="15363" width="34.625" style="151" customWidth="1"/>
    <col min="15364" max="15364" width="8.875" style="151" customWidth="1"/>
    <col min="15365" max="15365" width="8.75" style="151" customWidth="1"/>
    <col min="15366" max="15366" width="8" style="151" customWidth="1"/>
    <col min="15367" max="15367" width="9.625" style="151" customWidth="1"/>
    <col min="15368" max="15368" width="10.375" style="151" customWidth="1"/>
    <col min="15369" max="15369" width="9.625" style="151" customWidth="1"/>
    <col min="15370" max="15370" width="10.625" style="151" customWidth="1"/>
    <col min="15371" max="15371" width="11.25" style="151" customWidth="1"/>
    <col min="15372" max="15616" width="9" style="151"/>
    <col min="15617" max="15617" width="8.125" style="151" customWidth="1"/>
    <col min="15618" max="15618" width="35.5" style="151" customWidth="1"/>
    <col min="15619" max="15619" width="34.625" style="151" customWidth="1"/>
    <col min="15620" max="15620" width="8.875" style="151" customWidth="1"/>
    <col min="15621" max="15621" width="8.75" style="151" customWidth="1"/>
    <col min="15622" max="15622" width="8" style="151" customWidth="1"/>
    <col min="15623" max="15623" width="9.625" style="151" customWidth="1"/>
    <col min="15624" max="15624" width="10.375" style="151" customWidth="1"/>
    <col min="15625" max="15625" width="9.625" style="151" customWidth="1"/>
    <col min="15626" max="15626" width="10.625" style="151" customWidth="1"/>
    <col min="15627" max="15627" width="11.25" style="151" customWidth="1"/>
    <col min="15628" max="15872" width="9" style="151"/>
    <col min="15873" max="15873" width="8.125" style="151" customWidth="1"/>
    <col min="15874" max="15874" width="35.5" style="151" customWidth="1"/>
    <col min="15875" max="15875" width="34.625" style="151" customWidth="1"/>
    <col min="15876" max="15876" width="8.875" style="151" customWidth="1"/>
    <col min="15877" max="15877" width="8.75" style="151" customWidth="1"/>
    <col min="15878" max="15878" width="8" style="151" customWidth="1"/>
    <col min="15879" max="15879" width="9.625" style="151" customWidth="1"/>
    <col min="15880" max="15880" width="10.375" style="151" customWidth="1"/>
    <col min="15881" max="15881" width="9.625" style="151" customWidth="1"/>
    <col min="15882" max="15882" width="10.625" style="151" customWidth="1"/>
    <col min="15883" max="15883" width="11.25" style="151" customWidth="1"/>
    <col min="15884" max="16128" width="9" style="151"/>
    <col min="16129" max="16129" width="8.125" style="151" customWidth="1"/>
    <col min="16130" max="16130" width="35.5" style="151" customWidth="1"/>
    <col min="16131" max="16131" width="34.625" style="151" customWidth="1"/>
    <col min="16132" max="16132" width="8.875" style="151" customWidth="1"/>
    <col min="16133" max="16133" width="8.75" style="151" customWidth="1"/>
    <col min="16134" max="16134" width="8" style="151" customWidth="1"/>
    <col min="16135" max="16135" width="9.625" style="151" customWidth="1"/>
    <col min="16136" max="16136" width="10.375" style="151" customWidth="1"/>
    <col min="16137" max="16137" width="9.625" style="151" customWidth="1"/>
    <col min="16138" max="16138" width="10.625" style="151" customWidth="1"/>
    <col min="16139" max="16139" width="11.25" style="151" customWidth="1"/>
    <col min="16140" max="16384" width="9" style="151"/>
  </cols>
  <sheetData>
    <row r="1" spans="1:11" ht="21.95" customHeight="1">
      <c r="A1" s="372" t="s">
        <v>128</v>
      </c>
      <c r="B1" s="372"/>
      <c r="I1" s="150"/>
      <c r="J1" s="150"/>
    </row>
    <row r="2" spans="1:11" s="149" customFormat="1" ht="25.5">
      <c r="A2" s="373" t="s">
        <v>1235</v>
      </c>
      <c r="B2" s="373"/>
      <c r="C2" s="373"/>
      <c r="D2" s="373"/>
      <c r="E2" s="373"/>
      <c r="F2" s="373"/>
      <c r="G2" s="373"/>
      <c r="H2" s="373"/>
      <c r="I2" s="373"/>
      <c r="J2" s="373"/>
      <c r="K2" s="373"/>
    </row>
    <row r="3" spans="1:11" ht="21.95" customHeight="1">
      <c r="A3" s="143" t="str">
        <f>'[20]估算表1－1'!A3</f>
        <v>项目名称：武船重型工程股份有限公司双柳桥区办公楼及珠港澳大桥生产设备建设项目</v>
      </c>
      <c r="B3" s="152"/>
      <c r="C3" s="152"/>
      <c r="D3" s="153"/>
      <c r="E3" s="153"/>
      <c r="F3" s="153"/>
      <c r="G3" s="374" t="s">
        <v>129</v>
      </c>
      <c r="H3" s="375"/>
      <c r="I3" s="375"/>
      <c r="J3" s="375"/>
      <c r="K3" s="376"/>
    </row>
    <row r="4" spans="1:11" ht="21.95" customHeight="1">
      <c r="A4" s="370" t="s">
        <v>130</v>
      </c>
      <c r="B4" s="377" t="s">
        <v>131</v>
      </c>
      <c r="C4" s="379" t="s">
        <v>132</v>
      </c>
      <c r="D4" s="370" t="s">
        <v>133</v>
      </c>
      <c r="E4" s="370" t="s">
        <v>134</v>
      </c>
      <c r="F4" s="370" t="s">
        <v>135</v>
      </c>
      <c r="G4" s="370" t="s">
        <v>136</v>
      </c>
      <c r="H4" s="370"/>
      <c r="I4" s="370"/>
      <c r="J4" s="370" t="s">
        <v>137</v>
      </c>
      <c r="K4" s="370" t="s">
        <v>138</v>
      </c>
    </row>
    <row r="5" spans="1:11" ht="21.95" customHeight="1">
      <c r="A5" s="371"/>
      <c r="B5" s="378"/>
      <c r="C5" s="380"/>
      <c r="D5" s="371"/>
      <c r="E5" s="371"/>
      <c r="F5" s="371"/>
      <c r="G5" s="154" t="s">
        <v>139</v>
      </c>
      <c r="H5" s="154" t="s">
        <v>140</v>
      </c>
      <c r="I5" s="155" t="s">
        <v>141</v>
      </c>
      <c r="J5" s="371"/>
      <c r="K5" s="371"/>
    </row>
    <row r="6" spans="1:11" s="160" customFormat="1" ht="15.75">
      <c r="A6" s="156" t="s">
        <v>51</v>
      </c>
      <c r="B6" s="157" t="s">
        <v>142</v>
      </c>
      <c r="C6" s="157"/>
      <c r="D6" s="158"/>
      <c r="E6" s="158"/>
      <c r="F6" s="158"/>
      <c r="G6" s="159"/>
      <c r="H6" s="158"/>
      <c r="I6" s="158"/>
      <c r="J6" s="158"/>
      <c r="K6" s="158"/>
    </row>
    <row r="7" spans="1:11" s="160" customFormat="1" ht="15.75">
      <c r="A7" s="161" t="s">
        <v>143</v>
      </c>
      <c r="B7" s="162" t="s">
        <v>144</v>
      </c>
      <c r="C7" s="157"/>
      <c r="D7" s="158"/>
      <c r="E7" s="158"/>
      <c r="F7" s="158"/>
      <c r="G7" s="159"/>
      <c r="H7" s="158"/>
      <c r="I7" s="158"/>
      <c r="J7" s="158"/>
      <c r="K7" s="158"/>
    </row>
    <row r="8" spans="1:11" ht="28.5">
      <c r="A8" s="163">
        <v>1.1000000000000001</v>
      </c>
      <c r="B8" s="164" t="s">
        <v>145</v>
      </c>
      <c r="C8" s="165" t="s">
        <v>146</v>
      </c>
      <c r="D8" s="166" t="s">
        <v>147</v>
      </c>
      <c r="E8" s="166" t="s">
        <v>148</v>
      </c>
      <c r="F8" s="167">
        <v>1</v>
      </c>
      <c r="G8" s="168">
        <v>993.6</v>
      </c>
      <c r="H8" s="168">
        <f>G8*F8</f>
        <v>993.6</v>
      </c>
      <c r="I8" s="155"/>
      <c r="J8" s="169" t="s">
        <v>149</v>
      </c>
      <c r="K8" s="170" t="s">
        <v>150</v>
      </c>
    </row>
    <row r="9" spans="1:11" s="160" customFormat="1" ht="15.75">
      <c r="A9" s="170" t="s">
        <v>151</v>
      </c>
      <c r="B9" s="171" t="s">
        <v>152</v>
      </c>
      <c r="C9" s="171"/>
      <c r="D9" s="158"/>
      <c r="E9" s="158"/>
      <c r="F9" s="158"/>
      <c r="G9" s="159"/>
      <c r="H9" s="158"/>
      <c r="I9" s="158"/>
      <c r="J9" s="158"/>
      <c r="K9" s="158"/>
    </row>
    <row r="10" spans="1:11" ht="30">
      <c r="A10" s="144">
        <v>1</v>
      </c>
      <c r="B10" s="164" t="s">
        <v>153</v>
      </c>
      <c r="C10" s="172" t="s">
        <v>154</v>
      </c>
      <c r="D10" s="166" t="s">
        <v>147</v>
      </c>
      <c r="E10" s="166" t="s">
        <v>148</v>
      </c>
      <c r="F10" s="167">
        <v>1</v>
      </c>
      <c r="G10" s="168">
        <v>92.2</v>
      </c>
      <c r="H10" s="168">
        <f>G10*F10</f>
        <v>92.2</v>
      </c>
      <c r="I10" s="155"/>
      <c r="J10" s="169"/>
      <c r="K10" s="164"/>
    </row>
    <row r="11" spans="1:11" ht="30">
      <c r="A11" s="144">
        <v>2</v>
      </c>
      <c r="B11" s="164" t="s">
        <v>155</v>
      </c>
      <c r="C11" s="172" t="s">
        <v>156</v>
      </c>
      <c r="D11" s="166" t="s">
        <v>147</v>
      </c>
      <c r="E11" s="166" t="s">
        <v>148</v>
      </c>
      <c r="F11" s="167">
        <v>2</v>
      </c>
      <c r="G11" s="168">
        <v>47.8</v>
      </c>
      <c r="H11" s="168">
        <f>G11*F11</f>
        <v>95.6</v>
      </c>
      <c r="I11" s="155"/>
      <c r="J11" s="169"/>
      <c r="K11" s="164"/>
    </row>
    <row r="12" spans="1:11" ht="31.5">
      <c r="A12" s="144">
        <v>3</v>
      </c>
      <c r="B12" s="164" t="s">
        <v>157</v>
      </c>
      <c r="C12" s="172" t="s">
        <v>158</v>
      </c>
      <c r="D12" s="166" t="s">
        <v>147</v>
      </c>
      <c r="E12" s="166" t="s">
        <v>148</v>
      </c>
      <c r="F12" s="167">
        <v>3</v>
      </c>
      <c r="G12" s="168">
        <v>34.5</v>
      </c>
      <c r="H12" s="168">
        <f>G12*F12</f>
        <v>103.5</v>
      </c>
      <c r="I12" s="155"/>
      <c r="J12" s="169" t="s">
        <v>149</v>
      </c>
      <c r="K12" s="170" t="s">
        <v>150</v>
      </c>
    </row>
    <row r="13" spans="1:11" ht="30">
      <c r="A13" s="144">
        <v>4</v>
      </c>
      <c r="B13" s="164" t="s">
        <v>159</v>
      </c>
      <c r="C13" s="172" t="s">
        <v>160</v>
      </c>
      <c r="D13" s="166" t="s">
        <v>147</v>
      </c>
      <c r="E13" s="166" t="s">
        <v>148</v>
      </c>
      <c r="F13" s="167">
        <v>2</v>
      </c>
      <c r="G13" s="168">
        <v>49.3</v>
      </c>
      <c r="H13" s="168">
        <f>G13*F13</f>
        <v>98.6</v>
      </c>
      <c r="I13" s="155"/>
      <c r="J13" s="169"/>
      <c r="K13" s="164"/>
    </row>
    <row r="14" spans="1:11" s="173" customFormat="1" ht="15.75">
      <c r="A14" s="161" t="s">
        <v>161</v>
      </c>
      <c r="B14" s="164" t="s">
        <v>162</v>
      </c>
      <c r="C14" s="172"/>
      <c r="D14" s="158"/>
      <c r="E14" s="158"/>
      <c r="F14" s="158"/>
      <c r="G14" s="158"/>
      <c r="H14" s="158"/>
      <c r="I14" s="158"/>
      <c r="J14" s="158"/>
      <c r="K14" s="158"/>
    </row>
    <row r="15" spans="1:11" ht="15.75">
      <c r="A15" s="163">
        <v>1</v>
      </c>
      <c r="B15" s="145" t="s">
        <v>163</v>
      </c>
      <c r="C15" s="146" t="s">
        <v>164</v>
      </c>
      <c r="D15" s="166" t="s">
        <v>147</v>
      </c>
      <c r="E15" s="166" t="s">
        <v>148</v>
      </c>
      <c r="F15" s="167">
        <v>1</v>
      </c>
      <c r="G15" s="174">
        <v>240</v>
      </c>
      <c r="H15" s="174">
        <f t="shared" ref="H15:H20" si="0">G15*F15</f>
        <v>240</v>
      </c>
      <c r="I15" s="166"/>
      <c r="J15" s="169" t="s">
        <v>149</v>
      </c>
      <c r="K15" s="170" t="s">
        <v>150</v>
      </c>
    </row>
    <row r="16" spans="1:11" s="175" customFormat="1" ht="15.75">
      <c r="A16" s="163">
        <v>2</v>
      </c>
      <c r="B16" s="145" t="s">
        <v>165</v>
      </c>
      <c r="C16" s="146" t="s">
        <v>166</v>
      </c>
      <c r="D16" s="166" t="s">
        <v>147</v>
      </c>
      <c r="E16" s="166" t="s">
        <v>148</v>
      </c>
      <c r="F16" s="167">
        <v>1</v>
      </c>
      <c r="G16" s="174">
        <v>70</v>
      </c>
      <c r="H16" s="174">
        <f t="shared" si="0"/>
        <v>70</v>
      </c>
      <c r="I16" s="166"/>
      <c r="J16" s="169" t="s">
        <v>149</v>
      </c>
      <c r="K16" s="170" t="s">
        <v>150</v>
      </c>
    </row>
    <row r="17" spans="1:14" s="175" customFormat="1" ht="15.75">
      <c r="A17" s="163">
        <v>3</v>
      </c>
      <c r="B17" s="145" t="s">
        <v>167</v>
      </c>
      <c r="C17" s="162" t="s">
        <v>168</v>
      </c>
      <c r="D17" s="166" t="s">
        <v>147</v>
      </c>
      <c r="E17" s="166" t="s">
        <v>148</v>
      </c>
      <c r="F17" s="167">
        <v>1</v>
      </c>
      <c r="G17" s="174">
        <v>40</v>
      </c>
      <c r="H17" s="174">
        <f t="shared" si="0"/>
        <v>40</v>
      </c>
      <c r="I17" s="166"/>
      <c r="J17" s="169" t="s">
        <v>149</v>
      </c>
      <c r="K17" s="170" t="s">
        <v>150</v>
      </c>
    </row>
    <row r="18" spans="1:14" s="175" customFormat="1" ht="15.75">
      <c r="A18" s="163">
        <v>4</v>
      </c>
      <c r="B18" s="147" t="s">
        <v>169</v>
      </c>
      <c r="C18" s="148" t="s">
        <v>170</v>
      </c>
      <c r="D18" s="166" t="s">
        <v>147</v>
      </c>
      <c r="E18" s="166" t="s">
        <v>148</v>
      </c>
      <c r="F18" s="167">
        <v>1</v>
      </c>
      <c r="G18" s="168">
        <v>90</v>
      </c>
      <c r="H18" s="174">
        <f t="shared" si="0"/>
        <v>90</v>
      </c>
      <c r="I18" s="166"/>
      <c r="J18" s="169" t="s">
        <v>149</v>
      </c>
      <c r="K18" s="170" t="s">
        <v>150</v>
      </c>
    </row>
    <row r="19" spans="1:14" s="175" customFormat="1" ht="47.25">
      <c r="A19" s="163">
        <v>5</v>
      </c>
      <c r="B19" s="148" t="s">
        <v>171</v>
      </c>
      <c r="C19" s="148" t="s">
        <v>172</v>
      </c>
      <c r="D19" s="166" t="s">
        <v>147</v>
      </c>
      <c r="E19" s="166" t="s">
        <v>148</v>
      </c>
      <c r="F19" s="166">
        <v>1</v>
      </c>
      <c r="G19" s="168">
        <v>372</v>
      </c>
      <c r="H19" s="174">
        <f t="shared" si="0"/>
        <v>372</v>
      </c>
      <c r="I19" s="166"/>
      <c r="J19" s="169" t="s">
        <v>149</v>
      </c>
      <c r="K19" s="170" t="s">
        <v>150</v>
      </c>
    </row>
    <row r="20" spans="1:14" s="175" customFormat="1" ht="31.5">
      <c r="A20" s="163">
        <v>6</v>
      </c>
      <c r="B20" s="148" t="s">
        <v>173</v>
      </c>
      <c r="C20" s="148" t="s">
        <v>174</v>
      </c>
      <c r="D20" s="166" t="s">
        <v>147</v>
      </c>
      <c r="E20" s="166" t="s">
        <v>148</v>
      </c>
      <c r="F20" s="166">
        <v>1</v>
      </c>
      <c r="G20" s="168">
        <v>404.5</v>
      </c>
      <c r="H20" s="174">
        <f t="shared" si="0"/>
        <v>404.5</v>
      </c>
      <c r="I20" s="166"/>
      <c r="J20" s="169" t="s">
        <v>149</v>
      </c>
      <c r="K20" s="170" t="s">
        <v>150</v>
      </c>
      <c r="L20" s="176"/>
      <c r="M20" s="176"/>
      <c r="N20" s="176"/>
    </row>
    <row r="21" spans="1:14" s="160" customFormat="1" ht="15.75">
      <c r="A21" s="170" t="s">
        <v>175</v>
      </c>
      <c r="B21" s="148" t="s">
        <v>176</v>
      </c>
      <c r="C21" s="148"/>
      <c r="D21" s="158"/>
      <c r="E21" s="158"/>
      <c r="F21" s="158"/>
      <c r="G21" s="159"/>
      <c r="H21" s="177"/>
      <c r="I21" s="158"/>
      <c r="J21" s="158"/>
      <c r="K21" s="158"/>
    </row>
    <row r="22" spans="1:14" ht="15.75">
      <c r="A22" s="163">
        <v>1</v>
      </c>
      <c r="B22" s="164" t="s">
        <v>177</v>
      </c>
      <c r="C22" s="172" t="s">
        <v>178</v>
      </c>
      <c r="D22" s="166" t="s">
        <v>147</v>
      </c>
      <c r="E22" s="166" t="s">
        <v>179</v>
      </c>
      <c r="F22" s="167">
        <v>2</v>
      </c>
      <c r="G22" s="168">
        <f>6.9/2+24.5</f>
        <v>27.95</v>
      </c>
      <c r="H22" s="168">
        <f t="shared" ref="H22:H30" si="1">G22*F22</f>
        <v>55.9</v>
      </c>
      <c r="I22" s="155"/>
      <c r="J22" s="169"/>
      <c r="K22" s="164"/>
    </row>
    <row r="23" spans="1:14" ht="31.5">
      <c r="A23" s="163">
        <v>2</v>
      </c>
      <c r="B23" s="164" t="s">
        <v>180</v>
      </c>
      <c r="C23" s="172" t="s">
        <v>181</v>
      </c>
      <c r="D23" s="166" t="s">
        <v>147</v>
      </c>
      <c r="E23" s="166" t="s">
        <v>148</v>
      </c>
      <c r="F23" s="167">
        <v>2</v>
      </c>
      <c r="G23" s="168">
        <f>7.7+103.5</f>
        <v>111.2</v>
      </c>
      <c r="H23" s="168">
        <f t="shared" si="1"/>
        <v>222.4</v>
      </c>
      <c r="I23" s="155"/>
      <c r="J23" s="169" t="s">
        <v>149</v>
      </c>
      <c r="K23" s="170" t="s">
        <v>150</v>
      </c>
    </row>
    <row r="24" spans="1:14" ht="15.75">
      <c r="A24" s="163">
        <v>3</v>
      </c>
      <c r="B24" s="178" t="s">
        <v>182</v>
      </c>
      <c r="C24" s="172"/>
      <c r="D24" s="166"/>
      <c r="E24" s="166" t="s">
        <v>179</v>
      </c>
      <c r="F24" s="167">
        <v>1</v>
      </c>
      <c r="G24" s="168"/>
      <c r="H24" s="168">
        <f>SUM(H25:H26)</f>
        <v>838.7</v>
      </c>
      <c r="I24" s="155"/>
      <c r="J24" s="169" t="s">
        <v>149</v>
      </c>
      <c r="K24" s="170" t="s">
        <v>150</v>
      </c>
    </row>
    <row r="25" spans="1:14" ht="31.5">
      <c r="A25" s="179">
        <v>1</v>
      </c>
      <c r="B25" s="164" t="s">
        <v>183</v>
      </c>
      <c r="C25" s="172" t="s">
        <v>184</v>
      </c>
      <c r="D25" s="166" t="s">
        <v>147</v>
      </c>
      <c r="E25" s="180" t="s">
        <v>185</v>
      </c>
      <c r="F25" s="179">
        <v>4</v>
      </c>
      <c r="G25" s="181">
        <f>35.5/4+170.8</f>
        <v>179.67500000000001</v>
      </c>
      <c r="H25" s="181">
        <f t="shared" si="1"/>
        <v>718.7</v>
      </c>
      <c r="I25" s="155"/>
      <c r="J25" s="169"/>
      <c r="K25" s="164"/>
    </row>
    <row r="26" spans="1:14" s="175" customFormat="1" ht="15.75">
      <c r="A26" s="179">
        <v>2</v>
      </c>
      <c r="B26" s="171" t="s">
        <v>186</v>
      </c>
      <c r="C26" s="182" t="s">
        <v>187</v>
      </c>
      <c r="D26" s="166" t="s">
        <v>147</v>
      </c>
      <c r="E26" s="180" t="s">
        <v>185</v>
      </c>
      <c r="F26" s="179">
        <v>30</v>
      </c>
      <c r="G26" s="181">
        <v>4</v>
      </c>
      <c r="H26" s="181">
        <f>G26*F26</f>
        <v>120</v>
      </c>
      <c r="I26" s="166"/>
      <c r="J26" s="170" t="s">
        <v>149</v>
      </c>
      <c r="K26" s="170" t="s">
        <v>150</v>
      </c>
    </row>
    <row r="27" spans="1:14" ht="31.5">
      <c r="A27" s="163">
        <v>4</v>
      </c>
      <c r="B27" s="164" t="s">
        <v>188</v>
      </c>
      <c r="C27" s="172" t="s">
        <v>189</v>
      </c>
      <c r="D27" s="166" t="s">
        <v>147</v>
      </c>
      <c r="E27" s="166" t="s">
        <v>148</v>
      </c>
      <c r="F27" s="167">
        <v>1</v>
      </c>
      <c r="G27" s="168">
        <f>60.1+357.8</f>
        <v>417.90000000000003</v>
      </c>
      <c r="H27" s="168">
        <f t="shared" si="1"/>
        <v>417.90000000000003</v>
      </c>
      <c r="I27" s="155"/>
      <c r="J27" s="170" t="s">
        <v>149</v>
      </c>
      <c r="K27" s="170" t="s">
        <v>150</v>
      </c>
    </row>
    <row r="28" spans="1:14" ht="30">
      <c r="A28" s="163">
        <v>5</v>
      </c>
      <c r="B28" s="164" t="s">
        <v>190</v>
      </c>
      <c r="C28" s="172" t="s">
        <v>191</v>
      </c>
      <c r="D28" s="166" t="s">
        <v>147</v>
      </c>
      <c r="E28" s="166" t="s">
        <v>179</v>
      </c>
      <c r="F28" s="167">
        <v>2</v>
      </c>
      <c r="G28" s="168">
        <v>39.4</v>
      </c>
      <c r="H28" s="168">
        <f t="shared" si="1"/>
        <v>78.8</v>
      </c>
      <c r="I28" s="155"/>
      <c r="J28" s="169"/>
      <c r="K28" s="164"/>
    </row>
    <row r="29" spans="1:14" ht="15.75">
      <c r="A29" s="163">
        <v>6</v>
      </c>
      <c r="B29" s="178" t="s">
        <v>192</v>
      </c>
      <c r="C29" s="172"/>
      <c r="D29" s="166"/>
      <c r="E29" s="166"/>
      <c r="F29" s="167">
        <v>1</v>
      </c>
      <c r="G29" s="168"/>
      <c r="H29" s="168">
        <f>SUM(H30:H31)</f>
        <v>686.4</v>
      </c>
      <c r="I29" s="155"/>
      <c r="J29" s="169"/>
      <c r="K29" s="164"/>
    </row>
    <row r="30" spans="1:14" ht="15.75">
      <c r="A30" s="179">
        <v>1</v>
      </c>
      <c r="B30" s="164" t="s">
        <v>193</v>
      </c>
      <c r="C30" s="172" t="s">
        <v>194</v>
      </c>
      <c r="D30" s="166" t="s">
        <v>147</v>
      </c>
      <c r="E30" s="180" t="s">
        <v>195</v>
      </c>
      <c r="F30" s="179">
        <v>8</v>
      </c>
      <c r="G30" s="181">
        <v>55.8</v>
      </c>
      <c r="H30" s="181">
        <f t="shared" si="1"/>
        <v>446.4</v>
      </c>
      <c r="I30" s="155"/>
      <c r="J30" s="170" t="s">
        <v>149</v>
      </c>
      <c r="K30" s="170" t="s">
        <v>150</v>
      </c>
    </row>
    <row r="31" spans="1:14" s="175" customFormat="1" ht="15.75">
      <c r="A31" s="179">
        <v>2</v>
      </c>
      <c r="B31" s="171" t="s">
        <v>196</v>
      </c>
      <c r="C31" s="171" t="s">
        <v>197</v>
      </c>
      <c r="D31" s="166" t="s">
        <v>147</v>
      </c>
      <c r="E31" s="180" t="s">
        <v>185</v>
      </c>
      <c r="F31" s="179">
        <v>200</v>
      </c>
      <c r="G31" s="181">
        <v>1.2</v>
      </c>
      <c r="H31" s="181">
        <f>G31*F31</f>
        <v>240</v>
      </c>
      <c r="I31" s="166"/>
      <c r="J31" s="170" t="s">
        <v>149</v>
      </c>
      <c r="K31" s="170" t="s">
        <v>150</v>
      </c>
      <c r="L31" s="183"/>
      <c r="M31" s="184"/>
      <c r="N31" s="185"/>
    </row>
    <row r="32" spans="1:14" s="160" customFormat="1" ht="15.75">
      <c r="A32" s="170" t="s">
        <v>198</v>
      </c>
      <c r="B32" s="164" t="s">
        <v>199</v>
      </c>
      <c r="C32" s="172"/>
      <c r="D32" s="158"/>
      <c r="E32" s="158"/>
      <c r="F32" s="158"/>
      <c r="G32" s="159"/>
      <c r="H32" s="177"/>
      <c r="I32" s="158"/>
      <c r="J32" s="158"/>
      <c r="K32" s="158"/>
    </row>
    <row r="33" spans="1:11" ht="30">
      <c r="A33" s="166">
        <v>1</v>
      </c>
      <c r="B33" s="164" t="s">
        <v>200</v>
      </c>
      <c r="C33" s="172" t="s">
        <v>201</v>
      </c>
      <c r="D33" s="166" t="s">
        <v>147</v>
      </c>
      <c r="E33" s="166" t="s">
        <v>179</v>
      </c>
      <c r="F33" s="167">
        <v>1</v>
      </c>
      <c r="G33" s="168">
        <v>40.4</v>
      </c>
      <c r="H33" s="168">
        <f t="shared" ref="H33:H38" si="2">G33*F33</f>
        <v>40.4</v>
      </c>
      <c r="I33" s="155"/>
      <c r="J33" s="169"/>
      <c r="K33" s="164"/>
    </row>
    <row r="34" spans="1:11" ht="15.75">
      <c r="A34" s="166">
        <v>2</v>
      </c>
      <c r="B34" s="164" t="s">
        <v>202</v>
      </c>
      <c r="C34" s="172" t="s">
        <v>203</v>
      </c>
      <c r="D34" s="166" t="s">
        <v>147</v>
      </c>
      <c r="E34" s="166" t="s">
        <v>179</v>
      </c>
      <c r="F34" s="167">
        <v>2</v>
      </c>
      <c r="G34" s="168">
        <f>0.5+11.6</f>
        <v>12.1</v>
      </c>
      <c r="H34" s="168">
        <f t="shared" si="2"/>
        <v>24.2</v>
      </c>
      <c r="I34" s="155"/>
      <c r="J34" s="169"/>
      <c r="K34" s="164"/>
    </row>
    <row r="35" spans="1:11" ht="31.5">
      <c r="A35" s="166">
        <v>3</v>
      </c>
      <c r="B35" s="164" t="s">
        <v>204</v>
      </c>
      <c r="C35" s="172" t="s">
        <v>205</v>
      </c>
      <c r="D35" s="166" t="s">
        <v>147</v>
      </c>
      <c r="E35" s="166" t="s">
        <v>148</v>
      </c>
      <c r="F35" s="167">
        <v>2</v>
      </c>
      <c r="G35" s="168">
        <f>36.5/2+126.7</f>
        <v>144.94999999999999</v>
      </c>
      <c r="H35" s="168">
        <f t="shared" si="2"/>
        <v>289.89999999999998</v>
      </c>
      <c r="I35" s="155"/>
      <c r="J35" s="170" t="s">
        <v>149</v>
      </c>
      <c r="K35" s="170" t="s">
        <v>150</v>
      </c>
    </row>
    <row r="36" spans="1:11" ht="31.5">
      <c r="A36" s="166">
        <v>4</v>
      </c>
      <c r="B36" s="164" t="s">
        <v>206</v>
      </c>
      <c r="C36" s="172" t="s">
        <v>207</v>
      </c>
      <c r="D36" s="166" t="s">
        <v>147</v>
      </c>
      <c r="E36" s="166" t="s">
        <v>179</v>
      </c>
      <c r="F36" s="167">
        <v>1</v>
      </c>
      <c r="G36" s="168">
        <v>80.8</v>
      </c>
      <c r="H36" s="168">
        <f t="shared" si="2"/>
        <v>80.8</v>
      </c>
      <c r="I36" s="155"/>
      <c r="J36" s="169"/>
      <c r="K36" s="164"/>
    </row>
    <row r="37" spans="1:11" ht="31.5">
      <c r="A37" s="166">
        <v>5</v>
      </c>
      <c r="B37" s="164" t="s">
        <v>208</v>
      </c>
      <c r="C37" s="172" t="s">
        <v>209</v>
      </c>
      <c r="D37" s="166" t="s">
        <v>147</v>
      </c>
      <c r="E37" s="166" t="s">
        <v>148</v>
      </c>
      <c r="F37" s="167">
        <v>2</v>
      </c>
      <c r="G37" s="168">
        <f>50.5/2+217.4</f>
        <v>242.65</v>
      </c>
      <c r="H37" s="168">
        <f t="shared" si="2"/>
        <v>485.3</v>
      </c>
      <c r="I37" s="155"/>
      <c r="J37" s="170" t="s">
        <v>149</v>
      </c>
      <c r="K37" s="170" t="s">
        <v>150</v>
      </c>
    </row>
    <row r="38" spans="1:11" ht="31.5">
      <c r="A38" s="166">
        <v>6</v>
      </c>
      <c r="B38" s="164" t="s">
        <v>210</v>
      </c>
      <c r="C38" s="172" t="s">
        <v>211</v>
      </c>
      <c r="D38" s="166" t="s">
        <v>147</v>
      </c>
      <c r="E38" s="166" t="s">
        <v>148</v>
      </c>
      <c r="F38" s="167">
        <v>1</v>
      </c>
      <c r="G38" s="168">
        <f>60.1+385</f>
        <v>445.1</v>
      </c>
      <c r="H38" s="168">
        <f t="shared" si="2"/>
        <v>445.1</v>
      </c>
      <c r="I38" s="155"/>
      <c r="J38" s="170" t="s">
        <v>149</v>
      </c>
      <c r="K38" s="170" t="s">
        <v>150</v>
      </c>
    </row>
    <row r="39" spans="1:11" s="160" customFormat="1" ht="15.75">
      <c r="A39" s="170" t="s">
        <v>212</v>
      </c>
      <c r="B39" s="164" t="s">
        <v>213</v>
      </c>
      <c r="C39" s="172"/>
      <c r="D39" s="158"/>
      <c r="E39" s="158"/>
      <c r="F39" s="158"/>
      <c r="G39" s="159"/>
      <c r="H39" s="177"/>
      <c r="I39" s="158"/>
      <c r="J39" s="158"/>
      <c r="K39" s="158"/>
    </row>
    <row r="40" spans="1:11" ht="44.25">
      <c r="A40" s="166">
        <v>1</v>
      </c>
      <c r="B40" s="164" t="s">
        <v>200</v>
      </c>
      <c r="C40" s="172" t="s">
        <v>214</v>
      </c>
      <c r="D40" s="166" t="s">
        <v>147</v>
      </c>
      <c r="E40" s="166" t="s">
        <v>179</v>
      </c>
      <c r="F40" s="167">
        <v>1</v>
      </c>
      <c r="G40" s="168">
        <v>56.7</v>
      </c>
      <c r="H40" s="168">
        <f>G40*F40</f>
        <v>56.7</v>
      </c>
      <c r="I40" s="155"/>
      <c r="J40" s="169"/>
      <c r="K40" s="164"/>
    </row>
    <row r="41" spans="1:11" ht="15.75">
      <c r="A41" s="166">
        <v>2</v>
      </c>
      <c r="B41" s="164" t="s">
        <v>215</v>
      </c>
      <c r="C41" s="172" t="s">
        <v>216</v>
      </c>
      <c r="D41" s="166" t="s">
        <v>147</v>
      </c>
      <c r="E41" s="166" t="s">
        <v>179</v>
      </c>
      <c r="F41" s="167">
        <v>4</v>
      </c>
      <c r="G41" s="168">
        <v>58.2</v>
      </c>
      <c r="H41" s="168">
        <f>G41*F41</f>
        <v>232.8</v>
      </c>
      <c r="I41" s="155"/>
      <c r="J41" s="170" t="s">
        <v>149</v>
      </c>
      <c r="K41" s="170" t="s">
        <v>150</v>
      </c>
    </row>
    <row r="42" spans="1:11" ht="31.5">
      <c r="A42" s="166">
        <v>3</v>
      </c>
      <c r="B42" s="164" t="s">
        <v>217</v>
      </c>
      <c r="C42" s="172" t="s">
        <v>211</v>
      </c>
      <c r="D42" s="166" t="s">
        <v>147</v>
      </c>
      <c r="E42" s="166" t="s">
        <v>148</v>
      </c>
      <c r="F42" s="167">
        <v>1</v>
      </c>
      <c r="G42" s="168">
        <v>310.5</v>
      </c>
      <c r="H42" s="168">
        <f>G42*F42</f>
        <v>310.5</v>
      </c>
      <c r="I42" s="155"/>
      <c r="J42" s="170" t="s">
        <v>149</v>
      </c>
      <c r="K42" s="170" t="s">
        <v>150</v>
      </c>
    </row>
    <row r="43" spans="1:11" ht="77.25">
      <c r="A43" s="166">
        <v>4</v>
      </c>
      <c r="B43" s="164" t="s">
        <v>218</v>
      </c>
      <c r="C43" s="172" t="s">
        <v>219</v>
      </c>
      <c r="D43" s="166" t="s">
        <v>147</v>
      </c>
      <c r="E43" s="166" t="s">
        <v>179</v>
      </c>
      <c r="F43" s="167">
        <v>1</v>
      </c>
      <c r="G43" s="168">
        <v>475</v>
      </c>
      <c r="H43" s="168">
        <f>G43*F43</f>
        <v>475</v>
      </c>
      <c r="I43" s="155"/>
      <c r="J43" s="170" t="s">
        <v>149</v>
      </c>
      <c r="K43" s="170" t="s">
        <v>150</v>
      </c>
    </row>
    <row r="44" spans="1:11" s="160" customFormat="1" ht="15.75">
      <c r="A44" s="161" t="s">
        <v>220</v>
      </c>
      <c r="B44" s="164" t="s">
        <v>221</v>
      </c>
      <c r="C44" s="172"/>
      <c r="D44" s="158"/>
      <c r="E44" s="158"/>
      <c r="F44" s="158"/>
      <c r="G44" s="159"/>
      <c r="H44" s="177"/>
      <c r="I44" s="158"/>
      <c r="J44" s="158"/>
      <c r="K44" s="158"/>
    </row>
    <row r="45" spans="1:11" ht="47.25">
      <c r="A45" s="166">
        <v>1</v>
      </c>
      <c r="B45" s="164" t="s">
        <v>222</v>
      </c>
      <c r="C45" s="186" t="s">
        <v>223</v>
      </c>
      <c r="D45" s="166" t="s">
        <v>147</v>
      </c>
      <c r="E45" s="166" t="s">
        <v>148</v>
      </c>
      <c r="F45" s="167">
        <v>1</v>
      </c>
      <c r="G45" s="168">
        <v>51.8</v>
      </c>
      <c r="H45" s="168">
        <f>G45*F45</f>
        <v>51.8</v>
      </c>
      <c r="I45" s="155"/>
      <c r="J45" s="169"/>
      <c r="K45" s="164"/>
    </row>
    <row r="46" spans="1:11" s="160" customFormat="1" ht="15.75">
      <c r="A46" s="161" t="s">
        <v>224</v>
      </c>
      <c r="B46" s="171" t="s">
        <v>225</v>
      </c>
      <c r="C46" s="171"/>
      <c r="D46" s="158"/>
      <c r="E46" s="158"/>
      <c r="F46" s="158"/>
      <c r="G46" s="187"/>
      <c r="H46" s="187"/>
      <c r="I46" s="158"/>
      <c r="J46" s="158"/>
      <c r="K46" s="158"/>
    </row>
    <row r="47" spans="1:11" s="175" customFormat="1" ht="31.5">
      <c r="A47" s="166">
        <v>1</v>
      </c>
      <c r="B47" s="171" t="s">
        <v>226</v>
      </c>
      <c r="C47" s="182" t="s">
        <v>227</v>
      </c>
      <c r="D47" s="166" t="s">
        <v>147</v>
      </c>
      <c r="E47" s="166" t="s">
        <v>148</v>
      </c>
      <c r="F47" s="166">
        <v>1</v>
      </c>
      <c r="G47" s="168">
        <v>698.5</v>
      </c>
      <c r="H47" s="174">
        <f>G47*F47</f>
        <v>698.5</v>
      </c>
      <c r="I47" s="166"/>
      <c r="J47" s="170" t="s">
        <v>149</v>
      </c>
      <c r="K47" s="170" t="s">
        <v>150</v>
      </c>
    </row>
    <row r="48" spans="1:11" ht="15.75">
      <c r="A48" s="166">
        <v>2</v>
      </c>
      <c r="B48" s="164" t="s">
        <v>228</v>
      </c>
      <c r="C48" s="172" t="s">
        <v>229</v>
      </c>
      <c r="D48" s="166" t="s">
        <v>147</v>
      </c>
      <c r="E48" s="166" t="s">
        <v>148</v>
      </c>
      <c r="F48" s="167">
        <v>1</v>
      </c>
      <c r="G48" s="168">
        <v>212</v>
      </c>
      <c r="H48" s="168">
        <f>G48*F48</f>
        <v>212</v>
      </c>
      <c r="I48" s="155"/>
      <c r="J48" s="170" t="s">
        <v>149</v>
      </c>
      <c r="K48" s="170" t="s">
        <v>150</v>
      </c>
    </row>
    <row r="49" spans="1:14" s="175" customFormat="1" ht="31.5">
      <c r="A49" s="166">
        <v>3</v>
      </c>
      <c r="B49" s="171" t="s">
        <v>230</v>
      </c>
      <c r="C49" s="182" t="s">
        <v>231</v>
      </c>
      <c r="D49" s="166" t="s">
        <v>147</v>
      </c>
      <c r="E49" s="166" t="s">
        <v>148</v>
      </c>
      <c r="F49" s="166">
        <v>1</v>
      </c>
      <c r="G49" s="168">
        <v>204</v>
      </c>
      <c r="H49" s="174">
        <f>G49*F49</f>
        <v>204</v>
      </c>
      <c r="I49" s="166"/>
      <c r="J49" s="170" t="s">
        <v>149</v>
      </c>
      <c r="K49" s="170" t="s">
        <v>150</v>
      </c>
    </row>
    <row r="50" spans="1:14" s="175" customFormat="1" ht="15.75">
      <c r="A50" s="166">
        <v>4</v>
      </c>
      <c r="B50" s="148" t="s">
        <v>232</v>
      </c>
      <c r="C50" s="148" t="s">
        <v>233</v>
      </c>
      <c r="D50" s="166" t="s">
        <v>147</v>
      </c>
      <c r="E50" s="166" t="s">
        <v>148</v>
      </c>
      <c r="F50" s="166">
        <v>2</v>
      </c>
      <c r="G50" s="168">
        <v>10</v>
      </c>
      <c r="H50" s="174">
        <f>G50*F50</f>
        <v>20</v>
      </c>
      <c r="I50" s="166"/>
      <c r="J50" s="169"/>
      <c r="K50" s="166"/>
      <c r="L50" s="176"/>
      <c r="M50" s="176"/>
      <c r="N50" s="176"/>
    </row>
    <row r="51" spans="1:14" s="175" customFormat="1" ht="15.75">
      <c r="A51" s="166">
        <v>5</v>
      </c>
      <c r="B51" s="171" t="s">
        <v>234</v>
      </c>
      <c r="C51" s="171" t="s">
        <v>1234</v>
      </c>
      <c r="D51" s="166" t="s">
        <v>147</v>
      </c>
      <c r="E51" s="166" t="s">
        <v>148</v>
      </c>
      <c r="F51" s="166">
        <v>1</v>
      </c>
      <c r="G51" s="168">
        <v>330</v>
      </c>
      <c r="H51" s="174">
        <f>G51*F51</f>
        <v>330</v>
      </c>
      <c r="I51" s="166"/>
      <c r="J51" s="166" t="s">
        <v>235</v>
      </c>
      <c r="K51" s="166" t="s">
        <v>236</v>
      </c>
    </row>
    <row r="52" spans="1:14" s="175" customFormat="1" ht="15.75">
      <c r="A52" s="170" t="s">
        <v>237</v>
      </c>
      <c r="B52" s="162" t="s">
        <v>238</v>
      </c>
      <c r="C52" s="171"/>
      <c r="D52" s="166"/>
      <c r="E52" s="166"/>
      <c r="F52" s="166"/>
      <c r="G52" s="168"/>
      <c r="H52" s="174"/>
      <c r="I52" s="166"/>
      <c r="J52" s="169"/>
      <c r="K52" s="166"/>
    </row>
    <row r="53" spans="1:14" s="175" customFormat="1" ht="15.75">
      <c r="A53" s="166">
        <v>1</v>
      </c>
      <c r="B53" s="171" t="s">
        <v>239</v>
      </c>
      <c r="C53" s="182"/>
      <c r="D53" s="166" t="s">
        <v>147</v>
      </c>
      <c r="E53" s="166" t="s">
        <v>148</v>
      </c>
      <c r="F53" s="166">
        <v>10</v>
      </c>
      <c r="G53" s="174">
        <v>2</v>
      </c>
      <c r="H53" s="174">
        <f>G53*F53</f>
        <v>20</v>
      </c>
      <c r="I53" s="166"/>
      <c r="J53" s="169"/>
      <c r="K53" s="166"/>
      <c r="L53" s="183"/>
      <c r="M53" s="184"/>
      <c r="N53" s="185"/>
    </row>
    <row r="54" spans="1:14" s="175" customFormat="1" ht="31.5">
      <c r="A54" s="166">
        <v>2</v>
      </c>
      <c r="B54" s="171" t="s">
        <v>240</v>
      </c>
      <c r="C54" s="182" t="s">
        <v>241</v>
      </c>
      <c r="D54" s="166" t="s">
        <v>147</v>
      </c>
      <c r="E54" s="166" t="s">
        <v>148</v>
      </c>
      <c r="F54" s="166">
        <v>30</v>
      </c>
      <c r="G54" s="174">
        <v>1.3340000000000001</v>
      </c>
      <c r="H54" s="174">
        <f>G54*F54</f>
        <v>40.020000000000003</v>
      </c>
      <c r="I54" s="166"/>
      <c r="J54" s="169"/>
      <c r="K54" s="166"/>
      <c r="L54" s="183"/>
      <c r="M54" s="184"/>
      <c r="N54" s="185"/>
    </row>
    <row r="55" spans="1:14" ht="31.5">
      <c r="A55" s="166">
        <v>3</v>
      </c>
      <c r="B55" s="171" t="s">
        <v>242</v>
      </c>
      <c r="C55" s="182" t="s">
        <v>243</v>
      </c>
      <c r="D55" s="166" t="s">
        <v>147</v>
      </c>
      <c r="E55" s="166" t="s">
        <v>148</v>
      </c>
      <c r="F55" s="166">
        <v>10</v>
      </c>
      <c r="G55" s="188">
        <v>2</v>
      </c>
      <c r="H55" s="174">
        <f>G55*F55</f>
        <v>20</v>
      </c>
      <c r="I55" s="166"/>
      <c r="J55" s="169"/>
      <c r="K55" s="166"/>
    </row>
    <row r="56" spans="1:14" ht="15.75">
      <c r="A56" s="166"/>
      <c r="B56" s="171"/>
      <c r="C56" s="171"/>
      <c r="D56" s="166"/>
      <c r="E56" s="166"/>
      <c r="F56" s="166"/>
      <c r="G56" s="188"/>
      <c r="H56" s="174"/>
      <c r="I56" s="166"/>
      <c r="J56" s="166"/>
      <c r="K56" s="166"/>
    </row>
    <row r="57" spans="1:14" s="160" customFormat="1" ht="15.75">
      <c r="A57" s="158"/>
      <c r="B57" s="158" t="s">
        <v>244</v>
      </c>
      <c r="C57" s="157"/>
      <c r="D57" s="158"/>
      <c r="E57" s="158"/>
      <c r="F57" s="189">
        <f>SUM(F8,F10:F13,F15:F20,F22:F24,F27:F29,F33:F38,F40:F43,F45,F47:F51,F53:F55)</f>
        <v>97</v>
      </c>
      <c r="G57" s="159"/>
      <c r="H57" s="190">
        <f>SUM(H8,H10:H13,H15:H20,H22:H24,H27:H29,H33:H38,H40:H43,H45,H47:H51,H53:H55)</f>
        <v>8937.119999999999</v>
      </c>
      <c r="I57" s="158"/>
      <c r="J57" s="158"/>
      <c r="K57" s="158"/>
    </row>
    <row r="58" spans="1:14" ht="15.75">
      <c r="A58" s="166"/>
      <c r="B58" s="171"/>
      <c r="C58" s="171"/>
      <c r="D58" s="166"/>
      <c r="E58" s="166"/>
      <c r="F58" s="166"/>
      <c r="G58" s="188"/>
      <c r="H58" s="188"/>
      <c r="I58" s="166"/>
      <c r="J58" s="166"/>
      <c r="K58" s="166"/>
    </row>
    <row r="59" spans="1:14" s="173" customFormat="1" ht="15.75">
      <c r="A59" s="191" t="s">
        <v>103</v>
      </c>
      <c r="B59" s="157" t="s">
        <v>245</v>
      </c>
      <c r="C59" s="171"/>
      <c r="D59" s="158"/>
      <c r="E59" s="158"/>
      <c r="F59" s="158"/>
      <c r="G59" s="187"/>
      <c r="H59" s="187"/>
      <c r="I59" s="158"/>
      <c r="J59" s="158"/>
      <c r="K59" s="158"/>
    </row>
    <row r="60" spans="1:14" ht="15.75">
      <c r="A60" s="166">
        <v>1</v>
      </c>
      <c r="B60" s="162" t="s">
        <v>246</v>
      </c>
      <c r="C60" s="171" t="s">
        <v>247</v>
      </c>
      <c r="D60" s="166" t="s">
        <v>147</v>
      </c>
      <c r="E60" s="166" t="s">
        <v>148</v>
      </c>
      <c r="F60" s="166">
        <v>5</v>
      </c>
      <c r="G60" s="174">
        <v>1</v>
      </c>
      <c r="H60" s="174">
        <f>G60*F60</f>
        <v>5</v>
      </c>
      <c r="I60" s="166"/>
      <c r="J60" s="169"/>
      <c r="K60" s="166"/>
    </row>
    <row r="61" spans="1:14" ht="15.75">
      <c r="A61" s="166">
        <v>2</v>
      </c>
      <c r="B61" s="162" t="s">
        <v>248</v>
      </c>
      <c r="C61" s="171" t="s">
        <v>249</v>
      </c>
      <c r="D61" s="166" t="s">
        <v>147</v>
      </c>
      <c r="E61" s="166" t="s">
        <v>148</v>
      </c>
      <c r="F61" s="163">
        <v>5</v>
      </c>
      <c r="G61" s="174">
        <v>2</v>
      </c>
      <c r="H61" s="174">
        <f>G61*F61</f>
        <v>10</v>
      </c>
      <c r="I61" s="166"/>
      <c r="J61" s="169"/>
      <c r="K61" s="158"/>
    </row>
    <row r="62" spans="1:14" ht="15.75">
      <c r="A62" s="166">
        <v>3</v>
      </c>
      <c r="B62" s="162" t="s">
        <v>250</v>
      </c>
      <c r="C62" s="171" t="s">
        <v>251</v>
      </c>
      <c r="D62" s="166" t="s">
        <v>147</v>
      </c>
      <c r="E62" s="166" t="s">
        <v>148</v>
      </c>
      <c r="F62" s="163">
        <v>3</v>
      </c>
      <c r="G62" s="174">
        <v>23.332999999999998</v>
      </c>
      <c r="H62" s="174">
        <f>G62*F62</f>
        <v>69.998999999999995</v>
      </c>
      <c r="I62" s="166"/>
      <c r="J62" s="169"/>
      <c r="K62" s="158"/>
    </row>
    <row r="63" spans="1:14" ht="15.75">
      <c r="A63" s="166">
        <v>4</v>
      </c>
      <c r="B63" s="162" t="s">
        <v>252</v>
      </c>
      <c r="C63" s="171" t="s">
        <v>253</v>
      </c>
      <c r="D63" s="166" t="s">
        <v>147</v>
      </c>
      <c r="E63" s="166" t="s">
        <v>148</v>
      </c>
      <c r="F63" s="166">
        <v>1</v>
      </c>
      <c r="G63" s="174">
        <v>2</v>
      </c>
      <c r="H63" s="174">
        <f>G63*F63</f>
        <v>2</v>
      </c>
      <c r="I63" s="166"/>
      <c r="J63" s="169"/>
      <c r="K63" s="166"/>
    </row>
    <row r="64" spans="1:14" ht="15.75">
      <c r="A64" s="166">
        <v>5</v>
      </c>
      <c r="B64" s="171" t="s">
        <v>254</v>
      </c>
      <c r="C64" s="171"/>
      <c r="D64" s="166" t="s">
        <v>147</v>
      </c>
      <c r="E64" s="166" t="s">
        <v>148</v>
      </c>
      <c r="F64" s="166">
        <v>3</v>
      </c>
      <c r="G64" s="174">
        <v>1</v>
      </c>
      <c r="H64" s="174">
        <f>G64*F64</f>
        <v>3</v>
      </c>
      <c r="I64" s="166"/>
      <c r="J64" s="169"/>
      <c r="K64" s="166"/>
    </row>
    <row r="65" spans="1:11" ht="15.75">
      <c r="A65" s="166"/>
      <c r="B65" s="171"/>
      <c r="C65" s="171"/>
      <c r="D65" s="166"/>
      <c r="E65" s="166"/>
      <c r="F65" s="166"/>
      <c r="G65" s="188"/>
      <c r="H65" s="188"/>
      <c r="I65" s="166"/>
      <c r="J65" s="166"/>
      <c r="K65" s="166"/>
    </row>
    <row r="66" spans="1:11" s="160" customFormat="1" ht="15.75">
      <c r="A66" s="158"/>
      <c r="B66" s="158" t="s">
        <v>244</v>
      </c>
      <c r="C66" s="157"/>
      <c r="D66" s="158"/>
      <c r="E66" s="158"/>
      <c r="F66" s="158">
        <f>SUM(F60:F65)</f>
        <v>17</v>
      </c>
      <c r="G66" s="159"/>
      <c r="H66" s="177">
        <f>SUM(H60:H65)</f>
        <v>89.998999999999995</v>
      </c>
      <c r="I66" s="158"/>
      <c r="J66" s="158"/>
      <c r="K66" s="158"/>
    </row>
    <row r="67" spans="1:11" ht="15.75">
      <c r="A67" s="166"/>
      <c r="B67" s="171"/>
      <c r="C67" s="171"/>
      <c r="D67" s="166"/>
      <c r="E67" s="166"/>
      <c r="F67" s="166"/>
      <c r="G67" s="188"/>
      <c r="H67" s="188"/>
      <c r="I67" s="166"/>
      <c r="J67" s="166"/>
      <c r="K67" s="166"/>
    </row>
    <row r="68" spans="1:11" s="173" customFormat="1" ht="15.75">
      <c r="A68" s="191" t="s">
        <v>104</v>
      </c>
      <c r="B68" s="192" t="s">
        <v>255</v>
      </c>
      <c r="C68" s="157"/>
      <c r="D68" s="158"/>
      <c r="E68" s="158"/>
      <c r="F68" s="158"/>
      <c r="G68" s="187"/>
      <c r="H68" s="187"/>
      <c r="I68" s="158"/>
      <c r="J68" s="158"/>
      <c r="K68" s="158"/>
    </row>
    <row r="69" spans="1:11" ht="15.75">
      <c r="A69" s="166">
        <v>1</v>
      </c>
      <c r="B69" s="171" t="s">
        <v>256</v>
      </c>
      <c r="C69" s="171"/>
      <c r="D69" s="166"/>
      <c r="E69" s="166"/>
      <c r="F69" s="166">
        <v>1</v>
      </c>
      <c r="G69" s="188"/>
      <c r="H69" s="188">
        <f>SUM(H70:H90)</f>
        <v>500.65000000000003</v>
      </c>
      <c r="I69" s="166"/>
      <c r="J69" s="170" t="s">
        <v>149</v>
      </c>
      <c r="K69" s="170" t="s">
        <v>150</v>
      </c>
    </row>
    <row r="70" spans="1:11" ht="15.75">
      <c r="A70" s="179">
        <v>1</v>
      </c>
      <c r="B70" s="171" t="s">
        <v>257</v>
      </c>
      <c r="C70" s="171" t="s">
        <v>258</v>
      </c>
      <c r="D70" s="166" t="s">
        <v>147</v>
      </c>
      <c r="E70" s="166" t="s">
        <v>148</v>
      </c>
      <c r="F70" s="179">
        <v>122</v>
      </c>
      <c r="G70" s="193">
        <v>0.2</v>
      </c>
      <c r="H70" s="181">
        <f t="shared" ref="H70:H90" si="3">G70*F70</f>
        <v>24.400000000000002</v>
      </c>
      <c r="I70" s="166"/>
      <c r="J70" s="166"/>
      <c r="K70" s="166"/>
    </row>
    <row r="71" spans="1:11" ht="15.75">
      <c r="A71" s="179">
        <v>2</v>
      </c>
      <c r="B71" s="171" t="s">
        <v>259</v>
      </c>
      <c r="C71" s="171" t="s">
        <v>260</v>
      </c>
      <c r="D71" s="166" t="s">
        <v>147</v>
      </c>
      <c r="E71" s="166" t="s">
        <v>148</v>
      </c>
      <c r="F71" s="179">
        <v>122</v>
      </c>
      <c r="G71" s="193">
        <v>0.12</v>
      </c>
      <c r="H71" s="181">
        <f t="shared" si="3"/>
        <v>14.639999999999999</v>
      </c>
      <c r="I71" s="166"/>
      <c r="J71" s="166"/>
      <c r="K71" s="166"/>
    </row>
    <row r="72" spans="1:11" ht="15.75">
      <c r="A72" s="179">
        <v>3</v>
      </c>
      <c r="B72" s="171" t="s">
        <v>261</v>
      </c>
      <c r="C72" s="182" t="s">
        <v>262</v>
      </c>
      <c r="D72" s="166" t="s">
        <v>147</v>
      </c>
      <c r="E72" s="166" t="s">
        <v>148</v>
      </c>
      <c r="F72" s="179">
        <v>122</v>
      </c>
      <c r="G72" s="193">
        <v>5.0000000000000001E-3</v>
      </c>
      <c r="H72" s="193">
        <f t="shared" si="3"/>
        <v>0.61</v>
      </c>
      <c r="I72" s="166"/>
      <c r="J72" s="166"/>
      <c r="K72" s="166"/>
    </row>
    <row r="73" spans="1:11" ht="31.5">
      <c r="A73" s="179">
        <v>4</v>
      </c>
      <c r="B73" s="171" t="s">
        <v>263</v>
      </c>
      <c r="C73" s="171" t="s">
        <v>264</v>
      </c>
      <c r="D73" s="166" t="s">
        <v>147</v>
      </c>
      <c r="E73" s="166" t="s">
        <v>148</v>
      </c>
      <c r="F73" s="179">
        <v>122</v>
      </c>
      <c r="G73" s="193">
        <v>0.4</v>
      </c>
      <c r="H73" s="181">
        <f t="shared" si="3"/>
        <v>48.800000000000004</v>
      </c>
      <c r="I73" s="166"/>
      <c r="J73" s="166"/>
      <c r="K73" s="166"/>
    </row>
    <row r="74" spans="1:11" ht="15.75">
      <c r="A74" s="179">
        <v>5</v>
      </c>
      <c r="B74" s="171" t="s">
        <v>265</v>
      </c>
      <c r="C74" s="182" t="s">
        <v>266</v>
      </c>
      <c r="D74" s="166" t="s">
        <v>147</v>
      </c>
      <c r="E74" s="166" t="s">
        <v>148</v>
      </c>
      <c r="F74" s="179">
        <v>122</v>
      </c>
      <c r="G74" s="193">
        <v>0.1</v>
      </c>
      <c r="H74" s="181">
        <f t="shared" si="3"/>
        <v>12.200000000000001</v>
      </c>
      <c r="I74" s="166"/>
      <c r="J74" s="166"/>
      <c r="K74" s="166"/>
    </row>
    <row r="75" spans="1:11" ht="15.75">
      <c r="A75" s="179">
        <v>6</v>
      </c>
      <c r="B75" s="171" t="s">
        <v>267</v>
      </c>
      <c r="C75" s="182" t="s">
        <v>268</v>
      </c>
      <c r="D75" s="166" t="s">
        <v>147</v>
      </c>
      <c r="E75" s="166" t="s">
        <v>148</v>
      </c>
      <c r="F75" s="179">
        <v>122</v>
      </c>
      <c r="G75" s="193">
        <v>0.1</v>
      </c>
      <c r="H75" s="181">
        <f t="shared" si="3"/>
        <v>12.200000000000001</v>
      </c>
      <c r="I75" s="166"/>
      <c r="J75" s="166"/>
      <c r="K75" s="166"/>
    </row>
    <row r="76" spans="1:11" ht="15.75">
      <c r="A76" s="179">
        <v>7</v>
      </c>
      <c r="B76" s="171" t="s">
        <v>269</v>
      </c>
      <c r="C76" s="182" t="s">
        <v>270</v>
      </c>
      <c r="D76" s="166" t="s">
        <v>147</v>
      </c>
      <c r="E76" s="166" t="s">
        <v>148</v>
      </c>
      <c r="F76" s="179">
        <v>122</v>
      </c>
      <c r="G76" s="193">
        <v>0.05</v>
      </c>
      <c r="H76" s="181">
        <f t="shared" si="3"/>
        <v>6.1000000000000005</v>
      </c>
      <c r="I76" s="166"/>
      <c r="J76" s="166"/>
      <c r="K76" s="166"/>
    </row>
    <row r="77" spans="1:11" ht="30">
      <c r="A77" s="179">
        <v>8</v>
      </c>
      <c r="B77" s="171" t="s">
        <v>271</v>
      </c>
      <c r="C77" s="171" t="s">
        <v>272</v>
      </c>
      <c r="D77" s="166" t="s">
        <v>147</v>
      </c>
      <c r="E77" s="166" t="s">
        <v>148</v>
      </c>
      <c r="F77" s="179">
        <v>122</v>
      </c>
      <c r="G77" s="193">
        <v>0.1</v>
      </c>
      <c r="H77" s="181">
        <f t="shared" si="3"/>
        <v>12.200000000000001</v>
      </c>
      <c r="I77" s="166"/>
      <c r="J77" s="166"/>
      <c r="K77" s="166"/>
    </row>
    <row r="78" spans="1:11" ht="31.5">
      <c r="A78" s="179">
        <v>9</v>
      </c>
      <c r="B78" s="171" t="s">
        <v>273</v>
      </c>
      <c r="C78" s="194" t="s">
        <v>274</v>
      </c>
      <c r="D78" s="166" t="s">
        <v>147</v>
      </c>
      <c r="E78" s="166" t="s">
        <v>148</v>
      </c>
      <c r="F78" s="179">
        <v>488</v>
      </c>
      <c r="G78" s="193">
        <v>0.33</v>
      </c>
      <c r="H78" s="181">
        <f t="shared" si="3"/>
        <v>161.04000000000002</v>
      </c>
      <c r="I78" s="195"/>
      <c r="J78" s="195"/>
      <c r="K78" s="196"/>
    </row>
    <row r="79" spans="1:11" ht="15.75">
      <c r="A79" s="179">
        <v>10</v>
      </c>
      <c r="B79" s="171" t="s">
        <v>275</v>
      </c>
      <c r="C79" s="182" t="s">
        <v>276</v>
      </c>
      <c r="D79" s="166" t="s">
        <v>147</v>
      </c>
      <c r="E79" s="166" t="s">
        <v>148</v>
      </c>
      <c r="F79" s="179">
        <v>400</v>
      </c>
      <c r="G79" s="193">
        <v>0.05</v>
      </c>
      <c r="H79" s="181">
        <f t="shared" si="3"/>
        <v>20</v>
      </c>
      <c r="I79" s="166"/>
      <c r="J79" s="166"/>
      <c r="K79" s="166"/>
    </row>
    <row r="80" spans="1:11" ht="15.75">
      <c r="A80" s="179">
        <v>11</v>
      </c>
      <c r="B80" s="171" t="s">
        <v>277</v>
      </c>
      <c r="C80" s="182" t="s">
        <v>278</v>
      </c>
      <c r="D80" s="166" t="s">
        <v>147</v>
      </c>
      <c r="E80" s="166" t="s">
        <v>148</v>
      </c>
      <c r="F80" s="179">
        <v>122</v>
      </c>
      <c r="G80" s="193">
        <v>0.03</v>
      </c>
      <c r="H80" s="181">
        <f t="shared" si="3"/>
        <v>3.6599999999999997</v>
      </c>
      <c r="I80" s="166"/>
      <c r="J80" s="166"/>
      <c r="K80" s="166"/>
    </row>
    <row r="81" spans="1:11" ht="15.75">
      <c r="A81" s="179">
        <v>12</v>
      </c>
      <c r="B81" s="171" t="s">
        <v>279</v>
      </c>
      <c r="C81" s="182" t="s">
        <v>280</v>
      </c>
      <c r="D81" s="166" t="s">
        <v>147</v>
      </c>
      <c r="E81" s="166" t="s">
        <v>148</v>
      </c>
      <c r="F81" s="179">
        <v>200</v>
      </c>
      <c r="G81" s="193">
        <v>0.01</v>
      </c>
      <c r="H81" s="181">
        <f t="shared" si="3"/>
        <v>2</v>
      </c>
      <c r="I81" s="166"/>
      <c r="J81" s="166"/>
      <c r="K81" s="166"/>
    </row>
    <row r="82" spans="1:11" ht="15.75">
      <c r="A82" s="179">
        <v>13</v>
      </c>
      <c r="B82" s="171" t="s">
        <v>281</v>
      </c>
      <c r="C82" s="182" t="s">
        <v>282</v>
      </c>
      <c r="D82" s="166" t="s">
        <v>147</v>
      </c>
      <c r="E82" s="166" t="s">
        <v>148</v>
      </c>
      <c r="F82" s="179">
        <v>400</v>
      </c>
      <c r="G82" s="193">
        <v>3.0000000000000001E-3</v>
      </c>
      <c r="H82" s="181">
        <f t="shared" si="3"/>
        <v>1.2</v>
      </c>
      <c r="I82" s="166"/>
      <c r="J82" s="166"/>
      <c r="K82" s="166"/>
    </row>
    <row r="83" spans="1:11" ht="15.75">
      <c r="A83" s="179">
        <v>14</v>
      </c>
      <c r="B83" s="171" t="s">
        <v>283</v>
      </c>
      <c r="C83" s="182" t="s">
        <v>284</v>
      </c>
      <c r="D83" s="166" t="s">
        <v>147</v>
      </c>
      <c r="E83" s="166" t="s">
        <v>148</v>
      </c>
      <c r="F83" s="179">
        <v>4</v>
      </c>
      <c r="G83" s="181">
        <v>12</v>
      </c>
      <c r="H83" s="181">
        <f t="shared" si="3"/>
        <v>48</v>
      </c>
      <c r="I83" s="166"/>
      <c r="J83" s="166"/>
      <c r="K83" s="166"/>
    </row>
    <row r="84" spans="1:11" ht="15.75">
      <c r="A84" s="179">
        <v>15</v>
      </c>
      <c r="B84" s="171" t="s">
        <v>285</v>
      </c>
      <c r="C84" s="171" t="s">
        <v>286</v>
      </c>
      <c r="D84" s="166" t="s">
        <v>147</v>
      </c>
      <c r="E84" s="166" t="s">
        <v>148</v>
      </c>
      <c r="F84" s="179">
        <v>8</v>
      </c>
      <c r="G84" s="181">
        <v>1</v>
      </c>
      <c r="H84" s="181">
        <f t="shared" si="3"/>
        <v>8</v>
      </c>
      <c r="I84" s="166"/>
      <c r="J84" s="166"/>
      <c r="K84" s="166"/>
    </row>
    <row r="85" spans="1:11" ht="15.75">
      <c r="A85" s="179">
        <v>16</v>
      </c>
      <c r="B85" s="171" t="s">
        <v>287</v>
      </c>
      <c r="C85" s="171" t="s">
        <v>288</v>
      </c>
      <c r="D85" s="166" t="s">
        <v>147</v>
      </c>
      <c r="E85" s="166" t="s">
        <v>148</v>
      </c>
      <c r="F85" s="179">
        <v>8</v>
      </c>
      <c r="G85" s="193">
        <v>0.4</v>
      </c>
      <c r="H85" s="181">
        <f t="shared" si="3"/>
        <v>3.2</v>
      </c>
      <c r="I85" s="166"/>
      <c r="J85" s="166"/>
      <c r="K85" s="166"/>
    </row>
    <row r="86" spans="1:11" ht="15.75">
      <c r="A86" s="179">
        <v>17</v>
      </c>
      <c r="B86" s="197" t="s">
        <v>289</v>
      </c>
      <c r="C86" s="194" t="s">
        <v>290</v>
      </c>
      <c r="D86" s="166" t="s">
        <v>147</v>
      </c>
      <c r="E86" s="166" t="s">
        <v>148</v>
      </c>
      <c r="F86" s="179">
        <v>50</v>
      </c>
      <c r="G86" s="193">
        <v>0.3</v>
      </c>
      <c r="H86" s="181">
        <f t="shared" si="3"/>
        <v>15</v>
      </c>
      <c r="I86" s="195"/>
      <c r="J86" s="195"/>
      <c r="K86" s="195"/>
    </row>
    <row r="87" spans="1:11" ht="15.75">
      <c r="A87" s="179">
        <v>18</v>
      </c>
      <c r="B87" s="197" t="s">
        <v>291</v>
      </c>
      <c r="C87" s="194" t="s">
        <v>292</v>
      </c>
      <c r="D87" s="166" t="s">
        <v>147</v>
      </c>
      <c r="E87" s="166" t="s">
        <v>148</v>
      </c>
      <c r="F87" s="179">
        <v>8</v>
      </c>
      <c r="G87" s="193">
        <v>0.05</v>
      </c>
      <c r="H87" s="193">
        <f t="shared" si="3"/>
        <v>0.4</v>
      </c>
      <c r="I87" s="195"/>
      <c r="J87" s="195"/>
      <c r="K87" s="195"/>
    </row>
    <row r="88" spans="1:11" ht="15.75">
      <c r="A88" s="179">
        <v>19</v>
      </c>
      <c r="B88" s="198" t="s">
        <v>293</v>
      </c>
      <c r="C88" s="172" t="s">
        <v>294</v>
      </c>
      <c r="D88" s="166" t="s">
        <v>147</v>
      </c>
      <c r="E88" s="166" t="s">
        <v>148</v>
      </c>
      <c r="F88" s="179">
        <v>8</v>
      </c>
      <c r="G88" s="181">
        <v>1.2</v>
      </c>
      <c r="H88" s="181">
        <f t="shared" si="3"/>
        <v>9.6</v>
      </c>
      <c r="I88" s="155"/>
      <c r="J88" s="155"/>
      <c r="K88" s="164"/>
    </row>
    <row r="89" spans="1:11" ht="15.75">
      <c r="A89" s="179">
        <v>20</v>
      </c>
      <c r="B89" s="198" t="s">
        <v>295</v>
      </c>
      <c r="C89" s="172" t="s">
        <v>296</v>
      </c>
      <c r="D89" s="166" t="s">
        <v>147</v>
      </c>
      <c r="E89" s="166" t="s">
        <v>148</v>
      </c>
      <c r="F89" s="179">
        <v>8</v>
      </c>
      <c r="G89" s="193">
        <v>0.3</v>
      </c>
      <c r="H89" s="181">
        <f t="shared" si="3"/>
        <v>2.4</v>
      </c>
      <c r="I89" s="155"/>
      <c r="J89" s="155"/>
      <c r="K89" s="164"/>
    </row>
    <row r="90" spans="1:11" ht="15.75">
      <c r="A90" s="179">
        <v>21</v>
      </c>
      <c r="B90" s="199" t="s">
        <v>297</v>
      </c>
      <c r="C90" s="199" t="s">
        <v>298</v>
      </c>
      <c r="D90" s="166" t="s">
        <v>147</v>
      </c>
      <c r="E90" s="166" t="s">
        <v>179</v>
      </c>
      <c r="F90" s="179">
        <v>1</v>
      </c>
      <c r="G90" s="181">
        <v>95</v>
      </c>
      <c r="H90" s="181">
        <f t="shared" si="3"/>
        <v>95</v>
      </c>
      <c r="I90" s="155"/>
      <c r="J90" s="155"/>
      <c r="K90" s="164"/>
    </row>
    <row r="91" spans="1:11" ht="15.75">
      <c r="A91" s="167"/>
      <c r="B91" s="164"/>
      <c r="C91" s="167"/>
      <c r="D91" s="167"/>
      <c r="E91" s="167"/>
      <c r="F91" s="167"/>
      <c r="G91" s="154"/>
      <c r="H91" s="200"/>
      <c r="I91" s="155"/>
      <c r="J91" s="155"/>
      <c r="K91" s="164"/>
    </row>
    <row r="92" spans="1:11" s="160" customFormat="1" ht="15.75">
      <c r="A92" s="158"/>
      <c r="B92" s="158" t="s">
        <v>244</v>
      </c>
      <c r="C92" s="157"/>
      <c r="D92" s="158"/>
      <c r="E92" s="158"/>
      <c r="F92" s="158">
        <f>SUM(F69)</f>
        <v>1</v>
      </c>
      <c r="G92" s="159"/>
      <c r="H92" s="177">
        <f>SUM(H69)</f>
        <v>500.65000000000003</v>
      </c>
      <c r="I92" s="158"/>
      <c r="J92" s="158"/>
      <c r="K92" s="158"/>
    </row>
    <row r="93" spans="1:11" ht="15.75">
      <c r="A93" s="167"/>
      <c r="B93" s="164"/>
      <c r="C93" s="167"/>
      <c r="D93" s="167"/>
      <c r="E93" s="167"/>
      <c r="F93" s="167"/>
      <c r="G93" s="154"/>
      <c r="H93" s="200"/>
      <c r="I93" s="155"/>
      <c r="J93" s="155"/>
      <c r="K93" s="164"/>
    </row>
    <row r="94" spans="1:11" s="173" customFormat="1" ht="15.75">
      <c r="A94" s="201"/>
      <c r="B94" s="202" t="s">
        <v>299</v>
      </c>
      <c r="C94" s="201"/>
      <c r="D94" s="201"/>
      <c r="E94" s="201"/>
      <c r="F94" s="201">
        <f>SUM(F92,F66,F57)</f>
        <v>115</v>
      </c>
      <c r="G94" s="203"/>
      <c r="H94" s="203">
        <f>SUM(H92,H66,H57)</f>
        <v>9527.7689999999984</v>
      </c>
      <c r="I94" s="204"/>
      <c r="J94" s="204"/>
      <c r="K94" s="202"/>
    </row>
    <row r="95" spans="1:11" s="173" customFormat="1" ht="15.75">
      <c r="A95" s="201"/>
      <c r="B95" s="202" t="s">
        <v>300</v>
      </c>
      <c r="C95" s="201"/>
      <c r="D95" s="201"/>
      <c r="E95" s="201"/>
      <c r="F95" s="201"/>
      <c r="G95" s="203"/>
      <c r="H95" s="203"/>
      <c r="I95" s="204"/>
      <c r="J95" s="204"/>
      <c r="K95" s="202"/>
    </row>
    <row r="96" spans="1:11" s="173" customFormat="1" ht="15.75">
      <c r="A96" s="201"/>
      <c r="B96" s="202" t="s">
        <v>301</v>
      </c>
      <c r="C96" s="201"/>
      <c r="D96" s="201"/>
      <c r="E96" s="201"/>
      <c r="F96" s="201"/>
      <c r="G96" s="203"/>
      <c r="H96" s="203">
        <f>工艺设备!G95</f>
        <v>499.38600000000008</v>
      </c>
      <c r="I96" s="204"/>
      <c r="J96" s="204"/>
      <c r="K96" s="202"/>
    </row>
    <row r="97" spans="1:11" s="173" customFormat="1" ht="15.75">
      <c r="A97" s="201"/>
      <c r="B97" s="202" t="s">
        <v>302</v>
      </c>
      <c r="C97" s="201"/>
      <c r="D97" s="201"/>
      <c r="E97" s="201"/>
      <c r="F97" s="201"/>
      <c r="G97" s="203"/>
      <c r="H97" s="203">
        <f>SUM(H94:H96)</f>
        <v>10027.154999999999</v>
      </c>
      <c r="I97" s="204"/>
      <c r="J97" s="204"/>
      <c r="K97" s="202"/>
    </row>
    <row r="100" spans="1:11" ht="21.95" customHeight="1">
      <c r="G100" s="150" t="s">
        <v>303</v>
      </c>
      <c r="H100" s="150">
        <f>SUM(H69,H26:H52,H42:H43,H23:H27,H50,H20,H15:H18,H47:H49,H37:H38,H35,)</f>
        <v>12749.65</v>
      </c>
    </row>
    <row r="101" spans="1:11" ht="21.95" customHeight="1">
      <c r="F101" s="149">
        <v>356</v>
      </c>
      <c r="H101" s="150">
        <v>9481.26</v>
      </c>
    </row>
    <row r="103" spans="1:11" ht="21.95" customHeight="1">
      <c r="H103" s="150">
        <v>503.07659999999998</v>
      </c>
    </row>
    <row r="104" spans="1:11" ht="21.95" customHeight="1">
      <c r="H104" s="150">
        <v>9984.3366000000005</v>
      </c>
    </row>
  </sheetData>
  <autoFilter ref="I1:I64"/>
  <mergeCells count="12">
    <mergeCell ref="J4:J5"/>
    <mergeCell ref="K4:K5"/>
    <mergeCell ref="A1:B1"/>
    <mergeCell ref="A2:K2"/>
    <mergeCell ref="G3:K3"/>
    <mergeCell ref="A4:A5"/>
    <mergeCell ref="B4:B5"/>
    <mergeCell ref="C4:C5"/>
    <mergeCell ref="D4:D5"/>
    <mergeCell ref="E4:E5"/>
    <mergeCell ref="F4:F5"/>
    <mergeCell ref="G4:I4"/>
  </mergeCells>
  <phoneticPr fontId="34" type="noConversion"/>
  <pageMargins left="0.78740157480314965" right="0.59055118110236227" top="0.59055118110236227" bottom="0.59055118110236227" header="0.82677165354330717" footer="0.27559055118110237"/>
  <pageSetup paperSize="9" scale="78" firstPageNumber="4294963191" fitToHeight="0" orientation="landscape" blackAndWhite="1" horizontalDpi="360" verticalDpi="4294967295" r:id="rId1"/>
  <headerFooter alignWithMargins="0">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sheetPr>
    <tabColor theme="9" tint="-0.249977111117893"/>
    <pageSetUpPr fitToPage="1"/>
  </sheetPr>
  <dimension ref="B2:N52"/>
  <sheetViews>
    <sheetView showZeros="0" topLeftCell="A13" zoomScaleSheetLayoutView="100" workbookViewId="0">
      <selection activeCell="A2" sqref="A2:U2"/>
    </sheetView>
  </sheetViews>
  <sheetFormatPr defaultRowHeight="14.25"/>
  <cols>
    <col min="1" max="1" width="7.5" style="57" customWidth="1"/>
    <col min="2" max="2" width="15.25" style="57" customWidth="1"/>
    <col min="3" max="3" width="28.375" style="57" customWidth="1"/>
    <col min="4" max="4" width="17.75" style="57" customWidth="1"/>
    <col min="5" max="5" width="17.875" style="57" customWidth="1"/>
    <col min="6" max="6" width="11.875" style="57" bestFit="1" customWidth="1"/>
    <col min="7" max="7" width="10.5" style="57" bestFit="1" customWidth="1"/>
    <col min="8" max="8" width="11.875" style="57" bestFit="1" customWidth="1"/>
    <col min="9" max="9" width="20.75" style="57" bestFit="1" customWidth="1"/>
    <col min="10" max="16384" width="9" style="57"/>
  </cols>
  <sheetData>
    <row r="2" spans="2:14" s="58" customFormat="1" ht="25.5">
      <c r="B2" s="381" t="s">
        <v>1229</v>
      </c>
      <c r="C2" s="381"/>
      <c r="D2" s="381"/>
      <c r="E2" s="381"/>
      <c r="F2" s="381"/>
      <c r="G2" s="381"/>
      <c r="H2" s="381"/>
      <c r="I2" s="381"/>
      <c r="M2" s="59" t="s">
        <v>52</v>
      </c>
      <c r="N2" s="59" t="s">
        <v>53</v>
      </c>
    </row>
    <row r="3" spans="2:14" ht="18.75">
      <c r="B3" s="382" t="s">
        <v>33</v>
      </c>
      <c r="C3" s="382" t="s">
        <v>54</v>
      </c>
      <c r="D3" s="384" t="s">
        <v>55</v>
      </c>
      <c r="E3" s="385"/>
      <c r="F3" s="385"/>
      <c r="G3" s="386"/>
      <c r="H3" s="384" t="s">
        <v>56</v>
      </c>
      <c r="I3" s="386"/>
      <c r="K3" s="60" t="s">
        <v>57</v>
      </c>
      <c r="L3" s="60">
        <v>31579.599999999999</v>
      </c>
      <c r="M3" s="59">
        <v>23152.799999999999</v>
      </c>
      <c r="N3" s="59">
        <v>8873</v>
      </c>
    </row>
    <row r="4" spans="2:14" ht="18.75">
      <c r="B4" s="383"/>
      <c r="C4" s="383"/>
      <c r="D4" s="61" t="s">
        <v>40</v>
      </c>
      <c r="E4" s="61" t="s">
        <v>58</v>
      </c>
      <c r="F4" s="61" t="s">
        <v>389</v>
      </c>
      <c r="G4" s="61" t="s">
        <v>17</v>
      </c>
      <c r="H4" s="61" t="s">
        <v>59</v>
      </c>
      <c r="I4" s="61" t="s">
        <v>60</v>
      </c>
      <c r="K4" s="62"/>
      <c r="L4" s="59"/>
      <c r="M4" s="59"/>
      <c r="N4" s="59"/>
    </row>
    <row r="5" spans="2:14" ht="18.75">
      <c r="B5" s="63" t="s">
        <v>61</v>
      </c>
      <c r="C5" s="63" t="s">
        <v>62</v>
      </c>
      <c r="D5" s="63"/>
      <c r="E5" s="63"/>
      <c r="F5" s="63"/>
      <c r="G5" s="63"/>
      <c r="H5" s="63"/>
      <c r="I5" s="63"/>
      <c r="K5" s="60"/>
      <c r="L5" s="59"/>
      <c r="M5" s="59"/>
      <c r="N5" s="59"/>
    </row>
    <row r="6" spans="2:14" ht="18.75">
      <c r="B6" s="63">
        <v>1</v>
      </c>
      <c r="C6" s="64" t="s">
        <v>63</v>
      </c>
      <c r="D6" s="63"/>
      <c r="E6" s="63"/>
      <c r="F6" s="63"/>
      <c r="G6" s="63"/>
      <c r="H6" s="63"/>
      <c r="I6" s="63"/>
      <c r="N6" s="59"/>
    </row>
    <row r="7" spans="2:14" ht="18.75">
      <c r="B7" s="63">
        <v>1.1000000000000001</v>
      </c>
      <c r="C7" s="66" t="s">
        <v>69</v>
      </c>
      <c r="D7" s="65">
        <f>土费!G28/10000</f>
        <v>2114.5793489999996</v>
      </c>
      <c r="E7" s="63"/>
      <c r="F7" s="63"/>
      <c r="G7" s="65">
        <f>SUM(D7:F7)</f>
        <v>2114.5793489999996</v>
      </c>
      <c r="H7" s="65">
        <f>总概!D8</f>
        <v>12222.11</v>
      </c>
      <c r="I7" s="65">
        <f>D7/H7*10000</f>
        <v>1730.1262621593157</v>
      </c>
      <c r="J7" s="67"/>
    </row>
    <row r="8" spans="2:14" ht="18.75">
      <c r="B8" s="63">
        <v>1.2</v>
      </c>
      <c r="C8" s="66" t="s">
        <v>70</v>
      </c>
      <c r="D8" s="65">
        <f>土费!G58/10000</f>
        <v>1295.460431</v>
      </c>
      <c r="E8" s="63"/>
      <c r="F8" s="63"/>
      <c r="G8" s="65">
        <f>SUM(D8:F8)</f>
        <v>1295.460431</v>
      </c>
      <c r="H8" s="65">
        <f>H7</f>
        <v>12222.11</v>
      </c>
      <c r="I8" s="65">
        <f>D8/H8*10000</f>
        <v>1059.9319029201995</v>
      </c>
      <c r="J8" s="67"/>
    </row>
    <row r="9" spans="2:14" ht="18.75">
      <c r="B9" s="63">
        <v>1.3</v>
      </c>
      <c r="C9" s="66" t="s">
        <v>390</v>
      </c>
      <c r="D9" s="65">
        <f>H9*I9/10000</f>
        <v>855.54769999999996</v>
      </c>
      <c r="E9" s="63"/>
      <c r="F9" s="63"/>
      <c r="G9" s="65">
        <f>SUM(D9:F9)</f>
        <v>855.54769999999996</v>
      </c>
      <c r="H9" s="65">
        <f>H8*0.35</f>
        <v>4277.7385000000004</v>
      </c>
      <c r="I9" s="65">
        <v>2000</v>
      </c>
      <c r="J9" s="67"/>
    </row>
    <row r="10" spans="2:14" ht="18.75">
      <c r="B10" s="63"/>
      <c r="C10" s="66"/>
      <c r="D10" s="65"/>
      <c r="E10" s="63"/>
      <c r="F10" s="63"/>
      <c r="G10" s="63"/>
      <c r="H10" s="65"/>
      <c r="I10" s="65"/>
      <c r="J10" s="67"/>
    </row>
    <row r="11" spans="2:14" s="68" customFormat="1" ht="18.75">
      <c r="B11" s="69"/>
      <c r="C11" s="69" t="s">
        <v>64</v>
      </c>
      <c r="D11" s="70">
        <f>SUM(D7:D10)</f>
        <v>4265.5874799999992</v>
      </c>
      <c r="E11" s="70">
        <f>SUM(E7:E10)</f>
        <v>0</v>
      </c>
      <c r="F11" s="70">
        <f>SUM(F7:F10)</f>
        <v>0</v>
      </c>
      <c r="G11" s="70">
        <f>SUM(G7:G10)</f>
        <v>4265.5874799999992</v>
      </c>
      <c r="H11" s="70"/>
      <c r="I11" s="70">
        <f>G11/H7*10000</f>
        <v>3490.0581650795148</v>
      </c>
    </row>
    <row r="12" spans="2:14" ht="18.75">
      <c r="B12" s="63"/>
      <c r="C12" s="63"/>
      <c r="D12" s="63"/>
      <c r="E12" s="63"/>
      <c r="F12" s="63"/>
      <c r="G12" s="63"/>
      <c r="H12" s="63"/>
      <c r="I12" s="63"/>
    </row>
    <row r="13" spans="2:14" ht="18.75">
      <c r="B13" s="63">
        <v>2</v>
      </c>
      <c r="C13" s="63" t="s">
        <v>58</v>
      </c>
      <c r="D13" s="63"/>
      <c r="E13" s="63"/>
      <c r="F13" s="63"/>
      <c r="G13" s="63"/>
      <c r="H13" s="63"/>
      <c r="I13" s="63"/>
    </row>
    <row r="14" spans="2:14" ht="18.75">
      <c r="B14" s="63">
        <v>2.1</v>
      </c>
      <c r="C14" s="64" t="s">
        <v>65</v>
      </c>
      <c r="D14" s="63"/>
      <c r="E14" s="283">
        <f>水费!G31/10000</f>
        <v>137.636979</v>
      </c>
      <c r="F14" s="283">
        <f>公用设备表!G52</f>
        <v>3</v>
      </c>
      <c r="G14" s="65">
        <f t="shared" ref="G14:G17" si="0">SUM(D14:F14)</f>
        <v>140.636979</v>
      </c>
      <c r="H14" s="65">
        <f>H8</f>
        <v>12222.11</v>
      </c>
      <c r="I14" s="65">
        <f>G14/H14*10000</f>
        <v>115.06767571229516</v>
      </c>
      <c r="J14" s="57">
        <f>[18]公用设备材料表!H22</f>
        <v>398.96499999999997</v>
      </c>
      <c r="K14" s="57">
        <f>J14/H14*10000</f>
        <v>326.42890630177601</v>
      </c>
      <c r="N14" s="71">
        <v>530</v>
      </c>
    </row>
    <row r="15" spans="2:14" ht="18.75">
      <c r="B15" s="63">
        <v>2.2000000000000002</v>
      </c>
      <c r="C15" s="64" t="s">
        <v>71</v>
      </c>
      <c r="D15" s="63"/>
      <c r="E15" s="283">
        <f>暖费!G31/10000</f>
        <v>269.69615899999997</v>
      </c>
      <c r="F15" s="283">
        <f>公用设备表!G47</f>
        <v>227.33</v>
      </c>
      <c r="G15" s="65">
        <f t="shared" si="0"/>
        <v>497.02615900000001</v>
      </c>
      <c r="H15" s="65">
        <f>H14</f>
        <v>12222.11</v>
      </c>
      <c r="I15" s="65">
        <f t="shared" ref="I15:I16" si="1">G15/H15*10000</f>
        <v>406.66150034650315</v>
      </c>
      <c r="J15" s="57">
        <f>[18]公用设备材料表!H68</f>
        <v>842.67</v>
      </c>
      <c r="K15" s="57">
        <f>J15/H15*10000</f>
        <v>689.46360325672072</v>
      </c>
      <c r="L15" s="57">
        <v>750</v>
      </c>
      <c r="M15" s="57">
        <f>L15-K15</f>
        <v>60.536396743279283</v>
      </c>
      <c r="N15" s="71">
        <v>750</v>
      </c>
    </row>
    <row r="16" spans="2:14" ht="18.75">
      <c r="B16" s="63">
        <v>2.2999999999999998</v>
      </c>
      <c r="C16" s="64" t="s">
        <v>34</v>
      </c>
      <c r="D16" s="63"/>
      <c r="E16" s="283">
        <f>电费!G31/10000</f>
        <v>274.95907299999999</v>
      </c>
      <c r="F16" s="283">
        <f>公用设备表!G13</f>
        <v>239.89999999999998</v>
      </c>
      <c r="G16" s="65">
        <f t="shared" si="0"/>
        <v>514.85907299999997</v>
      </c>
      <c r="H16" s="65">
        <f>H15</f>
        <v>12222.11</v>
      </c>
      <c r="I16" s="65">
        <f t="shared" si="1"/>
        <v>421.25220031565743</v>
      </c>
      <c r="J16" s="57">
        <f>[18]公用设备材料表!H86</f>
        <v>862</v>
      </c>
      <c r="K16" s="57">
        <f>J16/H16*10000</f>
        <v>705.27920301813674</v>
      </c>
      <c r="L16" s="57">
        <v>700</v>
      </c>
      <c r="M16" s="57">
        <f>L16-K16</f>
        <v>-5.2792030181367409</v>
      </c>
      <c r="N16" s="71">
        <v>990</v>
      </c>
    </row>
    <row r="17" spans="2:14" ht="18.75">
      <c r="B17" s="63">
        <v>2.4</v>
      </c>
      <c r="C17" s="64" t="s">
        <v>395</v>
      </c>
      <c r="D17" s="63"/>
      <c r="E17" s="302"/>
      <c r="F17" s="302">
        <f>公用设备表!G54</f>
        <v>180</v>
      </c>
      <c r="G17" s="65">
        <f t="shared" si="0"/>
        <v>180</v>
      </c>
      <c r="H17" s="65"/>
      <c r="I17" s="65"/>
      <c r="N17" s="71"/>
    </row>
    <row r="18" spans="2:14" ht="18.75">
      <c r="B18" s="63"/>
      <c r="C18" s="64"/>
      <c r="D18" s="63"/>
      <c r="E18" s="65"/>
      <c r="F18" s="65"/>
      <c r="G18" s="65"/>
      <c r="H18" s="65"/>
      <c r="I18" s="65"/>
    </row>
    <row r="19" spans="2:14" s="68" customFormat="1" ht="18.75">
      <c r="B19" s="69"/>
      <c r="C19" s="69" t="s">
        <v>64</v>
      </c>
      <c r="D19" s="70">
        <f>SUM(D14:D16)</f>
        <v>0</v>
      </c>
      <c r="E19" s="70">
        <f>SUM(E14:E17)</f>
        <v>682.29221099999995</v>
      </c>
      <c r="F19" s="70">
        <f t="shared" ref="F19:H19" si="2">SUM(F14:F17)</f>
        <v>650.23</v>
      </c>
      <c r="G19" s="70">
        <f t="shared" si="2"/>
        <v>1332.522211</v>
      </c>
      <c r="H19" s="70">
        <f t="shared" si="2"/>
        <v>36666.33</v>
      </c>
      <c r="I19" s="70">
        <f>G19/H14*10000</f>
        <v>1090.255455891004</v>
      </c>
    </row>
    <row r="20" spans="2:14" ht="18.75">
      <c r="B20" s="63"/>
      <c r="C20" s="64"/>
      <c r="D20" s="63"/>
      <c r="E20" s="65"/>
      <c r="F20" s="65"/>
      <c r="G20" s="65"/>
      <c r="H20" s="65"/>
      <c r="I20" s="65"/>
    </row>
    <row r="21" spans="2:14" s="72" customFormat="1" ht="18.75">
      <c r="B21" s="73"/>
      <c r="C21" s="73" t="s">
        <v>66</v>
      </c>
      <c r="D21" s="74">
        <f>D19+D11</f>
        <v>4265.5874799999992</v>
      </c>
      <c r="E21" s="74">
        <f>E19+E11</f>
        <v>682.29221099999995</v>
      </c>
      <c r="F21" s="74">
        <f>F19+F11</f>
        <v>650.23</v>
      </c>
      <c r="G21" s="74">
        <f>G19+G11</f>
        <v>5598.1096909999997</v>
      </c>
      <c r="H21" s="74"/>
      <c r="I21" s="74">
        <f>I19+I11</f>
        <v>4580.313620970519</v>
      </c>
      <c r="K21" s="72">
        <f>G21/H7*10000</f>
        <v>4580.313620970519</v>
      </c>
    </row>
    <row r="24" spans="2:14" ht="18.75">
      <c r="B24" s="75"/>
      <c r="C24" s="76" t="s">
        <v>67</v>
      </c>
      <c r="D24" s="77">
        <v>1</v>
      </c>
      <c r="E24" s="77">
        <v>2</v>
      </c>
      <c r="F24" s="77">
        <v>3</v>
      </c>
    </row>
    <row r="25" spans="2:14" s="78" customFormat="1" ht="18.75">
      <c r="B25" s="79"/>
      <c r="C25" s="79">
        <v>6.5500000000000003E-2</v>
      </c>
      <c r="D25" s="79">
        <v>0.2</v>
      </c>
      <c r="E25" s="79">
        <v>0.4</v>
      </c>
      <c r="F25" s="79">
        <v>0.4</v>
      </c>
    </row>
    <row r="26" spans="2:14" s="80" customFormat="1" ht="18.75">
      <c r="C26" s="81">
        <f>C27*C28</f>
        <v>18740</v>
      </c>
      <c r="D26" s="81">
        <f>D25*$C$26</f>
        <v>3748</v>
      </c>
      <c r="E26" s="81">
        <f>E25*$C$26</f>
        <v>7496</v>
      </c>
      <c r="F26" s="81">
        <f>F25*$C$26</f>
        <v>7496</v>
      </c>
      <c r="H26" s="80">
        <f>C26*2</f>
        <v>37480</v>
      </c>
    </row>
    <row r="27" spans="2:14" s="80" customFormat="1" ht="18.75">
      <c r="B27" s="81">
        <f>D27+E27+F27</f>
        <v>1595.711</v>
      </c>
      <c r="C27" s="82">
        <v>0.5</v>
      </c>
      <c r="D27" s="81">
        <f>D26*C25/2</f>
        <v>122.747</v>
      </c>
      <c r="E27" s="81">
        <f>(D26+E26/2)*C25</f>
        <v>490.988</v>
      </c>
      <c r="F27" s="81">
        <f>(D26+E26+F26/2)*C25</f>
        <v>981.976</v>
      </c>
    </row>
    <row r="28" spans="2:14" s="78" customFormat="1" ht="18.75">
      <c r="B28" s="83">
        <f>C26+C32</f>
        <v>37480</v>
      </c>
      <c r="C28" s="84">
        <f>[18]估算表!K63</f>
        <v>37480</v>
      </c>
      <c r="D28" s="81">
        <f>D26</f>
        <v>3748</v>
      </c>
      <c r="E28" s="83">
        <f>D26+E26</f>
        <v>11244</v>
      </c>
      <c r="F28" s="83">
        <f>D26+E26+F26</f>
        <v>18740</v>
      </c>
    </row>
    <row r="29" spans="2:14" s="78" customFormat="1" ht="18.75"/>
    <row r="30" spans="2:14" s="80" customFormat="1" ht="18.75">
      <c r="C30" s="81" t="s">
        <v>68</v>
      </c>
      <c r="D30" s="81"/>
      <c r="E30" s="81"/>
      <c r="F30" s="81"/>
    </row>
    <row r="31" spans="2:14" s="80" customFormat="1" ht="18.75">
      <c r="C31" s="82">
        <f>1-C27</f>
        <v>0.5</v>
      </c>
      <c r="D31" s="81">
        <f>D25*$C$28*$C$31</f>
        <v>3748</v>
      </c>
      <c r="E31" s="81">
        <f>E25*$C$28*$C$31</f>
        <v>7496</v>
      </c>
      <c r="F31" s="81">
        <f>F25*$C$28*$C$31</f>
        <v>7496</v>
      </c>
    </row>
    <row r="32" spans="2:14" s="80" customFormat="1" ht="18.75">
      <c r="C32" s="81">
        <f>SUM(D31:F31)</f>
        <v>18740</v>
      </c>
      <c r="D32" s="81"/>
      <c r="E32" s="81"/>
      <c r="F32" s="81"/>
    </row>
    <row r="34" spans="2:6" ht="18.75">
      <c r="B34" s="75"/>
      <c r="C34" s="76" t="s">
        <v>67</v>
      </c>
      <c r="D34" s="77">
        <v>1</v>
      </c>
      <c r="E34" s="77">
        <v>2</v>
      </c>
      <c r="F34" s="77">
        <v>3</v>
      </c>
    </row>
    <row r="35" spans="2:6" ht="18.75">
      <c r="B35" s="79"/>
      <c r="C35" s="79">
        <v>6.5500000000000003E-2</v>
      </c>
      <c r="D35" s="79">
        <v>0.2</v>
      </c>
      <c r="E35" s="79">
        <v>0.4</v>
      </c>
      <c r="F35" s="79">
        <v>0.4</v>
      </c>
    </row>
    <row r="36" spans="2:6" ht="18.75">
      <c r="B36" s="80"/>
      <c r="C36" s="81">
        <f>C37*C38</f>
        <v>26236</v>
      </c>
      <c r="D36" s="81">
        <f>D35*$C$36</f>
        <v>5247.2000000000007</v>
      </c>
      <c r="E36" s="81">
        <f>E35*$C$36</f>
        <v>10494.400000000001</v>
      </c>
      <c r="F36" s="81">
        <f>F35*$C$36</f>
        <v>10494.400000000001</v>
      </c>
    </row>
    <row r="37" spans="2:6" ht="18.75">
      <c r="B37" s="81">
        <f>D37+E37+F37</f>
        <v>2233.9954000000002</v>
      </c>
      <c r="C37" s="82">
        <v>0.7</v>
      </c>
      <c r="D37" s="81">
        <f>D36*C35/2</f>
        <v>171.84580000000003</v>
      </c>
      <c r="E37" s="81">
        <f>(D36+E36/2)*C35</f>
        <v>687.3832000000001</v>
      </c>
      <c r="F37" s="81">
        <f>(D36+E36+F36/2)*C35</f>
        <v>1374.7664000000002</v>
      </c>
    </row>
    <row r="38" spans="2:6" ht="18.75">
      <c r="B38" s="83">
        <f>C36+C42</f>
        <v>37480</v>
      </c>
      <c r="C38" s="84">
        <f>C28</f>
        <v>37480</v>
      </c>
      <c r="D38" s="81">
        <f>D36</f>
        <v>5247.2000000000007</v>
      </c>
      <c r="E38" s="83">
        <f>D36+E36</f>
        <v>15741.600000000002</v>
      </c>
      <c r="F38" s="83">
        <f>D36+E36+F36</f>
        <v>26236.000000000004</v>
      </c>
    </row>
    <row r="39" spans="2:6" ht="18.75">
      <c r="B39" s="78"/>
      <c r="C39" s="78"/>
      <c r="D39" s="78"/>
      <c r="E39" s="78"/>
      <c r="F39" s="78"/>
    </row>
    <row r="40" spans="2:6" ht="18.75">
      <c r="B40" s="80"/>
      <c r="C40" s="81" t="s">
        <v>68</v>
      </c>
      <c r="D40" s="81"/>
      <c r="E40" s="81"/>
      <c r="F40" s="81"/>
    </row>
    <row r="41" spans="2:6" ht="18.75">
      <c r="B41" s="80"/>
      <c r="C41" s="82">
        <f>1-C37</f>
        <v>0.30000000000000004</v>
      </c>
      <c r="D41" s="81">
        <f>D35*$C$28*$C$41</f>
        <v>2248.8000000000002</v>
      </c>
      <c r="E41" s="81">
        <f>E35*$C$28*$C$41</f>
        <v>4497.6000000000004</v>
      </c>
      <c r="F41" s="81">
        <f>F35*$C$28*$C$41</f>
        <v>4497.6000000000004</v>
      </c>
    </row>
    <row r="42" spans="2:6" ht="18.75">
      <c r="B42" s="80"/>
      <c r="C42" s="81">
        <f>SUM(D41:F41)</f>
        <v>11244</v>
      </c>
      <c r="D42" s="81"/>
      <c r="E42" s="81"/>
      <c r="F42" s="81"/>
    </row>
    <row r="44" spans="2:6" ht="18.75">
      <c r="B44" s="75"/>
      <c r="C44" s="76" t="s">
        <v>67</v>
      </c>
      <c r="D44" s="77">
        <v>1</v>
      </c>
      <c r="E44" s="77">
        <v>2</v>
      </c>
      <c r="F44" s="77">
        <v>3</v>
      </c>
    </row>
    <row r="45" spans="2:6" ht="18.75">
      <c r="B45" s="79"/>
      <c r="C45" s="79">
        <v>6.5500000000000003E-2</v>
      </c>
      <c r="D45" s="79">
        <v>0.2</v>
      </c>
      <c r="E45" s="79">
        <v>0.4</v>
      </c>
      <c r="F45" s="79">
        <v>0.4</v>
      </c>
    </row>
    <row r="46" spans="2:6" ht="18.75">
      <c r="B46" s="80"/>
      <c r="C46" s="81">
        <f>C47*C48</f>
        <v>37480</v>
      </c>
      <c r="D46" s="81">
        <f>D45*$C$46</f>
        <v>7496</v>
      </c>
      <c r="E46" s="81">
        <f>E45*$C$46</f>
        <v>14992</v>
      </c>
      <c r="F46" s="81">
        <f>F45*$C$46</f>
        <v>14992</v>
      </c>
    </row>
    <row r="47" spans="2:6" ht="18.75">
      <c r="B47" s="81">
        <f>D47+E47+F47</f>
        <v>3191.422</v>
      </c>
      <c r="C47" s="82">
        <v>1</v>
      </c>
      <c r="D47" s="81">
        <f>D46*C45/2</f>
        <v>245.494</v>
      </c>
      <c r="E47" s="81">
        <f>(D46+E46/2)*C45</f>
        <v>981.976</v>
      </c>
      <c r="F47" s="81">
        <f>(D46+E46+F46/2)*C45</f>
        <v>1963.952</v>
      </c>
    </row>
    <row r="48" spans="2:6" ht="18.75">
      <c r="B48" s="83">
        <f>C46+C52</f>
        <v>37480</v>
      </c>
      <c r="C48" s="84">
        <f>C38</f>
        <v>37480</v>
      </c>
      <c r="D48" s="81">
        <f>D46</f>
        <v>7496</v>
      </c>
      <c r="E48" s="83">
        <f>D46+E46</f>
        <v>22488</v>
      </c>
      <c r="F48" s="83">
        <f>D46+E46+F46</f>
        <v>37480</v>
      </c>
    </row>
    <row r="49" spans="2:6" ht="18.75">
      <c r="B49" s="78"/>
      <c r="C49" s="78"/>
      <c r="D49" s="78"/>
      <c r="E49" s="78"/>
      <c r="F49" s="78"/>
    </row>
    <row r="50" spans="2:6" ht="18.75">
      <c r="B50" s="80"/>
      <c r="C50" s="81" t="s">
        <v>68</v>
      </c>
      <c r="D50" s="81"/>
      <c r="E50" s="81"/>
      <c r="F50" s="81"/>
    </row>
    <row r="51" spans="2:6" ht="18.75">
      <c r="B51" s="80"/>
      <c r="C51" s="82">
        <f>1-C47</f>
        <v>0</v>
      </c>
      <c r="D51" s="81">
        <f>D45*$C$28*$C$51</f>
        <v>0</v>
      </c>
      <c r="E51" s="81">
        <f>E45*$C$28*$C$51</f>
        <v>0</v>
      </c>
      <c r="F51" s="81">
        <f>F45*$C$28*$C$51</f>
        <v>0</v>
      </c>
    </row>
    <row r="52" spans="2:6" ht="18.75">
      <c r="B52" s="80"/>
      <c r="C52" s="81">
        <f>SUM(D51:F51)</f>
        <v>0</v>
      </c>
      <c r="D52" s="81"/>
      <c r="E52" s="81"/>
      <c r="F52" s="81"/>
    </row>
  </sheetData>
  <mergeCells count="5">
    <mergeCell ref="B2:I2"/>
    <mergeCell ref="B3:B4"/>
    <mergeCell ref="C3:C4"/>
    <mergeCell ref="D3:G3"/>
    <mergeCell ref="H3:I3"/>
  </mergeCells>
  <phoneticPr fontId="34" type="noConversion"/>
  <printOptions horizontalCentered="1"/>
  <pageMargins left="0.74803149606299213" right="0.74803149606299213" top="0.98425196850393704" bottom="0.98425196850393704" header="0.51181102362204722" footer="0.51181102362204722"/>
  <pageSetup paperSize="9" scale="90" fitToHeight="0" orientation="landscape" blackAndWhite="1" r:id="rId1"/>
  <headerFooter alignWithMargins="0"/>
</worksheet>
</file>

<file path=xl/worksheets/sheet7.xml><?xml version="1.0" encoding="utf-8"?>
<worksheet xmlns="http://schemas.openxmlformats.org/spreadsheetml/2006/main" xmlns:r="http://schemas.openxmlformats.org/officeDocument/2006/relationships">
  <dimension ref="A1:G74"/>
  <sheetViews>
    <sheetView workbookViewId="0">
      <selection activeCell="A2" sqref="A2:U2"/>
    </sheetView>
  </sheetViews>
  <sheetFormatPr defaultColWidth="8" defaultRowHeight="14.25"/>
  <cols>
    <col min="1" max="1" width="7.25" style="303" customWidth="1"/>
    <col min="2" max="2" width="19.5" style="303" customWidth="1"/>
    <col min="3" max="3" width="3" style="303" customWidth="1"/>
    <col min="4" max="4" width="28.375" style="303" customWidth="1"/>
    <col min="5" max="5" width="1.375" style="303" customWidth="1"/>
    <col min="6" max="6" width="8.875" style="303" customWidth="1"/>
    <col min="7" max="7" width="16.5" style="303" customWidth="1"/>
    <col min="8" max="16384" width="8" style="303"/>
  </cols>
  <sheetData>
    <row r="1" spans="1:7" ht="16.5" customHeight="1">
      <c r="A1" s="387" t="s">
        <v>397</v>
      </c>
      <c r="B1" s="387" t="s">
        <v>397</v>
      </c>
      <c r="C1" s="388" t="s">
        <v>397</v>
      </c>
      <c r="D1" s="388" t="s">
        <v>397</v>
      </c>
      <c r="E1" s="389" t="s">
        <v>397</v>
      </c>
      <c r="F1" s="389" t="s">
        <v>397</v>
      </c>
      <c r="G1" s="389" t="s">
        <v>397</v>
      </c>
    </row>
    <row r="2" spans="1:7" ht="33.75" customHeight="1">
      <c r="A2" s="390" t="s">
        <v>472</v>
      </c>
      <c r="B2" s="390" t="s">
        <v>397</v>
      </c>
      <c r="C2" s="390" t="s">
        <v>397</v>
      </c>
      <c r="D2" s="390" t="s">
        <v>397</v>
      </c>
      <c r="E2" s="390" t="s">
        <v>397</v>
      </c>
      <c r="F2" s="390" t="s">
        <v>397</v>
      </c>
      <c r="G2" s="390" t="s">
        <v>397</v>
      </c>
    </row>
    <row r="3" spans="1:7" ht="23.25" customHeight="1" thickBot="1">
      <c r="A3" s="387" t="s">
        <v>982</v>
      </c>
      <c r="B3" s="387" t="s">
        <v>397</v>
      </c>
      <c r="C3" s="387" t="s">
        <v>397</v>
      </c>
      <c r="D3" s="387" t="s">
        <v>397</v>
      </c>
      <c r="E3" s="389" t="s">
        <v>976</v>
      </c>
      <c r="F3" s="389" t="s">
        <v>397</v>
      </c>
      <c r="G3" s="389" t="s">
        <v>397</v>
      </c>
    </row>
    <row r="4" spans="1:7" ht="18" customHeight="1">
      <c r="A4" s="304" t="s">
        <v>42</v>
      </c>
      <c r="B4" s="391" t="s">
        <v>469</v>
      </c>
      <c r="C4" s="391" t="s">
        <v>397</v>
      </c>
      <c r="D4" s="391" t="s">
        <v>468</v>
      </c>
      <c r="E4" s="391" t="s">
        <v>397</v>
      </c>
      <c r="F4" s="305" t="s">
        <v>467</v>
      </c>
      <c r="G4" s="306" t="s">
        <v>466</v>
      </c>
    </row>
    <row r="5" spans="1:7" ht="16.5" customHeight="1">
      <c r="A5" s="307" t="s">
        <v>462</v>
      </c>
      <c r="B5" s="392" t="s">
        <v>988</v>
      </c>
      <c r="C5" s="392" t="s">
        <v>397</v>
      </c>
      <c r="D5" s="392" t="s">
        <v>988</v>
      </c>
      <c r="E5" s="392" t="s">
        <v>397</v>
      </c>
      <c r="F5" s="308" t="s">
        <v>397</v>
      </c>
      <c r="G5" s="309">
        <v>21145793.489999998</v>
      </c>
    </row>
    <row r="6" spans="1:7" ht="29.25" customHeight="1">
      <c r="A6" s="307" t="s">
        <v>51</v>
      </c>
      <c r="B6" s="392" t="s">
        <v>464</v>
      </c>
      <c r="C6" s="392" t="s">
        <v>397</v>
      </c>
      <c r="D6" s="392" t="s">
        <v>463</v>
      </c>
      <c r="E6" s="392" t="s">
        <v>397</v>
      </c>
      <c r="F6" s="308" t="s">
        <v>397</v>
      </c>
      <c r="G6" s="309">
        <v>13393177.16</v>
      </c>
    </row>
    <row r="7" spans="1:7" ht="16.5" customHeight="1">
      <c r="A7" s="307" t="s">
        <v>462</v>
      </c>
      <c r="B7" s="392" t="s">
        <v>450</v>
      </c>
      <c r="C7" s="392" t="s">
        <v>397</v>
      </c>
      <c r="D7" s="392" t="s">
        <v>450</v>
      </c>
      <c r="E7" s="392" t="s">
        <v>397</v>
      </c>
      <c r="F7" s="308" t="s">
        <v>397</v>
      </c>
      <c r="G7" s="309">
        <v>2087434</v>
      </c>
    </row>
    <row r="8" spans="1:7" ht="16.5" customHeight="1">
      <c r="A8" s="307" t="s">
        <v>403</v>
      </c>
      <c r="B8" s="392" t="s">
        <v>447</v>
      </c>
      <c r="C8" s="392" t="s">
        <v>397</v>
      </c>
      <c r="D8" s="392" t="s">
        <v>447</v>
      </c>
      <c r="E8" s="392" t="s">
        <v>397</v>
      </c>
      <c r="F8" s="308" t="s">
        <v>397</v>
      </c>
      <c r="G8" s="309">
        <v>9617986.5700000003</v>
      </c>
    </row>
    <row r="9" spans="1:7" ht="16.5" customHeight="1">
      <c r="A9" s="307" t="s">
        <v>461</v>
      </c>
      <c r="B9" s="392" t="s">
        <v>460</v>
      </c>
      <c r="C9" s="392" t="s">
        <v>397</v>
      </c>
      <c r="D9" s="392" t="s">
        <v>459</v>
      </c>
      <c r="E9" s="392" t="s">
        <v>397</v>
      </c>
      <c r="F9" s="308" t="s">
        <v>397</v>
      </c>
      <c r="G9" s="309" t="s">
        <v>397</v>
      </c>
    </row>
    <row r="10" spans="1:7" ht="16.5" customHeight="1">
      <c r="A10" s="307" t="s">
        <v>458</v>
      </c>
      <c r="B10" s="392" t="s">
        <v>444</v>
      </c>
      <c r="C10" s="392" t="s">
        <v>397</v>
      </c>
      <c r="D10" s="392" t="s">
        <v>457</v>
      </c>
      <c r="E10" s="392" t="s">
        <v>397</v>
      </c>
      <c r="F10" s="308" t="s">
        <v>397</v>
      </c>
      <c r="G10" s="309">
        <v>1049986.25</v>
      </c>
    </row>
    <row r="11" spans="1:7" ht="16.5" customHeight="1">
      <c r="A11" s="307" t="s">
        <v>365</v>
      </c>
      <c r="B11" s="392" t="s">
        <v>456</v>
      </c>
      <c r="C11" s="392" t="s">
        <v>397</v>
      </c>
      <c r="D11" s="392" t="s">
        <v>455</v>
      </c>
      <c r="E11" s="392" t="s">
        <v>397</v>
      </c>
      <c r="F11" s="308" t="s">
        <v>397</v>
      </c>
      <c r="G11" s="309">
        <v>3570092.94</v>
      </c>
    </row>
    <row r="12" spans="1:7" ht="16.5" customHeight="1">
      <c r="A12" s="307" t="s">
        <v>454</v>
      </c>
      <c r="B12" s="392" t="s">
        <v>453</v>
      </c>
      <c r="C12" s="392" t="s">
        <v>397</v>
      </c>
      <c r="D12" s="392" t="s">
        <v>452</v>
      </c>
      <c r="E12" s="392" t="s">
        <v>397</v>
      </c>
      <c r="F12" s="308" t="s">
        <v>397</v>
      </c>
      <c r="G12" s="309">
        <v>2887867.65</v>
      </c>
    </row>
    <row r="13" spans="1:7" ht="16.5" customHeight="1">
      <c r="A13" s="307" t="s">
        <v>451</v>
      </c>
      <c r="B13" s="392" t="s">
        <v>450</v>
      </c>
      <c r="C13" s="392" t="s">
        <v>397</v>
      </c>
      <c r="D13" s="392" t="s">
        <v>449</v>
      </c>
      <c r="E13" s="392" t="s">
        <v>397</v>
      </c>
      <c r="F13" s="308" t="s">
        <v>397</v>
      </c>
      <c r="G13" s="309">
        <v>1901708.81</v>
      </c>
    </row>
    <row r="14" spans="1:7" ht="16.5" customHeight="1">
      <c r="A14" s="307" t="s">
        <v>448</v>
      </c>
      <c r="B14" s="392" t="s">
        <v>447</v>
      </c>
      <c r="C14" s="392" t="s">
        <v>397</v>
      </c>
      <c r="D14" s="392" t="s">
        <v>446</v>
      </c>
      <c r="E14" s="392" t="s">
        <v>397</v>
      </c>
      <c r="F14" s="308" t="s">
        <v>397</v>
      </c>
      <c r="G14" s="309">
        <v>841205.19</v>
      </c>
    </row>
    <row r="15" spans="1:7" ht="16.5" customHeight="1">
      <c r="A15" s="307" t="s">
        <v>445</v>
      </c>
      <c r="B15" s="392" t="s">
        <v>444</v>
      </c>
      <c r="C15" s="392" t="s">
        <v>397</v>
      </c>
      <c r="D15" s="392" t="s">
        <v>443</v>
      </c>
      <c r="E15" s="392" t="s">
        <v>397</v>
      </c>
      <c r="F15" s="308" t="s">
        <v>397</v>
      </c>
      <c r="G15" s="309">
        <v>144953.65</v>
      </c>
    </row>
    <row r="16" spans="1:7" ht="16.5" customHeight="1">
      <c r="A16" s="307" t="s">
        <v>442</v>
      </c>
      <c r="B16" s="392" t="s">
        <v>441</v>
      </c>
      <c r="C16" s="392" t="s">
        <v>397</v>
      </c>
      <c r="D16" s="392" t="s">
        <v>440</v>
      </c>
      <c r="E16" s="392" t="s">
        <v>397</v>
      </c>
      <c r="F16" s="308" t="s">
        <v>397</v>
      </c>
      <c r="G16" s="309">
        <v>682225.29</v>
      </c>
    </row>
    <row r="17" spans="1:7" ht="29.25" customHeight="1">
      <c r="A17" s="307" t="s">
        <v>439</v>
      </c>
      <c r="B17" s="392" t="s">
        <v>438</v>
      </c>
      <c r="C17" s="392" t="s">
        <v>397</v>
      </c>
      <c r="D17" s="392" t="s">
        <v>425</v>
      </c>
      <c r="E17" s="392" t="s">
        <v>397</v>
      </c>
      <c r="F17" s="308" t="s">
        <v>987</v>
      </c>
      <c r="G17" s="309">
        <v>648528.75</v>
      </c>
    </row>
    <row r="18" spans="1:7" ht="29.25" customHeight="1">
      <c r="A18" s="307" t="s">
        <v>436</v>
      </c>
      <c r="B18" s="392" t="s">
        <v>435</v>
      </c>
      <c r="C18" s="392" t="s">
        <v>397</v>
      </c>
      <c r="D18" s="392" t="s">
        <v>425</v>
      </c>
      <c r="E18" s="392" t="s">
        <v>397</v>
      </c>
      <c r="F18" s="308" t="s">
        <v>434</v>
      </c>
      <c r="G18" s="309">
        <v>33696.54</v>
      </c>
    </row>
    <row r="19" spans="1:7" ht="16.5" customHeight="1">
      <c r="A19" s="307" t="s">
        <v>316</v>
      </c>
      <c r="B19" s="392" t="s">
        <v>433</v>
      </c>
      <c r="C19" s="392" t="s">
        <v>397</v>
      </c>
      <c r="D19" s="392" t="s">
        <v>397</v>
      </c>
      <c r="E19" s="392" t="s">
        <v>397</v>
      </c>
      <c r="F19" s="308" t="s">
        <v>397</v>
      </c>
      <c r="G19" s="309" t="s">
        <v>397</v>
      </c>
    </row>
    <row r="20" spans="1:7" ht="29.25" customHeight="1">
      <c r="A20" s="307" t="s">
        <v>393</v>
      </c>
      <c r="B20" s="392" t="s">
        <v>432</v>
      </c>
      <c r="C20" s="392" t="s">
        <v>397</v>
      </c>
      <c r="D20" s="392" t="s">
        <v>425</v>
      </c>
      <c r="E20" s="392" t="s">
        <v>397</v>
      </c>
      <c r="F20" s="308" t="s">
        <v>986</v>
      </c>
      <c r="G20" s="309">
        <v>1235885.32</v>
      </c>
    </row>
    <row r="21" spans="1:7" ht="29.25" customHeight="1">
      <c r="A21" s="307" t="s">
        <v>430</v>
      </c>
      <c r="B21" s="392" t="s">
        <v>429</v>
      </c>
      <c r="C21" s="392" t="s">
        <v>397</v>
      </c>
      <c r="D21" s="392" t="s">
        <v>425</v>
      </c>
      <c r="E21" s="392" t="s">
        <v>397</v>
      </c>
      <c r="F21" s="308" t="s">
        <v>985</v>
      </c>
      <c r="G21" s="309">
        <v>941947.83</v>
      </c>
    </row>
    <row r="22" spans="1:7" ht="29.25" customHeight="1">
      <c r="A22" s="307" t="s">
        <v>427</v>
      </c>
      <c r="B22" s="392" t="s">
        <v>426</v>
      </c>
      <c r="C22" s="392" t="s">
        <v>397</v>
      </c>
      <c r="D22" s="392" t="s">
        <v>425</v>
      </c>
      <c r="E22" s="392" t="s">
        <v>397</v>
      </c>
      <c r="F22" s="308" t="s">
        <v>984</v>
      </c>
      <c r="G22" s="309">
        <v>1281505.25</v>
      </c>
    </row>
    <row r="23" spans="1:7" ht="16.5" customHeight="1">
      <c r="A23" s="307" t="s">
        <v>423</v>
      </c>
      <c r="B23" s="392" t="s">
        <v>422</v>
      </c>
      <c r="C23" s="392" t="s">
        <v>397</v>
      </c>
      <c r="D23" s="392" t="s">
        <v>397</v>
      </c>
      <c r="E23" s="392" t="s">
        <v>397</v>
      </c>
      <c r="F23" s="308" t="s">
        <v>397</v>
      </c>
      <c r="G23" s="309" t="s">
        <v>397</v>
      </c>
    </row>
    <row r="24" spans="1:7" ht="42" customHeight="1">
      <c r="A24" s="307" t="s">
        <v>421</v>
      </c>
      <c r="B24" s="392" t="s">
        <v>420</v>
      </c>
      <c r="C24" s="392" t="s">
        <v>397</v>
      </c>
      <c r="D24" s="392" t="s">
        <v>419</v>
      </c>
      <c r="E24" s="392" t="s">
        <v>397</v>
      </c>
      <c r="F24" s="308" t="s">
        <v>397</v>
      </c>
      <c r="G24" s="309">
        <v>20422608.5</v>
      </c>
    </row>
    <row r="25" spans="1:7" ht="16.5" customHeight="1">
      <c r="A25" s="307" t="s">
        <v>418</v>
      </c>
      <c r="B25" s="392" t="s">
        <v>417</v>
      </c>
      <c r="C25" s="392" t="s">
        <v>397</v>
      </c>
      <c r="D25" s="392" t="s">
        <v>416</v>
      </c>
      <c r="E25" s="392" t="s">
        <v>397</v>
      </c>
      <c r="F25" s="308" t="s">
        <v>397</v>
      </c>
      <c r="G25" s="309" t="s">
        <v>397</v>
      </c>
    </row>
    <row r="26" spans="1:7" ht="16.5" customHeight="1">
      <c r="A26" s="307" t="s">
        <v>415</v>
      </c>
      <c r="B26" s="392" t="s">
        <v>414</v>
      </c>
      <c r="C26" s="392" t="s">
        <v>397</v>
      </c>
      <c r="D26" s="392" t="s">
        <v>413</v>
      </c>
      <c r="E26" s="392" t="s">
        <v>397</v>
      </c>
      <c r="F26" s="308" t="s">
        <v>412</v>
      </c>
      <c r="G26" s="309">
        <v>723184.99</v>
      </c>
    </row>
    <row r="27" spans="1:7" ht="16.5" customHeight="1">
      <c r="A27" s="307" t="s">
        <v>411</v>
      </c>
      <c r="B27" s="392" t="s">
        <v>410</v>
      </c>
      <c r="C27" s="392" t="s">
        <v>397</v>
      </c>
      <c r="D27" s="392" t="s">
        <v>409</v>
      </c>
      <c r="E27" s="392" t="s">
        <v>397</v>
      </c>
      <c r="F27" s="308" t="s">
        <v>397</v>
      </c>
      <c r="G27" s="309" t="s">
        <v>397</v>
      </c>
    </row>
    <row r="28" spans="1:7" ht="29.25" customHeight="1">
      <c r="A28" s="307" t="s">
        <v>408</v>
      </c>
      <c r="B28" s="392" t="s">
        <v>405</v>
      </c>
      <c r="C28" s="392" t="s">
        <v>397</v>
      </c>
      <c r="D28" s="392" t="s">
        <v>977</v>
      </c>
      <c r="E28" s="392" t="s">
        <v>397</v>
      </c>
      <c r="F28" s="308" t="s">
        <v>397</v>
      </c>
      <c r="G28" s="309">
        <v>21145793.489999998</v>
      </c>
    </row>
    <row r="29" spans="1:7" ht="16.5" customHeight="1">
      <c r="A29" s="307" t="s">
        <v>397</v>
      </c>
      <c r="B29" s="392" t="s">
        <v>397</v>
      </c>
      <c r="C29" s="392" t="s">
        <v>397</v>
      </c>
      <c r="D29" s="393" t="s">
        <v>397</v>
      </c>
      <c r="E29" s="393" t="s">
        <v>397</v>
      </c>
      <c r="F29" s="308" t="s">
        <v>397</v>
      </c>
      <c r="G29" s="309" t="s">
        <v>397</v>
      </c>
    </row>
    <row r="30" spans="1:7" ht="16.5" customHeight="1">
      <c r="A30" s="307" t="s">
        <v>403</v>
      </c>
      <c r="B30" s="392" t="s">
        <v>983</v>
      </c>
      <c r="C30" s="392" t="s">
        <v>397</v>
      </c>
      <c r="D30" s="392" t="s">
        <v>983</v>
      </c>
      <c r="E30" s="392" t="s">
        <v>397</v>
      </c>
      <c r="F30" s="308" t="s">
        <v>397</v>
      </c>
      <c r="G30" s="309">
        <v>12954604.310000001</v>
      </c>
    </row>
    <row r="31" spans="1:7" ht="29.25" customHeight="1">
      <c r="A31" s="307" t="s">
        <v>51</v>
      </c>
      <c r="B31" s="392" t="s">
        <v>464</v>
      </c>
      <c r="C31" s="392" t="s">
        <v>397</v>
      </c>
      <c r="D31" s="392" t="s">
        <v>463</v>
      </c>
      <c r="E31" s="392" t="s">
        <v>397</v>
      </c>
      <c r="F31" s="308" t="s">
        <v>397</v>
      </c>
      <c r="G31" s="309">
        <v>11125023</v>
      </c>
    </row>
    <row r="32" spans="1:7" ht="16.5" customHeight="1">
      <c r="A32" s="307" t="s">
        <v>462</v>
      </c>
      <c r="B32" s="392" t="s">
        <v>450</v>
      </c>
      <c r="C32" s="392" t="s">
        <v>397</v>
      </c>
      <c r="D32" s="392" t="s">
        <v>450</v>
      </c>
      <c r="E32" s="392" t="s">
        <v>397</v>
      </c>
      <c r="F32" s="308" t="s">
        <v>397</v>
      </c>
      <c r="G32" s="309">
        <v>1500489.68</v>
      </c>
    </row>
    <row r="33" spans="1:7" ht="16.5" customHeight="1">
      <c r="A33" s="307" t="s">
        <v>403</v>
      </c>
      <c r="B33" s="392" t="s">
        <v>447</v>
      </c>
      <c r="C33" s="392" t="s">
        <v>397</v>
      </c>
      <c r="D33" s="392" t="s">
        <v>447</v>
      </c>
      <c r="E33" s="392" t="s">
        <v>397</v>
      </c>
      <c r="F33" s="308" t="s">
        <v>397</v>
      </c>
      <c r="G33" s="309">
        <v>9060053.1500000004</v>
      </c>
    </row>
    <row r="34" spans="1:7" ht="16.5" customHeight="1">
      <c r="A34" s="307" t="s">
        <v>461</v>
      </c>
      <c r="B34" s="392" t="s">
        <v>460</v>
      </c>
      <c r="C34" s="392" t="s">
        <v>397</v>
      </c>
      <c r="D34" s="392" t="s">
        <v>459</v>
      </c>
      <c r="E34" s="392" t="s">
        <v>397</v>
      </c>
      <c r="F34" s="308" t="s">
        <v>397</v>
      </c>
      <c r="G34" s="309" t="s">
        <v>397</v>
      </c>
    </row>
    <row r="35" spans="1:7" ht="16.5" customHeight="1" thickBot="1">
      <c r="A35" s="310" t="s">
        <v>458</v>
      </c>
      <c r="B35" s="394" t="s">
        <v>444</v>
      </c>
      <c r="C35" s="394" t="s">
        <v>397</v>
      </c>
      <c r="D35" s="394" t="s">
        <v>457</v>
      </c>
      <c r="E35" s="394" t="s">
        <v>397</v>
      </c>
      <c r="F35" s="311" t="s">
        <v>397</v>
      </c>
      <c r="G35" s="312">
        <v>34717.17</v>
      </c>
    </row>
    <row r="36" spans="1:7" ht="16.5" customHeight="1">
      <c r="A36" s="387" t="s">
        <v>400</v>
      </c>
      <c r="B36" s="387" t="s">
        <v>397</v>
      </c>
      <c r="C36" s="388" t="s">
        <v>399</v>
      </c>
      <c r="D36" s="388" t="s">
        <v>397</v>
      </c>
      <c r="E36" s="389" t="s">
        <v>398</v>
      </c>
      <c r="F36" s="389" t="s">
        <v>397</v>
      </c>
      <c r="G36" s="389" t="s">
        <v>397</v>
      </c>
    </row>
    <row r="37" spans="1:7" ht="16.5" customHeight="1">
      <c r="A37" s="387" t="s">
        <v>397</v>
      </c>
      <c r="B37" s="387" t="s">
        <v>397</v>
      </c>
      <c r="C37" s="388" t="s">
        <v>397</v>
      </c>
      <c r="D37" s="388" t="s">
        <v>397</v>
      </c>
      <c r="E37" s="389" t="s">
        <v>397</v>
      </c>
      <c r="F37" s="389" t="s">
        <v>397</v>
      </c>
      <c r="G37" s="389" t="s">
        <v>397</v>
      </c>
    </row>
    <row r="38" spans="1:7" ht="33.75" customHeight="1">
      <c r="A38" s="390" t="s">
        <v>472</v>
      </c>
      <c r="B38" s="390" t="s">
        <v>397</v>
      </c>
      <c r="C38" s="390" t="s">
        <v>397</v>
      </c>
      <c r="D38" s="390" t="s">
        <v>397</v>
      </c>
      <c r="E38" s="390" t="s">
        <v>397</v>
      </c>
      <c r="F38" s="390" t="s">
        <v>397</v>
      </c>
      <c r="G38" s="390" t="s">
        <v>397</v>
      </c>
    </row>
    <row r="39" spans="1:7" ht="23.25" customHeight="1" thickBot="1">
      <c r="A39" s="387" t="s">
        <v>982</v>
      </c>
      <c r="B39" s="387" t="s">
        <v>397</v>
      </c>
      <c r="C39" s="387" t="s">
        <v>397</v>
      </c>
      <c r="D39" s="387" t="s">
        <v>397</v>
      </c>
      <c r="E39" s="389" t="s">
        <v>960</v>
      </c>
      <c r="F39" s="389" t="s">
        <v>397</v>
      </c>
      <c r="G39" s="389" t="s">
        <v>397</v>
      </c>
    </row>
    <row r="40" spans="1:7" ht="18" customHeight="1">
      <c r="A40" s="304" t="s">
        <v>42</v>
      </c>
      <c r="B40" s="391" t="s">
        <v>469</v>
      </c>
      <c r="C40" s="391" t="s">
        <v>397</v>
      </c>
      <c r="D40" s="391" t="s">
        <v>468</v>
      </c>
      <c r="E40" s="391" t="s">
        <v>397</v>
      </c>
      <c r="F40" s="305" t="s">
        <v>467</v>
      </c>
      <c r="G40" s="306" t="s">
        <v>466</v>
      </c>
    </row>
    <row r="41" spans="1:7" ht="16.5" customHeight="1">
      <c r="A41" s="307" t="s">
        <v>365</v>
      </c>
      <c r="B41" s="392" t="s">
        <v>456</v>
      </c>
      <c r="C41" s="392" t="s">
        <v>397</v>
      </c>
      <c r="D41" s="392" t="s">
        <v>455</v>
      </c>
      <c r="E41" s="392" t="s">
        <v>397</v>
      </c>
      <c r="F41" s="308" t="s">
        <v>397</v>
      </c>
      <c r="G41" s="309">
        <v>605804.18999999994</v>
      </c>
    </row>
    <row r="42" spans="1:7" ht="16.5" customHeight="1">
      <c r="A42" s="307" t="s">
        <v>454</v>
      </c>
      <c r="B42" s="392" t="s">
        <v>453</v>
      </c>
      <c r="C42" s="392" t="s">
        <v>397</v>
      </c>
      <c r="D42" s="392" t="s">
        <v>452</v>
      </c>
      <c r="E42" s="392" t="s">
        <v>397</v>
      </c>
      <c r="F42" s="308" t="s">
        <v>397</v>
      </c>
      <c r="G42" s="309">
        <v>480405.93</v>
      </c>
    </row>
    <row r="43" spans="1:7" ht="16.5" customHeight="1">
      <c r="A43" s="307" t="s">
        <v>451</v>
      </c>
      <c r="B43" s="392" t="s">
        <v>450</v>
      </c>
      <c r="C43" s="392" t="s">
        <v>397</v>
      </c>
      <c r="D43" s="392" t="s">
        <v>449</v>
      </c>
      <c r="E43" s="392" t="s">
        <v>397</v>
      </c>
      <c r="F43" s="308" t="s">
        <v>397</v>
      </c>
      <c r="G43" s="309">
        <v>305102.98</v>
      </c>
    </row>
    <row r="44" spans="1:7" ht="16.5" customHeight="1">
      <c r="A44" s="307" t="s">
        <v>448</v>
      </c>
      <c r="B44" s="392" t="s">
        <v>447</v>
      </c>
      <c r="C44" s="392" t="s">
        <v>397</v>
      </c>
      <c r="D44" s="392" t="s">
        <v>446</v>
      </c>
      <c r="E44" s="392" t="s">
        <v>397</v>
      </c>
      <c r="F44" s="308" t="s">
        <v>397</v>
      </c>
      <c r="G44" s="309">
        <v>74463.210000000006</v>
      </c>
    </row>
    <row r="45" spans="1:7" ht="16.5" customHeight="1">
      <c r="A45" s="307" t="s">
        <v>445</v>
      </c>
      <c r="B45" s="392" t="s">
        <v>444</v>
      </c>
      <c r="C45" s="392" t="s">
        <v>397</v>
      </c>
      <c r="D45" s="392" t="s">
        <v>443</v>
      </c>
      <c r="E45" s="392" t="s">
        <v>397</v>
      </c>
      <c r="F45" s="308" t="s">
        <v>397</v>
      </c>
      <c r="G45" s="309">
        <v>100839.74</v>
      </c>
    </row>
    <row r="46" spans="1:7" ht="16.5" customHeight="1">
      <c r="A46" s="307" t="s">
        <v>442</v>
      </c>
      <c r="B46" s="392" t="s">
        <v>441</v>
      </c>
      <c r="C46" s="392" t="s">
        <v>397</v>
      </c>
      <c r="D46" s="392" t="s">
        <v>440</v>
      </c>
      <c r="E46" s="392" t="s">
        <v>397</v>
      </c>
      <c r="F46" s="308" t="s">
        <v>397</v>
      </c>
      <c r="G46" s="309">
        <v>125398.26</v>
      </c>
    </row>
    <row r="47" spans="1:7" ht="29.25" customHeight="1">
      <c r="A47" s="307" t="s">
        <v>439</v>
      </c>
      <c r="B47" s="392" t="s">
        <v>438</v>
      </c>
      <c r="C47" s="392" t="s">
        <v>397</v>
      </c>
      <c r="D47" s="392" t="s">
        <v>425</v>
      </c>
      <c r="E47" s="392" t="s">
        <v>397</v>
      </c>
      <c r="F47" s="308" t="s">
        <v>981</v>
      </c>
      <c r="G47" s="309">
        <v>112780.79</v>
      </c>
    </row>
    <row r="48" spans="1:7" ht="29.25" customHeight="1">
      <c r="A48" s="307" t="s">
        <v>436</v>
      </c>
      <c r="B48" s="392" t="s">
        <v>435</v>
      </c>
      <c r="C48" s="392" t="s">
        <v>397</v>
      </c>
      <c r="D48" s="392" t="s">
        <v>425</v>
      </c>
      <c r="E48" s="392" t="s">
        <v>397</v>
      </c>
      <c r="F48" s="308" t="s">
        <v>434</v>
      </c>
      <c r="G48" s="309">
        <v>12617.47</v>
      </c>
    </row>
    <row r="49" spans="1:7" ht="16.5" customHeight="1">
      <c r="A49" s="307" t="s">
        <v>316</v>
      </c>
      <c r="B49" s="392" t="s">
        <v>433</v>
      </c>
      <c r="C49" s="392" t="s">
        <v>397</v>
      </c>
      <c r="D49" s="392" t="s">
        <v>397</v>
      </c>
      <c r="E49" s="392" t="s">
        <v>397</v>
      </c>
      <c r="F49" s="308" t="s">
        <v>397</v>
      </c>
      <c r="G49" s="309" t="s">
        <v>397</v>
      </c>
    </row>
    <row r="50" spans="1:7" ht="29.25" customHeight="1">
      <c r="A50" s="307" t="s">
        <v>393</v>
      </c>
      <c r="B50" s="392" t="s">
        <v>432</v>
      </c>
      <c r="C50" s="392" t="s">
        <v>397</v>
      </c>
      <c r="D50" s="392" t="s">
        <v>425</v>
      </c>
      <c r="E50" s="392" t="s">
        <v>397</v>
      </c>
      <c r="F50" s="308" t="s">
        <v>980</v>
      </c>
      <c r="G50" s="309">
        <v>261472.85</v>
      </c>
    </row>
    <row r="51" spans="1:7" ht="29.25" customHeight="1">
      <c r="A51" s="307" t="s">
        <v>430</v>
      </c>
      <c r="B51" s="392" t="s">
        <v>429</v>
      </c>
      <c r="C51" s="392" t="s">
        <v>397</v>
      </c>
      <c r="D51" s="392" t="s">
        <v>425</v>
      </c>
      <c r="E51" s="392" t="s">
        <v>397</v>
      </c>
      <c r="F51" s="308" t="s">
        <v>979</v>
      </c>
      <c r="G51" s="309">
        <v>306701.63</v>
      </c>
    </row>
    <row r="52" spans="1:7" ht="29.25" customHeight="1">
      <c r="A52" s="307" t="s">
        <v>427</v>
      </c>
      <c r="B52" s="392" t="s">
        <v>426</v>
      </c>
      <c r="C52" s="392" t="s">
        <v>397</v>
      </c>
      <c r="D52" s="392" t="s">
        <v>425</v>
      </c>
      <c r="E52" s="392" t="s">
        <v>397</v>
      </c>
      <c r="F52" s="308" t="s">
        <v>978</v>
      </c>
      <c r="G52" s="309">
        <v>212555.88</v>
      </c>
    </row>
    <row r="53" spans="1:7" ht="16.5" customHeight="1">
      <c r="A53" s="307" t="s">
        <v>423</v>
      </c>
      <c r="B53" s="392" t="s">
        <v>422</v>
      </c>
      <c r="C53" s="392" t="s">
        <v>397</v>
      </c>
      <c r="D53" s="392" t="s">
        <v>397</v>
      </c>
      <c r="E53" s="392" t="s">
        <v>397</v>
      </c>
      <c r="F53" s="308" t="s">
        <v>397</v>
      </c>
      <c r="G53" s="309" t="s">
        <v>397</v>
      </c>
    </row>
    <row r="54" spans="1:7" ht="42" customHeight="1">
      <c r="A54" s="307" t="s">
        <v>421</v>
      </c>
      <c r="B54" s="392" t="s">
        <v>420</v>
      </c>
      <c r="C54" s="392" t="s">
        <v>397</v>
      </c>
      <c r="D54" s="392" t="s">
        <v>419</v>
      </c>
      <c r="E54" s="392" t="s">
        <v>397</v>
      </c>
      <c r="F54" s="308" t="s">
        <v>397</v>
      </c>
      <c r="G54" s="309">
        <v>12511557.550000001</v>
      </c>
    </row>
    <row r="55" spans="1:7" ht="16.5" customHeight="1">
      <c r="A55" s="307" t="s">
        <v>418</v>
      </c>
      <c r="B55" s="392" t="s">
        <v>417</v>
      </c>
      <c r="C55" s="392" t="s">
        <v>397</v>
      </c>
      <c r="D55" s="392" t="s">
        <v>416</v>
      </c>
      <c r="E55" s="392" t="s">
        <v>397</v>
      </c>
      <c r="F55" s="308" t="s">
        <v>397</v>
      </c>
      <c r="G55" s="309" t="s">
        <v>397</v>
      </c>
    </row>
    <row r="56" spans="1:7" ht="16.5" customHeight="1">
      <c r="A56" s="307" t="s">
        <v>415</v>
      </c>
      <c r="B56" s="392" t="s">
        <v>414</v>
      </c>
      <c r="C56" s="392" t="s">
        <v>397</v>
      </c>
      <c r="D56" s="392" t="s">
        <v>413</v>
      </c>
      <c r="E56" s="392" t="s">
        <v>397</v>
      </c>
      <c r="F56" s="308" t="s">
        <v>412</v>
      </c>
      <c r="G56" s="309">
        <v>443046.76</v>
      </c>
    </row>
    <row r="57" spans="1:7" ht="16.5" customHeight="1">
      <c r="A57" s="307" t="s">
        <v>411</v>
      </c>
      <c r="B57" s="392" t="s">
        <v>410</v>
      </c>
      <c r="C57" s="392" t="s">
        <v>397</v>
      </c>
      <c r="D57" s="392" t="s">
        <v>409</v>
      </c>
      <c r="E57" s="392" t="s">
        <v>397</v>
      </c>
      <c r="F57" s="308" t="s">
        <v>397</v>
      </c>
      <c r="G57" s="309" t="s">
        <v>397</v>
      </c>
    </row>
    <row r="58" spans="1:7" ht="29.25" customHeight="1">
      <c r="A58" s="307" t="s">
        <v>408</v>
      </c>
      <c r="B58" s="392" t="s">
        <v>405</v>
      </c>
      <c r="C58" s="392" t="s">
        <v>397</v>
      </c>
      <c r="D58" s="392" t="s">
        <v>977</v>
      </c>
      <c r="E58" s="392" t="s">
        <v>397</v>
      </c>
      <c r="F58" s="308" t="s">
        <v>397</v>
      </c>
      <c r="G58" s="309">
        <v>12954604.310000001</v>
      </c>
    </row>
    <row r="59" spans="1:7" ht="16.5" customHeight="1">
      <c r="A59" s="307" t="s">
        <v>397</v>
      </c>
      <c r="B59" s="392" t="s">
        <v>397</v>
      </c>
      <c r="C59" s="392" t="s">
        <v>397</v>
      </c>
      <c r="D59" s="393" t="s">
        <v>397</v>
      </c>
      <c r="E59" s="393" t="s">
        <v>397</v>
      </c>
      <c r="F59" s="308" t="s">
        <v>397</v>
      </c>
      <c r="G59" s="309" t="s">
        <v>397</v>
      </c>
    </row>
    <row r="60" spans="1:7" ht="16.5" customHeight="1">
      <c r="A60" s="307" t="s">
        <v>461</v>
      </c>
      <c r="B60" s="392" t="s">
        <v>402</v>
      </c>
      <c r="C60" s="392" t="s">
        <v>397</v>
      </c>
      <c r="D60" s="392" t="s">
        <v>401</v>
      </c>
      <c r="E60" s="392" t="s">
        <v>397</v>
      </c>
      <c r="F60" s="308" t="s">
        <v>397</v>
      </c>
      <c r="G60" s="309">
        <v>34100397.799999997</v>
      </c>
    </row>
    <row r="61" spans="1:7" ht="16.5" customHeight="1">
      <c r="A61" s="307" t="s">
        <v>397</v>
      </c>
      <c r="B61" s="392" t="s">
        <v>397</v>
      </c>
      <c r="C61" s="392" t="s">
        <v>397</v>
      </c>
      <c r="D61" s="392" t="s">
        <v>397</v>
      </c>
      <c r="E61" s="392" t="s">
        <v>397</v>
      </c>
      <c r="F61" s="308" t="s">
        <v>397</v>
      </c>
      <c r="G61" s="309" t="s">
        <v>397</v>
      </c>
    </row>
    <row r="62" spans="1:7" ht="16.5" customHeight="1">
      <c r="A62" s="307" t="s">
        <v>397</v>
      </c>
      <c r="B62" s="392" t="s">
        <v>397</v>
      </c>
      <c r="C62" s="392" t="s">
        <v>397</v>
      </c>
      <c r="D62" s="392" t="s">
        <v>397</v>
      </c>
      <c r="E62" s="392" t="s">
        <v>397</v>
      </c>
      <c r="F62" s="308" t="s">
        <v>397</v>
      </c>
      <c r="G62" s="309" t="s">
        <v>397</v>
      </c>
    </row>
    <row r="63" spans="1:7" ht="16.5" customHeight="1">
      <c r="A63" s="307" t="s">
        <v>397</v>
      </c>
      <c r="B63" s="392" t="s">
        <v>397</v>
      </c>
      <c r="C63" s="392" t="s">
        <v>397</v>
      </c>
      <c r="D63" s="392" t="s">
        <v>397</v>
      </c>
      <c r="E63" s="392" t="s">
        <v>397</v>
      </c>
      <c r="F63" s="308" t="s">
        <v>397</v>
      </c>
      <c r="G63" s="309" t="s">
        <v>397</v>
      </c>
    </row>
    <row r="64" spans="1:7" ht="16.5" customHeight="1">
      <c r="A64" s="307" t="s">
        <v>397</v>
      </c>
      <c r="B64" s="392" t="s">
        <v>397</v>
      </c>
      <c r="C64" s="392" t="s">
        <v>397</v>
      </c>
      <c r="D64" s="392" t="s">
        <v>397</v>
      </c>
      <c r="E64" s="392" t="s">
        <v>397</v>
      </c>
      <c r="F64" s="308" t="s">
        <v>397</v>
      </c>
      <c r="G64" s="309" t="s">
        <v>397</v>
      </c>
    </row>
    <row r="65" spans="1:7" ht="16.5" customHeight="1">
      <c r="A65" s="307" t="s">
        <v>397</v>
      </c>
      <c r="B65" s="392" t="s">
        <v>397</v>
      </c>
      <c r="C65" s="392" t="s">
        <v>397</v>
      </c>
      <c r="D65" s="392" t="s">
        <v>397</v>
      </c>
      <c r="E65" s="392" t="s">
        <v>397</v>
      </c>
      <c r="F65" s="308" t="s">
        <v>397</v>
      </c>
      <c r="G65" s="309" t="s">
        <v>397</v>
      </c>
    </row>
    <row r="66" spans="1:7" ht="16.5" customHeight="1">
      <c r="A66" s="307" t="s">
        <v>397</v>
      </c>
      <c r="B66" s="392" t="s">
        <v>397</v>
      </c>
      <c r="C66" s="392" t="s">
        <v>397</v>
      </c>
      <c r="D66" s="392" t="s">
        <v>397</v>
      </c>
      <c r="E66" s="392" t="s">
        <v>397</v>
      </c>
      <c r="F66" s="308" t="s">
        <v>397</v>
      </c>
      <c r="G66" s="309" t="s">
        <v>397</v>
      </c>
    </row>
    <row r="67" spans="1:7" ht="16.5" customHeight="1">
      <c r="A67" s="307" t="s">
        <v>397</v>
      </c>
      <c r="B67" s="392" t="s">
        <v>397</v>
      </c>
      <c r="C67" s="392" t="s">
        <v>397</v>
      </c>
      <c r="D67" s="392" t="s">
        <v>397</v>
      </c>
      <c r="E67" s="392" t="s">
        <v>397</v>
      </c>
      <c r="F67" s="308" t="s">
        <v>397</v>
      </c>
      <c r="G67" s="309" t="s">
        <v>397</v>
      </c>
    </row>
    <row r="68" spans="1:7" ht="16.5" customHeight="1">
      <c r="A68" s="307" t="s">
        <v>397</v>
      </c>
      <c r="B68" s="392" t="s">
        <v>397</v>
      </c>
      <c r="C68" s="392" t="s">
        <v>397</v>
      </c>
      <c r="D68" s="392" t="s">
        <v>397</v>
      </c>
      <c r="E68" s="392" t="s">
        <v>397</v>
      </c>
      <c r="F68" s="308" t="s">
        <v>397</v>
      </c>
      <c r="G68" s="309" t="s">
        <v>397</v>
      </c>
    </row>
    <row r="69" spans="1:7" ht="16.5" customHeight="1">
      <c r="A69" s="307" t="s">
        <v>397</v>
      </c>
      <c r="B69" s="392" t="s">
        <v>397</v>
      </c>
      <c r="C69" s="392" t="s">
        <v>397</v>
      </c>
      <c r="D69" s="392" t="s">
        <v>397</v>
      </c>
      <c r="E69" s="392" t="s">
        <v>397</v>
      </c>
      <c r="F69" s="308" t="s">
        <v>397</v>
      </c>
      <c r="G69" s="309" t="s">
        <v>397</v>
      </c>
    </row>
    <row r="70" spans="1:7" ht="16.5" customHeight="1">
      <c r="A70" s="307" t="s">
        <v>397</v>
      </c>
      <c r="B70" s="392" t="s">
        <v>397</v>
      </c>
      <c r="C70" s="392" t="s">
        <v>397</v>
      </c>
      <c r="D70" s="392" t="s">
        <v>397</v>
      </c>
      <c r="E70" s="392" t="s">
        <v>397</v>
      </c>
      <c r="F70" s="308" t="s">
        <v>397</v>
      </c>
      <c r="G70" s="309" t="s">
        <v>397</v>
      </c>
    </row>
    <row r="71" spans="1:7" ht="16.5" customHeight="1">
      <c r="A71" s="307" t="s">
        <v>397</v>
      </c>
      <c r="B71" s="392" t="s">
        <v>397</v>
      </c>
      <c r="C71" s="392" t="s">
        <v>397</v>
      </c>
      <c r="D71" s="392" t="s">
        <v>397</v>
      </c>
      <c r="E71" s="392" t="s">
        <v>397</v>
      </c>
      <c r="F71" s="308" t="s">
        <v>397</v>
      </c>
      <c r="G71" s="309" t="s">
        <v>397</v>
      </c>
    </row>
    <row r="72" spans="1:7" ht="16.5" customHeight="1">
      <c r="A72" s="307" t="s">
        <v>397</v>
      </c>
      <c r="B72" s="392" t="s">
        <v>397</v>
      </c>
      <c r="C72" s="392" t="s">
        <v>397</v>
      </c>
      <c r="D72" s="392" t="s">
        <v>397</v>
      </c>
      <c r="E72" s="392" t="s">
        <v>397</v>
      </c>
      <c r="F72" s="308" t="s">
        <v>397</v>
      </c>
      <c r="G72" s="309" t="s">
        <v>397</v>
      </c>
    </row>
    <row r="73" spans="1:7" ht="16.5" customHeight="1" thickBot="1">
      <c r="A73" s="310" t="s">
        <v>397</v>
      </c>
      <c r="B73" s="394" t="s">
        <v>397</v>
      </c>
      <c r="C73" s="394" t="s">
        <v>397</v>
      </c>
      <c r="D73" s="394" t="s">
        <v>397</v>
      </c>
      <c r="E73" s="394" t="s">
        <v>397</v>
      </c>
      <c r="F73" s="311" t="s">
        <v>397</v>
      </c>
      <c r="G73" s="312" t="s">
        <v>397</v>
      </c>
    </row>
    <row r="74" spans="1:7" ht="16.5" customHeight="1">
      <c r="A74" s="387" t="s">
        <v>400</v>
      </c>
      <c r="B74" s="387" t="s">
        <v>397</v>
      </c>
      <c r="C74" s="388" t="s">
        <v>399</v>
      </c>
      <c r="D74" s="388" t="s">
        <v>397</v>
      </c>
      <c r="E74" s="389" t="s">
        <v>398</v>
      </c>
      <c r="F74" s="389" t="s">
        <v>397</v>
      </c>
      <c r="G74" s="389" t="s">
        <v>397</v>
      </c>
    </row>
  </sheetData>
  <mergeCells count="150">
    <mergeCell ref="B73:C73"/>
    <mergeCell ref="D73:E73"/>
    <mergeCell ref="A74:B74"/>
    <mergeCell ref="C74:D74"/>
    <mergeCell ref="E74:G74"/>
    <mergeCell ref="B70:C70"/>
    <mergeCell ref="D70:E70"/>
    <mergeCell ref="B71:C71"/>
    <mergeCell ref="D71:E71"/>
    <mergeCell ref="B72:C72"/>
    <mergeCell ref="B65:C65"/>
    <mergeCell ref="D65:E65"/>
    <mergeCell ref="B66:C66"/>
    <mergeCell ref="D66:E66"/>
    <mergeCell ref="D72:E72"/>
    <mergeCell ref="B67:C67"/>
    <mergeCell ref="D67:E67"/>
    <mergeCell ref="B68:C68"/>
    <mergeCell ref="D68:E68"/>
    <mergeCell ref="B69:C69"/>
    <mergeCell ref="D69:E69"/>
    <mergeCell ref="B60:C60"/>
    <mergeCell ref="D60:E60"/>
    <mergeCell ref="B61:C61"/>
    <mergeCell ref="D61:E61"/>
    <mergeCell ref="B62:C62"/>
    <mergeCell ref="D62:E62"/>
    <mergeCell ref="B63:C63"/>
    <mergeCell ref="D63:E63"/>
    <mergeCell ref="B64:C64"/>
    <mergeCell ref="D64:E64"/>
    <mergeCell ref="B55:C55"/>
    <mergeCell ref="D55:E55"/>
    <mergeCell ref="B56:C56"/>
    <mergeCell ref="D56:E56"/>
    <mergeCell ref="B57:C57"/>
    <mergeCell ref="D57:E57"/>
    <mergeCell ref="B58:C58"/>
    <mergeCell ref="D58:E58"/>
    <mergeCell ref="B59:C59"/>
    <mergeCell ref="D59:E59"/>
    <mergeCell ref="B50:C50"/>
    <mergeCell ref="D50:E50"/>
    <mergeCell ref="B51:C51"/>
    <mergeCell ref="D51:E51"/>
    <mergeCell ref="B52:C52"/>
    <mergeCell ref="D52:E52"/>
    <mergeCell ref="B53:C53"/>
    <mergeCell ref="D53:E53"/>
    <mergeCell ref="B54:C54"/>
    <mergeCell ref="D54:E54"/>
    <mergeCell ref="B45:C45"/>
    <mergeCell ref="D45:E45"/>
    <mergeCell ref="B46:C46"/>
    <mergeCell ref="D46:E46"/>
    <mergeCell ref="B47:C47"/>
    <mergeCell ref="D47:E47"/>
    <mergeCell ref="B48:C48"/>
    <mergeCell ref="D48:E48"/>
    <mergeCell ref="B49:C49"/>
    <mergeCell ref="D49:E49"/>
    <mergeCell ref="B40:C40"/>
    <mergeCell ref="D40:E40"/>
    <mergeCell ref="B41:C41"/>
    <mergeCell ref="D41:E41"/>
    <mergeCell ref="B42:C42"/>
    <mergeCell ref="D42:E42"/>
    <mergeCell ref="B43:C43"/>
    <mergeCell ref="D43:E43"/>
    <mergeCell ref="B44:C44"/>
    <mergeCell ref="D44:E44"/>
    <mergeCell ref="A36:B36"/>
    <mergeCell ref="C36:D36"/>
    <mergeCell ref="E36:G36"/>
    <mergeCell ref="A37:B37"/>
    <mergeCell ref="C37:D37"/>
    <mergeCell ref="E37:G37"/>
    <mergeCell ref="A38:G38"/>
    <mergeCell ref="A39:D39"/>
    <mergeCell ref="E39:G39"/>
    <mergeCell ref="B31:C31"/>
    <mergeCell ref="D31:E31"/>
    <mergeCell ref="B32:C32"/>
    <mergeCell ref="D32:E32"/>
    <mergeCell ref="B33:C33"/>
    <mergeCell ref="D33:E33"/>
    <mergeCell ref="B34:C34"/>
    <mergeCell ref="D34:E34"/>
    <mergeCell ref="B35:C35"/>
    <mergeCell ref="D35:E35"/>
    <mergeCell ref="B26:C26"/>
    <mergeCell ref="D26:E26"/>
    <mergeCell ref="B27:C27"/>
    <mergeCell ref="D27:E27"/>
    <mergeCell ref="B28:C28"/>
    <mergeCell ref="D28:E28"/>
    <mergeCell ref="B29:C29"/>
    <mergeCell ref="D29:E29"/>
    <mergeCell ref="B30:C30"/>
    <mergeCell ref="D30:E30"/>
    <mergeCell ref="B21:C21"/>
    <mergeCell ref="D21:E21"/>
    <mergeCell ref="B22:C22"/>
    <mergeCell ref="D22:E22"/>
    <mergeCell ref="B23:C23"/>
    <mergeCell ref="D23:E23"/>
    <mergeCell ref="B24:C24"/>
    <mergeCell ref="D24:E24"/>
    <mergeCell ref="B25:C25"/>
    <mergeCell ref="D25:E25"/>
    <mergeCell ref="B16:C16"/>
    <mergeCell ref="D16:E16"/>
    <mergeCell ref="B17:C17"/>
    <mergeCell ref="D17:E17"/>
    <mergeCell ref="B18:C18"/>
    <mergeCell ref="D18:E18"/>
    <mergeCell ref="B19:C19"/>
    <mergeCell ref="D19:E19"/>
    <mergeCell ref="B20:C20"/>
    <mergeCell ref="D20:E20"/>
    <mergeCell ref="B11:C11"/>
    <mergeCell ref="D11:E11"/>
    <mergeCell ref="B12:C12"/>
    <mergeCell ref="D12:E12"/>
    <mergeCell ref="B13:C13"/>
    <mergeCell ref="D13:E13"/>
    <mergeCell ref="B14:C14"/>
    <mergeCell ref="D14:E14"/>
    <mergeCell ref="B15:C15"/>
    <mergeCell ref="D15:E15"/>
    <mergeCell ref="B6:C6"/>
    <mergeCell ref="D6:E6"/>
    <mergeCell ref="B7:C7"/>
    <mergeCell ref="D7:E7"/>
    <mergeCell ref="B8:C8"/>
    <mergeCell ref="D8:E8"/>
    <mergeCell ref="B9:C9"/>
    <mergeCell ref="D9:E9"/>
    <mergeCell ref="B10:C10"/>
    <mergeCell ref="D10:E10"/>
    <mergeCell ref="A1:B1"/>
    <mergeCell ref="C1:D1"/>
    <mergeCell ref="E1:G1"/>
    <mergeCell ref="A2:G2"/>
    <mergeCell ref="A3:D3"/>
    <mergeCell ref="E3:G3"/>
    <mergeCell ref="B4:C4"/>
    <mergeCell ref="D4:E4"/>
    <mergeCell ref="B5:C5"/>
    <mergeCell ref="D5:E5"/>
  </mergeCells>
  <phoneticPr fontId="34" type="noConversion"/>
  <pageMargins left="0.51181102362204722" right="0.51181102362204722" top="0.59055118110236227" bottom="0.59055118110236227" header="0.59055118110236227" footer="0.59055118110236227"/>
  <pageSetup paperSize="9" scale="96" orientation="portrait" r:id="rId1"/>
  <headerFooter alignWithMargins="0"/>
  <rowBreaks count="1" manualBreakCount="1">
    <brk id="36" min="1" max="256" man="1"/>
  </rowBreaks>
</worksheet>
</file>

<file path=xl/worksheets/sheet8.xml><?xml version="1.0" encoding="utf-8"?>
<worksheet xmlns="http://schemas.openxmlformats.org/spreadsheetml/2006/main" xmlns:r="http://schemas.openxmlformats.org/officeDocument/2006/relationships">
  <dimension ref="A1:O137"/>
  <sheetViews>
    <sheetView topLeftCell="A13" workbookViewId="0">
      <selection activeCell="A2" sqref="A2:U2"/>
    </sheetView>
  </sheetViews>
  <sheetFormatPr defaultColWidth="8" defaultRowHeight="14.25"/>
  <cols>
    <col min="1" max="1" width="4.25" style="303" customWidth="1"/>
    <col min="2" max="2" width="7.5" style="303" customWidth="1"/>
    <col min="3" max="3" width="16.5" style="303" customWidth="1"/>
    <col min="4" max="4" width="6.25" style="303" customWidth="1"/>
    <col min="5" max="5" width="6.125" style="303" customWidth="1"/>
    <col min="6" max="6" width="1.375" style="303" customWidth="1"/>
    <col min="7" max="7" width="10.5" style="303" customWidth="1"/>
    <col min="8" max="8" width="9.875" style="303" customWidth="1"/>
    <col min="9" max="9" width="10.375" style="303" customWidth="1"/>
    <col min="10" max="10" width="10.5" style="303" customWidth="1"/>
    <col min="11" max="11" width="2.75" style="303" customWidth="1"/>
    <col min="12" max="12" width="6.875" style="303" customWidth="1"/>
    <col min="13" max="13" width="10.625" style="303" customWidth="1"/>
    <col min="14" max="14" width="11.375" style="303" customWidth="1"/>
    <col min="15" max="15" width="11.125" style="303" customWidth="1"/>
    <col min="16" max="16384" width="8" style="303"/>
  </cols>
  <sheetData>
    <row r="1" spans="1:15" ht="16.5" customHeight="1">
      <c r="A1" s="387" t="s">
        <v>397</v>
      </c>
      <c r="B1" s="387" t="s">
        <v>397</v>
      </c>
      <c r="C1" s="387" t="s">
        <v>397</v>
      </c>
      <c r="D1" s="387" t="s">
        <v>397</v>
      </c>
      <c r="E1" s="387" t="s">
        <v>397</v>
      </c>
      <c r="F1" s="388" t="s">
        <v>397</v>
      </c>
      <c r="G1" s="388" t="s">
        <v>397</v>
      </c>
      <c r="H1" s="388" t="s">
        <v>397</v>
      </c>
      <c r="I1" s="388" t="s">
        <v>397</v>
      </c>
      <c r="J1" s="388" t="s">
        <v>397</v>
      </c>
      <c r="K1" s="388" t="s">
        <v>397</v>
      </c>
      <c r="L1" s="389" t="s">
        <v>397</v>
      </c>
      <c r="M1" s="389" t="s">
        <v>397</v>
      </c>
      <c r="N1" s="389" t="s">
        <v>397</v>
      </c>
      <c r="O1" s="389" t="s">
        <v>397</v>
      </c>
    </row>
    <row r="2" spans="1:15" ht="35.25" customHeight="1">
      <c r="A2" s="390" t="s">
        <v>509</v>
      </c>
      <c r="B2" s="390" t="s">
        <v>397</v>
      </c>
      <c r="C2" s="390" t="s">
        <v>397</v>
      </c>
      <c r="D2" s="390" t="s">
        <v>397</v>
      </c>
      <c r="E2" s="390" t="s">
        <v>397</v>
      </c>
      <c r="F2" s="390" t="s">
        <v>397</v>
      </c>
      <c r="G2" s="390" t="s">
        <v>397</v>
      </c>
      <c r="H2" s="390" t="s">
        <v>397</v>
      </c>
      <c r="I2" s="390" t="s">
        <v>397</v>
      </c>
      <c r="J2" s="390" t="s">
        <v>397</v>
      </c>
      <c r="K2" s="390" t="s">
        <v>397</v>
      </c>
      <c r="L2" s="390" t="s">
        <v>397</v>
      </c>
      <c r="M2" s="390" t="s">
        <v>397</v>
      </c>
      <c r="N2" s="390" t="s">
        <v>397</v>
      </c>
      <c r="O2" s="390" t="s">
        <v>397</v>
      </c>
    </row>
    <row r="3" spans="1:15" ht="23.25" customHeight="1" thickBot="1">
      <c r="A3" s="387" t="s">
        <v>982</v>
      </c>
      <c r="B3" s="387" t="s">
        <v>397</v>
      </c>
      <c r="C3" s="387" t="s">
        <v>397</v>
      </c>
      <c r="D3" s="387" t="s">
        <v>397</v>
      </c>
      <c r="E3" s="387" t="s">
        <v>397</v>
      </c>
      <c r="F3" s="387" t="s">
        <v>397</v>
      </c>
      <c r="G3" s="387" t="s">
        <v>397</v>
      </c>
      <c r="H3" s="387" t="s">
        <v>397</v>
      </c>
      <c r="I3" s="387" t="s">
        <v>397</v>
      </c>
      <c r="J3" s="387" t="s">
        <v>397</v>
      </c>
      <c r="K3" s="387" t="s">
        <v>397</v>
      </c>
      <c r="L3" s="389" t="s">
        <v>944</v>
      </c>
      <c r="M3" s="389" t="s">
        <v>397</v>
      </c>
      <c r="N3" s="389" t="s">
        <v>397</v>
      </c>
      <c r="O3" s="389" t="s">
        <v>397</v>
      </c>
    </row>
    <row r="4" spans="1:15" ht="18" customHeight="1">
      <c r="A4" s="395" t="s">
        <v>42</v>
      </c>
      <c r="B4" s="391" t="s">
        <v>1027</v>
      </c>
      <c r="C4" s="391" t="s">
        <v>1026</v>
      </c>
      <c r="D4" s="391" t="s">
        <v>384</v>
      </c>
      <c r="E4" s="391" t="s">
        <v>505</v>
      </c>
      <c r="F4" s="391" t="s">
        <v>397</v>
      </c>
      <c r="G4" s="391" t="s">
        <v>1025</v>
      </c>
      <c r="H4" s="391" t="s">
        <v>503</v>
      </c>
      <c r="I4" s="391" t="s">
        <v>397</v>
      </c>
      <c r="J4" s="391" t="s">
        <v>397</v>
      </c>
      <c r="K4" s="391" t="s">
        <v>381</v>
      </c>
      <c r="L4" s="391" t="s">
        <v>397</v>
      </c>
      <c r="M4" s="391" t="s">
        <v>503</v>
      </c>
      <c r="N4" s="391" t="s">
        <v>397</v>
      </c>
      <c r="O4" s="398" t="s">
        <v>397</v>
      </c>
    </row>
    <row r="5" spans="1:15" ht="32.25" customHeight="1">
      <c r="A5" s="396" t="s">
        <v>397</v>
      </c>
      <c r="B5" s="397" t="s">
        <v>397</v>
      </c>
      <c r="C5" s="397" t="s">
        <v>397</v>
      </c>
      <c r="D5" s="397" t="s">
        <v>397</v>
      </c>
      <c r="E5" s="397" t="s">
        <v>397</v>
      </c>
      <c r="F5" s="397" t="s">
        <v>397</v>
      </c>
      <c r="G5" s="397" t="s">
        <v>397</v>
      </c>
      <c r="H5" s="313" t="s">
        <v>1024</v>
      </c>
      <c r="I5" s="313" t="s">
        <v>1023</v>
      </c>
      <c r="J5" s="313" t="s">
        <v>1022</v>
      </c>
      <c r="K5" s="397" t="s">
        <v>397</v>
      </c>
      <c r="L5" s="397" t="s">
        <v>397</v>
      </c>
      <c r="M5" s="313" t="s">
        <v>1021</v>
      </c>
      <c r="N5" s="313" t="s">
        <v>1020</v>
      </c>
      <c r="O5" s="318" t="s">
        <v>1019</v>
      </c>
    </row>
    <row r="6" spans="1:15" ht="16.5" customHeight="1">
      <c r="A6" s="319" t="s">
        <v>397</v>
      </c>
      <c r="B6" s="316" t="s">
        <v>397</v>
      </c>
      <c r="C6" s="316" t="s">
        <v>1157</v>
      </c>
      <c r="D6" s="316" t="s">
        <v>397</v>
      </c>
      <c r="E6" s="393" t="s">
        <v>397</v>
      </c>
      <c r="F6" s="393" t="s">
        <v>397</v>
      </c>
      <c r="G6" s="308" t="s">
        <v>397</v>
      </c>
      <c r="H6" s="308" t="s">
        <v>397</v>
      </c>
      <c r="I6" s="308" t="s">
        <v>397</v>
      </c>
      <c r="J6" s="308" t="s">
        <v>397</v>
      </c>
      <c r="K6" s="399">
        <v>936010.45</v>
      </c>
      <c r="L6" s="399" t="s">
        <v>397</v>
      </c>
      <c r="M6" s="308">
        <v>254593.39</v>
      </c>
      <c r="N6" s="308">
        <v>677347.4</v>
      </c>
      <c r="O6" s="309">
        <v>4069.67</v>
      </c>
    </row>
    <row r="7" spans="1:15" ht="54.75" customHeight="1">
      <c r="A7" s="307">
        <v>1</v>
      </c>
      <c r="B7" s="314" t="s">
        <v>1155</v>
      </c>
      <c r="C7" s="316" t="s">
        <v>1156</v>
      </c>
      <c r="D7" s="314" t="s">
        <v>991</v>
      </c>
      <c r="E7" s="399">
        <v>121.9</v>
      </c>
      <c r="F7" s="399" t="s">
        <v>397</v>
      </c>
      <c r="G7" s="308">
        <v>3300.46</v>
      </c>
      <c r="H7" s="308">
        <v>897.72</v>
      </c>
      <c r="I7" s="308">
        <v>2388.39</v>
      </c>
      <c r="J7" s="308">
        <v>14.35</v>
      </c>
      <c r="K7" s="399">
        <v>402326.07</v>
      </c>
      <c r="L7" s="399" t="s">
        <v>397</v>
      </c>
      <c r="M7" s="308">
        <v>109432.07</v>
      </c>
      <c r="N7" s="308">
        <v>291144.74</v>
      </c>
      <c r="O7" s="309">
        <v>1749.27</v>
      </c>
    </row>
    <row r="8" spans="1:15" ht="54.75" customHeight="1">
      <c r="A8" s="307">
        <v>2</v>
      </c>
      <c r="B8" s="314" t="s">
        <v>1155</v>
      </c>
      <c r="C8" s="316" t="s">
        <v>1154</v>
      </c>
      <c r="D8" s="314" t="s">
        <v>991</v>
      </c>
      <c r="E8" s="399">
        <v>161.69999999999999</v>
      </c>
      <c r="F8" s="399" t="s">
        <v>397</v>
      </c>
      <c r="G8" s="308">
        <v>3300.46</v>
      </c>
      <c r="H8" s="308">
        <v>897.72</v>
      </c>
      <c r="I8" s="308">
        <v>2388.39</v>
      </c>
      <c r="J8" s="308">
        <v>14.35</v>
      </c>
      <c r="K8" s="399">
        <v>533684.38</v>
      </c>
      <c r="L8" s="399" t="s">
        <v>397</v>
      </c>
      <c r="M8" s="308">
        <v>145161.32</v>
      </c>
      <c r="N8" s="308">
        <v>386202.66</v>
      </c>
      <c r="O8" s="309">
        <v>2320.4</v>
      </c>
    </row>
    <row r="9" spans="1:15" ht="29.25" customHeight="1">
      <c r="A9" s="319" t="s">
        <v>397</v>
      </c>
      <c r="B9" s="316" t="s">
        <v>397</v>
      </c>
      <c r="C9" s="316" t="s">
        <v>1153</v>
      </c>
      <c r="D9" s="316" t="s">
        <v>397</v>
      </c>
      <c r="E9" s="393" t="s">
        <v>397</v>
      </c>
      <c r="F9" s="393" t="s">
        <v>397</v>
      </c>
      <c r="G9" s="308" t="s">
        <v>397</v>
      </c>
      <c r="H9" s="308" t="s">
        <v>397</v>
      </c>
      <c r="I9" s="308" t="s">
        <v>397</v>
      </c>
      <c r="J9" s="308" t="s">
        <v>397</v>
      </c>
      <c r="K9" s="399">
        <v>2807838.29</v>
      </c>
      <c r="L9" s="399" t="s">
        <v>397</v>
      </c>
      <c r="M9" s="308">
        <v>697889.45</v>
      </c>
      <c r="N9" s="308">
        <v>2048585.26</v>
      </c>
      <c r="O9" s="309">
        <v>61363.59</v>
      </c>
    </row>
    <row r="10" spans="1:15" ht="42" customHeight="1">
      <c r="A10" s="307">
        <v>3</v>
      </c>
      <c r="B10" s="314" t="s">
        <v>1152</v>
      </c>
      <c r="C10" s="316" t="s">
        <v>1151</v>
      </c>
      <c r="D10" s="314" t="s">
        <v>991</v>
      </c>
      <c r="E10" s="399">
        <v>53.7</v>
      </c>
      <c r="F10" s="399" t="s">
        <v>397</v>
      </c>
      <c r="G10" s="308">
        <v>4938.7700000000004</v>
      </c>
      <c r="H10" s="308">
        <v>1263.8800000000001</v>
      </c>
      <c r="I10" s="308">
        <v>3572.11</v>
      </c>
      <c r="J10" s="308">
        <v>102.78</v>
      </c>
      <c r="K10" s="399">
        <v>265211.95</v>
      </c>
      <c r="L10" s="399" t="s">
        <v>397</v>
      </c>
      <c r="M10" s="308">
        <v>67870.36</v>
      </c>
      <c r="N10" s="308">
        <v>191822.31</v>
      </c>
      <c r="O10" s="309">
        <v>5519.29</v>
      </c>
    </row>
    <row r="11" spans="1:15" ht="54.75" customHeight="1">
      <c r="A11" s="307">
        <v>4</v>
      </c>
      <c r="B11" s="314" t="s">
        <v>1150</v>
      </c>
      <c r="C11" s="316" t="s">
        <v>1149</v>
      </c>
      <c r="D11" s="314" t="s">
        <v>991</v>
      </c>
      <c r="E11" s="399">
        <v>12.7</v>
      </c>
      <c r="F11" s="399" t="s">
        <v>397</v>
      </c>
      <c r="G11" s="308">
        <v>4608.79</v>
      </c>
      <c r="H11" s="308">
        <v>1263.8800000000001</v>
      </c>
      <c r="I11" s="308">
        <v>3242.13</v>
      </c>
      <c r="J11" s="308">
        <v>102.78</v>
      </c>
      <c r="K11" s="399">
        <v>58531.63</v>
      </c>
      <c r="L11" s="399" t="s">
        <v>397</v>
      </c>
      <c r="M11" s="308">
        <v>16051.28</v>
      </c>
      <c r="N11" s="308">
        <v>41175.050000000003</v>
      </c>
      <c r="O11" s="309">
        <v>1305.31</v>
      </c>
    </row>
    <row r="12" spans="1:15" ht="42" customHeight="1">
      <c r="A12" s="307">
        <v>5</v>
      </c>
      <c r="B12" s="314" t="s">
        <v>1147</v>
      </c>
      <c r="C12" s="316" t="s">
        <v>1148</v>
      </c>
      <c r="D12" s="314" t="s">
        <v>991</v>
      </c>
      <c r="E12" s="399">
        <v>82.8</v>
      </c>
      <c r="F12" s="399" t="s">
        <v>397</v>
      </c>
      <c r="G12" s="308">
        <v>4636.22</v>
      </c>
      <c r="H12" s="308">
        <v>1043.72</v>
      </c>
      <c r="I12" s="308">
        <v>3489.72</v>
      </c>
      <c r="J12" s="308">
        <v>102.78</v>
      </c>
      <c r="K12" s="399">
        <v>383879.02</v>
      </c>
      <c r="L12" s="399" t="s">
        <v>397</v>
      </c>
      <c r="M12" s="308">
        <v>86420.02</v>
      </c>
      <c r="N12" s="308">
        <v>288948.82</v>
      </c>
      <c r="O12" s="309">
        <v>8510.18</v>
      </c>
    </row>
    <row r="13" spans="1:15" ht="42" customHeight="1">
      <c r="A13" s="307">
        <v>6</v>
      </c>
      <c r="B13" s="314" t="s">
        <v>1147</v>
      </c>
      <c r="C13" s="316" t="s">
        <v>1146</v>
      </c>
      <c r="D13" s="314" t="s">
        <v>991</v>
      </c>
      <c r="E13" s="399">
        <v>56.5</v>
      </c>
      <c r="F13" s="399" t="s">
        <v>397</v>
      </c>
      <c r="G13" s="308">
        <v>4720.26</v>
      </c>
      <c r="H13" s="308">
        <v>1043.72</v>
      </c>
      <c r="I13" s="308">
        <v>3573.76</v>
      </c>
      <c r="J13" s="308">
        <v>102.78</v>
      </c>
      <c r="K13" s="399">
        <v>266694.69</v>
      </c>
      <c r="L13" s="399" t="s">
        <v>397</v>
      </c>
      <c r="M13" s="308">
        <v>58970.18</v>
      </c>
      <c r="N13" s="308">
        <v>201917.44</v>
      </c>
      <c r="O13" s="309">
        <v>5807.07</v>
      </c>
    </row>
    <row r="14" spans="1:15" ht="30.75" customHeight="1" thickBot="1">
      <c r="A14" s="310">
        <v>7</v>
      </c>
      <c r="B14" s="320" t="s">
        <v>1143</v>
      </c>
      <c r="C14" s="317" t="s">
        <v>1145</v>
      </c>
      <c r="D14" s="320" t="s">
        <v>991</v>
      </c>
      <c r="E14" s="400">
        <v>79.900000000000006</v>
      </c>
      <c r="F14" s="400" t="s">
        <v>397</v>
      </c>
      <c r="G14" s="311">
        <v>4978.13</v>
      </c>
      <c r="H14" s="311">
        <v>1191.92</v>
      </c>
      <c r="I14" s="311">
        <v>3683.43</v>
      </c>
      <c r="J14" s="311">
        <v>102.78</v>
      </c>
      <c r="K14" s="400">
        <v>397752.59</v>
      </c>
      <c r="L14" s="400" t="s">
        <v>397</v>
      </c>
      <c r="M14" s="311">
        <v>95234.41</v>
      </c>
      <c r="N14" s="311">
        <v>294306.06</v>
      </c>
      <c r="O14" s="312">
        <v>8212.1200000000008</v>
      </c>
    </row>
    <row r="15" spans="1:15" ht="16.5" customHeight="1">
      <c r="A15" s="387" t="s">
        <v>400</v>
      </c>
      <c r="B15" s="387" t="s">
        <v>397</v>
      </c>
      <c r="C15" s="387" t="s">
        <v>397</v>
      </c>
      <c r="D15" s="387" t="s">
        <v>397</v>
      </c>
      <c r="E15" s="387" t="s">
        <v>397</v>
      </c>
      <c r="F15" s="388" t="s">
        <v>399</v>
      </c>
      <c r="G15" s="388" t="s">
        <v>397</v>
      </c>
      <c r="H15" s="388" t="s">
        <v>397</v>
      </c>
      <c r="I15" s="388" t="s">
        <v>397</v>
      </c>
      <c r="J15" s="388" t="s">
        <v>397</v>
      </c>
      <c r="K15" s="388" t="s">
        <v>397</v>
      </c>
      <c r="L15" s="389" t="s">
        <v>989</v>
      </c>
      <c r="M15" s="389" t="s">
        <v>397</v>
      </c>
      <c r="N15" s="389" t="s">
        <v>397</v>
      </c>
      <c r="O15" s="389" t="s">
        <v>397</v>
      </c>
    </row>
    <row r="16" spans="1:15" ht="16.5" customHeight="1">
      <c r="A16" s="387" t="s">
        <v>397</v>
      </c>
      <c r="B16" s="387" t="s">
        <v>397</v>
      </c>
      <c r="C16" s="387" t="s">
        <v>397</v>
      </c>
      <c r="D16" s="387" t="s">
        <v>397</v>
      </c>
      <c r="E16" s="387" t="s">
        <v>397</v>
      </c>
      <c r="F16" s="388" t="s">
        <v>397</v>
      </c>
      <c r="G16" s="388" t="s">
        <v>397</v>
      </c>
      <c r="H16" s="388" t="s">
        <v>397</v>
      </c>
      <c r="I16" s="388" t="s">
        <v>397</v>
      </c>
      <c r="J16" s="388" t="s">
        <v>397</v>
      </c>
      <c r="K16" s="388" t="s">
        <v>397</v>
      </c>
      <c r="L16" s="389" t="s">
        <v>397</v>
      </c>
      <c r="M16" s="389" t="s">
        <v>397</v>
      </c>
      <c r="N16" s="389" t="s">
        <v>397</v>
      </c>
      <c r="O16" s="389" t="s">
        <v>397</v>
      </c>
    </row>
    <row r="17" spans="1:15" ht="35.25" customHeight="1">
      <c r="A17" s="390" t="s">
        <v>509</v>
      </c>
      <c r="B17" s="390" t="s">
        <v>397</v>
      </c>
      <c r="C17" s="390" t="s">
        <v>397</v>
      </c>
      <c r="D17" s="390" t="s">
        <v>397</v>
      </c>
      <c r="E17" s="390" t="s">
        <v>397</v>
      </c>
      <c r="F17" s="390" t="s">
        <v>397</v>
      </c>
      <c r="G17" s="390" t="s">
        <v>397</v>
      </c>
      <c r="H17" s="390" t="s">
        <v>397</v>
      </c>
      <c r="I17" s="390" t="s">
        <v>397</v>
      </c>
      <c r="J17" s="390" t="s">
        <v>397</v>
      </c>
      <c r="K17" s="390" t="s">
        <v>397</v>
      </c>
      <c r="L17" s="390" t="s">
        <v>397</v>
      </c>
      <c r="M17" s="390" t="s">
        <v>397</v>
      </c>
      <c r="N17" s="390" t="s">
        <v>397</v>
      </c>
      <c r="O17" s="390" t="s">
        <v>397</v>
      </c>
    </row>
    <row r="18" spans="1:15" ht="23.25" customHeight="1" thickBot="1">
      <c r="A18" s="387" t="s">
        <v>982</v>
      </c>
      <c r="B18" s="387" t="s">
        <v>397</v>
      </c>
      <c r="C18" s="387" t="s">
        <v>397</v>
      </c>
      <c r="D18" s="387" t="s">
        <v>397</v>
      </c>
      <c r="E18" s="387" t="s">
        <v>397</v>
      </c>
      <c r="F18" s="387" t="s">
        <v>397</v>
      </c>
      <c r="G18" s="387" t="s">
        <v>397</v>
      </c>
      <c r="H18" s="387" t="s">
        <v>397</v>
      </c>
      <c r="I18" s="387" t="s">
        <v>397</v>
      </c>
      <c r="J18" s="387" t="s">
        <v>397</v>
      </c>
      <c r="K18" s="387" t="s">
        <v>397</v>
      </c>
      <c r="L18" s="389" t="s">
        <v>913</v>
      </c>
      <c r="M18" s="389" t="s">
        <v>397</v>
      </c>
      <c r="N18" s="389" t="s">
        <v>397</v>
      </c>
      <c r="O18" s="389" t="s">
        <v>397</v>
      </c>
    </row>
    <row r="19" spans="1:15" ht="18" customHeight="1">
      <c r="A19" s="395" t="s">
        <v>42</v>
      </c>
      <c r="B19" s="391" t="s">
        <v>1027</v>
      </c>
      <c r="C19" s="391" t="s">
        <v>1026</v>
      </c>
      <c r="D19" s="391" t="s">
        <v>384</v>
      </c>
      <c r="E19" s="391" t="s">
        <v>505</v>
      </c>
      <c r="F19" s="391" t="s">
        <v>397</v>
      </c>
      <c r="G19" s="391" t="s">
        <v>1025</v>
      </c>
      <c r="H19" s="391" t="s">
        <v>503</v>
      </c>
      <c r="I19" s="391" t="s">
        <v>397</v>
      </c>
      <c r="J19" s="391" t="s">
        <v>397</v>
      </c>
      <c r="K19" s="391" t="s">
        <v>381</v>
      </c>
      <c r="L19" s="391" t="s">
        <v>397</v>
      </c>
      <c r="M19" s="391" t="s">
        <v>503</v>
      </c>
      <c r="N19" s="391" t="s">
        <v>397</v>
      </c>
      <c r="O19" s="398" t="s">
        <v>397</v>
      </c>
    </row>
    <row r="20" spans="1:15" ht="32.25" customHeight="1">
      <c r="A20" s="396" t="s">
        <v>397</v>
      </c>
      <c r="B20" s="397" t="s">
        <v>397</v>
      </c>
      <c r="C20" s="397" t="s">
        <v>397</v>
      </c>
      <c r="D20" s="397" t="s">
        <v>397</v>
      </c>
      <c r="E20" s="397" t="s">
        <v>397</v>
      </c>
      <c r="F20" s="397" t="s">
        <v>397</v>
      </c>
      <c r="G20" s="397" t="s">
        <v>397</v>
      </c>
      <c r="H20" s="313" t="s">
        <v>1024</v>
      </c>
      <c r="I20" s="313" t="s">
        <v>1023</v>
      </c>
      <c r="J20" s="313" t="s">
        <v>1022</v>
      </c>
      <c r="K20" s="397" t="s">
        <v>397</v>
      </c>
      <c r="L20" s="397" t="s">
        <v>397</v>
      </c>
      <c r="M20" s="313" t="s">
        <v>1021</v>
      </c>
      <c r="N20" s="313" t="s">
        <v>1020</v>
      </c>
      <c r="O20" s="318" t="s">
        <v>1019</v>
      </c>
    </row>
    <row r="21" spans="1:15" ht="19.5" customHeight="1">
      <c r="A21" s="307" t="s">
        <v>397</v>
      </c>
      <c r="B21" s="314" t="s">
        <v>397</v>
      </c>
      <c r="C21" s="316" t="s">
        <v>1144</v>
      </c>
      <c r="D21" s="314" t="s">
        <v>397</v>
      </c>
      <c r="E21" s="399" t="s">
        <v>397</v>
      </c>
      <c r="F21" s="399" t="s">
        <v>397</v>
      </c>
      <c r="G21" s="308" t="s">
        <v>397</v>
      </c>
      <c r="H21" s="308" t="s">
        <v>397</v>
      </c>
      <c r="I21" s="308" t="s">
        <v>397</v>
      </c>
      <c r="J21" s="308" t="s">
        <v>397</v>
      </c>
      <c r="K21" s="399" t="s">
        <v>397</v>
      </c>
      <c r="L21" s="399" t="s">
        <v>397</v>
      </c>
      <c r="M21" s="308" t="s">
        <v>397</v>
      </c>
      <c r="N21" s="308" t="s">
        <v>397</v>
      </c>
      <c r="O21" s="309" t="s">
        <v>397</v>
      </c>
    </row>
    <row r="22" spans="1:15" ht="42" customHeight="1">
      <c r="A22" s="307">
        <v>8</v>
      </c>
      <c r="B22" s="314" t="s">
        <v>1143</v>
      </c>
      <c r="C22" s="316" t="s">
        <v>1142</v>
      </c>
      <c r="D22" s="314" t="s">
        <v>991</v>
      </c>
      <c r="E22" s="399">
        <v>25</v>
      </c>
      <c r="F22" s="399" t="s">
        <v>397</v>
      </c>
      <c r="G22" s="308">
        <v>4714.84</v>
      </c>
      <c r="H22" s="308">
        <v>1191.92</v>
      </c>
      <c r="I22" s="308">
        <v>3420.14</v>
      </c>
      <c r="J22" s="308">
        <v>102.78</v>
      </c>
      <c r="K22" s="399">
        <v>117871</v>
      </c>
      <c r="L22" s="399" t="s">
        <v>397</v>
      </c>
      <c r="M22" s="308">
        <v>29798</v>
      </c>
      <c r="N22" s="308">
        <v>85503.5</v>
      </c>
      <c r="O22" s="309">
        <v>2569.5</v>
      </c>
    </row>
    <row r="23" spans="1:15" ht="42" customHeight="1">
      <c r="A23" s="307">
        <v>9</v>
      </c>
      <c r="B23" s="314" t="s">
        <v>1141</v>
      </c>
      <c r="C23" s="316" t="s">
        <v>1140</v>
      </c>
      <c r="D23" s="314" t="s">
        <v>991</v>
      </c>
      <c r="E23" s="399">
        <v>37.299999999999997</v>
      </c>
      <c r="F23" s="399" t="s">
        <v>397</v>
      </c>
      <c r="G23" s="308">
        <v>5239.93</v>
      </c>
      <c r="H23" s="308">
        <v>1703.6</v>
      </c>
      <c r="I23" s="308">
        <v>3433.55</v>
      </c>
      <c r="J23" s="308">
        <v>102.78</v>
      </c>
      <c r="K23" s="399">
        <v>195449.39</v>
      </c>
      <c r="L23" s="399" t="s">
        <v>397</v>
      </c>
      <c r="M23" s="308">
        <v>63544.28</v>
      </c>
      <c r="N23" s="308">
        <v>128071.42</v>
      </c>
      <c r="O23" s="309">
        <v>3833.69</v>
      </c>
    </row>
    <row r="24" spans="1:15" ht="42" customHeight="1">
      <c r="A24" s="307">
        <v>10</v>
      </c>
      <c r="B24" s="314" t="s">
        <v>1138</v>
      </c>
      <c r="C24" s="316" t="s">
        <v>1139</v>
      </c>
      <c r="D24" s="314" t="s">
        <v>991</v>
      </c>
      <c r="E24" s="399">
        <v>22.4</v>
      </c>
      <c r="F24" s="399" t="s">
        <v>397</v>
      </c>
      <c r="G24" s="308">
        <v>4504.8599999999997</v>
      </c>
      <c r="H24" s="308">
        <v>1130.28</v>
      </c>
      <c r="I24" s="308">
        <v>3271.8</v>
      </c>
      <c r="J24" s="308">
        <v>102.78</v>
      </c>
      <c r="K24" s="399">
        <v>100908.86</v>
      </c>
      <c r="L24" s="399" t="s">
        <v>397</v>
      </c>
      <c r="M24" s="308">
        <v>25318.27</v>
      </c>
      <c r="N24" s="308">
        <v>73288.320000000007</v>
      </c>
      <c r="O24" s="309">
        <v>2302.27</v>
      </c>
    </row>
    <row r="25" spans="1:15" ht="42" customHeight="1">
      <c r="A25" s="307">
        <v>11</v>
      </c>
      <c r="B25" s="314" t="s">
        <v>1138</v>
      </c>
      <c r="C25" s="316" t="s">
        <v>1137</v>
      </c>
      <c r="D25" s="314" t="s">
        <v>991</v>
      </c>
      <c r="E25" s="399">
        <v>182.9</v>
      </c>
      <c r="F25" s="399" t="s">
        <v>397</v>
      </c>
      <c r="G25" s="308">
        <v>4786.82</v>
      </c>
      <c r="H25" s="308">
        <v>1130.28</v>
      </c>
      <c r="I25" s="308">
        <v>3553.76</v>
      </c>
      <c r="J25" s="308">
        <v>102.78</v>
      </c>
      <c r="K25" s="399">
        <v>875509.38</v>
      </c>
      <c r="L25" s="399" t="s">
        <v>397</v>
      </c>
      <c r="M25" s="308">
        <v>206728.21</v>
      </c>
      <c r="N25" s="308">
        <v>649982.69999999995</v>
      </c>
      <c r="O25" s="309">
        <v>18798.46</v>
      </c>
    </row>
    <row r="26" spans="1:15" ht="42" customHeight="1">
      <c r="A26" s="307">
        <v>12</v>
      </c>
      <c r="B26" s="314" t="s">
        <v>1136</v>
      </c>
      <c r="C26" s="316" t="s">
        <v>1135</v>
      </c>
      <c r="D26" s="314" t="s">
        <v>739</v>
      </c>
      <c r="E26" s="399">
        <v>65</v>
      </c>
      <c r="F26" s="399" t="s">
        <v>397</v>
      </c>
      <c r="G26" s="308">
        <v>1341.45</v>
      </c>
      <c r="H26" s="308">
        <v>444.88</v>
      </c>
      <c r="I26" s="308">
        <v>857.42</v>
      </c>
      <c r="J26" s="308">
        <v>39.15</v>
      </c>
      <c r="K26" s="399">
        <v>87194.25</v>
      </c>
      <c r="L26" s="399" t="s">
        <v>397</v>
      </c>
      <c r="M26" s="308">
        <v>28917.200000000001</v>
      </c>
      <c r="N26" s="308">
        <v>55732.3</v>
      </c>
      <c r="O26" s="309">
        <v>2544.75</v>
      </c>
    </row>
    <row r="27" spans="1:15" ht="16.5" customHeight="1">
      <c r="A27" s="307">
        <v>13</v>
      </c>
      <c r="B27" s="314" t="s">
        <v>1134</v>
      </c>
      <c r="C27" s="316" t="s">
        <v>1133</v>
      </c>
      <c r="D27" s="314" t="s">
        <v>739</v>
      </c>
      <c r="E27" s="399">
        <v>11</v>
      </c>
      <c r="F27" s="399" t="s">
        <v>397</v>
      </c>
      <c r="G27" s="308">
        <v>645.46</v>
      </c>
      <c r="H27" s="308">
        <v>168.24</v>
      </c>
      <c r="I27" s="308">
        <v>449.49</v>
      </c>
      <c r="J27" s="308">
        <v>27.73</v>
      </c>
      <c r="K27" s="399">
        <v>7100.06</v>
      </c>
      <c r="L27" s="399" t="s">
        <v>397</v>
      </c>
      <c r="M27" s="308">
        <v>1850.64</v>
      </c>
      <c r="N27" s="308">
        <v>4944.3900000000003</v>
      </c>
      <c r="O27" s="309">
        <v>305.02999999999997</v>
      </c>
    </row>
    <row r="28" spans="1:15" ht="16.5" customHeight="1">
      <c r="A28" s="307">
        <v>14</v>
      </c>
      <c r="B28" s="314" t="s">
        <v>1131</v>
      </c>
      <c r="C28" s="316" t="s">
        <v>1132</v>
      </c>
      <c r="D28" s="314" t="s">
        <v>991</v>
      </c>
      <c r="E28" s="399">
        <v>3.5</v>
      </c>
      <c r="F28" s="399" t="s">
        <v>397</v>
      </c>
      <c r="G28" s="308">
        <v>4833.3</v>
      </c>
      <c r="H28" s="308">
        <v>1499.24</v>
      </c>
      <c r="I28" s="308">
        <v>3170.92</v>
      </c>
      <c r="J28" s="308">
        <v>163.13999999999999</v>
      </c>
      <c r="K28" s="399">
        <v>16916.55</v>
      </c>
      <c r="L28" s="399" t="s">
        <v>397</v>
      </c>
      <c r="M28" s="308">
        <v>5247.34</v>
      </c>
      <c r="N28" s="308">
        <v>11098.22</v>
      </c>
      <c r="O28" s="309">
        <v>570.99</v>
      </c>
    </row>
    <row r="29" spans="1:15" ht="29.25" customHeight="1">
      <c r="A29" s="307">
        <v>15</v>
      </c>
      <c r="B29" s="314" t="s">
        <v>1131</v>
      </c>
      <c r="C29" s="316" t="s">
        <v>1130</v>
      </c>
      <c r="D29" s="314" t="s">
        <v>991</v>
      </c>
      <c r="E29" s="399">
        <v>3</v>
      </c>
      <c r="F29" s="399" t="s">
        <v>397</v>
      </c>
      <c r="G29" s="308">
        <v>4833.3</v>
      </c>
      <c r="H29" s="308">
        <v>1499.24</v>
      </c>
      <c r="I29" s="308">
        <v>3170.92</v>
      </c>
      <c r="J29" s="308">
        <v>163.13999999999999</v>
      </c>
      <c r="K29" s="399">
        <v>14499.9</v>
      </c>
      <c r="L29" s="399" t="s">
        <v>397</v>
      </c>
      <c r="M29" s="308">
        <v>4497.72</v>
      </c>
      <c r="N29" s="308">
        <v>9512.76</v>
      </c>
      <c r="O29" s="309">
        <v>489.42</v>
      </c>
    </row>
    <row r="30" spans="1:15" ht="29.25" customHeight="1">
      <c r="A30" s="307">
        <v>16</v>
      </c>
      <c r="B30" s="314" t="s">
        <v>1129</v>
      </c>
      <c r="C30" s="316" t="s">
        <v>1128</v>
      </c>
      <c r="D30" s="314" t="s">
        <v>997</v>
      </c>
      <c r="E30" s="399">
        <v>1.64</v>
      </c>
      <c r="F30" s="399" t="s">
        <v>397</v>
      </c>
      <c r="G30" s="308">
        <v>2969.05</v>
      </c>
      <c r="H30" s="308">
        <v>787.12</v>
      </c>
      <c r="I30" s="308">
        <v>2056.16</v>
      </c>
      <c r="J30" s="308">
        <v>125.77</v>
      </c>
      <c r="K30" s="399">
        <v>4869.24</v>
      </c>
      <c r="L30" s="399" t="s">
        <v>397</v>
      </c>
      <c r="M30" s="308">
        <v>1290.8800000000001</v>
      </c>
      <c r="N30" s="308">
        <v>3372.1</v>
      </c>
      <c r="O30" s="309">
        <v>206.26</v>
      </c>
    </row>
    <row r="31" spans="1:15" ht="29.25" customHeight="1">
      <c r="A31" s="307">
        <v>17</v>
      </c>
      <c r="B31" s="314" t="s">
        <v>1127</v>
      </c>
      <c r="C31" s="316" t="s">
        <v>1126</v>
      </c>
      <c r="D31" s="314" t="s">
        <v>997</v>
      </c>
      <c r="E31" s="399">
        <v>8.1999999999999993</v>
      </c>
      <c r="F31" s="399" t="s">
        <v>397</v>
      </c>
      <c r="G31" s="308">
        <v>1884.12</v>
      </c>
      <c r="H31" s="308">
        <v>750.08</v>
      </c>
      <c r="I31" s="308">
        <v>1086.57</v>
      </c>
      <c r="J31" s="308">
        <v>47.47</v>
      </c>
      <c r="K31" s="399">
        <v>15449.78</v>
      </c>
      <c r="L31" s="399" t="s">
        <v>397</v>
      </c>
      <c r="M31" s="308">
        <v>6150.66</v>
      </c>
      <c r="N31" s="308">
        <v>8909.8700000000008</v>
      </c>
      <c r="O31" s="309">
        <v>389.25</v>
      </c>
    </row>
    <row r="32" spans="1:15" ht="16.5" customHeight="1" thickBot="1">
      <c r="A32" s="321" t="s">
        <v>397</v>
      </c>
      <c r="B32" s="317" t="s">
        <v>397</v>
      </c>
      <c r="C32" s="317" t="s">
        <v>1125</v>
      </c>
      <c r="D32" s="317" t="s">
        <v>397</v>
      </c>
      <c r="E32" s="401" t="s">
        <v>397</v>
      </c>
      <c r="F32" s="401" t="s">
        <v>397</v>
      </c>
      <c r="G32" s="311" t="s">
        <v>397</v>
      </c>
      <c r="H32" s="311" t="s">
        <v>397</v>
      </c>
      <c r="I32" s="311" t="s">
        <v>397</v>
      </c>
      <c r="J32" s="311" t="s">
        <v>397</v>
      </c>
      <c r="K32" s="400">
        <v>339739.29</v>
      </c>
      <c r="L32" s="400" t="s">
        <v>397</v>
      </c>
      <c r="M32" s="311">
        <v>29914.97</v>
      </c>
      <c r="N32" s="311">
        <v>309824.32</v>
      </c>
      <c r="O32" s="312" t="s">
        <v>397</v>
      </c>
    </row>
    <row r="33" spans="1:15" ht="16.5" customHeight="1">
      <c r="A33" s="387" t="s">
        <v>400</v>
      </c>
      <c r="B33" s="387" t="s">
        <v>397</v>
      </c>
      <c r="C33" s="387" t="s">
        <v>397</v>
      </c>
      <c r="D33" s="387" t="s">
        <v>397</v>
      </c>
      <c r="E33" s="387" t="s">
        <v>397</v>
      </c>
      <c r="F33" s="388" t="s">
        <v>399</v>
      </c>
      <c r="G33" s="388" t="s">
        <v>397</v>
      </c>
      <c r="H33" s="388" t="s">
        <v>397</v>
      </c>
      <c r="I33" s="388" t="s">
        <v>397</v>
      </c>
      <c r="J33" s="388" t="s">
        <v>397</v>
      </c>
      <c r="K33" s="388" t="s">
        <v>397</v>
      </c>
      <c r="L33" s="389" t="s">
        <v>989</v>
      </c>
      <c r="M33" s="389" t="s">
        <v>397</v>
      </c>
      <c r="N33" s="389" t="s">
        <v>397</v>
      </c>
      <c r="O33" s="389" t="s">
        <v>397</v>
      </c>
    </row>
    <row r="34" spans="1:15" ht="16.5" customHeight="1">
      <c r="A34" s="387" t="s">
        <v>397</v>
      </c>
      <c r="B34" s="387" t="s">
        <v>397</v>
      </c>
      <c r="C34" s="387" t="s">
        <v>397</v>
      </c>
      <c r="D34" s="387" t="s">
        <v>397</v>
      </c>
      <c r="E34" s="387" t="s">
        <v>397</v>
      </c>
      <c r="F34" s="388" t="s">
        <v>397</v>
      </c>
      <c r="G34" s="388" t="s">
        <v>397</v>
      </c>
      <c r="H34" s="388" t="s">
        <v>397</v>
      </c>
      <c r="I34" s="388" t="s">
        <v>397</v>
      </c>
      <c r="J34" s="388" t="s">
        <v>397</v>
      </c>
      <c r="K34" s="388" t="s">
        <v>397</v>
      </c>
      <c r="L34" s="389" t="s">
        <v>397</v>
      </c>
      <c r="M34" s="389" t="s">
        <v>397</v>
      </c>
      <c r="N34" s="389" t="s">
        <v>397</v>
      </c>
      <c r="O34" s="389" t="s">
        <v>397</v>
      </c>
    </row>
    <row r="35" spans="1:15" ht="35.25" customHeight="1">
      <c r="A35" s="390" t="s">
        <v>509</v>
      </c>
      <c r="B35" s="390" t="s">
        <v>397</v>
      </c>
      <c r="C35" s="390" t="s">
        <v>397</v>
      </c>
      <c r="D35" s="390" t="s">
        <v>397</v>
      </c>
      <c r="E35" s="390" t="s">
        <v>397</v>
      </c>
      <c r="F35" s="390" t="s">
        <v>397</v>
      </c>
      <c r="G35" s="390" t="s">
        <v>397</v>
      </c>
      <c r="H35" s="390" t="s">
        <v>397</v>
      </c>
      <c r="I35" s="390" t="s">
        <v>397</v>
      </c>
      <c r="J35" s="390" t="s">
        <v>397</v>
      </c>
      <c r="K35" s="390" t="s">
        <v>397</v>
      </c>
      <c r="L35" s="390" t="s">
        <v>397</v>
      </c>
      <c r="M35" s="390" t="s">
        <v>397</v>
      </c>
      <c r="N35" s="390" t="s">
        <v>397</v>
      </c>
      <c r="O35" s="390" t="s">
        <v>397</v>
      </c>
    </row>
    <row r="36" spans="1:15" ht="23.25" customHeight="1" thickBot="1">
      <c r="A36" s="387" t="s">
        <v>982</v>
      </c>
      <c r="B36" s="387" t="s">
        <v>397</v>
      </c>
      <c r="C36" s="387" t="s">
        <v>397</v>
      </c>
      <c r="D36" s="387" t="s">
        <v>397</v>
      </c>
      <c r="E36" s="387" t="s">
        <v>397</v>
      </c>
      <c r="F36" s="387" t="s">
        <v>397</v>
      </c>
      <c r="G36" s="387" t="s">
        <v>397</v>
      </c>
      <c r="H36" s="387" t="s">
        <v>397</v>
      </c>
      <c r="I36" s="387" t="s">
        <v>397</v>
      </c>
      <c r="J36" s="387" t="s">
        <v>397</v>
      </c>
      <c r="K36" s="387" t="s">
        <v>397</v>
      </c>
      <c r="L36" s="389" t="s">
        <v>884</v>
      </c>
      <c r="M36" s="389" t="s">
        <v>397</v>
      </c>
      <c r="N36" s="389" t="s">
        <v>397</v>
      </c>
      <c r="O36" s="389" t="s">
        <v>397</v>
      </c>
    </row>
    <row r="37" spans="1:15" ht="18" customHeight="1">
      <c r="A37" s="395" t="s">
        <v>42</v>
      </c>
      <c r="B37" s="391" t="s">
        <v>1027</v>
      </c>
      <c r="C37" s="391" t="s">
        <v>1026</v>
      </c>
      <c r="D37" s="391" t="s">
        <v>384</v>
      </c>
      <c r="E37" s="391" t="s">
        <v>505</v>
      </c>
      <c r="F37" s="391" t="s">
        <v>397</v>
      </c>
      <c r="G37" s="391" t="s">
        <v>1025</v>
      </c>
      <c r="H37" s="391" t="s">
        <v>503</v>
      </c>
      <c r="I37" s="391" t="s">
        <v>397</v>
      </c>
      <c r="J37" s="391" t="s">
        <v>397</v>
      </c>
      <c r="K37" s="391" t="s">
        <v>381</v>
      </c>
      <c r="L37" s="391" t="s">
        <v>397</v>
      </c>
      <c r="M37" s="391" t="s">
        <v>503</v>
      </c>
      <c r="N37" s="391" t="s">
        <v>397</v>
      </c>
      <c r="O37" s="398" t="s">
        <v>397</v>
      </c>
    </row>
    <row r="38" spans="1:15" ht="32.25" customHeight="1">
      <c r="A38" s="396" t="s">
        <v>397</v>
      </c>
      <c r="B38" s="397" t="s">
        <v>397</v>
      </c>
      <c r="C38" s="397" t="s">
        <v>397</v>
      </c>
      <c r="D38" s="397" t="s">
        <v>397</v>
      </c>
      <c r="E38" s="397" t="s">
        <v>397</v>
      </c>
      <c r="F38" s="397" t="s">
        <v>397</v>
      </c>
      <c r="G38" s="397" t="s">
        <v>397</v>
      </c>
      <c r="H38" s="313" t="s">
        <v>1024</v>
      </c>
      <c r="I38" s="313" t="s">
        <v>1023</v>
      </c>
      <c r="J38" s="313" t="s">
        <v>1022</v>
      </c>
      <c r="K38" s="397" t="s">
        <v>397</v>
      </c>
      <c r="L38" s="397" t="s">
        <v>397</v>
      </c>
      <c r="M38" s="313" t="s">
        <v>1021</v>
      </c>
      <c r="N38" s="313" t="s">
        <v>1020</v>
      </c>
      <c r="O38" s="318" t="s">
        <v>1019</v>
      </c>
    </row>
    <row r="39" spans="1:15" ht="42" customHeight="1">
      <c r="A39" s="307">
        <v>18</v>
      </c>
      <c r="B39" s="314" t="s">
        <v>1124</v>
      </c>
      <c r="C39" s="316" t="s">
        <v>1123</v>
      </c>
      <c r="D39" s="314" t="s">
        <v>991</v>
      </c>
      <c r="E39" s="399">
        <v>67.98</v>
      </c>
      <c r="F39" s="399" t="s">
        <v>397</v>
      </c>
      <c r="G39" s="308">
        <v>4561.28</v>
      </c>
      <c r="H39" s="308">
        <v>404.8</v>
      </c>
      <c r="I39" s="308">
        <v>4156.4799999999996</v>
      </c>
      <c r="J39" s="308" t="s">
        <v>397</v>
      </c>
      <c r="K39" s="399">
        <v>310075.81</v>
      </c>
      <c r="L39" s="399" t="s">
        <v>397</v>
      </c>
      <c r="M39" s="308">
        <v>27518.3</v>
      </c>
      <c r="N39" s="308">
        <v>282557.51</v>
      </c>
      <c r="O39" s="309" t="s">
        <v>397</v>
      </c>
    </row>
    <row r="40" spans="1:15" ht="42" customHeight="1">
      <c r="A40" s="307">
        <v>19</v>
      </c>
      <c r="B40" s="314" t="s">
        <v>1122</v>
      </c>
      <c r="C40" s="316" t="s">
        <v>1121</v>
      </c>
      <c r="D40" s="314" t="s">
        <v>991</v>
      </c>
      <c r="E40" s="399">
        <v>0.98</v>
      </c>
      <c r="F40" s="399" t="s">
        <v>397</v>
      </c>
      <c r="G40" s="308">
        <v>3910.66</v>
      </c>
      <c r="H40" s="308">
        <v>428.48</v>
      </c>
      <c r="I40" s="308">
        <v>3482.18</v>
      </c>
      <c r="J40" s="308" t="s">
        <v>397</v>
      </c>
      <c r="K40" s="399">
        <v>3832.45</v>
      </c>
      <c r="L40" s="399" t="s">
        <v>397</v>
      </c>
      <c r="M40" s="308">
        <v>419.91</v>
      </c>
      <c r="N40" s="308">
        <v>3412.54</v>
      </c>
      <c r="O40" s="309" t="s">
        <v>397</v>
      </c>
    </row>
    <row r="41" spans="1:15" ht="42" customHeight="1">
      <c r="A41" s="307">
        <v>20</v>
      </c>
      <c r="B41" s="314" t="s">
        <v>1120</v>
      </c>
      <c r="C41" s="316" t="s">
        <v>1119</v>
      </c>
      <c r="D41" s="314" t="s">
        <v>991</v>
      </c>
      <c r="E41" s="399">
        <v>5.7</v>
      </c>
      <c r="F41" s="399" t="s">
        <v>397</v>
      </c>
      <c r="G41" s="308">
        <v>4531.76</v>
      </c>
      <c r="H41" s="308">
        <v>346.8</v>
      </c>
      <c r="I41" s="308">
        <v>4184.96</v>
      </c>
      <c r="J41" s="308" t="s">
        <v>397</v>
      </c>
      <c r="K41" s="399">
        <v>25831.03</v>
      </c>
      <c r="L41" s="399" t="s">
        <v>397</v>
      </c>
      <c r="M41" s="308">
        <v>1976.76</v>
      </c>
      <c r="N41" s="308">
        <v>23854.27</v>
      </c>
      <c r="O41" s="309" t="s">
        <v>397</v>
      </c>
    </row>
    <row r="42" spans="1:15" ht="16.5" customHeight="1">
      <c r="A42" s="319" t="s">
        <v>397</v>
      </c>
      <c r="B42" s="316" t="s">
        <v>397</v>
      </c>
      <c r="C42" s="316" t="s">
        <v>1118</v>
      </c>
      <c r="D42" s="316" t="s">
        <v>397</v>
      </c>
      <c r="E42" s="393" t="s">
        <v>397</v>
      </c>
      <c r="F42" s="393" t="s">
        <v>397</v>
      </c>
      <c r="G42" s="308" t="s">
        <v>397</v>
      </c>
      <c r="H42" s="308" t="s">
        <v>397</v>
      </c>
      <c r="I42" s="308" t="s">
        <v>397</v>
      </c>
      <c r="J42" s="308" t="s">
        <v>397</v>
      </c>
      <c r="K42" s="399">
        <v>5917901.96</v>
      </c>
      <c r="L42" s="399" t="s">
        <v>397</v>
      </c>
      <c r="M42" s="308">
        <v>804547.44</v>
      </c>
      <c r="N42" s="308">
        <v>4989208.96</v>
      </c>
      <c r="O42" s="309">
        <v>124145.56</v>
      </c>
    </row>
    <row r="43" spans="1:15" ht="29.25" customHeight="1">
      <c r="A43" s="307">
        <v>21</v>
      </c>
      <c r="B43" s="314" t="s">
        <v>1117</v>
      </c>
      <c r="C43" s="316" t="s">
        <v>1116</v>
      </c>
      <c r="D43" s="314" t="s">
        <v>1113</v>
      </c>
      <c r="E43" s="399">
        <v>659</v>
      </c>
      <c r="F43" s="399" t="s">
        <v>397</v>
      </c>
      <c r="G43" s="308">
        <v>5368.52</v>
      </c>
      <c r="H43" s="308">
        <v>756.92</v>
      </c>
      <c r="I43" s="308">
        <v>4548.6400000000003</v>
      </c>
      <c r="J43" s="308">
        <v>62.96</v>
      </c>
      <c r="K43" s="399">
        <v>3537854.68</v>
      </c>
      <c r="L43" s="399" t="s">
        <v>397</v>
      </c>
      <c r="M43" s="308">
        <v>498810.28</v>
      </c>
      <c r="N43" s="308">
        <v>2997553.76</v>
      </c>
      <c r="O43" s="309">
        <v>41490.639999999999</v>
      </c>
    </row>
    <row r="44" spans="1:15" ht="29.25" customHeight="1">
      <c r="A44" s="307">
        <v>22</v>
      </c>
      <c r="B44" s="314" t="s">
        <v>1115</v>
      </c>
      <c r="C44" s="316" t="s">
        <v>1114</v>
      </c>
      <c r="D44" s="314" t="s">
        <v>1113</v>
      </c>
      <c r="E44" s="399">
        <v>439</v>
      </c>
      <c r="F44" s="399" t="s">
        <v>397</v>
      </c>
      <c r="G44" s="308">
        <v>5421.52</v>
      </c>
      <c r="H44" s="308">
        <v>696.44</v>
      </c>
      <c r="I44" s="308">
        <v>4536.8</v>
      </c>
      <c r="J44" s="308">
        <v>188.28</v>
      </c>
      <c r="K44" s="399">
        <v>2380047.2799999998</v>
      </c>
      <c r="L44" s="399" t="s">
        <v>397</v>
      </c>
      <c r="M44" s="308">
        <v>305737.15999999997</v>
      </c>
      <c r="N44" s="308">
        <v>1991655.2</v>
      </c>
      <c r="O44" s="309">
        <v>82654.92</v>
      </c>
    </row>
    <row r="45" spans="1:15" ht="29.25" customHeight="1">
      <c r="A45" s="319" t="s">
        <v>397</v>
      </c>
      <c r="B45" s="316" t="s">
        <v>397</v>
      </c>
      <c r="C45" s="316" t="s">
        <v>1112</v>
      </c>
      <c r="D45" s="316" t="s">
        <v>397</v>
      </c>
      <c r="E45" s="393" t="s">
        <v>397</v>
      </c>
      <c r="F45" s="393" t="s">
        <v>397</v>
      </c>
      <c r="G45" s="308" t="s">
        <v>397</v>
      </c>
      <c r="H45" s="308" t="s">
        <v>397</v>
      </c>
      <c r="I45" s="308" t="s">
        <v>397</v>
      </c>
      <c r="J45" s="308" t="s">
        <v>397</v>
      </c>
      <c r="K45" s="399">
        <v>121342.86</v>
      </c>
      <c r="L45" s="399" t="s">
        <v>397</v>
      </c>
      <c r="M45" s="308">
        <v>17766.95</v>
      </c>
      <c r="N45" s="308">
        <v>103575.91</v>
      </c>
      <c r="O45" s="309" t="s">
        <v>397</v>
      </c>
    </row>
    <row r="46" spans="1:15" ht="42" customHeight="1">
      <c r="A46" s="307">
        <v>23</v>
      </c>
      <c r="B46" s="314" t="s">
        <v>1111</v>
      </c>
      <c r="C46" s="316" t="s">
        <v>1110</v>
      </c>
      <c r="D46" s="314" t="s">
        <v>997</v>
      </c>
      <c r="E46" s="399">
        <v>10.74</v>
      </c>
      <c r="F46" s="399" t="s">
        <v>397</v>
      </c>
      <c r="G46" s="308">
        <v>7479.61</v>
      </c>
      <c r="H46" s="308">
        <v>747.52</v>
      </c>
      <c r="I46" s="308">
        <v>6732.09</v>
      </c>
      <c r="J46" s="308" t="s">
        <v>397</v>
      </c>
      <c r="K46" s="399">
        <v>80331.009999999995</v>
      </c>
      <c r="L46" s="399" t="s">
        <v>397</v>
      </c>
      <c r="M46" s="308">
        <v>8028.36</v>
      </c>
      <c r="N46" s="308">
        <v>72302.649999999994</v>
      </c>
      <c r="O46" s="309" t="s">
        <v>397</v>
      </c>
    </row>
    <row r="47" spans="1:15" ht="16.5" customHeight="1">
      <c r="A47" s="307">
        <v>24</v>
      </c>
      <c r="B47" s="314" t="s">
        <v>1109</v>
      </c>
      <c r="C47" s="316" t="s">
        <v>1108</v>
      </c>
      <c r="D47" s="314" t="s">
        <v>530</v>
      </c>
      <c r="E47" s="399">
        <v>38.700000000000003</v>
      </c>
      <c r="F47" s="399" t="s">
        <v>397</v>
      </c>
      <c r="G47" s="308">
        <v>1042.3800000000001</v>
      </c>
      <c r="H47" s="308">
        <v>247.04</v>
      </c>
      <c r="I47" s="308">
        <v>795.34</v>
      </c>
      <c r="J47" s="308" t="s">
        <v>397</v>
      </c>
      <c r="K47" s="399">
        <v>40340.11</v>
      </c>
      <c r="L47" s="399" t="s">
        <v>397</v>
      </c>
      <c r="M47" s="308">
        <v>9560.4500000000007</v>
      </c>
      <c r="N47" s="308">
        <v>30779.66</v>
      </c>
      <c r="O47" s="309" t="s">
        <v>397</v>
      </c>
    </row>
    <row r="48" spans="1:15" ht="29.25" customHeight="1">
      <c r="A48" s="307">
        <v>25</v>
      </c>
      <c r="B48" s="314" t="s">
        <v>1107</v>
      </c>
      <c r="C48" s="316" t="s">
        <v>1106</v>
      </c>
      <c r="D48" s="314" t="s">
        <v>597</v>
      </c>
      <c r="E48" s="399">
        <v>0.8</v>
      </c>
      <c r="F48" s="399" t="s">
        <v>397</v>
      </c>
      <c r="G48" s="308">
        <v>839.68</v>
      </c>
      <c r="H48" s="308">
        <v>222.68</v>
      </c>
      <c r="I48" s="308">
        <v>617</v>
      </c>
      <c r="J48" s="308" t="s">
        <v>397</v>
      </c>
      <c r="K48" s="399">
        <v>671.74</v>
      </c>
      <c r="L48" s="399" t="s">
        <v>397</v>
      </c>
      <c r="M48" s="308">
        <v>178.14</v>
      </c>
      <c r="N48" s="308">
        <v>493.6</v>
      </c>
      <c r="O48" s="309" t="s">
        <v>397</v>
      </c>
    </row>
    <row r="49" spans="1:15" ht="29.25" customHeight="1">
      <c r="A49" s="319" t="s">
        <v>397</v>
      </c>
      <c r="B49" s="316" t="s">
        <v>397</v>
      </c>
      <c r="C49" s="316" t="s">
        <v>1105</v>
      </c>
      <c r="D49" s="316" t="s">
        <v>397</v>
      </c>
      <c r="E49" s="393" t="s">
        <v>397</v>
      </c>
      <c r="F49" s="393" t="s">
        <v>397</v>
      </c>
      <c r="G49" s="308" t="s">
        <v>397</v>
      </c>
      <c r="H49" s="308" t="s">
        <v>397</v>
      </c>
      <c r="I49" s="308" t="s">
        <v>397</v>
      </c>
      <c r="J49" s="308" t="s">
        <v>397</v>
      </c>
      <c r="K49" s="399">
        <v>327606.92</v>
      </c>
      <c r="L49" s="399" t="s">
        <v>397</v>
      </c>
      <c r="M49" s="308">
        <v>52582.36</v>
      </c>
      <c r="N49" s="308">
        <v>275024.55</v>
      </c>
      <c r="O49" s="309" t="s">
        <v>397</v>
      </c>
    </row>
    <row r="50" spans="1:15" ht="19.5" customHeight="1" thickBot="1">
      <c r="A50" s="310">
        <v>26</v>
      </c>
      <c r="B50" s="320" t="s">
        <v>1104</v>
      </c>
      <c r="C50" s="317" t="s">
        <v>1103</v>
      </c>
      <c r="D50" s="320" t="s">
        <v>997</v>
      </c>
      <c r="E50" s="400">
        <v>19.986000000000001</v>
      </c>
      <c r="F50" s="400" t="s">
        <v>397</v>
      </c>
      <c r="G50" s="311">
        <v>6375</v>
      </c>
      <c r="H50" s="311">
        <v>1076.2</v>
      </c>
      <c r="I50" s="311">
        <v>5298.8</v>
      </c>
      <c r="J50" s="311" t="s">
        <v>397</v>
      </c>
      <c r="K50" s="400">
        <v>127410.75</v>
      </c>
      <c r="L50" s="400" t="s">
        <v>397</v>
      </c>
      <c r="M50" s="311">
        <v>21508.93</v>
      </c>
      <c r="N50" s="311">
        <v>105901.82</v>
      </c>
      <c r="O50" s="312" t="s">
        <v>397</v>
      </c>
    </row>
    <row r="51" spans="1:15" ht="16.5" customHeight="1">
      <c r="A51" s="387" t="s">
        <v>400</v>
      </c>
      <c r="B51" s="387" t="s">
        <v>397</v>
      </c>
      <c r="C51" s="387" t="s">
        <v>397</v>
      </c>
      <c r="D51" s="387" t="s">
        <v>397</v>
      </c>
      <c r="E51" s="387" t="s">
        <v>397</v>
      </c>
      <c r="F51" s="388" t="s">
        <v>399</v>
      </c>
      <c r="G51" s="388" t="s">
        <v>397</v>
      </c>
      <c r="H51" s="388" t="s">
        <v>397</v>
      </c>
      <c r="I51" s="388" t="s">
        <v>397</v>
      </c>
      <c r="J51" s="388" t="s">
        <v>397</v>
      </c>
      <c r="K51" s="388" t="s">
        <v>397</v>
      </c>
      <c r="L51" s="389" t="s">
        <v>989</v>
      </c>
      <c r="M51" s="389" t="s">
        <v>397</v>
      </c>
      <c r="N51" s="389" t="s">
        <v>397</v>
      </c>
      <c r="O51" s="389" t="s">
        <v>397</v>
      </c>
    </row>
    <row r="52" spans="1:15" ht="16.5" customHeight="1">
      <c r="A52" s="387" t="s">
        <v>397</v>
      </c>
      <c r="B52" s="387" t="s">
        <v>397</v>
      </c>
      <c r="C52" s="387" t="s">
        <v>397</v>
      </c>
      <c r="D52" s="387" t="s">
        <v>397</v>
      </c>
      <c r="E52" s="387" t="s">
        <v>397</v>
      </c>
      <c r="F52" s="388" t="s">
        <v>397</v>
      </c>
      <c r="G52" s="388" t="s">
        <v>397</v>
      </c>
      <c r="H52" s="388" t="s">
        <v>397</v>
      </c>
      <c r="I52" s="388" t="s">
        <v>397</v>
      </c>
      <c r="J52" s="388" t="s">
        <v>397</v>
      </c>
      <c r="K52" s="388" t="s">
        <v>397</v>
      </c>
      <c r="L52" s="389" t="s">
        <v>397</v>
      </c>
      <c r="M52" s="389" t="s">
        <v>397</v>
      </c>
      <c r="N52" s="389" t="s">
        <v>397</v>
      </c>
      <c r="O52" s="389" t="s">
        <v>397</v>
      </c>
    </row>
    <row r="53" spans="1:15" ht="35.25" customHeight="1">
      <c r="A53" s="390" t="s">
        <v>509</v>
      </c>
      <c r="B53" s="390" t="s">
        <v>397</v>
      </c>
      <c r="C53" s="390" t="s">
        <v>397</v>
      </c>
      <c r="D53" s="390" t="s">
        <v>397</v>
      </c>
      <c r="E53" s="390" t="s">
        <v>397</v>
      </c>
      <c r="F53" s="390" t="s">
        <v>397</v>
      </c>
      <c r="G53" s="390" t="s">
        <v>397</v>
      </c>
      <c r="H53" s="390" t="s">
        <v>397</v>
      </c>
      <c r="I53" s="390" t="s">
        <v>397</v>
      </c>
      <c r="J53" s="390" t="s">
        <v>397</v>
      </c>
      <c r="K53" s="390" t="s">
        <v>397</v>
      </c>
      <c r="L53" s="390" t="s">
        <v>397</v>
      </c>
      <c r="M53" s="390" t="s">
        <v>397</v>
      </c>
      <c r="N53" s="390" t="s">
        <v>397</v>
      </c>
      <c r="O53" s="390" t="s">
        <v>397</v>
      </c>
    </row>
    <row r="54" spans="1:15" ht="23.25" customHeight="1" thickBot="1">
      <c r="A54" s="387" t="s">
        <v>982</v>
      </c>
      <c r="B54" s="387" t="s">
        <v>397</v>
      </c>
      <c r="C54" s="387" t="s">
        <v>397</v>
      </c>
      <c r="D54" s="387" t="s">
        <v>397</v>
      </c>
      <c r="E54" s="387" t="s">
        <v>397</v>
      </c>
      <c r="F54" s="387" t="s">
        <v>397</v>
      </c>
      <c r="G54" s="387" t="s">
        <v>397</v>
      </c>
      <c r="H54" s="387" t="s">
        <v>397</v>
      </c>
      <c r="I54" s="387" t="s">
        <v>397</v>
      </c>
      <c r="J54" s="387" t="s">
        <v>397</v>
      </c>
      <c r="K54" s="387" t="s">
        <v>397</v>
      </c>
      <c r="L54" s="389" t="s">
        <v>874</v>
      </c>
      <c r="M54" s="389" t="s">
        <v>397</v>
      </c>
      <c r="N54" s="389" t="s">
        <v>397</v>
      </c>
      <c r="O54" s="389" t="s">
        <v>397</v>
      </c>
    </row>
    <row r="55" spans="1:15" ht="18" customHeight="1">
      <c r="A55" s="395" t="s">
        <v>42</v>
      </c>
      <c r="B55" s="391" t="s">
        <v>1027</v>
      </c>
      <c r="C55" s="391" t="s">
        <v>1026</v>
      </c>
      <c r="D55" s="391" t="s">
        <v>384</v>
      </c>
      <c r="E55" s="391" t="s">
        <v>505</v>
      </c>
      <c r="F55" s="391" t="s">
        <v>397</v>
      </c>
      <c r="G55" s="391" t="s">
        <v>1025</v>
      </c>
      <c r="H55" s="391" t="s">
        <v>503</v>
      </c>
      <c r="I55" s="391" t="s">
        <v>397</v>
      </c>
      <c r="J55" s="391" t="s">
        <v>397</v>
      </c>
      <c r="K55" s="391" t="s">
        <v>381</v>
      </c>
      <c r="L55" s="391" t="s">
        <v>397</v>
      </c>
      <c r="M55" s="391" t="s">
        <v>503</v>
      </c>
      <c r="N55" s="391" t="s">
        <v>397</v>
      </c>
      <c r="O55" s="398" t="s">
        <v>397</v>
      </c>
    </row>
    <row r="56" spans="1:15" ht="32.25" customHeight="1">
      <c r="A56" s="396" t="s">
        <v>397</v>
      </c>
      <c r="B56" s="397" t="s">
        <v>397</v>
      </c>
      <c r="C56" s="397" t="s">
        <v>397</v>
      </c>
      <c r="D56" s="397" t="s">
        <v>397</v>
      </c>
      <c r="E56" s="397" t="s">
        <v>397</v>
      </c>
      <c r="F56" s="397" t="s">
        <v>397</v>
      </c>
      <c r="G56" s="397" t="s">
        <v>397</v>
      </c>
      <c r="H56" s="313" t="s">
        <v>1024</v>
      </c>
      <c r="I56" s="313" t="s">
        <v>1023</v>
      </c>
      <c r="J56" s="313" t="s">
        <v>1022</v>
      </c>
      <c r="K56" s="397" t="s">
        <v>397</v>
      </c>
      <c r="L56" s="397" t="s">
        <v>397</v>
      </c>
      <c r="M56" s="313" t="s">
        <v>1021</v>
      </c>
      <c r="N56" s="313" t="s">
        <v>1020</v>
      </c>
      <c r="O56" s="318" t="s">
        <v>1019</v>
      </c>
    </row>
    <row r="57" spans="1:15" ht="19.5" customHeight="1">
      <c r="A57" s="307" t="s">
        <v>397</v>
      </c>
      <c r="B57" s="314" t="s">
        <v>397</v>
      </c>
      <c r="C57" s="316" t="s">
        <v>1102</v>
      </c>
      <c r="D57" s="314" t="s">
        <v>397</v>
      </c>
      <c r="E57" s="399" t="s">
        <v>397</v>
      </c>
      <c r="F57" s="399" t="s">
        <v>397</v>
      </c>
      <c r="G57" s="308" t="s">
        <v>397</v>
      </c>
      <c r="H57" s="308" t="s">
        <v>397</v>
      </c>
      <c r="I57" s="308" t="s">
        <v>397</v>
      </c>
      <c r="J57" s="308" t="s">
        <v>397</v>
      </c>
      <c r="K57" s="399" t="s">
        <v>397</v>
      </c>
      <c r="L57" s="399" t="s">
        <v>397</v>
      </c>
      <c r="M57" s="308" t="s">
        <v>397</v>
      </c>
      <c r="N57" s="308" t="s">
        <v>397</v>
      </c>
      <c r="O57" s="309" t="s">
        <v>397</v>
      </c>
    </row>
    <row r="58" spans="1:15" ht="29.25" customHeight="1">
      <c r="A58" s="307">
        <v>27</v>
      </c>
      <c r="B58" s="314" t="s">
        <v>1101</v>
      </c>
      <c r="C58" s="316" t="s">
        <v>1100</v>
      </c>
      <c r="D58" s="314" t="s">
        <v>997</v>
      </c>
      <c r="E58" s="399">
        <v>19.986000000000001</v>
      </c>
      <c r="F58" s="399" t="s">
        <v>397</v>
      </c>
      <c r="G58" s="308">
        <v>7936.63</v>
      </c>
      <c r="H58" s="308">
        <v>1027.1600000000001</v>
      </c>
      <c r="I58" s="308">
        <v>6909.47</v>
      </c>
      <c r="J58" s="308" t="s">
        <v>397</v>
      </c>
      <c r="K58" s="399">
        <v>158621.49</v>
      </c>
      <c r="L58" s="399" t="s">
        <v>397</v>
      </c>
      <c r="M58" s="308">
        <v>20528.82</v>
      </c>
      <c r="N58" s="308">
        <v>138092.67000000001</v>
      </c>
      <c r="O58" s="309" t="s">
        <v>397</v>
      </c>
    </row>
    <row r="59" spans="1:15" ht="29.25" customHeight="1">
      <c r="A59" s="307">
        <v>28</v>
      </c>
      <c r="B59" s="314" t="s">
        <v>1099</v>
      </c>
      <c r="C59" s="316" t="s">
        <v>1098</v>
      </c>
      <c r="D59" s="314" t="s">
        <v>997</v>
      </c>
      <c r="E59" s="399">
        <v>19.986000000000001</v>
      </c>
      <c r="F59" s="399" t="s">
        <v>397</v>
      </c>
      <c r="G59" s="308">
        <v>2080.19</v>
      </c>
      <c r="H59" s="308">
        <v>527.6</v>
      </c>
      <c r="I59" s="308">
        <v>1552.59</v>
      </c>
      <c r="J59" s="308" t="s">
        <v>397</v>
      </c>
      <c r="K59" s="399">
        <v>41574.68</v>
      </c>
      <c r="L59" s="399" t="s">
        <v>397</v>
      </c>
      <c r="M59" s="308">
        <v>10544.61</v>
      </c>
      <c r="N59" s="308">
        <v>31030.06</v>
      </c>
      <c r="O59" s="309" t="s">
        <v>397</v>
      </c>
    </row>
    <row r="60" spans="1:15" ht="16.5" customHeight="1">
      <c r="A60" s="319" t="s">
        <v>397</v>
      </c>
      <c r="B60" s="316" t="s">
        <v>397</v>
      </c>
      <c r="C60" s="316" t="s">
        <v>1097</v>
      </c>
      <c r="D60" s="316" t="s">
        <v>397</v>
      </c>
      <c r="E60" s="393" t="s">
        <v>397</v>
      </c>
      <c r="F60" s="393" t="s">
        <v>397</v>
      </c>
      <c r="G60" s="308" t="s">
        <v>397</v>
      </c>
      <c r="H60" s="308" t="s">
        <v>397</v>
      </c>
      <c r="I60" s="308" t="s">
        <v>397</v>
      </c>
      <c r="J60" s="308" t="s">
        <v>397</v>
      </c>
      <c r="K60" s="399">
        <v>361595.27</v>
      </c>
      <c r="L60" s="399" t="s">
        <v>397</v>
      </c>
      <c r="M60" s="308">
        <v>104113.01</v>
      </c>
      <c r="N60" s="308">
        <v>257482.26</v>
      </c>
      <c r="O60" s="309" t="s">
        <v>397</v>
      </c>
    </row>
    <row r="61" spans="1:15" ht="29.25" customHeight="1">
      <c r="A61" s="307">
        <v>29</v>
      </c>
      <c r="B61" s="314" t="s">
        <v>1231</v>
      </c>
      <c r="C61" s="316" t="s">
        <v>1232</v>
      </c>
      <c r="D61" s="314" t="s">
        <v>997</v>
      </c>
      <c r="E61" s="399">
        <v>8.8699999999999992</v>
      </c>
      <c r="F61" s="399" t="s">
        <v>397</v>
      </c>
      <c r="G61" s="308">
        <v>4113.16</v>
      </c>
      <c r="H61" s="308">
        <v>578.16</v>
      </c>
      <c r="I61" s="308">
        <v>3535</v>
      </c>
      <c r="J61" s="308" t="s">
        <v>397</v>
      </c>
      <c r="K61" s="399">
        <v>36483.730000000003</v>
      </c>
      <c r="L61" s="399" t="s">
        <v>397</v>
      </c>
      <c r="M61" s="308">
        <v>5128.28</v>
      </c>
      <c r="N61" s="308">
        <v>31355.45</v>
      </c>
      <c r="O61" s="309" t="s">
        <v>397</v>
      </c>
    </row>
    <row r="62" spans="1:15" ht="29.25" customHeight="1">
      <c r="A62" s="307">
        <v>30</v>
      </c>
      <c r="B62" s="314" t="s">
        <v>1096</v>
      </c>
      <c r="C62" s="316" t="s">
        <v>1095</v>
      </c>
      <c r="D62" s="314" t="s">
        <v>997</v>
      </c>
      <c r="E62" s="399">
        <v>50.79</v>
      </c>
      <c r="F62" s="399" t="s">
        <v>397</v>
      </c>
      <c r="G62" s="308">
        <v>5079</v>
      </c>
      <c r="H62" s="308">
        <v>1269.75</v>
      </c>
      <c r="I62" s="308">
        <v>3809.25</v>
      </c>
      <c r="J62" s="308" t="s">
        <v>397</v>
      </c>
      <c r="K62" s="399">
        <v>257962.41</v>
      </c>
      <c r="L62" s="399" t="s">
        <v>397</v>
      </c>
      <c r="M62" s="308">
        <v>64490.6</v>
      </c>
      <c r="N62" s="308">
        <v>193471.81</v>
      </c>
      <c r="O62" s="309" t="s">
        <v>397</v>
      </c>
    </row>
    <row r="63" spans="1:15" ht="16.5" customHeight="1">
      <c r="A63" s="307">
        <v>31</v>
      </c>
      <c r="B63" s="314" t="s">
        <v>1094</v>
      </c>
      <c r="C63" s="316" t="s">
        <v>1093</v>
      </c>
      <c r="D63" s="314" t="s">
        <v>997</v>
      </c>
      <c r="E63" s="399">
        <v>9.33</v>
      </c>
      <c r="F63" s="399" t="s">
        <v>397</v>
      </c>
      <c r="G63" s="308">
        <v>7197.12</v>
      </c>
      <c r="H63" s="308">
        <v>3697.12</v>
      </c>
      <c r="I63" s="308">
        <v>3500</v>
      </c>
      <c r="J63" s="308" t="s">
        <v>397</v>
      </c>
      <c r="K63" s="399">
        <v>67149.13</v>
      </c>
      <c r="L63" s="399" t="s">
        <v>397</v>
      </c>
      <c r="M63" s="308">
        <v>34494.129999999997</v>
      </c>
      <c r="N63" s="308">
        <v>32655</v>
      </c>
      <c r="O63" s="309" t="s">
        <v>397</v>
      </c>
    </row>
    <row r="64" spans="1:15" ht="16.5" customHeight="1">
      <c r="A64" s="319" t="s">
        <v>397</v>
      </c>
      <c r="B64" s="316" t="s">
        <v>397</v>
      </c>
      <c r="C64" s="316" t="s">
        <v>1092</v>
      </c>
      <c r="D64" s="316" t="s">
        <v>397</v>
      </c>
      <c r="E64" s="393" t="s">
        <v>397</v>
      </c>
      <c r="F64" s="393" t="s">
        <v>397</v>
      </c>
      <c r="G64" s="308" t="s">
        <v>397</v>
      </c>
      <c r="H64" s="308" t="s">
        <v>397</v>
      </c>
      <c r="I64" s="308" t="s">
        <v>397</v>
      </c>
      <c r="J64" s="308" t="s">
        <v>397</v>
      </c>
      <c r="K64" s="399">
        <v>1807235.3</v>
      </c>
      <c r="L64" s="399" t="s">
        <v>397</v>
      </c>
      <c r="M64" s="308">
        <v>506118.62</v>
      </c>
      <c r="N64" s="308">
        <v>1290943.83</v>
      </c>
      <c r="O64" s="309">
        <v>10172.86</v>
      </c>
    </row>
    <row r="65" spans="1:15" ht="16.5" customHeight="1">
      <c r="A65" s="307">
        <v>32</v>
      </c>
      <c r="B65" s="314" t="s">
        <v>1091</v>
      </c>
      <c r="C65" s="316" t="s">
        <v>1090</v>
      </c>
      <c r="D65" s="314" t="s">
        <v>991</v>
      </c>
      <c r="E65" s="399">
        <v>15.582000000000001</v>
      </c>
      <c r="F65" s="399" t="s">
        <v>397</v>
      </c>
      <c r="G65" s="308">
        <v>3390.26</v>
      </c>
      <c r="H65" s="308">
        <v>696.32</v>
      </c>
      <c r="I65" s="308">
        <v>2529.17</v>
      </c>
      <c r="J65" s="308">
        <v>164.77</v>
      </c>
      <c r="K65" s="399">
        <v>52827.03</v>
      </c>
      <c r="L65" s="399" t="s">
        <v>397</v>
      </c>
      <c r="M65" s="308">
        <v>10850.06</v>
      </c>
      <c r="N65" s="308">
        <v>39409.53</v>
      </c>
      <c r="O65" s="309">
        <v>2567.4499999999998</v>
      </c>
    </row>
    <row r="66" spans="1:15" ht="42" customHeight="1">
      <c r="A66" s="307">
        <v>33</v>
      </c>
      <c r="B66" s="314" t="s">
        <v>1089</v>
      </c>
      <c r="C66" s="316" t="s">
        <v>1088</v>
      </c>
      <c r="D66" s="314" t="s">
        <v>997</v>
      </c>
      <c r="E66" s="399">
        <v>103.88</v>
      </c>
      <c r="F66" s="399" t="s">
        <v>397</v>
      </c>
      <c r="G66" s="308">
        <v>1343.39</v>
      </c>
      <c r="H66" s="308">
        <v>635.36</v>
      </c>
      <c r="I66" s="308">
        <v>670.49</v>
      </c>
      <c r="J66" s="308">
        <v>37.54</v>
      </c>
      <c r="K66" s="399">
        <v>139551.35</v>
      </c>
      <c r="L66" s="399" t="s">
        <v>397</v>
      </c>
      <c r="M66" s="308">
        <v>66001.2</v>
      </c>
      <c r="N66" s="308">
        <v>69650.5</v>
      </c>
      <c r="O66" s="309">
        <v>3899.66</v>
      </c>
    </row>
    <row r="67" spans="1:15" ht="16.5" customHeight="1">
      <c r="A67" s="307">
        <v>34</v>
      </c>
      <c r="B67" s="314" t="s">
        <v>1087</v>
      </c>
      <c r="C67" s="316" t="s">
        <v>1086</v>
      </c>
      <c r="D67" s="314" t="s">
        <v>997</v>
      </c>
      <c r="E67" s="399">
        <v>14.67</v>
      </c>
      <c r="F67" s="399" t="s">
        <v>397</v>
      </c>
      <c r="G67" s="308">
        <v>1751.59</v>
      </c>
      <c r="H67" s="308">
        <v>836.36</v>
      </c>
      <c r="I67" s="308">
        <v>877.69</v>
      </c>
      <c r="J67" s="308">
        <v>37.54</v>
      </c>
      <c r="K67" s="399">
        <v>25695.83</v>
      </c>
      <c r="L67" s="399" t="s">
        <v>397</v>
      </c>
      <c r="M67" s="308">
        <v>12269.4</v>
      </c>
      <c r="N67" s="308">
        <v>12875.71</v>
      </c>
      <c r="O67" s="309">
        <v>550.71</v>
      </c>
    </row>
    <row r="68" spans="1:15" ht="29.25" customHeight="1">
      <c r="A68" s="307">
        <v>35</v>
      </c>
      <c r="B68" s="314" t="s">
        <v>1085</v>
      </c>
      <c r="C68" s="316" t="s">
        <v>1084</v>
      </c>
      <c r="D68" s="314" t="s">
        <v>997</v>
      </c>
      <c r="E68" s="399">
        <v>0.33</v>
      </c>
      <c r="F68" s="399" t="s">
        <v>397</v>
      </c>
      <c r="G68" s="308">
        <v>2874.68</v>
      </c>
      <c r="H68" s="308">
        <v>2173.56</v>
      </c>
      <c r="I68" s="308">
        <v>664.69</v>
      </c>
      <c r="J68" s="308">
        <v>36.43</v>
      </c>
      <c r="K68" s="399">
        <v>948.64</v>
      </c>
      <c r="L68" s="399" t="s">
        <v>397</v>
      </c>
      <c r="M68" s="308">
        <v>717.27</v>
      </c>
      <c r="N68" s="308">
        <v>219.35</v>
      </c>
      <c r="O68" s="309">
        <v>12.02</v>
      </c>
    </row>
    <row r="69" spans="1:15" ht="29.25" customHeight="1">
      <c r="A69" s="307">
        <v>36</v>
      </c>
      <c r="B69" s="314" t="s">
        <v>1082</v>
      </c>
      <c r="C69" s="316" t="s">
        <v>1083</v>
      </c>
      <c r="D69" s="314" t="s">
        <v>997</v>
      </c>
      <c r="E69" s="399">
        <v>75.61</v>
      </c>
      <c r="F69" s="399" t="s">
        <v>397</v>
      </c>
      <c r="G69" s="308">
        <v>13686.79</v>
      </c>
      <c r="H69" s="308">
        <v>4560.6400000000003</v>
      </c>
      <c r="I69" s="308">
        <v>9087.51</v>
      </c>
      <c r="J69" s="308">
        <v>38.64</v>
      </c>
      <c r="K69" s="399">
        <v>1034858.19</v>
      </c>
      <c r="L69" s="399" t="s">
        <v>397</v>
      </c>
      <c r="M69" s="308">
        <v>344829.99</v>
      </c>
      <c r="N69" s="308">
        <v>687106.63</v>
      </c>
      <c r="O69" s="309">
        <v>2921.57</v>
      </c>
    </row>
    <row r="70" spans="1:15" ht="16.5" customHeight="1">
      <c r="A70" s="307">
        <v>37</v>
      </c>
      <c r="B70" s="314" t="s">
        <v>1082</v>
      </c>
      <c r="C70" s="316" t="s">
        <v>1081</v>
      </c>
      <c r="D70" s="314" t="s">
        <v>997</v>
      </c>
      <c r="E70" s="399">
        <v>3.84</v>
      </c>
      <c r="F70" s="399" t="s">
        <v>397</v>
      </c>
      <c r="G70" s="308">
        <v>17926.79</v>
      </c>
      <c r="H70" s="308">
        <v>4560.6400000000003</v>
      </c>
      <c r="I70" s="308">
        <v>13327.51</v>
      </c>
      <c r="J70" s="308">
        <v>38.64</v>
      </c>
      <c r="K70" s="399">
        <v>68838.87</v>
      </c>
      <c r="L70" s="399" t="s">
        <v>397</v>
      </c>
      <c r="M70" s="308">
        <v>17512.86</v>
      </c>
      <c r="N70" s="308">
        <v>51177.64</v>
      </c>
      <c r="O70" s="309">
        <v>148.38</v>
      </c>
    </row>
    <row r="71" spans="1:15" ht="29.25" customHeight="1" thickBot="1">
      <c r="A71" s="310">
        <v>38</v>
      </c>
      <c r="B71" s="320" t="s">
        <v>1080</v>
      </c>
      <c r="C71" s="317" t="s">
        <v>1079</v>
      </c>
      <c r="D71" s="320" t="s">
        <v>997</v>
      </c>
      <c r="E71" s="400">
        <v>1.98</v>
      </c>
      <c r="F71" s="400" t="s">
        <v>397</v>
      </c>
      <c r="G71" s="311">
        <v>13797.96</v>
      </c>
      <c r="H71" s="311">
        <v>5248.76</v>
      </c>
      <c r="I71" s="311">
        <v>8524.91</v>
      </c>
      <c r="J71" s="311">
        <v>24.29</v>
      </c>
      <c r="K71" s="400">
        <v>27319.96</v>
      </c>
      <c r="L71" s="400" t="s">
        <v>397</v>
      </c>
      <c r="M71" s="311">
        <v>10392.540000000001</v>
      </c>
      <c r="N71" s="311">
        <v>16879.32</v>
      </c>
      <c r="O71" s="312">
        <v>48.09</v>
      </c>
    </row>
    <row r="72" spans="1:15" ht="16.5" customHeight="1">
      <c r="A72" s="387" t="s">
        <v>400</v>
      </c>
      <c r="B72" s="387" t="s">
        <v>397</v>
      </c>
      <c r="C72" s="387" t="s">
        <v>397</v>
      </c>
      <c r="D72" s="387" t="s">
        <v>397</v>
      </c>
      <c r="E72" s="387" t="s">
        <v>397</v>
      </c>
      <c r="F72" s="388" t="s">
        <v>399</v>
      </c>
      <c r="G72" s="388" t="s">
        <v>397</v>
      </c>
      <c r="H72" s="388" t="s">
        <v>397</v>
      </c>
      <c r="I72" s="388" t="s">
        <v>397</v>
      </c>
      <c r="J72" s="388" t="s">
        <v>397</v>
      </c>
      <c r="K72" s="388" t="s">
        <v>397</v>
      </c>
      <c r="L72" s="389" t="s">
        <v>989</v>
      </c>
      <c r="M72" s="389" t="s">
        <v>397</v>
      </c>
      <c r="N72" s="389" t="s">
        <v>397</v>
      </c>
      <c r="O72" s="389" t="s">
        <v>397</v>
      </c>
    </row>
    <row r="73" spans="1:15" ht="16.5" customHeight="1">
      <c r="A73" s="387" t="s">
        <v>397</v>
      </c>
      <c r="B73" s="387" t="s">
        <v>397</v>
      </c>
      <c r="C73" s="387" t="s">
        <v>397</v>
      </c>
      <c r="D73" s="387" t="s">
        <v>397</v>
      </c>
      <c r="E73" s="387" t="s">
        <v>397</v>
      </c>
      <c r="F73" s="388" t="s">
        <v>397</v>
      </c>
      <c r="G73" s="388" t="s">
        <v>397</v>
      </c>
      <c r="H73" s="388" t="s">
        <v>397</v>
      </c>
      <c r="I73" s="388" t="s">
        <v>397</v>
      </c>
      <c r="J73" s="388" t="s">
        <v>397</v>
      </c>
      <c r="K73" s="388" t="s">
        <v>397</v>
      </c>
      <c r="L73" s="389" t="s">
        <v>397</v>
      </c>
      <c r="M73" s="389" t="s">
        <v>397</v>
      </c>
      <c r="N73" s="389" t="s">
        <v>397</v>
      </c>
      <c r="O73" s="389" t="s">
        <v>397</v>
      </c>
    </row>
    <row r="74" spans="1:15" ht="35.25" customHeight="1">
      <c r="A74" s="390" t="s">
        <v>509</v>
      </c>
      <c r="B74" s="390" t="s">
        <v>397</v>
      </c>
      <c r="C74" s="390" t="s">
        <v>397</v>
      </c>
      <c r="D74" s="390" t="s">
        <v>397</v>
      </c>
      <c r="E74" s="390" t="s">
        <v>397</v>
      </c>
      <c r="F74" s="390" t="s">
        <v>397</v>
      </c>
      <c r="G74" s="390" t="s">
        <v>397</v>
      </c>
      <c r="H74" s="390" t="s">
        <v>397</v>
      </c>
      <c r="I74" s="390" t="s">
        <v>397</v>
      </c>
      <c r="J74" s="390" t="s">
        <v>397</v>
      </c>
      <c r="K74" s="390" t="s">
        <v>397</v>
      </c>
      <c r="L74" s="390" t="s">
        <v>397</v>
      </c>
      <c r="M74" s="390" t="s">
        <v>397</v>
      </c>
      <c r="N74" s="390" t="s">
        <v>397</v>
      </c>
      <c r="O74" s="390" t="s">
        <v>397</v>
      </c>
    </row>
    <row r="75" spans="1:15" ht="23.25" customHeight="1" thickBot="1">
      <c r="A75" s="387" t="s">
        <v>982</v>
      </c>
      <c r="B75" s="387" t="s">
        <v>397</v>
      </c>
      <c r="C75" s="387" t="s">
        <v>397</v>
      </c>
      <c r="D75" s="387" t="s">
        <v>397</v>
      </c>
      <c r="E75" s="387" t="s">
        <v>397</v>
      </c>
      <c r="F75" s="387" t="s">
        <v>397</v>
      </c>
      <c r="G75" s="387" t="s">
        <v>397</v>
      </c>
      <c r="H75" s="387" t="s">
        <v>397</v>
      </c>
      <c r="I75" s="387" t="s">
        <v>397</v>
      </c>
      <c r="J75" s="387" t="s">
        <v>397</v>
      </c>
      <c r="K75" s="387" t="s">
        <v>397</v>
      </c>
      <c r="L75" s="389" t="s">
        <v>853</v>
      </c>
      <c r="M75" s="389" t="s">
        <v>397</v>
      </c>
      <c r="N75" s="389" t="s">
        <v>397</v>
      </c>
      <c r="O75" s="389" t="s">
        <v>397</v>
      </c>
    </row>
    <row r="76" spans="1:15" ht="18" customHeight="1">
      <c r="A76" s="395" t="s">
        <v>42</v>
      </c>
      <c r="B76" s="391" t="s">
        <v>1027</v>
      </c>
      <c r="C76" s="391" t="s">
        <v>1026</v>
      </c>
      <c r="D76" s="391" t="s">
        <v>384</v>
      </c>
      <c r="E76" s="391" t="s">
        <v>505</v>
      </c>
      <c r="F76" s="391" t="s">
        <v>397</v>
      </c>
      <c r="G76" s="391" t="s">
        <v>1025</v>
      </c>
      <c r="H76" s="391" t="s">
        <v>503</v>
      </c>
      <c r="I76" s="391" t="s">
        <v>397</v>
      </c>
      <c r="J76" s="391" t="s">
        <v>397</v>
      </c>
      <c r="K76" s="391" t="s">
        <v>381</v>
      </c>
      <c r="L76" s="391" t="s">
        <v>397</v>
      </c>
      <c r="M76" s="391" t="s">
        <v>503</v>
      </c>
      <c r="N76" s="391" t="s">
        <v>397</v>
      </c>
      <c r="O76" s="398" t="s">
        <v>397</v>
      </c>
    </row>
    <row r="77" spans="1:15" ht="32.25" customHeight="1">
      <c r="A77" s="396" t="s">
        <v>397</v>
      </c>
      <c r="B77" s="397" t="s">
        <v>397</v>
      </c>
      <c r="C77" s="397" t="s">
        <v>397</v>
      </c>
      <c r="D77" s="397" t="s">
        <v>397</v>
      </c>
      <c r="E77" s="397" t="s">
        <v>397</v>
      </c>
      <c r="F77" s="397" t="s">
        <v>397</v>
      </c>
      <c r="G77" s="397" t="s">
        <v>397</v>
      </c>
      <c r="H77" s="313" t="s">
        <v>1024</v>
      </c>
      <c r="I77" s="313" t="s">
        <v>1023</v>
      </c>
      <c r="J77" s="313" t="s">
        <v>1022</v>
      </c>
      <c r="K77" s="397" t="s">
        <v>397</v>
      </c>
      <c r="L77" s="397" t="s">
        <v>397</v>
      </c>
      <c r="M77" s="313" t="s">
        <v>1021</v>
      </c>
      <c r="N77" s="313" t="s">
        <v>1020</v>
      </c>
      <c r="O77" s="318" t="s">
        <v>1019</v>
      </c>
    </row>
    <row r="78" spans="1:15" ht="29.25" customHeight="1">
      <c r="A78" s="307">
        <v>39</v>
      </c>
      <c r="B78" s="314" t="s">
        <v>1078</v>
      </c>
      <c r="C78" s="316" t="s">
        <v>1077</v>
      </c>
      <c r="D78" s="314" t="s">
        <v>997</v>
      </c>
      <c r="E78" s="399">
        <v>0.99</v>
      </c>
      <c r="F78" s="399" t="s">
        <v>397</v>
      </c>
      <c r="G78" s="308">
        <v>19261.8</v>
      </c>
      <c r="H78" s="308">
        <v>3485.76</v>
      </c>
      <c r="I78" s="308">
        <v>15751.75</v>
      </c>
      <c r="J78" s="308">
        <v>24.29</v>
      </c>
      <c r="K78" s="399">
        <v>19069.18</v>
      </c>
      <c r="L78" s="399" t="s">
        <v>397</v>
      </c>
      <c r="M78" s="308">
        <v>3450.9</v>
      </c>
      <c r="N78" s="308">
        <v>15594.23</v>
      </c>
      <c r="O78" s="309">
        <v>24.05</v>
      </c>
    </row>
    <row r="79" spans="1:15" ht="29.25" customHeight="1">
      <c r="A79" s="307">
        <v>40</v>
      </c>
      <c r="B79" s="314" t="s">
        <v>1076</v>
      </c>
      <c r="C79" s="316" t="s">
        <v>1075</v>
      </c>
      <c r="D79" s="314" t="s">
        <v>997</v>
      </c>
      <c r="E79" s="399">
        <v>19.14</v>
      </c>
      <c r="F79" s="399" t="s">
        <v>397</v>
      </c>
      <c r="G79" s="308">
        <v>19574.93</v>
      </c>
      <c r="H79" s="308">
        <v>1849.64</v>
      </c>
      <c r="I79" s="308">
        <v>17725.29</v>
      </c>
      <c r="J79" s="308" t="s">
        <v>397</v>
      </c>
      <c r="K79" s="399">
        <v>374664.16</v>
      </c>
      <c r="L79" s="399" t="s">
        <v>397</v>
      </c>
      <c r="M79" s="308">
        <v>35402.11</v>
      </c>
      <c r="N79" s="308">
        <v>339262.05</v>
      </c>
      <c r="O79" s="309" t="s">
        <v>397</v>
      </c>
    </row>
    <row r="80" spans="1:15" ht="16.5" customHeight="1">
      <c r="A80" s="307">
        <v>41</v>
      </c>
      <c r="B80" s="314" t="s">
        <v>1074</v>
      </c>
      <c r="C80" s="316" t="s">
        <v>1073</v>
      </c>
      <c r="D80" s="314" t="s">
        <v>997</v>
      </c>
      <c r="E80" s="399">
        <v>0.51</v>
      </c>
      <c r="F80" s="399" t="s">
        <v>397</v>
      </c>
      <c r="G80" s="308">
        <v>23274.02</v>
      </c>
      <c r="H80" s="308">
        <v>1474.16</v>
      </c>
      <c r="I80" s="308">
        <v>21799.86</v>
      </c>
      <c r="J80" s="308" t="s">
        <v>397</v>
      </c>
      <c r="K80" s="399">
        <v>11869.75</v>
      </c>
      <c r="L80" s="399" t="s">
        <v>397</v>
      </c>
      <c r="M80" s="308">
        <v>751.82</v>
      </c>
      <c r="N80" s="308">
        <v>11117.93</v>
      </c>
      <c r="O80" s="309" t="s">
        <v>397</v>
      </c>
    </row>
    <row r="81" spans="1:15" ht="29.25" customHeight="1">
      <c r="A81" s="307">
        <v>42</v>
      </c>
      <c r="B81" s="314" t="s">
        <v>1072</v>
      </c>
      <c r="C81" s="316" t="s">
        <v>1071</v>
      </c>
      <c r="D81" s="314" t="s">
        <v>997</v>
      </c>
      <c r="E81" s="399">
        <v>2.33</v>
      </c>
      <c r="F81" s="399" t="s">
        <v>397</v>
      </c>
      <c r="G81" s="308">
        <v>20783.04</v>
      </c>
      <c r="H81" s="308">
        <v>1587.46</v>
      </c>
      <c r="I81" s="308">
        <v>19195.580000000002</v>
      </c>
      <c r="J81" s="308" t="s">
        <v>397</v>
      </c>
      <c r="K81" s="399">
        <v>48424.480000000003</v>
      </c>
      <c r="L81" s="399" t="s">
        <v>397</v>
      </c>
      <c r="M81" s="308">
        <v>3698.78</v>
      </c>
      <c r="N81" s="308">
        <v>44725.7</v>
      </c>
      <c r="O81" s="309" t="s">
        <v>397</v>
      </c>
    </row>
    <row r="82" spans="1:15" ht="16.5" customHeight="1">
      <c r="A82" s="307">
        <v>43</v>
      </c>
      <c r="B82" s="314" t="s">
        <v>1070</v>
      </c>
      <c r="C82" s="316" t="s">
        <v>1069</v>
      </c>
      <c r="D82" s="314" t="s">
        <v>848</v>
      </c>
      <c r="E82" s="399">
        <v>0.63</v>
      </c>
      <c r="F82" s="399" t="s">
        <v>397</v>
      </c>
      <c r="G82" s="308">
        <v>5028.3500000000004</v>
      </c>
      <c r="H82" s="308">
        <v>383.64</v>
      </c>
      <c r="I82" s="308">
        <v>4643.24</v>
      </c>
      <c r="J82" s="308">
        <v>1.47</v>
      </c>
      <c r="K82" s="399">
        <v>3167.86</v>
      </c>
      <c r="L82" s="399" t="s">
        <v>397</v>
      </c>
      <c r="M82" s="308">
        <v>241.69</v>
      </c>
      <c r="N82" s="308">
        <v>2925.24</v>
      </c>
      <c r="O82" s="309">
        <v>0.93</v>
      </c>
    </row>
    <row r="83" spans="1:15" ht="29.25" customHeight="1">
      <c r="A83" s="319" t="s">
        <v>397</v>
      </c>
      <c r="B83" s="316" t="s">
        <v>397</v>
      </c>
      <c r="C83" s="316" t="s">
        <v>1068</v>
      </c>
      <c r="D83" s="316" t="s">
        <v>397</v>
      </c>
      <c r="E83" s="393" t="s">
        <v>397</v>
      </c>
      <c r="F83" s="393" t="s">
        <v>397</v>
      </c>
      <c r="G83" s="308" t="s">
        <v>397</v>
      </c>
      <c r="H83" s="308" t="s">
        <v>397</v>
      </c>
      <c r="I83" s="308" t="s">
        <v>397</v>
      </c>
      <c r="J83" s="308" t="s">
        <v>397</v>
      </c>
      <c r="K83" s="399">
        <v>4179165.07</v>
      </c>
      <c r="L83" s="399" t="s">
        <v>397</v>
      </c>
      <c r="M83" s="308">
        <v>495295.73</v>
      </c>
      <c r="N83" s="308">
        <v>3681065.48</v>
      </c>
      <c r="O83" s="309">
        <v>2803.86</v>
      </c>
    </row>
    <row r="84" spans="1:15" ht="16.5" customHeight="1">
      <c r="A84" s="307">
        <v>44</v>
      </c>
      <c r="B84" s="314" t="s">
        <v>1067</v>
      </c>
      <c r="C84" s="316" t="s">
        <v>1066</v>
      </c>
      <c r="D84" s="314" t="s">
        <v>997</v>
      </c>
      <c r="E84" s="399">
        <v>43.043999999999997</v>
      </c>
      <c r="F84" s="399" t="s">
        <v>397</v>
      </c>
      <c r="G84" s="308">
        <v>2011.73</v>
      </c>
      <c r="H84" s="308">
        <v>1203.5999999999999</v>
      </c>
      <c r="I84" s="308">
        <v>763.97</v>
      </c>
      <c r="J84" s="308">
        <v>44.16</v>
      </c>
      <c r="K84" s="399">
        <v>86592.91</v>
      </c>
      <c r="L84" s="399" t="s">
        <v>397</v>
      </c>
      <c r="M84" s="308">
        <v>51807.76</v>
      </c>
      <c r="N84" s="308">
        <v>32884.32</v>
      </c>
      <c r="O84" s="309">
        <v>1900.82</v>
      </c>
    </row>
    <row r="85" spans="1:15" ht="29.25" customHeight="1">
      <c r="A85" s="307">
        <v>45</v>
      </c>
      <c r="B85" s="314" t="s">
        <v>1065</v>
      </c>
      <c r="C85" s="316" t="s">
        <v>1064</v>
      </c>
      <c r="D85" s="314" t="s">
        <v>997</v>
      </c>
      <c r="E85" s="399">
        <v>35.5</v>
      </c>
      <c r="F85" s="399" t="s">
        <v>397</v>
      </c>
      <c r="G85" s="308">
        <v>91794.43</v>
      </c>
      <c r="H85" s="308">
        <v>7339.36</v>
      </c>
      <c r="I85" s="308">
        <v>84455.07</v>
      </c>
      <c r="J85" s="308" t="s">
        <v>397</v>
      </c>
      <c r="K85" s="399">
        <v>3258702.27</v>
      </c>
      <c r="L85" s="399" t="s">
        <v>397</v>
      </c>
      <c r="M85" s="308">
        <v>260547.28</v>
      </c>
      <c r="N85" s="308">
        <v>2998154.99</v>
      </c>
      <c r="O85" s="309" t="s">
        <v>397</v>
      </c>
    </row>
    <row r="86" spans="1:15" ht="16.5" customHeight="1">
      <c r="A86" s="307">
        <v>46</v>
      </c>
      <c r="B86" s="314" t="s">
        <v>1062</v>
      </c>
      <c r="C86" s="316" t="s">
        <v>1063</v>
      </c>
      <c r="D86" s="314" t="s">
        <v>997</v>
      </c>
      <c r="E86" s="399">
        <v>18.32</v>
      </c>
      <c r="F86" s="399" t="s">
        <v>397</v>
      </c>
      <c r="G86" s="308">
        <v>20364.91</v>
      </c>
      <c r="H86" s="308">
        <v>4857.12</v>
      </c>
      <c r="I86" s="308">
        <v>15502.27</v>
      </c>
      <c r="J86" s="308">
        <v>5.52</v>
      </c>
      <c r="K86" s="399">
        <v>373085.15</v>
      </c>
      <c r="L86" s="399" t="s">
        <v>397</v>
      </c>
      <c r="M86" s="308">
        <v>88982.44</v>
      </c>
      <c r="N86" s="308">
        <v>284001.59000000003</v>
      </c>
      <c r="O86" s="309">
        <v>101.13</v>
      </c>
    </row>
    <row r="87" spans="1:15" ht="29.25" customHeight="1">
      <c r="A87" s="307">
        <v>47</v>
      </c>
      <c r="B87" s="314" t="s">
        <v>1062</v>
      </c>
      <c r="C87" s="316" t="s">
        <v>1061</v>
      </c>
      <c r="D87" s="314" t="s">
        <v>997</v>
      </c>
      <c r="E87" s="399">
        <v>14.93</v>
      </c>
      <c r="F87" s="399" t="s">
        <v>397</v>
      </c>
      <c r="G87" s="308">
        <v>17319.91</v>
      </c>
      <c r="H87" s="308">
        <v>4857.12</v>
      </c>
      <c r="I87" s="308">
        <v>12457.27</v>
      </c>
      <c r="J87" s="308">
        <v>5.52</v>
      </c>
      <c r="K87" s="399">
        <v>258586.26</v>
      </c>
      <c r="L87" s="399" t="s">
        <v>397</v>
      </c>
      <c r="M87" s="308">
        <v>72516.800000000003</v>
      </c>
      <c r="N87" s="308">
        <v>185987.04</v>
      </c>
      <c r="O87" s="309">
        <v>82.41</v>
      </c>
    </row>
    <row r="88" spans="1:15" ht="29.25" customHeight="1">
      <c r="A88" s="307">
        <v>48</v>
      </c>
      <c r="B88" s="314" t="s">
        <v>1060</v>
      </c>
      <c r="C88" s="316" t="s">
        <v>1059</v>
      </c>
      <c r="D88" s="314" t="s">
        <v>997</v>
      </c>
      <c r="E88" s="399">
        <v>7.33</v>
      </c>
      <c r="F88" s="399" t="s">
        <v>397</v>
      </c>
      <c r="G88" s="308">
        <v>4049.79</v>
      </c>
      <c r="H88" s="308">
        <v>766.2</v>
      </c>
      <c r="I88" s="308">
        <v>3244.23</v>
      </c>
      <c r="J88" s="308">
        <v>39.36</v>
      </c>
      <c r="K88" s="399">
        <v>29684.959999999999</v>
      </c>
      <c r="L88" s="399" t="s">
        <v>397</v>
      </c>
      <c r="M88" s="308">
        <v>5616.25</v>
      </c>
      <c r="N88" s="308">
        <v>23780.21</v>
      </c>
      <c r="O88" s="309">
        <v>288.51</v>
      </c>
    </row>
    <row r="89" spans="1:15" ht="29.25" customHeight="1">
      <c r="A89" s="307">
        <v>49</v>
      </c>
      <c r="B89" s="314" t="s">
        <v>1060</v>
      </c>
      <c r="C89" s="316" t="s">
        <v>1059</v>
      </c>
      <c r="D89" s="314" t="s">
        <v>997</v>
      </c>
      <c r="E89" s="399">
        <v>10.95</v>
      </c>
      <c r="F89" s="399" t="s">
        <v>397</v>
      </c>
      <c r="G89" s="308">
        <v>4049.79</v>
      </c>
      <c r="H89" s="308">
        <v>766.2</v>
      </c>
      <c r="I89" s="308">
        <v>3244.23</v>
      </c>
      <c r="J89" s="308">
        <v>39.36</v>
      </c>
      <c r="K89" s="399">
        <v>44345.2</v>
      </c>
      <c r="L89" s="399" t="s">
        <v>397</v>
      </c>
      <c r="M89" s="308">
        <v>8389.89</v>
      </c>
      <c r="N89" s="308">
        <v>35524.32</v>
      </c>
      <c r="O89" s="309">
        <v>430.99</v>
      </c>
    </row>
    <row r="90" spans="1:15" ht="16.5" customHeight="1">
      <c r="A90" s="307">
        <v>50</v>
      </c>
      <c r="B90" s="314" t="s">
        <v>1058</v>
      </c>
      <c r="C90" s="316" t="s">
        <v>1057</v>
      </c>
      <c r="D90" s="314" t="s">
        <v>997</v>
      </c>
      <c r="E90" s="399">
        <v>10.95</v>
      </c>
      <c r="F90" s="399" t="s">
        <v>397</v>
      </c>
      <c r="G90" s="308">
        <v>5536.43</v>
      </c>
      <c r="H90" s="308">
        <v>282.27999999999997</v>
      </c>
      <c r="I90" s="308">
        <v>5254.15</v>
      </c>
      <c r="J90" s="308" t="s">
        <v>397</v>
      </c>
      <c r="K90" s="399">
        <v>60623.91</v>
      </c>
      <c r="L90" s="399" t="s">
        <v>397</v>
      </c>
      <c r="M90" s="308">
        <v>3090.97</v>
      </c>
      <c r="N90" s="308">
        <v>57532.94</v>
      </c>
      <c r="O90" s="309" t="s">
        <v>397</v>
      </c>
    </row>
    <row r="91" spans="1:15" ht="16.5" customHeight="1">
      <c r="A91" s="307">
        <v>51</v>
      </c>
      <c r="B91" s="314" t="s">
        <v>1056</v>
      </c>
      <c r="C91" s="316" t="s">
        <v>1055</v>
      </c>
      <c r="D91" s="314" t="s">
        <v>997</v>
      </c>
      <c r="E91" s="399">
        <v>7.33</v>
      </c>
      <c r="F91" s="399" t="s">
        <v>397</v>
      </c>
      <c r="G91" s="308">
        <v>9214.7900000000009</v>
      </c>
      <c r="H91" s="308">
        <v>592.67999999999995</v>
      </c>
      <c r="I91" s="308">
        <v>8622.11</v>
      </c>
      <c r="J91" s="308" t="s">
        <v>397</v>
      </c>
      <c r="K91" s="399">
        <v>67544.41</v>
      </c>
      <c r="L91" s="399" t="s">
        <v>397</v>
      </c>
      <c r="M91" s="308">
        <v>4344.34</v>
      </c>
      <c r="N91" s="308">
        <v>63200.07</v>
      </c>
      <c r="O91" s="309" t="s">
        <v>397</v>
      </c>
    </row>
    <row r="92" spans="1:15" ht="16.5" customHeight="1">
      <c r="A92" s="319" t="s">
        <v>397</v>
      </c>
      <c r="B92" s="316" t="s">
        <v>397</v>
      </c>
      <c r="C92" s="316" t="s">
        <v>1054</v>
      </c>
      <c r="D92" s="316" t="s">
        <v>397</v>
      </c>
      <c r="E92" s="393" t="s">
        <v>397</v>
      </c>
      <c r="F92" s="393" t="s">
        <v>397</v>
      </c>
      <c r="G92" s="308" t="s">
        <v>397</v>
      </c>
      <c r="H92" s="308" t="s">
        <v>397</v>
      </c>
      <c r="I92" s="308" t="s">
        <v>397</v>
      </c>
      <c r="J92" s="308" t="s">
        <v>397</v>
      </c>
      <c r="K92" s="399">
        <v>256551.63</v>
      </c>
      <c r="L92" s="399" t="s">
        <v>397</v>
      </c>
      <c r="M92" s="308">
        <v>18561.189999999999</v>
      </c>
      <c r="N92" s="308">
        <v>237676.76</v>
      </c>
      <c r="O92" s="309">
        <v>313.67</v>
      </c>
    </row>
    <row r="93" spans="1:15" ht="17.25" customHeight="1" thickBot="1">
      <c r="A93" s="310">
        <v>52</v>
      </c>
      <c r="B93" s="320" t="s">
        <v>1053</v>
      </c>
      <c r="C93" s="317" t="s">
        <v>1052</v>
      </c>
      <c r="D93" s="320" t="s">
        <v>997</v>
      </c>
      <c r="E93" s="400">
        <v>1.56</v>
      </c>
      <c r="F93" s="400" t="s">
        <v>397</v>
      </c>
      <c r="G93" s="311">
        <v>164456.17000000001</v>
      </c>
      <c r="H93" s="311">
        <v>11898.2</v>
      </c>
      <c r="I93" s="311">
        <v>152356.9</v>
      </c>
      <c r="J93" s="311">
        <v>201.07</v>
      </c>
      <c r="K93" s="400">
        <v>256551.63</v>
      </c>
      <c r="L93" s="400" t="s">
        <v>397</v>
      </c>
      <c r="M93" s="311">
        <v>18561.189999999999</v>
      </c>
      <c r="N93" s="311">
        <v>237676.76</v>
      </c>
      <c r="O93" s="312">
        <v>313.67</v>
      </c>
    </row>
    <row r="94" spans="1:15" ht="16.5" customHeight="1">
      <c r="A94" s="387" t="s">
        <v>400</v>
      </c>
      <c r="B94" s="387" t="s">
        <v>397</v>
      </c>
      <c r="C94" s="387" t="s">
        <v>397</v>
      </c>
      <c r="D94" s="387" t="s">
        <v>397</v>
      </c>
      <c r="E94" s="387" t="s">
        <v>397</v>
      </c>
      <c r="F94" s="388" t="s">
        <v>399</v>
      </c>
      <c r="G94" s="388" t="s">
        <v>397</v>
      </c>
      <c r="H94" s="388" t="s">
        <v>397</v>
      </c>
      <c r="I94" s="388" t="s">
        <v>397</v>
      </c>
      <c r="J94" s="388" t="s">
        <v>397</v>
      </c>
      <c r="K94" s="388" t="s">
        <v>397</v>
      </c>
      <c r="L94" s="389" t="s">
        <v>989</v>
      </c>
      <c r="M94" s="389" t="s">
        <v>397</v>
      </c>
      <c r="N94" s="389" t="s">
        <v>397</v>
      </c>
      <c r="O94" s="389" t="s">
        <v>397</v>
      </c>
    </row>
    <row r="95" spans="1:15" ht="16.5" customHeight="1">
      <c r="A95" s="387" t="s">
        <v>397</v>
      </c>
      <c r="B95" s="387" t="s">
        <v>397</v>
      </c>
      <c r="C95" s="387" t="s">
        <v>397</v>
      </c>
      <c r="D95" s="387" t="s">
        <v>397</v>
      </c>
      <c r="E95" s="387" t="s">
        <v>397</v>
      </c>
      <c r="F95" s="388" t="s">
        <v>397</v>
      </c>
      <c r="G95" s="388" t="s">
        <v>397</v>
      </c>
      <c r="H95" s="388" t="s">
        <v>397</v>
      </c>
      <c r="I95" s="388" t="s">
        <v>397</v>
      </c>
      <c r="J95" s="388" t="s">
        <v>397</v>
      </c>
      <c r="K95" s="388" t="s">
        <v>397</v>
      </c>
      <c r="L95" s="389" t="s">
        <v>397</v>
      </c>
      <c r="M95" s="389" t="s">
        <v>397</v>
      </c>
      <c r="N95" s="389" t="s">
        <v>397</v>
      </c>
      <c r="O95" s="389" t="s">
        <v>397</v>
      </c>
    </row>
    <row r="96" spans="1:15" ht="35.25" customHeight="1">
      <c r="A96" s="390" t="s">
        <v>509</v>
      </c>
      <c r="B96" s="390" t="s">
        <v>397</v>
      </c>
      <c r="C96" s="390" t="s">
        <v>397</v>
      </c>
      <c r="D96" s="390" t="s">
        <v>397</v>
      </c>
      <c r="E96" s="390" t="s">
        <v>397</v>
      </c>
      <c r="F96" s="390" t="s">
        <v>397</v>
      </c>
      <c r="G96" s="390" t="s">
        <v>397</v>
      </c>
      <c r="H96" s="390" t="s">
        <v>397</v>
      </c>
      <c r="I96" s="390" t="s">
        <v>397</v>
      </c>
      <c r="J96" s="390" t="s">
        <v>397</v>
      </c>
      <c r="K96" s="390" t="s">
        <v>397</v>
      </c>
      <c r="L96" s="390" t="s">
        <v>397</v>
      </c>
      <c r="M96" s="390" t="s">
        <v>397</v>
      </c>
      <c r="N96" s="390" t="s">
        <v>397</v>
      </c>
      <c r="O96" s="390" t="s">
        <v>397</v>
      </c>
    </row>
    <row r="97" spans="1:15" ht="23.25" customHeight="1" thickBot="1">
      <c r="A97" s="387" t="s">
        <v>982</v>
      </c>
      <c r="B97" s="387" t="s">
        <v>397</v>
      </c>
      <c r="C97" s="387" t="s">
        <v>397</v>
      </c>
      <c r="D97" s="387" t="s">
        <v>397</v>
      </c>
      <c r="E97" s="387" t="s">
        <v>397</v>
      </c>
      <c r="F97" s="387" t="s">
        <v>397</v>
      </c>
      <c r="G97" s="387" t="s">
        <v>397</v>
      </c>
      <c r="H97" s="387" t="s">
        <v>397</v>
      </c>
      <c r="I97" s="387" t="s">
        <v>397</v>
      </c>
      <c r="J97" s="387" t="s">
        <v>397</v>
      </c>
      <c r="K97" s="387" t="s">
        <v>397</v>
      </c>
      <c r="L97" s="389" t="s">
        <v>836</v>
      </c>
      <c r="M97" s="389" t="s">
        <v>397</v>
      </c>
      <c r="N97" s="389" t="s">
        <v>397</v>
      </c>
      <c r="O97" s="389" t="s">
        <v>397</v>
      </c>
    </row>
    <row r="98" spans="1:15" ht="18" customHeight="1">
      <c r="A98" s="395" t="s">
        <v>42</v>
      </c>
      <c r="B98" s="391" t="s">
        <v>1027</v>
      </c>
      <c r="C98" s="391" t="s">
        <v>1026</v>
      </c>
      <c r="D98" s="391" t="s">
        <v>384</v>
      </c>
      <c r="E98" s="391" t="s">
        <v>505</v>
      </c>
      <c r="F98" s="391" t="s">
        <v>397</v>
      </c>
      <c r="G98" s="391" t="s">
        <v>1025</v>
      </c>
      <c r="H98" s="391" t="s">
        <v>503</v>
      </c>
      <c r="I98" s="391" t="s">
        <v>397</v>
      </c>
      <c r="J98" s="391" t="s">
        <v>397</v>
      </c>
      <c r="K98" s="391" t="s">
        <v>381</v>
      </c>
      <c r="L98" s="391" t="s">
        <v>397</v>
      </c>
      <c r="M98" s="391" t="s">
        <v>503</v>
      </c>
      <c r="N98" s="391" t="s">
        <v>397</v>
      </c>
      <c r="O98" s="398" t="s">
        <v>397</v>
      </c>
    </row>
    <row r="99" spans="1:15" ht="32.25" customHeight="1">
      <c r="A99" s="396" t="s">
        <v>397</v>
      </c>
      <c r="B99" s="397" t="s">
        <v>397</v>
      </c>
      <c r="C99" s="397" t="s">
        <v>397</v>
      </c>
      <c r="D99" s="397" t="s">
        <v>397</v>
      </c>
      <c r="E99" s="397" t="s">
        <v>397</v>
      </c>
      <c r="F99" s="397" t="s">
        <v>397</v>
      </c>
      <c r="G99" s="397" t="s">
        <v>397</v>
      </c>
      <c r="H99" s="313" t="s">
        <v>1024</v>
      </c>
      <c r="I99" s="313" t="s">
        <v>1023</v>
      </c>
      <c r="J99" s="313" t="s">
        <v>1022</v>
      </c>
      <c r="K99" s="397" t="s">
        <v>397</v>
      </c>
      <c r="L99" s="397" t="s">
        <v>397</v>
      </c>
      <c r="M99" s="313" t="s">
        <v>1021</v>
      </c>
      <c r="N99" s="313" t="s">
        <v>1020</v>
      </c>
      <c r="O99" s="318" t="s">
        <v>1019</v>
      </c>
    </row>
    <row r="100" spans="1:15" ht="19.5" customHeight="1">
      <c r="A100" s="307" t="s">
        <v>397</v>
      </c>
      <c r="B100" s="314" t="s">
        <v>397</v>
      </c>
      <c r="C100" s="316" t="s">
        <v>1051</v>
      </c>
      <c r="D100" s="314" t="s">
        <v>397</v>
      </c>
      <c r="E100" s="399" t="s">
        <v>397</v>
      </c>
      <c r="F100" s="399" t="s">
        <v>397</v>
      </c>
      <c r="G100" s="308" t="s">
        <v>397</v>
      </c>
      <c r="H100" s="308" t="s">
        <v>397</v>
      </c>
      <c r="I100" s="308" t="s">
        <v>397</v>
      </c>
      <c r="J100" s="308" t="s">
        <v>397</v>
      </c>
      <c r="K100" s="399" t="s">
        <v>397</v>
      </c>
      <c r="L100" s="399" t="s">
        <v>397</v>
      </c>
      <c r="M100" s="308" t="s">
        <v>397</v>
      </c>
      <c r="N100" s="308" t="s">
        <v>397</v>
      </c>
      <c r="O100" s="309" t="s">
        <v>397</v>
      </c>
    </row>
    <row r="101" spans="1:15" ht="16.5" customHeight="1">
      <c r="A101" s="319" t="s">
        <v>397</v>
      </c>
      <c r="B101" s="316" t="s">
        <v>397</v>
      </c>
      <c r="C101" s="316" t="s">
        <v>1050</v>
      </c>
      <c r="D101" s="316" t="s">
        <v>397</v>
      </c>
      <c r="E101" s="393" t="s">
        <v>397</v>
      </c>
      <c r="F101" s="393" t="s">
        <v>397</v>
      </c>
      <c r="G101" s="308" t="s">
        <v>397</v>
      </c>
      <c r="H101" s="308" t="s">
        <v>397</v>
      </c>
      <c r="I101" s="308" t="s">
        <v>397</v>
      </c>
      <c r="J101" s="308" t="s">
        <v>397</v>
      </c>
      <c r="K101" s="399">
        <v>1585942.66</v>
      </c>
      <c r="L101" s="399" t="s">
        <v>397</v>
      </c>
      <c r="M101" s="308">
        <v>282692.17</v>
      </c>
      <c r="N101" s="308">
        <v>1303057.02</v>
      </c>
      <c r="O101" s="309">
        <v>193.48</v>
      </c>
    </row>
    <row r="102" spans="1:15" ht="16.5" customHeight="1">
      <c r="A102" s="307">
        <v>53</v>
      </c>
      <c r="B102" s="314" t="s">
        <v>1049</v>
      </c>
      <c r="C102" s="316" t="s">
        <v>1048</v>
      </c>
      <c r="D102" s="314" t="s">
        <v>997</v>
      </c>
      <c r="E102" s="399">
        <v>7.01</v>
      </c>
      <c r="F102" s="399" t="s">
        <v>397</v>
      </c>
      <c r="G102" s="308">
        <v>1709.31</v>
      </c>
      <c r="H102" s="308">
        <v>1192.32</v>
      </c>
      <c r="I102" s="308">
        <v>489.39</v>
      </c>
      <c r="J102" s="308">
        <v>27.6</v>
      </c>
      <c r="K102" s="399">
        <v>11982.26</v>
      </c>
      <c r="L102" s="399" t="s">
        <v>397</v>
      </c>
      <c r="M102" s="308">
        <v>8358.16</v>
      </c>
      <c r="N102" s="308">
        <v>3430.62</v>
      </c>
      <c r="O102" s="309">
        <v>193.48</v>
      </c>
    </row>
    <row r="103" spans="1:15" ht="29.25" customHeight="1">
      <c r="A103" s="307">
        <v>54</v>
      </c>
      <c r="B103" s="314" t="s">
        <v>1047</v>
      </c>
      <c r="C103" s="316" t="s">
        <v>1045</v>
      </c>
      <c r="D103" s="314" t="s">
        <v>997</v>
      </c>
      <c r="E103" s="399">
        <v>3.45</v>
      </c>
      <c r="F103" s="399" t="s">
        <v>397</v>
      </c>
      <c r="G103" s="308">
        <v>6049.05</v>
      </c>
      <c r="H103" s="308">
        <v>1869.54</v>
      </c>
      <c r="I103" s="308">
        <v>4179.51</v>
      </c>
      <c r="J103" s="308" t="s">
        <v>397</v>
      </c>
      <c r="K103" s="399">
        <v>20869.22</v>
      </c>
      <c r="L103" s="399" t="s">
        <v>397</v>
      </c>
      <c r="M103" s="308">
        <v>6449.91</v>
      </c>
      <c r="N103" s="308">
        <v>14419.31</v>
      </c>
      <c r="O103" s="309" t="s">
        <v>397</v>
      </c>
    </row>
    <row r="104" spans="1:15" ht="29.25" customHeight="1">
      <c r="A104" s="307">
        <v>55</v>
      </c>
      <c r="B104" s="314" t="s">
        <v>1047</v>
      </c>
      <c r="C104" s="316" t="s">
        <v>1045</v>
      </c>
      <c r="D104" s="314" t="s">
        <v>997</v>
      </c>
      <c r="E104" s="399">
        <v>86.92</v>
      </c>
      <c r="F104" s="399" t="s">
        <v>397</v>
      </c>
      <c r="G104" s="308">
        <v>6049.05</v>
      </c>
      <c r="H104" s="308">
        <v>1869.54</v>
      </c>
      <c r="I104" s="308">
        <v>4179.51</v>
      </c>
      <c r="J104" s="308" t="s">
        <v>397</v>
      </c>
      <c r="K104" s="399">
        <v>525783.43000000005</v>
      </c>
      <c r="L104" s="399" t="s">
        <v>397</v>
      </c>
      <c r="M104" s="308">
        <v>162500.42000000001</v>
      </c>
      <c r="N104" s="308">
        <v>363283.01</v>
      </c>
      <c r="O104" s="309" t="s">
        <v>397</v>
      </c>
    </row>
    <row r="105" spans="1:15" ht="29.25" customHeight="1">
      <c r="A105" s="307">
        <v>56</v>
      </c>
      <c r="B105" s="314" t="s">
        <v>1046</v>
      </c>
      <c r="C105" s="316" t="s">
        <v>1045</v>
      </c>
      <c r="D105" s="314" t="s">
        <v>997</v>
      </c>
      <c r="E105" s="399">
        <v>6.17</v>
      </c>
      <c r="F105" s="399" t="s">
        <v>397</v>
      </c>
      <c r="G105" s="308">
        <v>6995.25</v>
      </c>
      <c r="H105" s="308">
        <v>2088.58</v>
      </c>
      <c r="I105" s="308">
        <v>4906.67</v>
      </c>
      <c r="J105" s="308" t="s">
        <v>397</v>
      </c>
      <c r="K105" s="399">
        <v>43160.69</v>
      </c>
      <c r="L105" s="399" t="s">
        <v>397</v>
      </c>
      <c r="M105" s="308">
        <v>12886.54</v>
      </c>
      <c r="N105" s="308">
        <v>30274.15</v>
      </c>
      <c r="O105" s="309" t="s">
        <v>397</v>
      </c>
    </row>
    <row r="106" spans="1:15" ht="16.5" customHeight="1">
      <c r="A106" s="307">
        <v>57</v>
      </c>
      <c r="B106" s="314" t="s">
        <v>1044</v>
      </c>
      <c r="C106" s="316" t="s">
        <v>1043</v>
      </c>
      <c r="D106" s="314" t="s">
        <v>997</v>
      </c>
      <c r="E106" s="399">
        <v>3.45</v>
      </c>
      <c r="F106" s="399" t="s">
        <v>397</v>
      </c>
      <c r="G106" s="308">
        <v>11071.93</v>
      </c>
      <c r="H106" s="308">
        <v>1052.1600000000001</v>
      </c>
      <c r="I106" s="308">
        <v>10019.77</v>
      </c>
      <c r="J106" s="308" t="s">
        <v>397</v>
      </c>
      <c r="K106" s="399">
        <v>38198.160000000003</v>
      </c>
      <c r="L106" s="399" t="s">
        <v>397</v>
      </c>
      <c r="M106" s="308">
        <v>3629.95</v>
      </c>
      <c r="N106" s="308">
        <v>34568.21</v>
      </c>
      <c r="O106" s="309" t="s">
        <v>397</v>
      </c>
    </row>
    <row r="107" spans="1:15" ht="29.25" customHeight="1">
      <c r="A107" s="307">
        <v>58</v>
      </c>
      <c r="B107" s="314" t="s">
        <v>1042</v>
      </c>
      <c r="C107" s="316" t="s">
        <v>1041</v>
      </c>
      <c r="D107" s="314" t="s">
        <v>997</v>
      </c>
      <c r="E107" s="399">
        <v>2.4500000000000002</v>
      </c>
      <c r="F107" s="399" t="s">
        <v>397</v>
      </c>
      <c r="G107" s="308">
        <v>7198.58</v>
      </c>
      <c r="H107" s="308">
        <v>1490.56</v>
      </c>
      <c r="I107" s="308">
        <v>5708.02</v>
      </c>
      <c r="J107" s="308" t="s">
        <v>397</v>
      </c>
      <c r="K107" s="399">
        <v>17636.52</v>
      </c>
      <c r="L107" s="399" t="s">
        <v>397</v>
      </c>
      <c r="M107" s="308">
        <v>3651.87</v>
      </c>
      <c r="N107" s="308">
        <v>13984.65</v>
      </c>
      <c r="O107" s="309" t="s">
        <v>397</v>
      </c>
    </row>
    <row r="108" spans="1:15" ht="29.25" customHeight="1">
      <c r="A108" s="307">
        <v>59</v>
      </c>
      <c r="B108" s="314" t="s">
        <v>1040</v>
      </c>
      <c r="C108" s="316" t="s">
        <v>1039</v>
      </c>
      <c r="D108" s="314" t="s">
        <v>997</v>
      </c>
      <c r="E108" s="399">
        <v>86.92</v>
      </c>
      <c r="F108" s="399" t="s">
        <v>397</v>
      </c>
      <c r="G108" s="308">
        <v>9713.6</v>
      </c>
      <c r="H108" s="308">
        <v>876.8</v>
      </c>
      <c r="I108" s="308">
        <v>8836.7999999999993</v>
      </c>
      <c r="J108" s="308" t="s">
        <v>397</v>
      </c>
      <c r="K108" s="399">
        <v>844306.11</v>
      </c>
      <c r="L108" s="399" t="s">
        <v>397</v>
      </c>
      <c r="M108" s="308">
        <v>76211.460000000006</v>
      </c>
      <c r="N108" s="308">
        <v>768094.66</v>
      </c>
      <c r="O108" s="309" t="s">
        <v>397</v>
      </c>
    </row>
    <row r="109" spans="1:15" ht="16.5" customHeight="1">
      <c r="A109" s="307">
        <v>60</v>
      </c>
      <c r="B109" s="314" t="s">
        <v>1038</v>
      </c>
      <c r="C109" s="316" t="s">
        <v>1037</v>
      </c>
      <c r="D109" s="314" t="s">
        <v>997</v>
      </c>
      <c r="E109" s="399">
        <v>2.33</v>
      </c>
      <c r="F109" s="399" t="s">
        <v>397</v>
      </c>
      <c r="G109" s="308">
        <v>19314.990000000002</v>
      </c>
      <c r="H109" s="308">
        <v>1841.28</v>
      </c>
      <c r="I109" s="308">
        <v>17473.71</v>
      </c>
      <c r="J109" s="308" t="s">
        <v>397</v>
      </c>
      <c r="K109" s="399">
        <v>45003.93</v>
      </c>
      <c r="L109" s="399" t="s">
        <v>397</v>
      </c>
      <c r="M109" s="308">
        <v>4290.18</v>
      </c>
      <c r="N109" s="308">
        <v>40713.74</v>
      </c>
      <c r="O109" s="309" t="s">
        <v>397</v>
      </c>
    </row>
    <row r="110" spans="1:15" ht="54.75" customHeight="1">
      <c r="A110" s="307">
        <v>61</v>
      </c>
      <c r="B110" s="314" t="s">
        <v>1036</v>
      </c>
      <c r="C110" s="316" t="s">
        <v>1035</v>
      </c>
      <c r="D110" s="314" t="s">
        <v>997</v>
      </c>
      <c r="E110" s="399">
        <v>3.84</v>
      </c>
      <c r="F110" s="399" t="s">
        <v>397</v>
      </c>
      <c r="G110" s="308">
        <v>10156.86</v>
      </c>
      <c r="H110" s="308">
        <v>1227.52</v>
      </c>
      <c r="I110" s="308">
        <v>8929.34</v>
      </c>
      <c r="J110" s="308" t="s">
        <v>397</v>
      </c>
      <c r="K110" s="399">
        <v>39002.339999999997</v>
      </c>
      <c r="L110" s="399" t="s">
        <v>397</v>
      </c>
      <c r="M110" s="308">
        <v>4713.68</v>
      </c>
      <c r="N110" s="308">
        <v>34288.67</v>
      </c>
      <c r="O110" s="309" t="s">
        <v>397</v>
      </c>
    </row>
    <row r="111" spans="1:15" ht="16.5" customHeight="1">
      <c r="A111" s="319" t="s">
        <v>397</v>
      </c>
      <c r="B111" s="316" t="s">
        <v>397</v>
      </c>
      <c r="C111" s="316" t="s">
        <v>1034</v>
      </c>
      <c r="D111" s="316" t="s">
        <v>397</v>
      </c>
      <c r="E111" s="393" t="s">
        <v>397</v>
      </c>
      <c r="F111" s="393" t="s">
        <v>397</v>
      </c>
      <c r="G111" s="308" t="s">
        <v>397</v>
      </c>
      <c r="H111" s="308" t="s">
        <v>397</v>
      </c>
      <c r="I111" s="308" t="s">
        <v>397</v>
      </c>
      <c r="J111" s="308" t="s">
        <v>397</v>
      </c>
      <c r="K111" s="399">
        <v>2186820.9500000002</v>
      </c>
      <c r="L111" s="399" t="s">
        <v>397</v>
      </c>
      <c r="M111" s="308">
        <v>167321.64000000001</v>
      </c>
      <c r="N111" s="308">
        <v>1998266</v>
      </c>
      <c r="O111" s="309">
        <v>21233.3</v>
      </c>
    </row>
    <row r="112" spans="1:15" ht="16.5" customHeight="1">
      <c r="A112" s="307">
        <v>62</v>
      </c>
      <c r="B112" s="314" t="s">
        <v>1033</v>
      </c>
      <c r="C112" s="316" t="s">
        <v>1032</v>
      </c>
      <c r="D112" s="314" t="s">
        <v>997</v>
      </c>
      <c r="E112" s="399">
        <v>4.75</v>
      </c>
      <c r="F112" s="399" t="s">
        <v>397</v>
      </c>
      <c r="G112" s="308">
        <v>81691.38</v>
      </c>
      <c r="H112" s="308">
        <v>3616.88</v>
      </c>
      <c r="I112" s="308">
        <v>78074.5</v>
      </c>
      <c r="J112" s="308" t="s">
        <v>397</v>
      </c>
      <c r="K112" s="399">
        <v>388034.06</v>
      </c>
      <c r="L112" s="399" t="s">
        <v>397</v>
      </c>
      <c r="M112" s="308">
        <v>17180.18</v>
      </c>
      <c r="N112" s="308">
        <v>370853.88</v>
      </c>
      <c r="O112" s="309" t="s">
        <v>397</v>
      </c>
    </row>
    <row r="113" spans="1:15" ht="16.5" customHeight="1">
      <c r="A113" s="307">
        <v>63</v>
      </c>
      <c r="B113" s="314" t="s">
        <v>1031</v>
      </c>
      <c r="C113" s="316" t="s">
        <v>1030</v>
      </c>
      <c r="D113" s="314" t="s">
        <v>997</v>
      </c>
      <c r="E113" s="399">
        <v>0.108</v>
      </c>
      <c r="F113" s="399" t="s">
        <v>397</v>
      </c>
      <c r="G113" s="308">
        <v>155247.03</v>
      </c>
      <c r="H113" s="308">
        <v>7629.08</v>
      </c>
      <c r="I113" s="308">
        <v>146747.20000000001</v>
      </c>
      <c r="J113" s="308">
        <v>870.75</v>
      </c>
      <c r="K113" s="399">
        <v>16766.68</v>
      </c>
      <c r="L113" s="399" t="s">
        <v>397</v>
      </c>
      <c r="M113" s="308">
        <v>823.94</v>
      </c>
      <c r="N113" s="308">
        <v>15848.7</v>
      </c>
      <c r="O113" s="309">
        <v>94.04</v>
      </c>
    </row>
    <row r="114" spans="1:15" ht="16.5" customHeight="1" thickBot="1">
      <c r="A114" s="310">
        <v>64</v>
      </c>
      <c r="B114" s="320" t="s">
        <v>1029</v>
      </c>
      <c r="C114" s="317" t="s">
        <v>1028</v>
      </c>
      <c r="D114" s="320" t="s">
        <v>997</v>
      </c>
      <c r="E114" s="400">
        <v>15.284000000000001</v>
      </c>
      <c r="F114" s="400" t="s">
        <v>397</v>
      </c>
      <c r="G114" s="311">
        <v>85070.38</v>
      </c>
      <c r="H114" s="311">
        <v>6638.32</v>
      </c>
      <c r="I114" s="311">
        <v>77710.25</v>
      </c>
      <c r="J114" s="311">
        <v>721.81</v>
      </c>
      <c r="K114" s="400">
        <v>1300215.69</v>
      </c>
      <c r="L114" s="400" t="s">
        <v>397</v>
      </c>
      <c r="M114" s="311">
        <v>101460.08</v>
      </c>
      <c r="N114" s="311">
        <v>1187723.46</v>
      </c>
      <c r="O114" s="312">
        <v>11032.14</v>
      </c>
    </row>
    <row r="115" spans="1:15" ht="16.5" customHeight="1">
      <c r="A115" s="387" t="s">
        <v>400</v>
      </c>
      <c r="B115" s="387" t="s">
        <v>397</v>
      </c>
      <c r="C115" s="387" t="s">
        <v>397</v>
      </c>
      <c r="D115" s="387" t="s">
        <v>397</v>
      </c>
      <c r="E115" s="387" t="s">
        <v>397</v>
      </c>
      <c r="F115" s="388" t="s">
        <v>399</v>
      </c>
      <c r="G115" s="388" t="s">
        <v>397</v>
      </c>
      <c r="H115" s="388" t="s">
        <v>397</v>
      </c>
      <c r="I115" s="388" t="s">
        <v>397</v>
      </c>
      <c r="J115" s="388" t="s">
        <v>397</v>
      </c>
      <c r="K115" s="388" t="s">
        <v>397</v>
      </c>
      <c r="L115" s="389" t="s">
        <v>989</v>
      </c>
      <c r="M115" s="389" t="s">
        <v>397</v>
      </c>
      <c r="N115" s="389" t="s">
        <v>397</v>
      </c>
      <c r="O115" s="389" t="s">
        <v>397</v>
      </c>
    </row>
    <row r="116" spans="1:15" ht="16.5" customHeight="1">
      <c r="A116" s="387" t="s">
        <v>397</v>
      </c>
      <c r="B116" s="387" t="s">
        <v>397</v>
      </c>
      <c r="C116" s="387" t="s">
        <v>397</v>
      </c>
      <c r="D116" s="387" t="s">
        <v>397</v>
      </c>
      <c r="E116" s="387" t="s">
        <v>397</v>
      </c>
      <c r="F116" s="388" t="s">
        <v>397</v>
      </c>
      <c r="G116" s="388" t="s">
        <v>397</v>
      </c>
      <c r="H116" s="388" t="s">
        <v>397</v>
      </c>
      <c r="I116" s="388" t="s">
        <v>397</v>
      </c>
      <c r="J116" s="388" t="s">
        <v>397</v>
      </c>
      <c r="K116" s="388" t="s">
        <v>397</v>
      </c>
      <c r="L116" s="389" t="s">
        <v>397</v>
      </c>
      <c r="M116" s="389" t="s">
        <v>397</v>
      </c>
      <c r="N116" s="389" t="s">
        <v>397</v>
      </c>
      <c r="O116" s="389" t="s">
        <v>397</v>
      </c>
    </row>
    <row r="117" spans="1:15" ht="35.25" customHeight="1">
      <c r="A117" s="390" t="s">
        <v>509</v>
      </c>
      <c r="B117" s="390" t="s">
        <v>397</v>
      </c>
      <c r="C117" s="390" t="s">
        <v>397</v>
      </c>
      <c r="D117" s="390" t="s">
        <v>397</v>
      </c>
      <c r="E117" s="390" t="s">
        <v>397</v>
      </c>
      <c r="F117" s="390" t="s">
        <v>397</v>
      </c>
      <c r="G117" s="390" t="s">
        <v>397</v>
      </c>
      <c r="H117" s="390" t="s">
        <v>397</v>
      </c>
      <c r="I117" s="390" t="s">
        <v>397</v>
      </c>
      <c r="J117" s="390" t="s">
        <v>397</v>
      </c>
      <c r="K117" s="390" t="s">
        <v>397</v>
      </c>
      <c r="L117" s="390" t="s">
        <v>397</v>
      </c>
      <c r="M117" s="390" t="s">
        <v>397</v>
      </c>
      <c r="N117" s="390" t="s">
        <v>397</v>
      </c>
      <c r="O117" s="390" t="s">
        <v>397</v>
      </c>
    </row>
    <row r="118" spans="1:15" ht="23.25" customHeight="1" thickBot="1">
      <c r="A118" s="387" t="s">
        <v>982</v>
      </c>
      <c r="B118" s="387" t="s">
        <v>397</v>
      </c>
      <c r="C118" s="387" t="s">
        <v>397</v>
      </c>
      <c r="D118" s="387" t="s">
        <v>397</v>
      </c>
      <c r="E118" s="387" t="s">
        <v>397</v>
      </c>
      <c r="F118" s="387" t="s">
        <v>397</v>
      </c>
      <c r="G118" s="387" t="s">
        <v>397</v>
      </c>
      <c r="H118" s="387" t="s">
        <v>397</v>
      </c>
      <c r="I118" s="387" t="s">
        <v>397</v>
      </c>
      <c r="J118" s="387" t="s">
        <v>397</v>
      </c>
      <c r="K118" s="387" t="s">
        <v>397</v>
      </c>
      <c r="L118" s="389" t="s">
        <v>812</v>
      </c>
      <c r="M118" s="389" t="s">
        <v>397</v>
      </c>
      <c r="N118" s="389" t="s">
        <v>397</v>
      </c>
      <c r="O118" s="389" t="s">
        <v>397</v>
      </c>
    </row>
    <row r="119" spans="1:15" ht="18" customHeight="1">
      <c r="A119" s="395" t="s">
        <v>42</v>
      </c>
      <c r="B119" s="391" t="s">
        <v>1027</v>
      </c>
      <c r="C119" s="391" t="s">
        <v>1026</v>
      </c>
      <c r="D119" s="391" t="s">
        <v>384</v>
      </c>
      <c r="E119" s="391" t="s">
        <v>505</v>
      </c>
      <c r="F119" s="391" t="s">
        <v>397</v>
      </c>
      <c r="G119" s="391" t="s">
        <v>1025</v>
      </c>
      <c r="H119" s="391" t="s">
        <v>503</v>
      </c>
      <c r="I119" s="391" t="s">
        <v>397</v>
      </c>
      <c r="J119" s="391" t="s">
        <v>397</v>
      </c>
      <c r="K119" s="391" t="s">
        <v>381</v>
      </c>
      <c r="L119" s="391" t="s">
        <v>397</v>
      </c>
      <c r="M119" s="391" t="s">
        <v>503</v>
      </c>
      <c r="N119" s="391" t="s">
        <v>397</v>
      </c>
      <c r="O119" s="398" t="s">
        <v>397</v>
      </c>
    </row>
    <row r="120" spans="1:15" ht="32.25" customHeight="1">
      <c r="A120" s="396" t="s">
        <v>397</v>
      </c>
      <c r="B120" s="397" t="s">
        <v>397</v>
      </c>
      <c r="C120" s="397" t="s">
        <v>397</v>
      </c>
      <c r="D120" s="397" t="s">
        <v>397</v>
      </c>
      <c r="E120" s="397" t="s">
        <v>397</v>
      </c>
      <c r="F120" s="397" t="s">
        <v>397</v>
      </c>
      <c r="G120" s="397" t="s">
        <v>397</v>
      </c>
      <c r="H120" s="313" t="s">
        <v>1024</v>
      </c>
      <c r="I120" s="313" t="s">
        <v>1023</v>
      </c>
      <c r="J120" s="313" t="s">
        <v>1022</v>
      </c>
      <c r="K120" s="397" t="s">
        <v>397</v>
      </c>
      <c r="L120" s="397" t="s">
        <v>397</v>
      </c>
      <c r="M120" s="313" t="s">
        <v>1021</v>
      </c>
      <c r="N120" s="313" t="s">
        <v>1020</v>
      </c>
      <c r="O120" s="318" t="s">
        <v>1019</v>
      </c>
    </row>
    <row r="121" spans="1:15" ht="16.5" customHeight="1">
      <c r="A121" s="307">
        <v>65</v>
      </c>
      <c r="B121" s="314" t="s">
        <v>1018</v>
      </c>
      <c r="C121" s="316" t="s">
        <v>1017</v>
      </c>
      <c r="D121" s="314" t="s">
        <v>997</v>
      </c>
      <c r="E121" s="399">
        <v>3.2553000000000001</v>
      </c>
      <c r="F121" s="399" t="s">
        <v>397</v>
      </c>
      <c r="G121" s="308">
        <v>86297.64</v>
      </c>
      <c r="H121" s="308">
        <v>8592.64</v>
      </c>
      <c r="I121" s="308">
        <v>77705</v>
      </c>
      <c r="J121" s="308" t="s">
        <v>397</v>
      </c>
      <c r="K121" s="399">
        <v>280924.71000000002</v>
      </c>
      <c r="L121" s="399" t="s">
        <v>397</v>
      </c>
      <c r="M121" s="308">
        <v>27971.62</v>
      </c>
      <c r="N121" s="308">
        <v>252953.09</v>
      </c>
      <c r="O121" s="309" t="s">
        <v>397</v>
      </c>
    </row>
    <row r="122" spans="1:15" ht="29.25" customHeight="1">
      <c r="A122" s="307">
        <v>66</v>
      </c>
      <c r="B122" s="314" t="s">
        <v>1016</v>
      </c>
      <c r="C122" s="316" t="s">
        <v>1015</v>
      </c>
      <c r="D122" s="314" t="s">
        <v>997</v>
      </c>
      <c r="E122" s="399">
        <v>2.16</v>
      </c>
      <c r="F122" s="399" t="s">
        <v>397</v>
      </c>
      <c r="G122" s="308">
        <v>92999.91</v>
      </c>
      <c r="H122" s="308">
        <v>9206.4</v>
      </c>
      <c r="I122" s="308">
        <v>79114.289999999994</v>
      </c>
      <c r="J122" s="308">
        <v>4679.22</v>
      </c>
      <c r="K122" s="399">
        <v>200879.81</v>
      </c>
      <c r="L122" s="399" t="s">
        <v>397</v>
      </c>
      <c r="M122" s="308">
        <v>19885.82</v>
      </c>
      <c r="N122" s="308">
        <v>170886.87</v>
      </c>
      <c r="O122" s="309">
        <v>10107.120000000001</v>
      </c>
    </row>
    <row r="123" spans="1:15" ht="29.25" customHeight="1">
      <c r="A123" s="319" t="s">
        <v>397</v>
      </c>
      <c r="B123" s="316" t="s">
        <v>397</v>
      </c>
      <c r="C123" s="316" t="s">
        <v>1014</v>
      </c>
      <c r="D123" s="316" t="s">
        <v>397</v>
      </c>
      <c r="E123" s="393" t="s">
        <v>397</v>
      </c>
      <c r="F123" s="393" t="s">
        <v>397</v>
      </c>
      <c r="G123" s="308" t="s">
        <v>397</v>
      </c>
      <c r="H123" s="308" t="s">
        <v>397</v>
      </c>
      <c r="I123" s="308" t="s">
        <v>397</v>
      </c>
      <c r="J123" s="308" t="s">
        <v>397</v>
      </c>
      <c r="K123" s="399">
        <v>579544.38</v>
      </c>
      <c r="L123" s="399" t="s">
        <v>397</v>
      </c>
      <c r="M123" s="308">
        <v>30500.33</v>
      </c>
      <c r="N123" s="308">
        <v>549044.06000000006</v>
      </c>
      <c r="O123" s="309" t="s">
        <v>397</v>
      </c>
    </row>
    <row r="124" spans="1:15" ht="29.25" customHeight="1">
      <c r="A124" s="307">
        <v>67</v>
      </c>
      <c r="B124" s="314" t="s">
        <v>1012</v>
      </c>
      <c r="C124" s="316" t="s">
        <v>1013</v>
      </c>
      <c r="D124" s="314" t="s">
        <v>997</v>
      </c>
      <c r="E124" s="399">
        <v>110.23</v>
      </c>
      <c r="F124" s="399" t="s">
        <v>397</v>
      </c>
      <c r="G124" s="308">
        <v>4550.8</v>
      </c>
      <c r="H124" s="308">
        <v>239.5</v>
      </c>
      <c r="I124" s="308">
        <v>4311.3</v>
      </c>
      <c r="J124" s="308" t="s">
        <v>397</v>
      </c>
      <c r="K124" s="399">
        <v>501634.68</v>
      </c>
      <c r="L124" s="399" t="s">
        <v>397</v>
      </c>
      <c r="M124" s="308">
        <v>26400.09</v>
      </c>
      <c r="N124" s="308">
        <v>475234.6</v>
      </c>
      <c r="O124" s="309" t="s">
        <v>397</v>
      </c>
    </row>
    <row r="125" spans="1:15" ht="29.25" customHeight="1">
      <c r="A125" s="307">
        <v>68</v>
      </c>
      <c r="B125" s="314" t="s">
        <v>1012</v>
      </c>
      <c r="C125" s="316" t="s">
        <v>1011</v>
      </c>
      <c r="D125" s="314" t="s">
        <v>997</v>
      </c>
      <c r="E125" s="399">
        <v>17.12</v>
      </c>
      <c r="F125" s="399" t="s">
        <v>397</v>
      </c>
      <c r="G125" s="308">
        <v>4550.8</v>
      </c>
      <c r="H125" s="308">
        <v>239.5</v>
      </c>
      <c r="I125" s="308">
        <v>4311.3</v>
      </c>
      <c r="J125" s="308" t="s">
        <v>397</v>
      </c>
      <c r="K125" s="399">
        <v>77909.7</v>
      </c>
      <c r="L125" s="399" t="s">
        <v>397</v>
      </c>
      <c r="M125" s="308">
        <v>4100.24</v>
      </c>
      <c r="N125" s="308">
        <v>73809.460000000006</v>
      </c>
      <c r="O125" s="309" t="s">
        <v>397</v>
      </c>
    </row>
    <row r="126" spans="1:15" ht="16.5" customHeight="1">
      <c r="A126" s="319" t="s">
        <v>397</v>
      </c>
      <c r="B126" s="316" t="s">
        <v>397</v>
      </c>
      <c r="C126" s="316" t="s">
        <v>1010</v>
      </c>
      <c r="D126" s="316" t="s">
        <v>397</v>
      </c>
      <c r="E126" s="393" t="s">
        <v>397</v>
      </c>
      <c r="F126" s="393" t="s">
        <v>397</v>
      </c>
      <c r="G126" s="308" t="s">
        <v>397</v>
      </c>
      <c r="H126" s="308" t="s">
        <v>397</v>
      </c>
      <c r="I126" s="308" t="s">
        <v>397</v>
      </c>
      <c r="J126" s="308" t="s">
        <v>397</v>
      </c>
      <c r="K126" s="399">
        <v>29938.99</v>
      </c>
      <c r="L126" s="399" t="s">
        <v>397</v>
      </c>
      <c r="M126" s="308">
        <v>3857.04</v>
      </c>
      <c r="N126" s="308" t="s">
        <v>397</v>
      </c>
      <c r="O126" s="309">
        <v>26081.95</v>
      </c>
    </row>
    <row r="127" spans="1:15" ht="16.5" customHeight="1">
      <c r="A127" s="307">
        <v>69</v>
      </c>
      <c r="B127" s="314" t="s">
        <v>1009</v>
      </c>
      <c r="C127" s="316" t="s">
        <v>1008</v>
      </c>
      <c r="D127" s="314" t="s">
        <v>1004</v>
      </c>
      <c r="E127" s="399">
        <v>10.714</v>
      </c>
      <c r="F127" s="399" t="s">
        <v>397</v>
      </c>
      <c r="G127" s="308">
        <v>2794.38</v>
      </c>
      <c r="H127" s="308">
        <v>360</v>
      </c>
      <c r="I127" s="308" t="s">
        <v>397</v>
      </c>
      <c r="J127" s="308">
        <v>2434.38</v>
      </c>
      <c r="K127" s="399">
        <v>29938.99</v>
      </c>
      <c r="L127" s="399" t="s">
        <v>397</v>
      </c>
      <c r="M127" s="308">
        <v>3857.04</v>
      </c>
      <c r="N127" s="308" t="s">
        <v>397</v>
      </c>
      <c r="O127" s="309">
        <v>26081.95</v>
      </c>
    </row>
    <row r="128" spans="1:15" ht="16.5" customHeight="1">
      <c r="A128" s="319" t="s">
        <v>397</v>
      </c>
      <c r="B128" s="316" t="s">
        <v>397</v>
      </c>
      <c r="C128" s="316" t="s">
        <v>1007</v>
      </c>
      <c r="D128" s="316" t="s">
        <v>397</v>
      </c>
      <c r="E128" s="393" t="s">
        <v>397</v>
      </c>
      <c r="F128" s="393" t="s">
        <v>397</v>
      </c>
      <c r="G128" s="308" t="s">
        <v>397</v>
      </c>
      <c r="H128" s="308" t="s">
        <v>397</v>
      </c>
      <c r="I128" s="308" t="s">
        <v>397</v>
      </c>
      <c r="J128" s="308" t="s">
        <v>397</v>
      </c>
      <c r="K128" s="399">
        <v>52640.55</v>
      </c>
      <c r="L128" s="399" t="s">
        <v>397</v>
      </c>
      <c r="M128" s="308" t="s">
        <v>397</v>
      </c>
      <c r="N128" s="308">
        <v>270.01</v>
      </c>
      <c r="O128" s="309">
        <v>52370.55</v>
      </c>
    </row>
    <row r="129" spans="1:15" ht="42" customHeight="1">
      <c r="A129" s="307">
        <v>70</v>
      </c>
      <c r="B129" s="314" t="s">
        <v>1006</v>
      </c>
      <c r="C129" s="316" t="s">
        <v>1005</v>
      </c>
      <c r="D129" s="314" t="s">
        <v>1004</v>
      </c>
      <c r="E129" s="399">
        <v>7.1429999999999998</v>
      </c>
      <c r="F129" s="399" t="s">
        <v>397</v>
      </c>
      <c r="G129" s="308">
        <v>7369.53</v>
      </c>
      <c r="H129" s="308" t="s">
        <v>397</v>
      </c>
      <c r="I129" s="308">
        <v>37.799999999999997</v>
      </c>
      <c r="J129" s="308">
        <v>7331.73</v>
      </c>
      <c r="K129" s="399">
        <v>52640.55</v>
      </c>
      <c r="L129" s="399" t="s">
        <v>397</v>
      </c>
      <c r="M129" s="308" t="s">
        <v>397</v>
      </c>
      <c r="N129" s="308">
        <v>270.01</v>
      </c>
      <c r="O129" s="309">
        <v>52370.55</v>
      </c>
    </row>
    <row r="130" spans="1:15" ht="16.5" customHeight="1">
      <c r="A130" s="319" t="s">
        <v>397</v>
      </c>
      <c r="B130" s="316" t="s">
        <v>397</v>
      </c>
      <c r="C130" s="316" t="s">
        <v>1003</v>
      </c>
      <c r="D130" s="316" t="s">
        <v>397</v>
      </c>
      <c r="E130" s="393" t="s">
        <v>397</v>
      </c>
      <c r="F130" s="393" t="s">
        <v>397</v>
      </c>
      <c r="G130" s="308" t="s">
        <v>397</v>
      </c>
      <c r="H130" s="308" t="s">
        <v>397</v>
      </c>
      <c r="I130" s="308" t="s">
        <v>397</v>
      </c>
      <c r="J130" s="308" t="s">
        <v>397</v>
      </c>
      <c r="K130" s="399">
        <v>40694.94</v>
      </c>
      <c r="L130" s="399" t="s">
        <v>397</v>
      </c>
      <c r="M130" s="308">
        <v>32516.28</v>
      </c>
      <c r="N130" s="308" t="s">
        <v>397</v>
      </c>
      <c r="O130" s="309">
        <v>8178.66</v>
      </c>
    </row>
    <row r="131" spans="1:15" ht="16.5" customHeight="1">
      <c r="A131" s="307">
        <v>71</v>
      </c>
      <c r="B131" s="314" t="s">
        <v>1002</v>
      </c>
      <c r="C131" s="316" t="s">
        <v>1001</v>
      </c>
      <c r="D131" s="314" t="s">
        <v>1000</v>
      </c>
      <c r="E131" s="399">
        <v>35.71</v>
      </c>
      <c r="F131" s="399" t="s">
        <v>397</v>
      </c>
      <c r="G131" s="308">
        <v>1057.03</v>
      </c>
      <c r="H131" s="308">
        <v>828</v>
      </c>
      <c r="I131" s="308" t="s">
        <v>397</v>
      </c>
      <c r="J131" s="308">
        <v>229.03</v>
      </c>
      <c r="K131" s="399">
        <v>37746.54</v>
      </c>
      <c r="L131" s="399" t="s">
        <v>397</v>
      </c>
      <c r="M131" s="308">
        <v>29567.88</v>
      </c>
      <c r="N131" s="308" t="s">
        <v>397</v>
      </c>
      <c r="O131" s="309">
        <v>8178.66</v>
      </c>
    </row>
    <row r="132" spans="1:15" ht="16.5" customHeight="1">
      <c r="A132" s="307">
        <v>72</v>
      </c>
      <c r="B132" s="314" t="s">
        <v>999</v>
      </c>
      <c r="C132" s="316" t="s">
        <v>998</v>
      </c>
      <c r="D132" s="314" t="s">
        <v>997</v>
      </c>
      <c r="E132" s="399">
        <v>15.6</v>
      </c>
      <c r="F132" s="399" t="s">
        <v>397</v>
      </c>
      <c r="G132" s="308">
        <v>189</v>
      </c>
      <c r="H132" s="308">
        <v>189</v>
      </c>
      <c r="I132" s="308" t="s">
        <v>397</v>
      </c>
      <c r="J132" s="308" t="s">
        <v>397</v>
      </c>
      <c r="K132" s="399">
        <v>2948.4</v>
      </c>
      <c r="L132" s="399" t="s">
        <v>397</v>
      </c>
      <c r="M132" s="308">
        <v>2948.4</v>
      </c>
      <c r="N132" s="308" t="s">
        <v>397</v>
      </c>
      <c r="O132" s="309" t="s">
        <v>397</v>
      </c>
    </row>
    <row r="133" spans="1:15" ht="16.5" customHeight="1">
      <c r="A133" s="319" t="s">
        <v>397</v>
      </c>
      <c r="B133" s="316" t="s">
        <v>397</v>
      </c>
      <c r="C133" s="316" t="s">
        <v>996</v>
      </c>
      <c r="D133" s="316" t="s">
        <v>397</v>
      </c>
      <c r="E133" s="393" t="s">
        <v>397</v>
      </c>
      <c r="F133" s="393" t="s">
        <v>397</v>
      </c>
      <c r="G133" s="308" t="s">
        <v>397</v>
      </c>
      <c r="H133" s="308" t="s">
        <v>397</v>
      </c>
      <c r="I133" s="308" t="s">
        <v>397</v>
      </c>
      <c r="J133" s="308" t="s">
        <v>397</v>
      </c>
      <c r="K133" s="399">
        <v>1820097.28</v>
      </c>
      <c r="L133" s="399" t="s">
        <v>397</v>
      </c>
      <c r="M133" s="308">
        <v>89653.11</v>
      </c>
      <c r="N133" s="308">
        <v>956667.9</v>
      </c>
      <c r="O133" s="309">
        <v>773776.27</v>
      </c>
    </row>
    <row r="134" spans="1:15" ht="29.25" customHeight="1">
      <c r="A134" s="307">
        <v>73</v>
      </c>
      <c r="B134" s="314" t="s">
        <v>995</v>
      </c>
      <c r="C134" s="316" t="s">
        <v>994</v>
      </c>
      <c r="D134" s="314" t="s">
        <v>991</v>
      </c>
      <c r="E134" s="399">
        <v>199.3</v>
      </c>
      <c r="F134" s="399" t="s">
        <v>397</v>
      </c>
      <c r="G134" s="308">
        <v>4181.78</v>
      </c>
      <c r="H134" s="308">
        <v>276.8</v>
      </c>
      <c r="I134" s="308">
        <v>22.51</v>
      </c>
      <c r="J134" s="308">
        <v>3882.47</v>
      </c>
      <c r="K134" s="399">
        <v>833428.75</v>
      </c>
      <c r="L134" s="399" t="s">
        <v>397</v>
      </c>
      <c r="M134" s="308">
        <v>55166.239999999998</v>
      </c>
      <c r="N134" s="308">
        <v>4486.24</v>
      </c>
      <c r="O134" s="309">
        <v>773776.27</v>
      </c>
    </row>
    <row r="135" spans="1:15" ht="16.5" customHeight="1">
      <c r="A135" s="307">
        <v>74</v>
      </c>
      <c r="B135" s="314" t="s">
        <v>993</v>
      </c>
      <c r="C135" s="316" t="s">
        <v>992</v>
      </c>
      <c r="D135" s="314" t="s">
        <v>991</v>
      </c>
      <c r="E135" s="399">
        <v>199.3</v>
      </c>
      <c r="F135" s="399" t="s">
        <v>397</v>
      </c>
      <c r="G135" s="308">
        <v>4950.67</v>
      </c>
      <c r="H135" s="308">
        <v>173.04</v>
      </c>
      <c r="I135" s="308">
        <v>4777.63</v>
      </c>
      <c r="J135" s="308" t="s">
        <v>397</v>
      </c>
      <c r="K135" s="399">
        <v>986668.53</v>
      </c>
      <c r="L135" s="399" t="s">
        <v>397</v>
      </c>
      <c r="M135" s="308">
        <v>34486.870000000003</v>
      </c>
      <c r="N135" s="308">
        <v>952181.66</v>
      </c>
      <c r="O135" s="309" t="s">
        <v>397</v>
      </c>
    </row>
    <row r="136" spans="1:15" ht="29.25" customHeight="1" thickBot="1">
      <c r="A136" s="322" t="s">
        <v>397</v>
      </c>
      <c r="B136" s="323" t="s">
        <v>397</v>
      </c>
      <c r="C136" s="320" t="s">
        <v>990</v>
      </c>
      <c r="D136" s="317" t="s">
        <v>397</v>
      </c>
      <c r="E136" s="400" t="s">
        <v>397</v>
      </c>
      <c r="F136" s="400" t="s">
        <v>397</v>
      </c>
      <c r="G136" s="311" t="s">
        <v>397</v>
      </c>
      <c r="H136" s="311" t="s">
        <v>397</v>
      </c>
      <c r="I136" s="311" t="s">
        <v>397</v>
      </c>
      <c r="J136" s="311" t="s">
        <v>397</v>
      </c>
      <c r="K136" s="400">
        <v>23350666.789999999</v>
      </c>
      <c r="L136" s="400" t="s">
        <v>397</v>
      </c>
      <c r="M136" s="311">
        <v>3587923.68</v>
      </c>
      <c r="N136" s="311">
        <v>18678039.719999999</v>
      </c>
      <c r="O136" s="312">
        <v>1084703.42</v>
      </c>
    </row>
    <row r="137" spans="1:15" ht="16.5" customHeight="1">
      <c r="A137" s="387" t="s">
        <v>400</v>
      </c>
      <c r="B137" s="387" t="s">
        <v>397</v>
      </c>
      <c r="C137" s="387" t="s">
        <v>397</v>
      </c>
      <c r="D137" s="387" t="s">
        <v>397</v>
      </c>
      <c r="E137" s="387" t="s">
        <v>397</v>
      </c>
      <c r="F137" s="388" t="s">
        <v>399</v>
      </c>
      <c r="G137" s="388" t="s">
        <v>397</v>
      </c>
      <c r="H137" s="388" t="s">
        <v>397</v>
      </c>
      <c r="I137" s="388" t="s">
        <v>397</v>
      </c>
      <c r="J137" s="388" t="s">
        <v>397</v>
      </c>
      <c r="K137" s="388" t="s">
        <v>397</v>
      </c>
      <c r="L137" s="389" t="s">
        <v>989</v>
      </c>
      <c r="M137" s="389" t="s">
        <v>397</v>
      </c>
      <c r="N137" s="389" t="s">
        <v>397</v>
      </c>
      <c r="O137" s="389" t="s">
        <v>397</v>
      </c>
    </row>
  </sheetData>
  <mergeCells count="316">
    <mergeCell ref="E136:F136"/>
    <mergeCell ref="K136:L136"/>
    <mergeCell ref="A137:E137"/>
    <mergeCell ref="F137:K137"/>
    <mergeCell ref="L137:O137"/>
    <mergeCell ref="E131:F131"/>
    <mergeCell ref="K131:L131"/>
    <mergeCell ref="E132:F132"/>
    <mergeCell ref="K132:L132"/>
    <mergeCell ref="E133:F133"/>
    <mergeCell ref="K133:L133"/>
    <mergeCell ref="E134:F134"/>
    <mergeCell ref="K134:L134"/>
    <mergeCell ref="E135:F135"/>
    <mergeCell ref="K135:L135"/>
    <mergeCell ref="E126:F126"/>
    <mergeCell ref="K126:L126"/>
    <mergeCell ref="E127:F127"/>
    <mergeCell ref="K127:L127"/>
    <mergeCell ref="E128:F128"/>
    <mergeCell ref="K128:L128"/>
    <mergeCell ref="E129:F129"/>
    <mergeCell ref="K129:L129"/>
    <mergeCell ref="E130:F130"/>
    <mergeCell ref="K130:L130"/>
    <mergeCell ref="E121:F121"/>
    <mergeCell ref="K121:L121"/>
    <mergeCell ref="E122:F122"/>
    <mergeCell ref="K122:L122"/>
    <mergeCell ref="E123:F123"/>
    <mergeCell ref="K123:L123"/>
    <mergeCell ref="E124:F124"/>
    <mergeCell ref="K124:L124"/>
    <mergeCell ref="E125:F125"/>
    <mergeCell ref="K125:L125"/>
    <mergeCell ref="A119:A120"/>
    <mergeCell ref="B119:B120"/>
    <mergeCell ref="C119:C120"/>
    <mergeCell ref="D119:D120"/>
    <mergeCell ref="E119:F120"/>
    <mergeCell ref="G119:G120"/>
    <mergeCell ref="H119:J119"/>
    <mergeCell ref="K119:L120"/>
    <mergeCell ref="M119:O119"/>
    <mergeCell ref="A115:E115"/>
    <mergeCell ref="F115:K115"/>
    <mergeCell ref="L115:O115"/>
    <mergeCell ref="A116:E116"/>
    <mergeCell ref="F116:K116"/>
    <mergeCell ref="L116:O116"/>
    <mergeCell ref="A117:O117"/>
    <mergeCell ref="A118:K118"/>
    <mergeCell ref="L118:O118"/>
    <mergeCell ref="E110:F110"/>
    <mergeCell ref="K110:L110"/>
    <mergeCell ref="E111:F111"/>
    <mergeCell ref="K111:L111"/>
    <mergeCell ref="E112:F112"/>
    <mergeCell ref="K112:L112"/>
    <mergeCell ref="E113:F113"/>
    <mergeCell ref="K113:L113"/>
    <mergeCell ref="E114:F114"/>
    <mergeCell ref="K114:L114"/>
    <mergeCell ref="E105:F105"/>
    <mergeCell ref="K105:L105"/>
    <mergeCell ref="E106:F106"/>
    <mergeCell ref="K106:L106"/>
    <mergeCell ref="E107:F107"/>
    <mergeCell ref="K107:L107"/>
    <mergeCell ref="E108:F108"/>
    <mergeCell ref="K108:L108"/>
    <mergeCell ref="E109:F109"/>
    <mergeCell ref="K109:L109"/>
    <mergeCell ref="E100:F100"/>
    <mergeCell ref="K100:L100"/>
    <mergeCell ref="E101:F101"/>
    <mergeCell ref="K101:L101"/>
    <mergeCell ref="E102:F102"/>
    <mergeCell ref="K102:L102"/>
    <mergeCell ref="E103:F103"/>
    <mergeCell ref="K103:L103"/>
    <mergeCell ref="E104:F104"/>
    <mergeCell ref="K104:L104"/>
    <mergeCell ref="A97:K97"/>
    <mergeCell ref="L97:O97"/>
    <mergeCell ref="A98:A99"/>
    <mergeCell ref="B98:B99"/>
    <mergeCell ref="C98:C99"/>
    <mergeCell ref="D98:D99"/>
    <mergeCell ref="E98:F99"/>
    <mergeCell ref="G98:G99"/>
    <mergeCell ref="H98:J98"/>
    <mergeCell ref="K98:L99"/>
    <mergeCell ref="M98:O98"/>
    <mergeCell ref="E93:F93"/>
    <mergeCell ref="K93:L93"/>
    <mergeCell ref="A94:E94"/>
    <mergeCell ref="F94:K94"/>
    <mergeCell ref="L94:O94"/>
    <mergeCell ref="A95:E95"/>
    <mergeCell ref="F95:K95"/>
    <mergeCell ref="L95:O95"/>
    <mergeCell ref="A96:O96"/>
    <mergeCell ref="E88:F88"/>
    <mergeCell ref="K88:L88"/>
    <mergeCell ref="E89:F89"/>
    <mergeCell ref="K89:L89"/>
    <mergeCell ref="E90:F90"/>
    <mergeCell ref="K90:L90"/>
    <mergeCell ref="E91:F91"/>
    <mergeCell ref="K91:L91"/>
    <mergeCell ref="E92:F92"/>
    <mergeCell ref="K92:L92"/>
    <mergeCell ref="E83:F83"/>
    <mergeCell ref="K83:L83"/>
    <mergeCell ref="E84:F84"/>
    <mergeCell ref="K84:L84"/>
    <mergeCell ref="E85:F85"/>
    <mergeCell ref="K85:L85"/>
    <mergeCell ref="E86:F86"/>
    <mergeCell ref="K86:L86"/>
    <mergeCell ref="E87:F87"/>
    <mergeCell ref="K87:L87"/>
    <mergeCell ref="E78:F78"/>
    <mergeCell ref="K78:L78"/>
    <mergeCell ref="E79:F79"/>
    <mergeCell ref="K79:L79"/>
    <mergeCell ref="E80:F80"/>
    <mergeCell ref="K80:L80"/>
    <mergeCell ref="E81:F81"/>
    <mergeCell ref="K81:L81"/>
    <mergeCell ref="E82:F82"/>
    <mergeCell ref="K82:L82"/>
    <mergeCell ref="A76:A77"/>
    <mergeCell ref="B76:B77"/>
    <mergeCell ref="C76:C77"/>
    <mergeCell ref="D76:D77"/>
    <mergeCell ref="E76:F77"/>
    <mergeCell ref="G76:G77"/>
    <mergeCell ref="H76:J76"/>
    <mergeCell ref="K76:L77"/>
    <mergeCell ref="M76:O76"/>
    <mergeCell ref="A72:E72"/>
    <mergeCell ref="F72:K72"/>
    <mergeCell ref="L72:O72"/>
    <mergeCell ref="A73:E73"/>
    <mergeCell ref="F73:K73"/>
    <mergeCell ref="L73:O73"/>
    <mergeCell ref="A74:O74"/>
    <mergeCell ref="A75:K75"/>
    <mergeCell ref="L75:O75"/>
    <mergeCell ref="E67:F67"/>
    <mergeCell ref="K67:L67"/>
    <mergeCell ref="E68:F68"/>
    <mergeCell ref="K68:L68"/>
    <mergeCell ref="E69:F69"/>
    <mergeCell ref="K69:L69"/>
    <mergeCell ref="E70:F70"/>
    <mergeCell ref="K70:L70"/>
    <mergeCell ref="E71:F71"/>
    <mergeCell ref="K71:L71"/>
    <mergeCell ref="E62:F62"/>
    <mergeCell ref="K62:L62"/>
    <mergeCell ref="E63:F63"/>
    <mergeCell ref="K63:L63"/>
    <mergeCell ref="E64:F64"/>
    <mergeCell ref="K64:L64"/>
    <mergeCell ref="E65:F65"/>
    <mergeCell ref="K65:L65"/>
    <mergeCell ref="E66:F66"/>
    <mergeCell ref="K66:L66"/>
    <mergeCell ref="E57:F57"/>
    <mergeCell ref="K57:L57"/>
    <mergeCell ref="E58:F58"/>
    <mergeCell ref="K58:L58"/>
    <mergeCell ref="E59:F59"/>
    <mergeCell ref="K59:L59"/>
    <mergeCell ref="E60:F60"/>
    <mergeCell ref="K60:L60"/>
    <mergeCell ref="E61:F61"/>
    <mergeCell ref="K61:L61"/>
    <mergeCell ref="A53:O53"/>
    <mergeCell ref="A54:K54"/>
    <mergeCell ref="L54:O54"/>
    <mergeCell ref="A55:A56"/>
    <mergeCell ref="B55:B56"/>
    <mergeCell ref="C55:C56"/>
    <mergeCell ref="D55:D56"/>
    <mergeCell ref="E55:F56"/>
    <mergeCell ref="G55:G56"/>
    <mergeCell ref="H55:J55"/>
    <mergeCell ref="K55:L56"/>
    <mergeCell ref="M55:O55"/>
    <mergeCell ref="E49:F49"/>
    <mergeCell ref="K49:L49"/>
    <mergeCell ref="E50:F50"/>
    <mergeCell ref="K50:L50"/>
    <mergeCell ref="A51:E51"/>
    <mergeCell ref="F51:K51"/>
    <mergeCell ref="L51:O51"/>
    <mergeCell ref="A52:E52"/>
    <mergeCell ref="F52:K52"/>
    <mergeCell ref="L52:O52"/>
    <mergeCell ref="E44:F44"/>
    <mergeCell ref="K44:L44"/>
    <mergeCell ref="E45:F45"/>
    <mergeCell ref="K45:L45"/>
    <mergeCell ref="E46:F46"/>
    <mergeCell ref="K46:L46"/>
    <mergeCell ref="E47:F47"/>
    <mergeCell ref="K47:L47"/>
    <mergeCell ref="E48:F48"/>
    <mergeCell ref="K48:L48"/>
    <mergeCell ref="E39:F39"/>
    <mergeCell ref="K39:L39"/>
    <mergeCell ref="E40:F40"/>
    <mergeCell ref="K40:L40"/>
    <mergeCell ref="E41:F41"/>
    <mergeCell ref="K41:L41"/>
    <mergeCell ref="E42:F42"/>
    <mergeCell ref="K42:L42"/>
    <mergeCell ref="E43:F43"/>
    <mergeCell ref="K43:L43"/>
    <mergeCell ref="A35:O35"/>
    <mergeCell ref="A36:K36"/>
    <mergeCell ref="L36:O36"/>
    <mergeCell ref="A37:A38"/>
    <mergeCell ref="B37:B38"/>
    <mergeCell ref="C37:C38"/>
    <mergeCell ref="D37:D38"/>
    <mergeCell ref="E37:F38"/>
    <mergeCell ref="G37:G38"/>
    <mergeCell ref="H37:J37"/>
    <mergeCell ref="K37:L38"/>
    <mergeCell ref="M37:O37"/>
    <mergeCell ref="E31:F31"/>
    <mergeCell ref="K31:L31"/>
    <mergeCell ref="E32:F32"/>
    <mergeCell ref="K32:L32"/>
    <mergeCell ref="A33:E33"/>
    <mergeCell ref="F33:K33"/>
    <mergeCell ref="L33:O33"/>
    <mergeCell ref="A34:E34"/>
    <mergeCell ref="F34:K34"/>
    <mergeCell ref="L34:O34"/>
    <mergeCell ref="E26:F26"/>
    <mergeCell ref="K26:L26"/>
    <mergeCell ref="E27:F27"/>
    <mergeCell ref="K27:L27"/>
    <mergeCell ref="E28:F28"/>
    <mergeCell ref="K28:L28"/>
    <mergeCell ref="E29:F29"/>
    <mergeCell ref="K29:L29"/>
    <mergeCell ref="E30:F30"/>
    <mergeCell ref="K30:L30"/>
    <mergeCell ref="E21:F21"/>
    <mergeCell ref="K21:L21"/>
    <mergeCell ref="E22:F22"/>
    <mergeCell ref="K22:L22"/>
    <mergeCell ref="E23:F23"/>
    <mergeCell ref="K23:L23"/>
    <mergeCell ref="E24:F24"/>
    <mergeCell ref="K24:L24"/>
    <mergeCell ref="E25:F25"/>
    <mergeCell ref="K25:L25"/>
    <mergeCell ref="A16:E16"/>
    <mergeCell ref="F16:K16"/>
    <mergeCell ref="L16:O16"/>
    <mergeCell ref="A17:O17"/>
    <mergeCell ref="A18:K18"/>
    <mergeCell ref="L18:O18"/>
    <mergeCell ref="A19:A20"/>
    <mergeCell ref="B19:B20"/>
    <mergeCell ref="C19:C20"/>
    <mergeCell ref="D19:D20"/>
    <mergeCell ref="E19:F20"/>
    <mergeCell ref="G19:G20"/>
    <mergeCell ref="H19:J19"/>
    <mergeCell ref="K19:L20"/>
    <mergeCell ref="M19:O19"/>
    <mergeCell ref="E11:F11"/>
    <mergeCell ref="K11:L11"/>
    <mergeCell ref="E12:F12"/>
    <mergeCell ref="K12:L12"/>
    <mergeCell ref="E13:F13"/>
    <mergeCell ref="K13:L13"/>
    <mergeCell ref="E14:F14"/>
    <mergeCell ref="K14:L14"/>
    <mergeCell ref="A15:E15"/>
    <mergeCell ref="F15:K15"/>
    <mergeCell ref="L15:O15"/>
    <mergeCell ref="E6:F6"/>
    <mergeCell ref="K6:L6"/>
    <mergeCell ref="E7:F7"/>
    <mergeCell ref="K7:L7"/>
    <mergeCell ref="E8:F8"/>
    <mergeCell ref="K8:L8"/>
    <mergeCell ref="E9:F9"/>
    <mergeCell ref="K9:L9"/>
    <mergeCell ref="E10:F10"/>
    <mergeCell ref="K10:L10"/>
    <mergeCell ref="A1:E1"/>
    <mergeCell ref="F1:K1"/>
    <mergeCell ref="L1:O1"/>
    <mergeCell ref="A2:O2"/>
    <mergeCell ref="A3:K3"/>
    <mergeCell ref="L3:O3"/>
    <mergeCell ref="A4:A5"/>
    <mergeCell ref="B4:B5"/>
    <mergeCell ref="C4:C5"/>
    <mergeCell ref="D4:D5"/>
    <mergeCell ref="E4:F5"/>
    <mergeCell ref="G4:G5"/>
    <mergeCell ref="H4:J4"/>
    <mergeCell ref="K4:L5"/>
    <mergeCell ref="M4:O4"/>
  </mergeCells>
  <phoneticPr fontId="34" type="noConversion"/>
  <pageMargins left="0.51181102362204722" right="0.51181102362204722" top="0.59055118110236227" bottom="0.59055118110236227" header="0.59055118110236227" footer="0.59055118110236227"/>
  <pageSetup paperSize="9" scale="97" orientation="landscape" r:id="rId1"/>
  <headerFooter alignWithMargins="0"/>
  <rowBreaks count="6" manualBreakCount="6">
    <brk id="15" min="1" max="256" man="1"/>
    <brk id="33" min="1" max="256" man="1"/>
    <brk id="51" min="1" max="256" man="1"/>
    <brk id="72" min="1" max="256" man="1"/>
    <brk id="94" min="1" max="256" man="1"/>
    <brk id="115" min="1" max="256" man="1"/>
  </rowBreaks>
</worksheet>
</file>

<file path=xl/worksheets/sheet9.xml><?xml version="1.0" encoding="utf-8"?>
<worksheet xmlns="http://schemas.openxmlformats.org/spreadsheetml/2006/main" xmlns:r="http://schemas.openxmlformats.org/officeDocument/2006/relationships">
  <dimension ref="A1:M56"/>
  <sheetViews>
    <sheetView workbookViewId="0">
      <selection activeCell="A2" sqref="A2:U2"/>
    </sheetView>
  </sheetViews>
  <sheetFormatPr defaultColWidth="8" defaultRowHeight="14.25"/>
  <cols>
    <col min="1" max="1" width="7.125" style="303" customWidth="1"/>
    <col min="2" max="2" width="9.5" style="303" customWidth="1"/>
    <col min="3" max="3" width="26.125" style="303" customWidth="1"/>
    <col min="4" max="4" width="0.875" style="303" customWidth="1"/>
    <col min="5" max="5" width="9.625" style="303" customWidth="1"/>
    <col min="6" max="6" width="9.5" style="303" customWidth="1"/>
    <col min="7" max="8" width="12.375" style="303" customWidth="1"/>
    <col min="9" max="9" width="6.625" style="303" customWidth="1"/>
    <col min="10" max="10" width="5.75" style="303" customWidth="1"/>
    <col min="11" max="12" width="12.375" style="303" customWidth="1"/>
    <col min="13" max="13" width="1.375" style="303" customWidth="1"/>
    <col min="14" max="16384" width="8" style="303"/>
  </cols>
  <sheetData>
    <row r="1" spans="1:13" ht="16.5" customHeight="1">
      <c r="A1" s="387" t="s">
        <v>397</v>
      </c>
      <c r="B1" s="387" t="s">
        <v>397</v>
      </c>
      <c r="C1" s="387" t="s">
        <v>397</v>
      </c>
      <c r="D1" s="388" t="s">
        <v>397</v>
      </c>
      <c r="E1" s="388" t="s">
        <v>397</v>
      </c>
      <c r="F1" s="388" t="s">
        <v>397</v>
      </c>
      <c r="G1" s="388" t="s">
        <v>397</v>
      </c>
      <c r="H1" s="388" t="s">
        <v>397</v>
      </c>
      <c r="I1" s="388" t="s">
        <v>397</v>
      </c>
      <c r="J1" s="389" t="s">
        <v>397</v>
      </c>
      <c r="K1" s="389" t="s">
        <v>397</v>
      </c>
      <c r="L1" s="389" t="s">
        <v>397</v>
      </c>
      <c r="M1" s="389" t="s">
        <v>397</v>
      </c>
    </row>
    <row r="2" spans="1:13" ht="36" customHeight="1">
      <c r="A2" s="387" t="s">
        <v>397</v>
      </c>
      <c r="B2" s="387" t="s">
        <v>397</v>
      </c>
      <c r="C2" s="387" t="s">
        <v>397</v>
      </c>
      <c r="D2" s="390" t="s">
        <v>1167</v>
      </c>
      <c r="E2" s="390" t="s">
        <v>397</v>
      </c>
      <c r="F2" s="390" t="s">
        <v>397</v>
      </c>
      <c r="G2" s="390" t="s">
        <v>397</v>
      </c>
      <c r="H2" s="390" t="s">
        <v>397</v>
      </c>
      <c r="I2" s="390" t="s">
        <v>397</v>
      </c>
      <c r="J2" s="389" t="s">
        <v>397</v>
      </c>
      <c r="K2" s="389" t="s">
        <v>397</v>
      </c>
      <c r="L2" s="389" t="s">
        <v>397</v>
      </c>
      <c r="M2" s="389" t="s">
        <v>397</v>
      </c>
    </row>
    <row r="3" spans="1:13" ht="23.25" customHeight="1" thickBot="1">
      <c r="A3" s="387" t="s">
        <v>982</v>
      </c>
      <c r="B3" s="387" t="s">
        <v>397</v>
      </c>
      <c r="C3" s="387" t="s">
        <v>397</v>
      </c>
      <c r="D3" s="387" t="s">
        <v>397</v>
      </c>
      <c r="E3" s="387" t="s">
        <v>397</v>
      </c>
      <c r="F3" s="387" t="s">
        <v>397</v>
      </c>
      <c r="G3" s="387" t="s">
        <v>397</v>
      </c>
      <c r="H3" s="387" t="s">
        <v>397</v>
      </c>
      <c r="I3" s="387" t="s">
        <v>397</v>
      </c>
      <c r="J3" s="389" t="s">
        <v>976</v>
      </c>
      <c r="K3" s="389" t="s">
        <v>397</v>
      </c>
      <c r="L3" s="389" t="s">
        <v>397</v>
      </c>
      <c r="M3" s="389" t="s">
        <v>397</v>
      </c>
    </row>
    <row r="4" spans="1:13" ht="18" customHeight="1">
      <c r="A4" s="395" t="s">
        <v>42</v>
      </c>
      <c r="B4" s="391" t="s">
        <v>1166</v>
      </c>
      <c r="C4" s="391" t="s">
        <v>506</v>
      </c>
      <c r="D4" s="391" t="s">
        <v>397</v>
      </c>
      <c r="E4" s="391" t="s">
        <v>505</v>
      </c>
      <c r="F4" s="391" t="s">
        <v>397</v>
      </c>
      <c r="G4" s="391" t="s">
        <v>504</v>
      </c>
      <c r="H4" s="391" t="s">
        <v>397</v>
      </c>
      <c r="I4" s="391" t="s">
        <v>503</v>
      </c>
      <c r="J4" s="391" t="s">
        <v>397</v>
      </c>
      <c r="K4" s="391" t="s">
        <v>397</v>
      </c>
      <c r="L4" s="398" t="s">
        <v>397</v>
      </c>
    </row>
    <row r="5" spans="1:13" ht="18" customHeight="1">
      <c r="A5" s="396" t="s">
        <v>397</v>
      </c>
      <c r="B5" s="397" t="s">
        <v>397</v>
      </c>
      <c r="C5" s="397" t="s">
        <v>397</v>
      </c>
      <c r="D5" s="397" t="s">
        <v>397</v>
      </c>
      <c r="E5" s="313" t="s">
        <v>384</v>
      </c>
      <c r="F5" s="313" t="s">
        <v>383</v>
      </c>
      <c r="G5" s="313" t="s">
        <v>382</v>
      </c>
      <c r="H5" s="313" t="s">
        <v>381</v>
      </c>
      <c r="I5" s="397" t="s">
        <v>1021</v>
      </c>
      <c r="J5" s="397" t="s">
        <v>397</v>
      </c>
      <c r="K5" s="313" t="s">
        <v>1020</v>
      </c>
      <c r="L5" s="318" t="s">
        <v>1019</v>
      </c>
    </row>
    <row r="6" spans="1:13" ht="16.5" customHeight="1">
      <c r="A6" s="307" t="s">
        <v>397</v>
      </c>
      <c r="B6" s="314" t="s">
        <v>51</v>
      </c>
      <c r="C6" s="392" t="s">
        <v>1196</v>
      </c>
      <c r="D6" s="392" t="s">
        <v>397</v>
      </c>
      <c r="E6" s="314" t="s">
        <v>397</v>
      </c>
      <c r="F6" s="314" t="s">
        <v>397</v>
      </c>
      <c r="G6" s="308" t="s">
        <v>397</v>
      </c>
      <c r="H6" s="308" t="s">
        <v>397</v>
      </c>
      <c r="I6" s="399" t="s">
        <v>397</v>
      </c>
      <c r="J6" s="399" t="s">
        <v>397</v>
      </c>
      <c r="K6" s="308" t="s">
        <v>397</v>
      </c>
      <c r="L6" s="309" t="s">
        <v>397</v>
      </c>
    </row>
    <row r="7" spans="1:13" ht="16.5" customHeight="1">
      <c r="A7" s="307" t="s">
        <v>397</v>
      </c>
      <c r="B7" s="314" t="s">
        <v>365</v>
      </c>
      <c r="C7" s="392" t="s">
        <v>1195</v>
      </c>
      <c r="D7" s="392" t="s">
        <v>397</v>
      </c>
      <c r="E7" s="314" t="s">
        <v>397</v>
      </c>
      <c r="F7" s="314" t="s">
        <v>397</v>
      </c>
      <c r="G7" s="308" t="s">
        <v>397</v>
      </c>
      <c r="H7" s="308">
        <v>2887867.67</v>
      </c>
      <c r="I7" s="399">
        <v>1901708.81</v>
      </c>
      <c r="J7" s="399" t="s">
        <v>397</v>
      </c>
      <c r="K7" s="308">
        <v>841205.19</v>
      </c>
      <c r="L7" s="309">
        <v>144953.65</v>
      </c>
    </row>
    <row r="8" spans="1:13" ht="16.5" customHeight="1">
      <c r="A8" s="307">
        <v>1</v>
      </c>
      <c r="B8" s="314" t="s">
        <v>1194</v>
      </c>
      <c r="C8" s="392" t="s">
        <v>1193</v>
      </c>
      <c r="D8" s="392" t="s">
        <v>397</v>
      </c>
      <c r="E8" s="314" t="s">
        <v>997</v>
      </c>
      <c r="F8" s="308">
        <v>53.7</v>
      </c>
      <c r="G8" s="308">
        <v>5262.52</v>
      </c>
      <c r="H8" s="308">
        <v>282597.32</v>
      </c>
      <c r="I8" s="399">
        <v>184674.3</v>
      </c>
      <c r="J8" s="399" t="s">
        <v>397</v>
      </c>
      <c r="K8" s="308">
        <v>86269.05</v>
      </c>
      <c r="L8" s="309">
        <v>11653.97</v>
      </c>
    </row>
    <row r="9" spans="1:13" ht="16.5" customHeight="1">
      <c r="A9" s="307">
        <v>2</v>
      </c>
      <c r="B9" s="314" t="s">
        <v>1194</v>
      </c>
      <c r="C9" s="392" t="s">
        <v>1193</v>
      </c>
      <c r="D9" s="392" t="s">
        <v>397</v>
      </c>
      <c r="E9" s="314" t="s">
        <v>997</v>
      </c>
      <c r="F9" s="308">
        <v>12.7</v>
      </c>
      <c r="G9" s="308">
        <v>5262.52</v>
      </c>
      <c r="H9" s="308">
        <v>66834</v>
      </c>
      <c r="I9" s="399">
        <v>43675.3</v>
      </c>
      <c r="J9" s="399" t="s">
        <v>397</v>
      </c>
      <c r="K9" s="308">
        <v>20402.55</v>
      </c>
      <c r="L9" s="309">
        <v>2756.15</v>
      </c>
    </row>
    <row r="10" spans="1:13" ht="16.5" customHeight="1">
      <c r="A10" s="307">
        <v>3</v>
      </c>
      <c r="B10" s="314" t="s">
        <v>1192</v>
      </c>
      <c r="C10" s="392" t="s">
        <v>1191</v>
      </c>
      <c r="D10" s="392" t="s">
        <v>397</v>
      </c>
      <c r="E10" s="314" t="s">
        <v>997</v>
      </c>
      <c r="F10" s="308">
        <v>73.609200000000001</v>
      </c>
      <c r="G10" s="308">
        <v>5857.3</v>
      </c>
      <c r="H10" s="308">
        <v>431151.17</v>
      </c>
      <c r="I10" s="399">
        <v>306323.21000000002</v>
      </c>
      <c r="J10" s="399" t="s">
        <v>397</v>
      </c>
      <c r="K10" s="308">
        <v>98904.27</v>
      </c>
      <c r="L10" s="309">
        <v>25923.69</v>
      </c>
    </row>
    <row r="11" spans="1:13" ht="16.5" customHeight="1">
      <c r="A11" s="307">
        <v>4</v>
      </c>
      <c r="B11" s="314" t="s">
        <v>1192</v>
      </c>
      <c r="C11" s="392" t="s">
        <v>1191</v>
      </c>
      <c r="D11" s="392" t="s">
        <v>397</v>
      </c>
      <c r="E11" s="314" t="s">
        <v>997</v>
      </c>
      <c r="F11" s="308">
        <v>50.228499999999997</v>
      </c>
      <c r="G11" s="308">
        <v>5857.3</v>
      </c>
      <c r="H11" s="308">
        <v>294203.39</v>
      </c>
      <c r="I11" s="399">
        <v>209024.9</v>
      </c>
      <c r="J11" s="399" t="s">
        <v>397</v>
      </c>
      <c r="K11" s="308">
        <v>67489.02</v>
      </c>
      <c r="L11" s="309">
        <v>17689.47</v>
      </c>
    </row>
    <row r="12" spans="1:13" ht="16.5" customHeight="1">
      <c r="A12" s="307">
        <v>5</v>
      </c>
      <c r="B12" s="314" t="s">
        <v>1190</v>
      </c>
      <c r="C12" s="392" t="s">
        <v>1189</v>
      </c>
      <c r="D12" s="392" t="s">
        <v>397</v>
      </c>
      <c r="E12" s="314" t="s">
        <v>997</v>
      </c>
      <c r="F12" s="308">
        <v>115.056</v>
      </c>
      <c r="G12" s="308">
        <v>3399.15</v>
      </c>
      <c r="H12" s="308">
        <v>391092.6</v>
      </c>
      <c r="I12" s="399">
        <v>268706.38</v>
      </c>
      <c r="J12" s="399" t="s">
        <v>397</v>
      </c>
      <c r="K12" s="308">
        <v>101356.28</v>
      </c>
      <c r="L12" s="309">
        <v>21029.94</v>
      </c>
    </row>
    <row r="13" spans="1:13" ht="16.5" customHeight="1">
      <c r="A13" s="307">
        <v>6</v>
      </c>
      <c r="B13" s="314" t="s">
        <v>1190</v>
      </c>
      <c r="C13" s="392" t="s">
        <v>1189</v>
      </c>
      <c r="D13" s="392" t="s">
        <v>397</v>
      </c>
      <c r="E13" s="314" t="s">
        <v>997</v>
      </c>
      <c r="F13" s="308">
        <v>36</v>
      </c>
      <c r="G13" s="308">
        <v>3399.15</v>
      </c>
      <c r="H13" s="308">
        <v>122369.4</v>
      </c>
      <c r="I13" s="399">
        <v>84075.839999999997</v>
      </c>
      <c r="J13" s="399" t="s">
        <v>397</v>
      </c>
      <c r="K13" s="308">
        <v>31713.48</v>
      </c>
      <c r="L13" s="309">
        <v>6580.08</v>
      </c>
    </row>
    <row r="14" spans="1:13" ht="16.5" customHeight="1">
      <c r="A14" s="307">
        <v>7</v>
      </c>
      <c r="B14" s="314" t="s">
        <v>1188</v>
      </c>
      <c r="C14" s="392" t="s">
        <v>1187</v>
      </c>
      <c r="D14" s="392" t="s">
        <v>397</v>
      </c>
      <c r="E14" s="314" t="s">
        <v>997</v>
      </c>
      <c r="F14" s="308">
        <v>42.857700000000001</v>
      </c>
      <c r="G14" s="308">
        <v>4246.28</v>
      </c>
      <c r="H14" s="308">
        <v>181985.79</v>
      </c>
      <c r="I14" s="399">
        <v>128338.24000000001</v>
      </c>
      <c r="J14" s="399" t="s">
        <v>397</v>
      </c>
      <c r="K14" s="308">
        <v>46592.32</v>
      </c>
      <c r="L14" s="309">
        <v>7055.23</v>
      </c>
    </row>
    <row r="15" spans="1:13" ht="16.5" customHeight="1">
      <c r="A15" s="307">
        <v>8</v>
      </c>
      <c r="B15" s="314" t="s">
        <v>1186</v>
      </c>
      <c r="C15" s="392" t="s">
        <v>1185</v>
      </c>
      <c r="D15" s="392" t="s">
        <v>397</v>
      </c>
      <c r="E15" s="314" t="s">
        <v>997</v>
      </c>
      <c r="F15" s="308">
        <v>15.635199999999999</v>
      </c>
      <c r="G15" s="308">
        <v>5491.71</v>
      </c>
      <c r="H15" s="308">
        <v>85863.98</v>
      </c>
      <c r="I15" s="399">
        <v>56209.79</v>
      </c>
      <c r="J15" s="399" t="s">
        <v>397</v>
      </c>
      <c r="K15" s="308">
        <v>24808.68</v>
      </c>
      <c r="L15" s="309">
        <v>4845.5</v>
      </c>
    </row>
    <row r="16" spans="1:13" ht="16.5" customHeight="1">
      <c r="A16" s="307">
        <v>9</v>
      </c>
      <c r="B16" s="314" t="s">
        <v>1186</v>
      </c>
      <c r="C16" s="392" t="s">
        <v>1185</v>
      </c>
      <c r="D16" s="392" t="s">
        <v>397</v>
      </c>
      <c r="E16" s="314" t="s">
        <v>997</v>
      </c>
      <c r="F16" s="308">
        <v>127.66419999999999</v>
      </c>
      <c r="G16" s="308">
        <v>5491.71</v>
      </c>
      <c r="H16" s="308">
        <v>701094.76</v>
      </c>
      <c r="I16" s="399">
        <v>458963.01</v>
      </c>
      <c r="J16" s="399" t="s">
        <v>397</v>
      </c>
      <c r="K16" s="308">
        <v>202567.34</v>
      </c>
      <c r="L16" s="309">
        <v>39564.410000000003</v>
      </c>
    </row>
    <row r="17" spans="1:13" ht="16.5" customHeight="1">
      <c r="A17" s="307">
        <v>10</v>
      </c>
      <c r="B17" s="314" t="s">
        <v>1184</v>
      </c>
      <c r="C17" s="392" t="s">
        <v>1183</v>
      </c>
      <c r="D17" s="392" t="s">
        <v>397</v>
      </c>
      <c r="E17" s="314" t="s">
        <v>739</v>
      </c>
      <c r="F17" s="308">
        <v>65</v>
      </c>
      <c r="G17" s="308">
        <v>1747.6</v>
      </c>
      <c r="H17" s="308">
        <v>113594</v>
      </c>
      <c r="I17" s="399">
        <v>57959.199999999997</v>
      </c>
      <c r="J17" s="399" t="s">
        <v>397</v>
      </c>
      <c r="K17" s="308">
        <v>53129.7</v>
      </c>
      <c r="L17" s="309">
        <v>2505.1</v>
      </c>
    </row>
    <row r="18" spans="1:13" ht="16.5" customHeight="1">
      <c r="A18" s="307">
        <v>11</v>
      </c>
      <c r="B18" s="314" t="s">
        <v>1182</v>
      </c>
      <c r="C18" s="392" t="s">
        <v>1181</v>
      </c>
      <c r="D18" s="392" t="s">
        <v>397</v>
      </c>
      <c r="E18" s="314" t="s">
        <v>739</v>
      </c>
      <c r="F18" s="308">
        <v>11</v>
      </c>
      <c r="G18" s="308">
        <v>398.21</v>
      </c>
      <c r="H18" s="308">
        <v>4380.3100000000004</v>
      </c>
      <c r="I18" s="399">
        <v>2380.84</v>
      </c>
      <c r="J18" s="399" t="s">
        <v>397</v>
      </c>
      <c r="K18" s="308">
        <v>1941.83</v>
      </c>
      <c r="L18" s="309">
        <v>57.64</v>
      </c>
    </row>
    <row r="19" spans="1:13" ht="16.5" customHeight="1">
      <c r="A19" s="307">
        <v>12</v>
      </c>
      <c r="B19" s="314" t="s">
        <v>1180</v>
      </c>
      <c r="C19" s="392" t="s">
        <v>1179</v>
      </c>
      <c r="D19" s="392" t="s">
        <v>397</v>
      </c>
      <c r="E19" s="314" t="s">
        <v>997</v>
      </c>
      <c r="F19" s="308">
        <v>7.6405000000000003</v>
      </c>
      <c r="G19" s="308">
        <v>9437.33</v>
      </c>
      <c r="H19" s="308">
        <v>72105.919999999998</v>
      </c>
      <c r="I19" s="399">
        <v>29177.85</v>
      </c>
      <c r="J19" s="399" t="s">
        <v>397</v>
      </c>
      <c r="K19" s="308">
        <v>41570.050000000003</v>
      </c>
      <c r="L19" s="309">
        <v>1358.02</v>
      </c>
    </row>
    <row r="20" spans="1:13" ht="16.5" customHeight="1">
      <c r="A20" s="307">
        <v>13</v>
      </c>
      <c r="B20" s="314" t="s">
        <v>1180</v>
      </c>
      <c r="C20" s="392" t="s">
        <v>1179</v>
      </c>
      <c r="D20" s="392" t="s">
        <v>397</v>
      </c>
      <c r="E20" s="314" t="s">
        <v>997</v>
      </c>
      <c r="F20" s="308">
        <v>6.5490000000000004</v>
      </c>
      <c r="G20" s="308">
        <v>9437.33</v>
      </c>
      <c r="H20" s="308">
        <v>61805.07</v>
      </c>
      <c r="I20" s="399">
        <v>25009.58</v>
      </c>
      <c r="J20" s="399" t="s">
        <v>397</v>
      </c>
      <c r="K20" s="308">
        <v>35631.47</v>
      </c>
      <c r="L20" s="309">
        <v>1164.02</v>
      </c>
    </row>
    <row r="21" spans="1:13" ht="16.5" customHeight="1">
      <c r="A21" s="307">
        <v>14</v>
      </c>
      <c r="B21" s="314" t="s">
        <v>1178</v>
      </c>
      <c r="C21" s="392" t="s">
        <v>1177</v>
      </c>
      <c r="D21" s="392" t="s">
        <v>397</v>
      </c>
      <c r="E21" s="314" t="s">
        <v>997</v>
      </c>
      <c r="F21" s="308" t="s">
        <v>397</v>
      </c>
      <c r="G21" s="308">
        <v>193.68</v>
      </c>
      <c r="H21" s="308" t="s">
        <v>397</v>
      </c>
      <c r="I21" s="399" t="s">
        <v>397</v>
      </c>
      <c r="J21" s="399" t="s">
        <v>397</v>
      </c>
      <c r="K21" s="308" t="s">
        <v>397</v>
      </c>
      <c r="L21" s="309" t="s">
        <v>397</v>
      </c>
    </row>
    <row r="22" spans="1:13" ht="16.5" customHeight="1">
      <c r="A22" s="307">
        <v>15</v>
      </c>
      <c r="B22" s="314" t="s">
        <v>1176</v>
      </c>
      <c r="C22" s="392" t="s">
        <v>1175</v>
      </c>
      <c r="D22" s="392" t="s">
        <v>397</v>
      </c>
      <c r="E22" s="314" t="s">
        <v>997</v>
      </c>
      <c r="F22" s="308">
        <v>12.508319999999999</v>
      </c>
      <c r="G22" s="308">
        <v>4461.75</v>
      </c>
      <c r="H22" s="308">
        <v>55809</v>
      </c>
      <c r="I22" s="399">
        <v>33532.800000000003</v>
      </c>
      <c r="J22" s="399" t="s">
        <v>397</v>
      </c>
      <c r="K22" s="308">
        <v>20273.11</v>
      </c>
      <c r="L22" s="309">
        <v>2003.08</v>
      </c>
    </row>
    <row r="23" spans="1:13" ht="16.5" customHeight="1">
      <c r="A23" s="307">
        <v>16</v>
      </c>
      <c r="B23" s="314" t="s">
        <v>1174</v>
      </c>
      <c r="C23" s="392" t="s">
        <v>1173</v>
      </c>
      <c r="D23" s="392" t="s">
        <v>397</v>
      </c>
      <c r="E23" s="314" t="s">
        <v>997</v>
      </c>
      <c r="F23" s="308">
        <v>0.13524</v>
      </c>
      <c r="G23" s="308">
        <v>4660.45</v>
      </c>
      <c r="H23" s="308">
        <v>630.28</v>
      </c>
      <c r="I23" s="399">
        <v>145.62</v>
      </c>
      <c r="J23" s="399" t="s">
        <v>397</v>
      </c>
      <c r="K23" s="308">
        <v>477.67</v>
      </c>
      <c r="L23" s="309">
        <v>6.99</v>
      </c>
    </row>
    <row r="24" spans="1:13" ht="16.5" customHeight="1">
      <c r="A24" s="307">
        <v>17</v>
      </c>
      <c r="B24" s="314" t="s">
        <v>1172</v>
      </c>
      <c r="C24" s="392" t="s">
        <v>1171</v>
      </c>
      <c r="D24" s="392" t="s">
        <v>397</v>
      </c>
      <c r="E24" s="314" t="s">
        <v>997</v>
      </c>
      <c r="F24" s="308">
        <v>4.7481</v>
      </c>
      <c r="G24" s="308">
        <v>4707.29</v>
      </c>
      <c r="H24" s="308">
        <v>22350.68</v>
      </c>
      <c r="I24" s="399">
        <v>13511.95</v>
      </c>
      <c r="J24" s="399" t="s">
        <v>397</v>
      </c>
      <c r="K24" s="308">
        <v>8078.37</v>
      </c>
      <c r="L24" s="309">
        <v>760.36</v>
      </c>
    </row>
    <row r="25" spans="1:13" ht="16.5" customHeight="1">
      <c r="A25" s="307" t="s">
        <v>397</v>
      </c>
      <c r="B25" s="314" t="s">
        <v>316</v>
      </c>
      <c r="C25" s="392" t="s">
        <v>1170</v>
      </c>
      <c r="D25" s="392" t="s">
        <v>397</v>
      </c>
      <c r="E25" s="314" t="s">
        <v>397</v>
      </c>
      <c r="F25" s="314" t="s">
        <v>397</v>
      </c>
      <c r="G25" s="308" t="s">
        <v>397</v>
      </c>
      <c r="H25" s="308">
        <v>173564.96</v>
      </c>
      <c r="I25" s="399">
        <v>86336.99</v>
      </c>
      <c r="J25" s="399" t="s">
        <v>397</v>
      </c>
      <c r="K25" s="308">
        <v>74463.210000000006</v>
      </c>
      <c r="L25" s="309">
        <v>12764.77</v>
      </c>
    </row>
    <row r="26" spans="1:13" ht="16.5" customHeight="1">
      <c r="A26" s="307">
        <v>1</v>
      </c>
      <c r="B26" s="314" t="s">
        <v>1169</v>
      </c>
      <c r="C26" s="392" t="s">
        <v>1168</v>
      </c>
      <c r="D26" s="392" t="s">
        <v>397</v>
      </c>
      <c r="E26" s="314" t="s">
        <v>997</v>
      </c>
      <c r="F26" s="308">
        <v>122.22110000000001</v>
      </c>
      <c r="G26" s="308">
        <v>1420.09</v>
      </c>
      <c r="H26" s="308">
        <v>173564.96</v>
      </c>
      <c r="I26" s="399">
        <v>86336.99</v>
      </c>
      <c r="J26" s="399" t="s">
        <v>397</v>
      </c>
      <c r="K26" s="308">
        <v>74463.210000000006</v>
      </c>
      <c r="L26" s="309">
        <v>12764.77</v>
      </c>
    </row>
    <row r="27" spans="1:13" ht="16.5" customHeight="1">
      <c r="A27" s="307" t="s">
        <v>397</v>
      </c>
      <c r="B27" s="314" t="s">
        <v>397</v>
      </c>
      <c r="C27" s="393" t="s">
        <v>397</v>
      </c>
      <c r="D27" s="393" t="s">
        <v>397</v>
      </c>
      <c r="E27" s="314" t="s">
        <v>397</v>
      </c>
      <c r="F27" s="314" t="s">
        <v>397</v>
      </c>
      <c r="G27" s="308" t="s">
        <v>397</v>
      </c>
      <c r="H27" s="308" t="s">
        <v>397</v>
      </c>
      <c r="I27" s="399" t="s">
        <v>397</v>
      </c>
      <c r="J27" s="399" t="s">
        <v>397</v>
      </c>
      <c r="K27" s="308" t="s">
        <v>397</v>
      </c>
      <c r="L27" s="309" t="s">
        <v>397</v>
      </c>
    </row>
    <row r="28" spans="1:13" ht="15" customHeight="1" thickBot="1">
      <c r="A28" s="310" t="s">
        <v>397</v>
      </c>
      <c r="B28" s="320" t="s">
        <v>397</v>
      </c>
      <c r="C28" s="401" t="s">
        <v>1158</v>
      </c>
      <c r="D28" s="401" t="s">
        <v>397</v>
      </c>
      <c r="E28" s="320" t="s">
        <v>397</v>
      </c>
      <c r="F28" s="320" t="s">
        <v>397</v>
      </c>
      <c r="G28" s="311" t="s">
        <v>397</v>
      </c>
      <c r="H28" s="311">
        <v>3061432.63</v>
      </c>
      <c r="I28" s="400">
        <v>1988045.8</v>
      </c>
      <c r="J28" s="400" t="s">
        <v>397</v>
      </c>
      <c r="K28" s="311">
        <v>915668.4</v>
      </c>
      <c r="L28" s="312">
        <v>157718.42000000001</v>
      </c>
    </row>
    <row r="29" spans="1:13" ht="16.5" customHeight="1">
      <c r="A29" s="387" t="s">
        <v>400</v>
      </c>
      <c r="B29" s="387" t="s">
        <v>397</v>
      </c>
      <c r="C29" s="387" t="s">
        <v>397</v>
      </c>
      <c r="D29" s="388" t="s">
        <v>399</v>
      </c>
      <c r="E29" s="388" t="s">
        <v>397</v>
      </c>
      <c r="F29" s="388" t="s">
        <v>397</v>
      </c>
      <c r="G29" s="388" t="s">
        <v>397</v>
      </c>
      <c r="H29" s="388" t="s">
        <v>397</v>
      </c>
      <c r="I29" s="388" t="s">
        <v>397</v>
      </c>
      <c r="J29" s="389" t="s">
        <v>398</v>
      </c>
      <c r="K29" s="389" t="s">
        <v>397</v>
      </c>
      <c r="L29" s="389" t="s">
        <v>397</v>
      </c>
      <c r="M29" s="389" t="s">
        <v>397</v>
      </c>
    </row>
    <row r="30" spans="1:13" ht="16.5" customHeight="1">
      <c r="A30" s="387" t="s">
        <v>397</v>
      </c>
      <c r="B30" s="387" t="s">
        <v>397</v>
      </c>
      <c r="C30" s="387" t="s">
        <v>397</v>
      </c>
      <c r="D30" s="388" t="s">
        <v>397</v>
      </c>
      <c r="E30" s="388" t="s">
        <v>397</v>
      </c>
      <c r="F30" s="388" t="s">
        <v>397</v>
      </c>
      <c r="G30" s="388" t="s">
        <v>397</v>
      </c>
      <c r="H30" s="388" t="s">
        <v>397</v>
      </c>
      <c r="I30" s="388" t="s">
        <v>397</v>
      </c>
      <c r="J30" s="389" t="s">
        <v>397</v>
      </c>
      <c r="K30" s="389" t="s">
        <v>397</v>
      </c>
      <c r="L30" s="389" t="s">
        <v>397</v>
      </c>
      <c r="M30" s="389" t="s">
        <v>397</v>
      </c>
    </row>
    <row r="31" spans="1:13" ht="36" customHeight="1">
      <c r="A31" s="387" t="s">
        <v>397</v>
      </c>
      <c r="B31" s="387" t="s">
        <v>397</v>
      </c>
      <c r="C31" s="387" t="s">
        <v>397</v>
      </c>
      <c r="D31" s="390" t="s">
        <v>1167</v>
      </c>
      <c r="E31" s="390" t="s">
        <v>397</v>
      </c>
      <c r="F31" s="390" t="s">
        <v>397</v>
      </c>
      <c r="G31" s="390" t="s">
        <v>397</v>
      </c>
      <c r="H31" s="390" t="s">
        <v>397</v>
      </c>
      <c r="I31" s="390" t="s">
        <v>397</v>
      </c>
      <c r="J31" s="389" t="s">
        <v>397</v>
      </c>
      <c r="K31" s="389" t="s">
        <v>397</v>
      </c>
      <c r="L31" s="389" t="s">
        <v>397</v>
      </c>
      <c r="M31" s="389" t="s">
        <v>397</v>
      </c>
    </row>
    <row r="32" spans="1:13" ht="23.25" customHeight="1" thickBot="1">
      <c r="A32" s="387" t="s">
        <v>982</v>
      </c>
      <c r="B32" s="387" t="s">
        <v>397</v>
      </c>
      <c r="C32" s="387" t="s">
        <v>397</v>
      </c>
      <c r="D32" s="387" t="s">
        <v>397</v>
      </c>
      <c r="E32" s="387" t="s">
        <v>397</v>
      </c>
      <c r="F32" s="387" t="s">
        <v>397</v>
      </c>
      <c r="G32" s="387" t="s">
        <v>397</v>
      </c>
      <c r="H32" s="387" t="s">
        <v>397</v>
      </c>
      <c r="I32" s="387" t="s">
        <v>397</v>
      </c>
      <c r="J32" s="389" t="s">
        <v>960</v>
      </c>
      <c r="K32" s="389" t="s">
        <v>397</v>
      </c>
      <c r="L32" s="389" t="s">
        <v>397</v>
      </c>
      <c r="M32" s="389" t="s">
        <v>397</v>
      </c>
    </row>
    <row r="33" spans="1:12" ht="18" customHeight="1">
      <c r="A33" s="395" t="s">
        <v>42</v>
      </c>
      <c r="B33" s="391" t="s">
        <v>1166</v>
      </c>
      <c r="C33" s="391" t="s">
        <v>506</v>
      </c>
      <c r="D33" s="391" t="s">
        <v>397</v>
      </c>
      <c r="E33" s="391" t="s">
        <v>505</v>
      </c>
      <c r="F33" s="391" t="s">
        <v>397</v>
      </c>
      <c r="G33" s="391" t="s">
        <v>504</v>
      </c>
      <c r="H33" s="391" t="s">
        <v>397</v>
      </c>
      <c r="I33" s="391" t="s">
        <v>503</v>
      </c>
      <c r="J33" s="391" t="s">
        <v>397</v>
      </c>
      <c r="K33" s="391" t="s">
        <v>397</v>
      </c>
      <c r="L33" s="398" t="s">
        <v>397</v>
      </c>
    </row>
    <row r="34" spans="1:12" ht="18" customHeight="1">
      <c r="A34" s="396" t="s">
        <v>397</v>
      </c>
      <c r="B34" s="397" t="s">
        <v>397</v>
      </c>
      <c r="C34" s="397" t="s">
        <v>397</v>
      </c>
      <c r="D34" s="397" t="s">
        <v>397</v>
      </c>
      <c r="E34" s="313" t="s">
        <v>384</v>
      </c>
      <c r="F34" s="313" t="s">
        <v>383</v>
      </c>
      <c r="G34" s="313" t="s">
        <v>382</v>
      </c>
      <c r="H34" s="313" t="s">
        <v>381</v>
      </c>
      <c r="I34" s="397" t="s">
        <v>1021</v>
      </c>
      <c r="J34" s="397" t="s">
        <v>397</v>
      </c>
      <c r="K34" s="313" t="s">
        <v>1020</v>
      </c>
      <c r="L34" s="318" t="s">
        <v>1019</v>
      </c>
    </row>
    <row r="35" spans="1:12" ht="16.5" customHeight="1">
      <c r="A35" s="307" t="s">
        <v>397</v>
      </c>
      <c r="B35" s="314" t="s">
        <v>393</v>
      </c>
      <c r="C35" s="392" t="s">
        <v>1165</v>
      </c>
      <c r="D35" s="392" t="s">
        <v>397</v>
      </c>
      <c r="E35" s="314" t="s">
        <v>397</v>
      </c>
      <c r="F35" s="314" t="s">
        <v>397</v>
      </c>
      <c r="G35" s="308" t="s">
        <v>397</v>
      </c>
      <c r="H35" s="308">
        <v>306840.96000000002</v>
      </c>
      <c r="I35" s="399">
        <v>218765.99</v>
      </c>
      <c r="J35" s="399" t="s">
        <v>397</v>
      </c>
      <c r="K35" s="308" t="s">
        <v>397</v>
      </c>
      <c r="L35" s="309">
        <v>88074.97</v>
      </c>
    </row>
    <row r="36" spans="1:12" ht="29.25" customHeight="1">
      <c r="A36" s="307">
        <v>1</v>
      </c>
      <c r="B36" s="314" t="s">
        <v>1164</v>
      </c>
      <c r="C36" s="392" t="s">
        <v>1163</v>
      </c>
      <c r="D36" s="392" t="s">
        <v>397</v>
      </c>
      <c r="E36" s="314" t="s">
        <v>997</v>
      </c>
      <c r="F36" s="308">
        <v>122.22110000000001</v>
      </c>
      <c r="G36" s="308">
        <v>2510.54</v>
      </c>
      <c r="H36" s="308">
        <v>306840.96000000002</v>
      </c>
      <c r="I36" s="399">
        <v>218765.99</v>
      </c>
      <c r="J36" s="399" t="s">
        <v>397</v>
      </c>
      <c r="K36" s="308" t="s">
        <v>397</v>
      </c>
      <c r="L36" s="309">
        <v>88074.97</v>
      </c>
    </row>
    <row r="37" spans="1:12" ht="16.5" customHeight="1">
      <c r="A37" s="307" t="s">
        <v>397</v>
      </c>
      <c r="B37" s="314" t="s">
        <v>430</v>
      </c>
      <c r="C37" s="392" t="s">
        <v>1162</v>
      </c>
      <c r="D37" s="392" t="s">
        <v>397</v>
      </c>
      <c r="E37" s="314" t="s">
        <v>397</v>
      </c>
      <c r="F37" s="314" t="s">
        <v>397</v>
      </c>
      <c r="G37" s="308" t="s">
        <v>397</v>
      </c>
      <c r="H37" s="308" t="s">
        <v>397</v>
      </c>
      <c r="I37" s="399" t="s">
        <v>397</v>
      </c>
      <c r="J37" s="399" t="s">
        <v>397</v>
      </c>
      <c r="K37" s="308" t="s">
        <v>397</v>
      </c>
      <c r="L37" s="309" t="s">
        <v>397</v>
      </c>
    </row>
    <row r="38" spans="1:12" ht="16.5" customHeight="1">
      <c r="A38" s="307" t="s">
        <v>397</v>
      </c>
      <c r="B38" s="314" t="s">
        <v>427</v>
      </c>
      <c r="C38" s="392" t="s">
        <v>1161</v>
      </c>
      <c r="D38" s="392" t="s">
        <v>397</v>
      </c>
      <c r="E38" s="314" t="s">
        <v>397</v>
      </c>
      <c r="F38" s="314" t="s">
        <v>397</v>
      </c>
      <c r="G38" s="308" t="s">
        <v>397</v>
      </c>
      <c r="H38" s="308" t="s">
        <v>397</v>
      </c>
      <c r="I38" s="399" t="s">
        <v>397</v>
      </c>
      <c r="J38" s="399" t="s">
        <v>397</v>
      </c>
      <c r="K38" s="308" t="s">
        <v>397</v>
      </c>
      <c r="L38" s="309" t="s">
        <v>397</v>
      </c>
    </row>
    <row r="39" spans="1:12" ht="29.25" customHeight="1">
      <c r="A39" s="307" t="s">
        <v>397</v>
      </c>
      <c r="B39" s="314" t="s">
        <v>423</v>
      </c>
      <c r="C39" s="392" t="s">
        <v>1160</v>
      </c>
      <c r="D39" s="392" t="s">
        <v>397</v>
      </c>
      <c r="E39" s="314" t="s">
        <v>397</v>
      </c>
      <c r="F39" s="314" t="s">
        <v>397</v>
      </c>
      <c r="G39" s="308" t="s">
        <v>397</v>
      </c>
      <c r="H39" s="308" t="s">
        <v>397</v>
      </c>
      <c r="I39" s="399" t="s">
        <v>397</v>
      </c>
      <c r="J39" s="399" t="s">
        <v>397</v>
      </c>
      <c r="K39" s="308" t="s">
        <v>397</v>
      </c>
      <c r="L39" s="309" t="s">
        <v>397</v>
      </c>
    </row>
    <row r="40" spans="1:12" ht="16.5" customHeight="1">
      <c r="A40" s="307" t="s">
        <v>397</v>
      </c>
      <c r="B40" s="314" t="s">
        <v>421</v>
      </c>
      <c r="C40" s="392" t="s">
        <v>1159</v>
      </c>
      <c r="D40" s="392" t="s">
        <v>397</v>
      </c>
      <c r="E40" s="314" t="s">
        <v>397</v>
      </c>
      <c r="F40" s="314" t="s">
        <v>397</v>
      </c>
      <c r="G40" s="308" t="s">
        <v>397</v>
      </c>
      <c r="H40" s="308" t="s">
        <v>397</v>
      </c>
      <c r="I40" s="399" t="s">
        <v>397</v>
      </c>
      <c r="J40" s="399" t="s">
        <v>397</v>
      </c>
      <c r="K40" s="308" t="s">
        <v>397</v>
      </c>
      <c r="L40" s="309" t="s">
        <v>397</v>
      </c>
    </row>
    <row r="41" spans="1:12" ht="16.5" customHeight="1">
      <c r="A41" s="307" t="s">
        <v>397</v>
      </c>
      <c r="B41" s="314" t="s">
        <v>397</v>
      </c>
      <c r="C41" s="392" t="s">
        <v>397</v>
      </c>
      <c r="D41" s="392" t="s">
        <v>397</v>
      </c>
      <c r="E41" s="314" t="s">
        <v>397</v>
      </c>
      <c r="F41" s="308" t="s">
        <v>397</v>
      </c>
      <c r="G41" s="308" t="s">
        <v>397</v>
      </c>
      <c r="H41" s="308" t="s">
        <v>397</v>
      </c>
      <c r="I41" s="399" t="s">
        <v>397</v>
      </c>
      <c r="J41" s="399" t="s">
        <v>397</v>
      </c>
      <c r="K41" s="308" t="s">
        <v>397</v>
      </c>
      <c r="L41" s="309" t="s">
        <v>397</v>
      </c>
    </row>
    <row r="42" spans="1:12" ht="16.5" customHeight="1">
      <c r="A42" s="307" t="s">
        <v>397</v>
      </c>
      <c r="B42" s="314" t="s">
        <v>397</v>
      </c>
      <c r="C42" s="392" t="s">
        <v>397</v>
      </c>
      <c r="D42" s="392" t="s">
        <v>397</v>
      </c>
      <c r="E42" s="314" t="s">
        <v>397</v>
      </c>
      <c r="F42" s="308" t="s">
        <v>397</v>
      </c>
      <c r="G42" s="308" t="s">
        <v>397</v>
      </c>
      <c r="H42" s="308" t="s">
        <v>397</v>
      </c>
      <c r="I42" s="399" t="s">
        <v>397</v>
      </c>
      <c r="J42" s="399" t="s">
        <v>397</v>
      </c>
      <c r="K42" s="308" t="s">
        <v>397</v>
      </c>
      <c r="L42" s="309" t="s">
        <v>397</v>
      </c>
    </row>
    <row r="43" spans="1:12" ht="16.5" customHeight="1">
      <c r="A43" s="307" t="s">
        <v>397</v>
      </c>
      <c r="B43" s="314" t="s">
        <v>397</v>
      </c>
      <c r="C43" s="392" t="s">
        <v>397</v>
      </c>
      <c r="D43" s="392" t="s">
        <v>397</v>
      </c>
      <c r="E43" s="314" t="s">
        <v>397</v>
      </c>
      <c r="F43" s="308" t="s">
        <v>397</v>
      </c>
      <c r="G43" s="308" t="s">
        <v>397</v>
      </c>
      <c r="H43" s="308" t="s">
        <v>397</v>
      </c>
      <c r="I43" s="399" t="s">
        <v>397</v>
      </c>
      <c r="J43" s="399" t="s">
        <v>397</v>
      </c>
      <c r="K43" s="308" t="s">
        <v>397</v>
      </c>
      <c r="L43" s="309" t="s">
        <v>397</v>
      </c>
    </row>
    <row r="44" spans="1:12" ht="16.5" customHeight="1">
      <c r="A44" s="307" t="s">
        <v>397</v>
      </c>
      <c r="B44" s="314" t="s">
        <v>397</v>
      </c>
      <c r="C44" s="392" t="s">
        <v>397</v>
      </c>
      <c r="D44" s="392" t="s">
        <v>397</v>
      </c>
      <c r="E44" s="314" t="s">
        <v>397</v>
      </c>
      <c r="F44" s="308" t="s">
        <v>397</v>
      </c>
      <c r="G44" s="308" t="s">
        <v>397</v>
      </c>
      <c r="H44" s="308" t="s">
        <v>397</v>
      </c>
      <c r="I44" s="399" t="s">
        <v>397</v>
      </c>
      <c r="J44" s="399" t="s">
        <v>397</v>
      </c>
      <c r="K44" s="308" t="s">
        <v>397</v>
      </c>
      <c r="L44" s="309" t="s">
        <v>397</v>
      </c>
    </row>
    <row r="45" spans="1:12" ht="16.5" customHeight="1">
      <c r="A45" s="307" t="s">
        <v>397</v>
      </c>
      <c r="B45" s="314" t="s">
        <v>397</v>
      </c>
      <c r="C45" s="392" t="s">
        <v>397</v>
      </c>
      <c r="D45" s="392" t="s">
        <v>397</v>
      </c>
      <c r="E45" s="314" t="s">
        <v>397</v>
      </c>
      <c r="F45" s="308" t="s">
        <v>397</v>
      </c>
      <c r="G45" s="308" t="s">
        <v>397</v>
      </c>
      <c r="H45" s="308" t="s">
        <v>397</v>
      </c>
      <c r="I45" s="399" t="s">
        <v>397</v>
      </c>
      <c r="J45" s="399" t="s">
        <v>397</v>
      </c>
      <c r="K45" s="308" t="s">
        <v>397</v>
      </c>
      <c r="L45" s="309" t="s">
        <v>397</v>
      </c>
    </row>
    <row r="46" spans="1:12" ht="16.5" customHeight="1">
      <c r="A46" s="307" t="s">
        <v>397</v>
      </c>
      <c r="B46" s="314" t="s">
        <v>397</v>
      </c>
      <c r="C46" s="392" t="s">
        <v>397</v>
      </c>
      <c r="D46" s="392" t="s">
        <v>397</v>
      </c>
      <c r="E46" s="314" t="s">
        <v>397</v>
      </c>
      <c r="F46" s="308" t="s">
        <v>397</v>
      </c>
      <c r="G46" s="308" t="s">
        <v>397</v>
      </c>
      <c r="H46" s="308" t="s">
        <v>397</v>
      </c>
      <c r="I46" s="399" t="s">
        <v>397</v>
      </c>
      <c r="J46" s="399" t="s">
        <v>397</v>
      </c>
      <c r="K46" s="308" t="s">
        <v>397</v>
      </c>
      <c r="L46" s="309" t="s">
        <v>397</v>
      </c>
    </row>
    <row r="47" spans="1:12" ht="16.5" customHeight="1">
      <c r="A47" s="307" t="s">
        <v>397</v>
      </c>
      <c r="B47" s="314" t="s">
        <v>397</v>
      </c>
      <c r="C47" s="392" t="s">
        <v>397</v>
      </c>
      <c r="D47" s="392" t="s">
        <v>397</v>
      </c>
      <c r="E47" s="314" t="s">
        <v>397</v>
      </c>
      <c r="F47" s="308" t="s">
        <v>397</v>
      </c>
      <c r="G47" s="308" t="s">
        <v>397</v>
      </c>
      <c r="H47" s="308" t="s">
        <v>397</v>
      </c>
      <c r="I47" s="399" t="s">
        <v>397</v>
      </c>
      <c r="J47" s="399" t="s">
        <v>397</v>
      </c>
      <c r="K47" s="308" t="s">
        <v>397</v>
      </c>
      <c r="L47" s="309" t="s">
        <v>397</v>
      </c>
    </row>
    <row r="48" spans="1:12" ht="16.5" customHeight="1">
      <c r="A48" s="307" t="s">
        <v>397</v>
      </c>
      <c r="B48" s="314" t="s">
        <v>397</v>
      </c>
      <c r="C48" s="392" t="s">
        <v>397</v>
      </c>
      <c r="D48" s="392" t="s">
        <v>397</v>
      </c>
      <c r="E48" s="314" t="s">
        <v>397</v>
      </c>
      <c r="F48" s="308" t="s">
        <v>397</v>
      </c>
      <c r="G48" s="308" t="s">
        <v>397</v>
      </c>
      <c r="H48" s="308" t="s">
        <v>397</v>
      </c>
      <c r="I48" s="399" t="s">
        <v>397</v>
      </c>
      <c r="J48" s="399" t="s">
        <v>397</v>
      </c>
      <c r="K48" s="308" t="s">
        <v>397</v>
      </c>
      <c r="L48" s="309" t="s">
        <v>397</v>
      </c>
    </row>
    <row r="49" spans="1:13" ht="16.5" customHeight="1">
      <c r="A49" s="307" t="s">
        <v>397</v>
      </c>
      <c r="B49" s="314" t="s">
        <v>397</v>
      </c>
      <c r="C49" s="392" t="s">
        <v>397</v>
      </c>
      <c r="D49" s="392" t="s">
        <v>397</v>
      </c>
      <c r="E49" s="314" t="s">
        <v>397</v>
      </c>
      <c r="F49" s="308" t="s">
        <v>397</v>
      </c>
      <c r="G49" s="308" t="s">
        <v>397</v>
      </c>
      <c r="H49" s="308" t="s">
        <v>397</v>
      </c>
      <c r="I49" s="399" t="s">
        <v>397</v>
      </c>
      <c r="J49" s="399" t="s">
        <v>397</v>
      </c>
      <c r="K49" s="308" t="s">
        <v>397</v>
      </c>
      <c r="L49" s="309" t="s">
        <v>397</v>
      </c>
    </row>
    <row r="50" spans="1:13" ht="16.5" customHeight="1">
      <c r="A50" s="307" t="s">
        <v>397</v>
      </c>
      <c r="B50" s="314" t="s">
        <v>397</v>
      </c>
      <c r="C50" s="392" t="s">
        <v>397</v>
      </c>
      <c r="D50" s="392" t="s">
        <v>397</v>
      </c>
      <c r="E50" s="314" t="s">
        <v>397</v>
      </c>
      <c r="F50" s="308" t="s">
        <v>397</v>
      </c>
      <c r="G50" s="308" t="s">
        <v>397</v>
      </c>
      <c r="H50" s="308" t="s">
        <v>397</v>
      </c>
      <c r="I50" s="399" t="s">
        <v>397</v>
      </c>
      <c r="J50" s="399" t="s">
        <v>397</v>
      </c>
      <c r="K50" s="308" t="s">
        <v>397</v>
      </c>
      <c r="L50" s="309" t="s">
        <v>397</v>
      </c>
    </row>
    <row r="51" spans="1:13" ht="16.5" customHeight="1">
      <c r="A51" s="307" t="s">
        <v>397</v>
      </c>
      <c r="B51" s="314" t="s">
        <v>397</v>
      </c>
      <c r="C51" s="392" t="s">
        <v>397</v>
      </c>
      <c r="D51" s="392" t="s">
        <v>397</v>
      </c>
      <c r="E51" s="314" t="s">
        <v>397</v>
      </c>
      <c r="F51" s="308" t="s">
        <v>397</v>
      </c>
      <c r="G51" s="308" t="s">
        <v>397</v>
      </c>
      <c r="H51" s="308" t="s">
        <v>397</v>
      </c>
      <c r="I51" s="399" t="s">
        <v>397</v>
      </c>
      <c r="J51" s="399" t="s">
        <v>397</v>
      </c>
      <c r="K51" s="308" t="s">
        <v>397</v>
      </c>
      <c r="L51" s="309" t="s">
        <v>397</v>
      </c>
    </row>
    <row r="52" spans="1:13" ht="16.5" customHeight="1">
      <c r="A52" s="307" t="s">
        <v>397</v>
      </c>
      <c r="B52" s="314" t="s">
        <v>397</v>
      </c>
      <c r="C52" s="392" t="s">
        <v>397</v>
      </c>
      <c r="D52" s="392" t="s">
        <v>397</v>
      </c>
      <c r="E52" s="314" t="s">
        <v>397</v>
      </c>
      <c r="F52" s="308" t="s">
        <v>397</v>
      </c>
      <c r="G52" s="308" t="s">
        <v>397</v>
      </c>
      <c r="H52" s="308" t="s">
        <v>397</v>
      </c>
      <c r="I52" s="399" t="s">
        <v>397</v>
      </c>
      <c r="J52" s="399" t="s">
        <v>397</v>
      </c>
      <c r="K52" s="308" t="s">
        <v>397</v>
      </c>
      <c r="L52" s="309" t="s">
        <v>397</v>
      </c>
    </row>
    <row r="53" spans="1:13" ht="16.5" customHeight="1">
      <c r="A53" s="307" t="s">
        <v>397</v>
      </c>
      <c r="B53" s="314" t="s">
        <v>397</v>
      </c>
      <c r="C53" s="393" t="s">
        <v>397</v>
      </c>
      <c r="D53" s="393" t="s">
        <v>397</v>
      </c>
      <c r="E53" s="314" t="s">
        <v>397</v>
      </c>
      <c r="F53" s="314" t="s">
        <v>397</v>
      </c>
      <c r="G53" s="308" t="s">
        <v>397</v>
      </c>
      <c r="H53" s="308" t="s">
        <v>397</v>
      </c>
      <c r="I53" s="399" t="s">
        <v>397</v>
      </c>
      <c r="J53" s="399" t="s">
        <v>397</v>
      </c>
      <c r="K53" s="308" t="s">
        <v>397</v>
      </c>
      <c r="L53" s="309" t="s">
        <v>397</v>
      </c>
    </row>
    <row r="54" spans="1:13" ht="15" customHeight="1">
      <c r="A54" s="307" t="s">
        <v>397</v>
      </c>
      <c r="B54" s="314" t="s">
        <v>397</v>
      </c>
      <c r="C54" s="393" t="s">
        <v>1158</v>
      </c>
      <c r="D54" s="393" t="s">
        <v>397</v>
      </c>
      <c r="E54" s="314" t="s">
        <v>397</v>
      </c>
      <c r="F54" s="314" t="s">
        <v>397</v>
      </c>
      <c r="G54" s="308" t="s">
        <v>397</v>
      </c>
      <c r="H54" s="308">
        <v>306840.96000000002</v>
      </c>
      <c r="I54" s="399">
        <v>218765.99</v>
      </c>
      <c r="J54" s="399" t="s">
        <v>397</v>
      </c>
      <c r="K54" s="308" t="s">
        <v>397</v>
      </c>
      <c r="L54" s="309">
        <v>88074.97</v>
      </c>
    </row>
    <row r="55" spans="1:13" ht="16.5" customHeight="1" thickBot="1">
      <c r="A55" s="310" t="s">
        <v>397</v>
      </c>
      <c r="B55" s="320" t="s">
        <v>397</v>
      </c>
      <c r="C55" s="401" t="s">
        <v>473</v>
      </c>
      <c r="D55" s="401" t="s">
        <v>397</v>
      </c>
      <c r="E55" s="320" t="s">
        <v>397</v>
      </c>
      <c r="F55" s="320" t="s">
        <v>397</v>
      </c>
      <c r="G55" s="311" t="s">
        <v>397</v>
      </c>
      <c r="H55" s="311">
        <v>3368273.59</v>
      </c>
      <c r="I55" s="400">
        <v>2206811.79</v>
      </c>
      <c r="J55" s="400" t="s">
        <v>397</v>
      </c>
      <c r="K55" s="311">
        <v>915668.4</v>
      </c>
      <c r="L55" s="312">
        <v>245793.39</v>
      </c>
    </row>
    <row r="56" spans="1:13" ht="16.5" customHeight="1">
      <c r="A56" s="387" t="s">
        <v>400</v>
      </c>
      <c r="B56" s="387" t="s">
        <v>397</v>
      </c>
      <c r="C56" s="387" t="s">
        <v>397</v>
      </c>
      <c r="D56" s="388" t="s">
        <v>399</v>
      </c>
      <c r="E56" s="388" t="s">
        <v>397</v>
      </c>
      <c r="F56" s="388" t="s">
        <v>397</v>
      </c>
      <c r="G56" s="388" t="s">
        <v>397</v>
      </c>
      <c r="H56" s="388" t="s">
        <v>397</v>
      </c>
      <c r="I56" s="388" t="s">
        <v>397</v>
      </c>
      <c r="J56" s="389" t="s">
        <v>398</v>
      </c>
      <c r="K56" s="389" t="s">
        <v>397</v>
      </c>
      <c r="L56" s="389" t="s">
        <v>397</v>
      </c>
      <c r="M56" s="389" t="s">
        <v>397</v>
      </c>
    </row>
  </sheetData>
  <mergeCells count="124">
    <mergeCell ref="C50:D50"/>
    <mergeCell ref="I50:J50"/>
    <mergeCell ref="C51:D51"/>
    <mergeCell ref="I51:J51"/>
    <mergeCell ref="C52:D52"/>
    <mergeCell ref="I52:J52"/>
    <mergeCell ref="A56:C56"/>
    <mergeCell ref="D56:I56"/>
    <mergeCell ref="J56:M56"/>
    <mergeCell ref="C53:D53"/>
    <mergeCell ref="I53:J53"/>
    <mergeCell ref="C54:D54"/>
    <mergeCell ref="I54:J54"/>
    <mergeCell ref="C55:D55"/>
    <mergeCell ref="I55:J55"/>
    <mergeCell ref="C45:D45"/>
    <mergeCell ref="I45:J45"/>
    <mergeCell ref="C46:D46"/>
    <mergeCell ref="I46:J46"/>
    <mergeCell ref="C47:D47"/>
    <mergeCell ref="I47:J47"/>
    <mergeCell ref="C48:D48"/>
    <mergeCell ref="I48:J48"/>
    <mergeCell ref="C49:D49"/>
    <mergeCell ref="I49:J49"/>
    <mergeCell ref="C40:D40"/>
    <mergeCell ref="I40:J40"/>
    <mergeCell ref="C41:D41"/>
    <mergeCell ref="I41:J41"/>
    <mergeCell ref="C42:D42"/>
    <mergeCell ref="I42:J42"/>
    <mergeCell ref="C43:D43"/>
    <mergeCell ref="I43:J43"/>
    <mergeCell ref="C44:D44"/>
    <mergeCell ref="I44:J44"/>
    <mergeCell ref="C35:D35"/>
    <mergeCell ref="I35:J35"/>
    <mergeCell ref="C36:D36"/>
    <mergeCell ref="I36:J36"/>
    <mergeCell ref="C37:D37"/>
    <mergeCell ref="I37:J37"/>
    <mergeCell ref="C38:D38"/>
    <mergeCell ref="I38:J38"/>
    <mergeCell ref="C39:D39"/>
    <mergeCell ref="I39:J39"/>
    <mergeCell ref="A30:C30"/>
    <mergeCell ref="D30:I30"/>
    <mergeCell ref="J30:M30"/>
    <mergeCell ref="A31:C31"/>
    <mergeCell ref="D31:I31"/>
    <mergeCell ref="J31:M31"/>
    <mergeCell ref="A32:I32"/>
    <mergeCell ref="J32:M32"/>
    <mergeCell ref="A33:A34"/>
    <mergeCell ref="B33:B34"/>
    <mergeCell ref="C33:D34"/>
    <mergeCell ref="E33:F33"/>
    <mergeCell ref="G33:H33"/>
    <mergeCell ref="I33:L33"/>
    <mergeCell ref="I34:J34"/>
    <mergeCell ref="C26:D26"/>
    <mergeCell ref="I26:J26"/>
    <mergeCell ref="C27:D27"/>
    <mergeCell ref="I27:J27"/>
    <mergeCell ref="C28:D28"/>
    <mergeCell ref="I28:J28"/>
    <mergeCell ref="A29:C29"/>
    <mergeCell ref="D29:I29"/>
    <mergeCell ref="J29:M29"/>
    <mergeCell ref="C21:D21"/>
    <mergeCell ref="I21:J21"/>
    <mergeCell ref="C22:D22"/>
    <mergeCell ref="I22:J22"/>
    <mergeCell ref="C23:D23"/>
    <mergeCell ref="I23:J23"/>
    <mergeCell ref="C24:D24"/>
    <mergeCell ref="I24:J24"/>
    <mergeCell ref="C25:D25"/>
    <mergeCell ref="I25:J25"/>
    <mergeCell ref="C16:D16"/>
    <mergeCell ref="I16:J16"/>
    <mergeCell ref="C17:D17"/>
    <mergeCell ref="I17:J17"/>
    <mergeCell ref="C18:D18"/>
    <mergeCell ref="I18:J18"/>
    <mergeCell ref="C19:D19"/>
    <mergeCell ref="I19:J19"/>
    <mergeCell ref="C20:D20"/>
    <mergeCell ref="I20:J20"/>
    <mergeCell ref="C11:D11"/>
    <mergeCell ref="I11:J11"/>
    <mergeCell ref="C12:D12"/>
    <mergeCell ref="I12:J12"/>
    <mergeCell ref="C13:D13"/>
    <mergeCell ref="I13:J13"/>
    <mergeCell ref="C14:D14"/>
    <mergeCell ref="I14:J14"/>
    <mergeCell ref="C15:D15"/>
    <mergeCell ref="I15:J15"/>
    <mergeCell ref="C6:D6"/>
    <mergeCell ref="I6:J6"/>
    <mergeCell ref="C7:D7"/>
    <mergeCell ref="I7:J7"/>
    <mergeCell ref="C8:D8"/>
    <mergeCell ref="I8:J8"/>
    <mergeCell ref="C9:D9"/>
    <mergeCell ref="I9:J9"/>
    <mergeCell ref="C10:D10"/>
    <mergeCell ref="I10:J10"/>
    <mergeCell ref="A1:C1"/>
    <mergeCell ref="D1:I1"/>
    <mergeCell ref="J1:M1"/>
    <mergeCell ref="A2:C2"/>
    <mergeCell ref="D2:I2"/>
    <mergeCell ref="J2:M2"/>
    <mergeCell ref="A3:I3"/>
    <mergeCell ref="J3:M3"/>
    <mergeCell ref="A4:A5"/>
    <mergeCell ref="B4:B5"/>
    <mergeCell ref="C4:D5"/>
    <mergeCell ref="E4:F4"/>
    <mergeCell ref="G4:H4"/>
    <mergeCell ref="I4:L4"/>
    <mergeCell ref="I5:J5"/>
  </mergeCells>
  <phoneticPr fontId="34" type="noConversion"/>
  <pageMargins left="0.51181102362204722" right="0.51181102362204722" top="0.59055118110236227" bottom="0.59055118110236227" header="0.59055118110236227" footer="0.59055118110236227"/>
  <pageSetup paperSize="9" scale="97" orientation="landscape" r:id="rId1"/>
  <headerFooter alignWithMargins="0"/>
  <rowBreaks count="1" manualBreakCount="1">
    <brk id="29" min="1" max="256" man="1"/>
  </rowBreaks>
</worksheet>
</file>

<file path=xl/worksheets/sheet10.xml><?xml version="1.0" encoding="utf-8"?>
<worksheet xmlns="http://schemas.openxmlformats.org/spreadsheetml/2006/main" xmlns:r="http://schemas.openxmlformats.org/officeDocument/2006/relationships">
  <dimension ref="A1:K56"/>
  <sheetViews>
    <sheetView workbookViewId="0">
      <selection activeCell="A2" sqref="A2:U2"/>
    </sheetView>
  </sheetViews>
  <sheetFormatPr defaultColWidth="8" defaultRowHeight="30" customHeight="1"/>
  <cols>
    <col min="1" max="1" width="8.125" style="303" customWidth="1"/>
    <col min="2" max="2" width="22.625" style="303" customWidth="1"/>
    <col min="3" max="3" width="11.5" style="303" customWidth="1"/>
    <col min="4" max="4" width="1" style="303" customWidth="1"/>
    <col min="5" max="5" width="7.5" style="303" customWidth="1"/>
    <col min="6" max="6" width="15.5" style="303" customWidth="1"/>
    <col min="7" max="7" width="15.125" style="303" customWidth="1"/>
    <col min="8" max="8" width="3.25" style="303" customWidth="1"/>
    <col min="9" max="9" width="11.375" style="303" customWidth="1"/>
    <col min="10" max="10" width="14.25" style="303" customWidth="1"/>
    <col min="11" max="11" width="15.75" style="303" customWidth="1"/>
    <col min="12" max="16384" width="8" style="303"/>
  </cols>
  <sheetData>
    <row r="1" spans="1:11" ht="30" customHeight="1">
      <c r="A1" s="387" t="s">
        <v>397</v>
      </c>
      <c r="B1" s="387" t="s">
        <v>397</v>
      </c>
      <c r="C1" s="387" t="s">
        <v>397</v>
      </c>
      <c r="D1" s="387" t="s">
        <v>397</v>
      </c>
      <c r="E1" s="388" t="s">
        <v>397</v>
      </c>
      <c r="F1" s="388" t="s">
        <v>397</v>
      </c>
      <c r="G1" s="388" t="s">
        <v>397</v>
      </c>
      <c r="H1" s="388" t="s">
        <v>397</v>
      </c>
      <c r="I1" s="389" t="s">
        <v>397</v>
      </c>
      <c r="J1" s="389" t="s">
        <v>397</v>
      </c>
      <c r="K1" s="389" t="s">
        <v>397</v>
      </c>
    </row>
    <row r="2" spans="1:11" ht="30" customHeight="1">
      <c r="A2" s="390" t="s">
        <v>1208</v>
      </c>
      <c r="B2" s="390" t="s">
        <v>397</v>
      </c>
      <c r="C2" s="390" t="s">
        <v>397</v>
      </c>
      <c r="D2" s="390" t="s">
        <v>397</v>
      </c>
      <c r="E2" s="390" t="s">
        <v>397</v>
      </c>
      <c r="F2" s="390" t="s">
        <v>397</v>
      </c>
      <c r="G2" s="390" t="s">
        <v>397</v>
      </c>
      <c r="H2" s="390" t="s">
        <v>397</v>
      </c>
      <c r="I2" s="390" t="s">
        <v>397</v>
      </c>
      <c r="J2" s="390" t="s">
        <v>397</v>
      </c>
      <c r="K2" s="390" t="s">
        <v>397</v>
      </c>
    </row>
    <row r="3" spans="1:11" ht="30" customHeight="1" thickBot="1">
      <c r="A3" s="387" t="s">
        <v>982</v>
      </c>
      <c r="B3" s="387" t="s">
        <v>397</v>
      </c>
      <c r="C3" s="387" t="s">
        <v>397</v>
      </c>
      <c r="D3" s="387" t="s">
        <v>397</v>
      </c>
      <c r="E3" s="387" t="s">
        <v>397</v>
      </c>
      <c r="F3" s="387" t="s">
        <v>397</v>
      </c>
      <c r="G3" s="387" t="s">
        <v>397</v>
      </c>
      <c r="H3" s="387" t="s">
        <v>397</v>
      </c>
      <c r="I3" s="389" t="s">
        <v>976</v>
      </c>
      <c r="J3" s="389" t="s">
        <v>397</v>
      </c>
      <c r="K3" s="389" t="s">
        <v>397</v>
      </c>
    </row>
    <row r="4" spans="1:11" ht="14.25">
      <c r="A4" s="304" t="s">
        <v>42</v>
      </c>
      <c r="B4" s="305" t="s">
        <v>1207</v>
      </c>
      <c r="C4" s="305" t="s">
        <v>1206</v>
      </c>
      <c r="D4" s="391" t="s">
        <v>384</v>
      </c>
      <c r="E4" s="391" t="s">
        <v>397</v>
      </c>
      <c r="F4" s="305" t="s">
        <v>1205</v>
      </c>
      <c r="G4" s="305" t="s">
        <v>1204</v>
      </c>
      <c r="H4" s="391" t="s">
        <v>1203</v>
      </c>
      <c r="I4" s="391" t="s">
        <v>397</v>
      </c>
      <c r="J4" s="305" t="s">
        <v>1202</v>
      </c>
      <c r="K4" s="306" t="s">
        <v>1201</v>
      </c>
    </row>
    <row r="5" spans="1:11" ht="14.25">
      <c r="A5" s="307">
        <v>1</v>
      </c>
      <c r="B5" s="314" t="s">
        <v>1226</v>
      </c>
      <c r="C5" s="314" t="s">
        <v>397</v>
      </c>
      <c r="D5" s="393" t="s">
        <v>737</v>
      </c>
      <c r="E5" s="393" t="s">
        <v>397</v>
      </c>
      <c r="F5" s="308">
        <v>315.2758</v>
      </c>
      <c r="G5" s="314">
        <v>590</v>
      </c>
      <c r="H5" s="393">
        <v>800</v>
      </c>
      <c r="I5" s="393" t="s">
        <v>397</v>
      </c>
      <c r="J5" s="314">
        <v>210</v>
      </c>
      <c r="K5" s="324">
        <v>66207.92</v>
      </c>
    </row>
    <row r="6" spans="1:11" ht="14.25">
      <c r="A6" s="307">
        <v>2</v>
      </c>
      <c r="B6" s="314" t="s">
        <v>1225</v>
      </c>
      <c r="C6" s="314" t="s">
        <v>397</v>
      </c>
      <c r="D6" s="393" t="s">
        <v>737</v>
      </c>
      <c r="E6" s="393" t="s">
        <v>397</v>
      </c>
      <c r="F6" s="308">
        <v>460.94</v>
      </c>
      <c r="G6" s="314">
        <v>550</v>
      </c>
      <c r="H6" s="393">
        <v>800</v>
      </c>
      <c r="I6" s="393" t="s">
        <v>397</v>
      </c>
      <c r="J6" s="314">
        <v>250</v>
      </c>
      <c r="K6" s="324">
        <v>115235</v>
      </c>
    </row>
    <row r="7" spans="1:11" ht="14.25">
      <c r="A7" s="307">
        <v>3</v>
      </c>
      <c r="B7" s="314" t="s">
        <v>1224</v>
      </c>
      <c r="C7" s="314" t="s">
        <v>397</v>
      </c>
      <c r="D7" s="393" t="s">
        <v>737</v>
      </c>
      <c r="E7" s="393" t="s">
        <v>397</v>
      </c>
      <c r="F7" s="308">
        <v>10.442500000000001</v>
      </c>
      <c r="G7" s="314">
        <v>350</v>
      </c>
      <c r="H7" s="393">
        <v>1500</v>
      </c>
      <c r="I7" s="393" t="s">
        <v>397</v>
      </c>
      <c r="J7" s="314">
        <v>1150</v>
      </c>
      <c r="K7" s="324">
        <v>12008.88</v>
      </c>
    </row>
    <row r="8" spans="1:11" ht="14.25">
      <c r="A8" s="307">
        <v>4</v>
      </c>
      <c r="B8" s="314" t="s">
        <v>1028</v>
      </c>
      <c r="C8" s="314" t="s">
        <v>397</v>
      </c>
      <c r="D8" s="393" t="s">
        <v>737</v>
      </c>
      <c r="E8" s="393" t="s">
        <v>397</v>
      </c>
      <c r="F8" s="308">
        <v>1446.4777999999999</v>
      </c>
      <c r="G8" s="314">
        <v>253</v>
      </c>
      <c r="H8" s="393">
        <v>800</v>
      </c>
      <c r="I8" s="393" t="s">
        <v>397</v>
      </c>
      <c r="J8" s="314">
        <v>547</v>
      </c>
      <c r="K8" s="324">
        <v>791223.36</v>
      </c>
    </row>
    <row r="9" spans="1:11" ht="14.25">
      <c r="A9" s="307">
        <v>5</v>
      </c>
      <c r="B9" s="314" t="s">
        <v>1223</v>
      </c>
      <c r="C9" s="314" t="s">
        <v>397</v>
      </c>
      <c r="D9" s="393" t="s">
        <v>737</v>
      </c>
      <c r="E9" s="393" t="s">
        <v>397</v>
      </c>
      <c r="F9" s="308">
        <v>244.65</v>
      </c>
      <c r="G9" s="314">
        <v>133</v>
      </c>
      <c r="H9" s="393">
        <v>160</v>
      </c>
      <c r="I9" s="393" t="s">
        <v>397</v>
      </c>
      <c r="J9" s="314">
        <v>27</v>
      </c>
      <c r="K9" s="324">
        <v>6605.55</v>
      </c>
    </row>
    <row r="10" spans="1:11" ht="14.25">
      <c r="A10" s="307">
        <v>6</v>
      </c>
      <c r="B10" s="314" t="s">
        <v>1222</v>
      </c>
      <c r="C10" s="314" t="s">
        <v>397</v>
      </c>
      <c r="D10" s="393" t="s">
        <v>737</v>
      </c>
      <c r="E10" s="393" t="s">
        <v>397</v>
      </c>
      <c r="F10" s="308">
        <v>3621</v>
      </c>
      <c r="G10" s="314">
        <v>185</v>
      </c>
      <c r="H10" s="393">
        <v>800</v>
      </c>
      <c r="I10" s="393" t="s">
        <v>397</v>
      </c>
      <c r="J10" s="314">
        <v>615</v>
      </c>
      <c r="K10" s="324">
        <v>2226915</v>
      </c>
    </row>
    <row r="11" spans="1:11" ht="14.25">
      <c r="A11" s="307">
        <v>7</v>
      </c>
      <c r="B11" s="314" t="s">
        <v>1221</v>
      </c>
      <c r="C11" s="314" t="s">
        <v>397</v>
      </c>
      <c r="D11" s="393" t="s">
        <v>737</v>
      </c>
      <c r="E11" s="393" t="s">
        <v>397</v>
      </c>
      <c r="F11" s="308">
        <v>9896.25</v>
      </c>
      <c r="G11" s="314">
        <v>9.1999999999999993</v>
      </c>
      <c r="H11" s="393">
        <v>80</v>
      </c>
      <c r="I11" s="393" t="s">
        <v>397</v>
      </c>
      <c r="J11" s="314">
        <v>70.8</v>
      </c>
      <c r="K11" s="324">
        <v>700654.5</v>
      </c>
    </row>
    <row r="12" spans="1:11" ht="14.25">
      <c r="A12" s="307">
        <v>8</v>
      </c>
      <c r="B12" s="314" t="s">
        <v>1220</v>
      </c>
      <c r="C12" s="314" t="s">
        <v>397</v>
      </c>
      <c r="D12" s="393" t="s">
        <v>737</v>
      </c>
      <c r="E12" s="393" t="s">
        <v>397</v>
      </c>
      <c r="F12" s="308">
        <v>244.65</v>
      </c>
      <c r="G12" s="314">
        <v>155</v>
      </c>
      <c r="H12" s="393">
        <v>180</v>
      </c>
      <c r="I12" s="393" t="s">
        <v>397</v>
      </c>
      <c r="J12" s="314">
        <v>25</v>
      </c>
      <c r="K12" s="324">
        <v>6116.25</v>
      </c>
    </row>
    <row r="13" spans="1:11" ht="14.25">
      <c r="A13" s="307">
        <v>9</v>
      </c>
      <c r="B13" s="314" t="s">
        <v>1219</v>
      </c>
      <c r="C13" s="314" t="s">
        <v>397</v>
      </c>
      <c r="D13" s="393" t="s">
        <v>737</v>
      </c>
      <c r="E13" s="393" t="s">
        <v>397</v>
      </c>
      <c r="F13" s="308">
        <v>8014.66</v>
      </c>
      <c r="G13" s="314">
        <v>11.35</v>
      </c>
      <c r="H13" s="393">
        <v>80</v>
      </c>
      <c r="I13" s="393" t="s">
        <v>397</v>
      </c>
      <c r="J13" s="314">
        <v>68.650000000000006</v>
      </c>
      <c r="K13" s="324">
        <v>550206.41</v>
      </c>
    </row>
    <row r="14" spans="1:11" ht="14.25">
      <c r="A14" s="307">
        <v>10</v>
      </c>
      <c r="B14" s="314" t="s">
        <v>1218</v>
      </c>
      <c r="C14" s="314" t="s">
        <v>397</v>
      </c>
      <c r="D14" s="393" t="s">
        <v>737</v>
      </c>
      <c r="E14" s="393" t="s">
        <v>397</v>
      </c>
      <c r="F14" s="308">
        <v>407.04</v>
      </c>
      <c r="G14" s="314">
        <v>11.35</v>
      </c>
      <c r="H14" s="393">
        <v>120</v>
      </c>
      <c r="I14" s="393" t="s">
        <v>397</v>
      </c>
      <c r="J14" s="314">
        <v>108.65</v>
      </c>
      <c r="K14" s="324">
        <v>44224.9</v>
      </c>
    </row>
    <row r="15" spans="1:11" ht="14.25">
      <c r="A15" s="307">
        <v>11</v>
      </c>
      <c r="B15" s="314" t="s">
        <v>1215</v>
      </c>
      <c r="C15" s="314" t="s">
        <v>397</v>
      </c>
      <c r="D15" s="393" t="s">
        <v>737</v>
      </c>
      <c r="E15" s="393" t="s">
        <v>397</v>
      </c>
      <c r="F15" s="308">
        <v>1859.48</v>
      </c>
      <c r="G15" s="314">
        <v>11.35</v>
      </c>
      <c r="H15" s="393">
        <v>150</v>
      </c>
      <c r="I15" s="393" t="s">
        <v>397</v>
      </c>
      <c r="J15" s="314">
        <v>138.65</v>
      </c>
      <c r="K15" s="324">
        <v>257816.9</v>
      </c>
    </row>
    <row r="16" spans="1:11" ht="14.25">
      <c r="A16" s="307">
        <v>12</v>
      </c>
      <c r="B16" s="314" t="s">
        <v>1217</v>
      </c>
      <c r="C16" s="314" t="s">
        <v>397</v>
      </c>
      <c r="D16" s="393" t="s">
        <v>737</v>
      </c>
      <c r="E16" s="393" t="s">
        <v>397</v>
      </c>
      <c r="F16" s="308">
        <v>1515.395</v>
      </c>
      <c r="G16" s="314">
        <v>11.35</v>
      </c>
      <c r="H16" s="393">
        <v>120</v>
      </c>
      <c r="I16" s="393" t="s">
        <v>397</v>
      </c>
      <c r="J16" s="314">
        <v>108.65</v>
      </c>
      <c r="K16" s="324">
        <v>164647.67000000001</v>
      </c>
    </row>
    <row r="17" spans="1:11" ht="14.25">
      <c r="A17" s="307">
        <v>13</v>
      </c>
      <c r="B17" s="314" t="s">
        <v>1216</v>
      </c>
      <c r="C17" s="314" t="s">
        <v>397</v>
      </c>
      <c r="D17" s="393" t="s">
        <v>737</v>
      </c>
      <c r="E17" s="393" t="s">
        <v>397</v>
      </c>
      <c r="F17" s="308">
        <v>200.97</v>
      </c>
      <c r="G17" s="314">
        <v>11.35</v>
      </c>
      <c r="H17" s="393">
        <v>80</v>
      </c>
      <c r="I17" s="393" t="s">
        <v>397</v>
      </c>
      <c r="J17" s="314">
        <v>68.650000000000006</v>
      </c>
      <c r="K17" s="324">
        <v>13796.59</v>
      </c>
    </row>
    <row r="18" spans="1:11" ht="14.25">
      <c r="A18" s="307">
        <v>14</v>
      </c>
      <c r="B18" s="314" t="s">
        <v>1215</v>
      </c>
      <c r="C18" s="314" t="s">
        <v>397</v>
      </c>
      <c r="D18" s="393" t="s">
        <v>737</v>
      </c>
      <c r="E18" s="393" t="s">
        <v>397</v>
      </c>
      <c r="F18" s="308">
        <v>100.98</v>
      </c>
      <c r="G18" s="314">
        <v>37.49</v>
      </c>
      <c r="H18" s="393">
        <v>150</v>
      </c>
      <c r="I18" s="393" t="s">
        <v>397</v>
      </c>
      <c r="J18" s="314">
        <v>112.51</v>
      </c>
      <c r="K18" s="324">
        <v>11361.26</v>
      </c>
    </row>
    <row r="19" spans="1:11" ht="14.25">
      <c r="A19" s="307">
        <v>15</v>
      </c>
      <c r="B19" s="314" t="s">
        <v>1214</v>
      </c>
      <c r="C19" s="314" t="s">
        <v>397</v>
      </c>
      <c r="D19" s="393" t="s">
        <v>737</v>
      </c>
      <c r="E19" s="393" t="s">
        <v>397</v>
      </c>
      <c r="F19" s="308">
        <v>163.80000000000001</v>
      </c>
      <c r="G19" s="314">
        <v>300</v>
      </c>
      <c r="H19" s="393">
        <v>1000</v>
      </c>
      <c r="I19" s="393" t="s">
        <v>397</v>
      </c>
      <c r="J19" s="314">
        <v>700</v>
      </c>
      <c r="K19" s="324">
        <v>114660</v>
      </c>
    </row>
    <row r="20" spans="1:11" ht="14.25">
      <c r="A20" s="307">
        <v>16</v>
      </c>
      <c r="B20" s="314" t="s">
        <v>1213</v>
      </c>
      <c r="C20" s="314" t="s">
        <v>397</v>
      </c>
      <c r="D20" s="393" t="s">
        <v>1212</v>
      </c>
      <c r="E20" s="393" t="s">
        <v>397</v>
      </c>
      <c r="F20" s="308">
        <v>15282</v>
      </c>
      <c r="G20" s="314">
        <v>10.23</v>
      </c>
      <c r="H20" s="393">
        <v>35</v>
      </c>
      <c r="I20" s="393" t="s">
        <v>397</v>
      </c>
      <c r="J20" s="314">
        <v>24.77</v>
      </c>
      <c r="K20" s="324">
        <v>378535.14</v>
      </c>
    </row>
    <row r="21" spans="1:11" ht="14.25">
      <c r="A21" s="307">
        <v>17</v>
      </c>
      <c r="B21" s="314" t="s">
        <v>1073</v>
      </c>
      <c r="C21" s="314" t="s">
        <v>397</v>
      </c>
      <c r="D21" s="393" t="s">
        <v>737</v>
      </c>
      <c r="E21" s="393" t="s">
        <v>397</v>
      </c>
      <c r="F21" s="308">
        <v>52.02</v>
      </c>
      <c r="G21" s="314">
        <v>30.6</v>
      </c>
      <c r="H21" s="393">
        <v>200</v>
      </c>
      <c r="I21" s="393" t="s">
        <v>397</v>
      </c>
      <c r="J21" s="314">
        <v>169.4</v>
      </c>
      <c r="K21" s="324">
        <v>8812.19</v>
      </c>
    </row>
    <row r="22" spans="1:11" ht="24">
      <c r="A22" s="307">
        <v>18</v>
      </c>
      <c r="B22" s="314" t="s">
        <v>1211</v>
      </c>
      <c r="C22" s="314" t="s">
        <v>397</v>
      </c>
      <c r="D22" s="393" t="s">
        <v>737</v>
      </c>
      <c r="E22" s="393" t="s">
        <v>397</v>
      </c>
      <c r="F22" s="308">
        <v>391.68</v>
      </c>
      <c r="G22" s="314">
        <v>70</v>
      </c>
      <c r="H22" s="393">
        <v>85</v>
      </c>
      <c r="I22" s="393" t="s">
        <v>397</v>
      </c>
      <c r="J22" s="314">
        <v>15</v>
      </c>
      <c r="K22" s="324">
        <v>5875.2</v>
      </c>
    </row>
    <row r="23" spans="1:11" ht="14.25">
      <c r="A23" s="307">
        <v>19</v>
      </c>
      <c r="B23" s="314" t="s">
        <v>1057</v>
      </c>
      <c r="C23" s="314" t="s">
        <v>397</v>
      </c>
      <c r="D23" s="393" t="s">
        <v>737</v>
      </c>
      <c r="E23" s="393" t="s">
        <v>397</v>
      </c>
      <c r="F23" s="308">
        <v>1149.75</v>
      </c>
      <c r="G23" s="314">
        <v>40.32</v>
      </c>
      <c r="H23" s="393">
        <v>50</v>
      </c>
      <c r="I23" s="393" t="s">
        <v>397</v>
      </c>
      <c r="J23" s="314">
        <v>9.68</v>
      </c>
      <c r="K23" s="324">
        <v>11129.58</v>
      </c>
    </row>
    <row r="24" spans="1:11" ht="14.25">
      <c r="A24" s="307">
        <v>20</v>
      </c>
      <c r="B24" s="314" t="s">
        <v>1210</v>
      </c>
      <c r="C24" s="314" t="s">
        <v>397</v>
      </c>
      <c r="D24" s="393" t="s">
        <v>737</v>
      </c>
      <c r="E24" s="393" t="s">
        <v>397</v>
      </c>
      <c r="F24" s="308">
        <v>257.25</v>
      </c>
      <c r="G24" s="314">
        <v>28.84</v>
      </c>
      <c r="H24" s="393">
        <v>50</v>
      </c>
      <c r="I24" s="393" t="s">
        <v>397</v>
      </c>
      <c r="J24" s="314">
        <v>21.16</v>
      </c>
      <c r="K24" s="324">
        <v>5443.41</v>
      </c>
    </row>
    <row r="25" spans="1:11" ht="14.25">
      <c r="A25" s="307">
        <v>21</v>
      </c>
      <c r="B25" s="314" t="s">
        <v>1209</v>
      </c>
      <c r="C25" s="314" t="s">
        <v>397</v>
      </c>
      <c r="D25" s="393" t="s">
        <v>737</v>
      </c>
      <c r="E25" s="393" t="s">
        <v>397</v>
      </c>
      <c r="F25" s="308">
        <v>210.3192</v>
      </c>
      <c r="G25" s="314">
        <v>280</v>
      </c>
      <c r="H25" s="393">
        <v>800</v>
      </c>
      <c r="I25" s="393" t="s">
        <v>397</v>
      </c>
      <c r="J25" s="314">
        <v>520</v>
      </c>
      <c r="K25" s="324">
        <v>109365.98</v>
      </c>
    </row>
    <row r="26" spans="1:11" ht="24.75" thickBot="1">
      <c r="A26" s="310">
        <v>22</v>
      </c>
      <c r="B26" s="320" t="s">
        <v>1233</v>
      </c>
      <c r="C26" s="320" t="s">
        <v>1198</v>
      </c>
      <c r="D26" s="401" t="s">
        <v>737</v>
      </c>
      <c r="E26" s="401" t="s">
        <v>397</v>
      </c>
      <c r="F26" s="311">
        <v>2647.5454</v>
      </c>
      <c r="G26" s="320">
        <v>40.200000000000003</v>
      </c>
      <c r="H26" s="401">
        <v>50</v>
      </c>
      <c r="I26" s="401" t="s">
        <v>397</v>
      </c>
      <c r="J26" s="320">
        <v>9.8000000000000007</v>
      </c>
      <c r="K26" s="325">
        <v>25945.94</v>
      </c>
    </row>
    <row r="27" spans="1:11" ht="14.25">
      <c r="A27" s="387" t="s">
        <v>400</v>
      </c>
      <c r="B27" s="387" t="s">
        <v>397</v>
      </c>
      <c r="C27" s="387" t="s">
        <v>397</v>
      </c>
      <c r="D27" s="387" t="s">
        <v>397</v>
      </c>
      <c r="E27" s="388" t="s">
        <v>399</v>
      </c>
      <c r="F27" s="388" t="s">
        <v>397</v>
      </c>
      <c r="G27" s="388" t="s">
        <v>397</v>
      </c>
      <c r="H27" s="388" t="s">
        <v>397</v>
      </c>
      <c r="I27" s="389" t="s">
        <v>398</v>
      </c>
      <c r="J27" s="389" t="s">
        <v>397</v>
      </c>
      <c r="K27" s="389" t="s">
        <v>397</v>
      </c>
    </row>
    <row r="28" spans="1:11" ht="14.25">
      <c r="A28" s="387" t="s">
        <v>397</v>
      </c>
      <c r="B28" s="387" t="s">
        <v>397</v>
      </c>
      <c r="C28" s="387" t="s">
        <v>397</v>
      </c>
      <c r="D28" s="387" t="s">
        <v>397</v>
      </c>
      <c r="E28" s="388" t="s">
        <v>397</v>
      </c>
      <c r="F28" s="388" t="s">
        <v>397</v>
      </c>
      <c r="G28" s="388" t="s">
        <v>397</v>
      </c>
      <c r="H28" s="388" t="s">
        <v>397</v>
      </c>
      <c r="I28" s="389" t="s">
        <v>397</v>
      </c>
      <c r="J28" s="389" t="s">
        <v>397</v>
      </c>
      <c r="K28" s="389" t="s">
        <v>397</v>
      </c>
    </row>
    <row r="29" spans="1:11" ht="46.5" customHeight="1">
      <c r="A29" s="390" t="s">
        <v>1208</v>
      </c>
      <c r="B29" s="390" t="s">
        <v>397</v>
      </c>
      <c r="C29" s="390" t="s">
        <v>397</v>
      </c>
      <c r="D29" s="390" t="s">
        <v>397</v>
      </c>
      <c r="E29" s="390" t="s">
        <v>397</v>
      </c>
      <c r="F29" s="390" t="s">
        <v>397</v>
      </c>
      <c r="G29" s="390" t="s">
        <v>397</v>
      </c>
      <c r="H29" s="390" t="s">
        <v>397</v>
      </c>
      <c r="I29" s="390" t="s">
        <v>397</v>
      </c>
      <c r="J29" s="390" t="s">
        <v>397</v>
      </c>
      <c r="K29" s="390" t="s">
        <v>397</v>
      </c>
    </row>
    <row r="30" spans="1:11" ht="15" thickBot="1">
      <c r="A30" s="387" t="s">
        <v>982</v>
      </c>
      <c r="B30" s="387" t="s">
        <v>397</v>
      </c>
      <c r="C30" s="387" t="s">
        <v>397</v>
      </c>
      <c r="D30" s="387" t="s">
        <v>397</v>
      </c>
      <c r="E30" s="387" t="s">
        <v>397</v>
      </c>
      <c r="F30" s="387" t="s">
        <v>397</v>
      </c>
      <c r="G30" s="387" t="s">
        <v>397</v>
      </c>
      <c r="H30" s="387" t="s">
        <v>397</v>
      </c>
      <c r="I30" s="389" t="s">
        <v>960</v>
      </c>
      <c r="J30" s="389" t="s">
        <v>397</v>
      </c>
      <c r="K30" s="389" t="s">
        <v>397</v>
      </c>
    </row>
    <row r="31" spans="1:11" ht="14.25">
      <c r="A31" s="304" t="s">
        <v>42</v>
      </c>
      <c r="B31" s="305" t="s">
        <v>1207</v>
      </c>
      <c r="C31" s="305" t="s">
        <v>1206</v>
      </c>
      <c r="D31" s="391" t="s">
        <v>384</v>
      </c>
      <c r="E31" s="391" t="s">
        <v>397</v>
      </c>
      <c r="F31" s="305" t="s">
        <v>1205</v>
      </c>
      <c r="G31" s="305" t="s">
        <v>1204</v>
      </c>
      <c r="H31" s="391" t="s">
        <v>1203</v>
      </c>
      <c r="I31" s="391" t="s">
        <v>397</v>
      </c>
      <c r="J31" s="305" t="s">
        <v>1202</v>
      </c>
      <c r="K31" s="306" t="s">
        <v>1201</v>
      </c>
    </row>
    <row r="32" spans="1:11" ht="14.25">
      <c r="A32" s="307">
        <v>23</v>
      </c>
      <c r="B32" s="314" t="s">
        <v>1200</v>
      </c>
      <c r="C32" s="314" t="s">
        <v>1198</v>
      </c>
      <c r="D32" s="393" t="s">
        <v>737</v>
      </c>
      <c r="E32" s="393" t="s">
        <v>397</v>
      </c>
      <c r="F32" s="308">
        <v>1469.6615999999999</v>
      </c>
      <c r="G32" s="314">
        <v>32</v>
      </c>
      <c r="H32" s="393">
        <v>45</v>
      </c>
      <c r="I32" s="393" t="s">
        <v>397</v>
      </c>
      <c r="J32" s="314">
        <v>13</v>
      </c>
      <c r="K32" s="324">
        <v>19105.599999999999</v>
      </c>
    </row>
    <row r="33" spans="1:11" ht="14.25">
      <c r="A33" s="307">
        <v>24</v>
      </c>
      <c r="B33" s="314" t="s">
        <v>1199</v>
      </c>
      <c r="C33" s="314" t="s">
        <v>1198</v>
      </c>
      <c r="D33" s="393" t="s">
        <v>737</v>
      </c>
      <c r="E33" s="393" t="s">
        <v>397</v>
      </c>
      <c r="F33" s="308">
        <v>2647.5454</v>
      </c>
      <c r="G33" s="314">
        <v>32</v>
      </c>
      <c r="H33" s="393">
        <v>40</v>
      </c>
      <c r="I33" s="393" t="s">
        <v>397</v>
      </c>
      <c r="J33" s="314">
        <v>8</v>
      </c>
      <c r="K33" s="324">
        <v>21180.36</v>
      </c>
    </row>
    <row r="34" spans="1:11" ht="14.25">
      <c r="A34" s="307" t="s">
        <v>397</v>
      </c>
      <c r="B34" s="314" t="s">
        <v>397</v>
      </c>
      <c r="C34" s="314" t="s">
        <v>397</v>
      </c>
      <c r="D34" s="393" t="s">
        <v>397</v>
      </c>
      <c r="E34" s="393" t="s">
        <v>397</v>
      </c>
      <c r="F34" s="308" t="s">
        <v>397</v>
      </c>
      <c r="G34" s="314" t="s">
        <v>397</v>
      </c>
      <c r="H34" s="393" t="s">
        <v>397</v>
      </c>
      <c r="I34" s="393" t="s">
        <v>397</v>
      </c>
      <c r="J34" s="314" t="s">
        <v>397</v>
      </c>
      <c r="K34" s="324" t="s">
        <v>397</v>
      </c>
    </row>
    <row r="35" spans="1:11" ht="14.25">
      <c r="A35" s="307" t="s">
        <v>397</v>
      </c>
      <c r="B35" s="314" t="s">
        <v>397</v>
      </c>
      <c r="C35" s="314" t="s">
        <v>397</v>
      </c>
      <c r="D35" s="393" t="s">
        <v>397</v>
      </c>
      <c r="E35" s="393" t="s">
        <v>397</v>
      </c>
      <c r="F35" s="308" t="s">
        <v>397</v>
      </c>
      <c r="G35" s="314" t="s">
        <v>397</v>
      </c>
      <c r="H35" s="393" t="s">
        <v>397</v>
      </c>
      <c r="I35" s="393" t="s">
        <v>397</v>
      </c>
      <c r="J35" s="314" t="s">
        <v>397</v>
      </c>
      <c r="K35" s="324" t="s">
        <v>397</v>
      </c>
    </row>
    <row r="36" spans="1:11" ht="14.25">
      <c r="A36" s="307" t="s">
        <v>397</v>
      </c>
      <c r="B36" s="314" t="s">
        <v>397</v>
      </c>
      <c r="C36" s="314" t="s">
        <v>397</v>
      </c>
      <c r="D36" s="393" t="s">
        <v>397</v>
      </c>
      <c r="E36" s="393" t="s">
        <v>397</v>
      </c>
      <c r="F36" s="308" t="s">
        <v>397</v>
      </c>
      <c r="G36" s="314" t="s">
        <v>397</v>
      </c>
      <c r="H36" s="393" t="s">
        <v>397</v>
      </c>
      <c r="I36" s="393" t="s">
        <v>397</v>
      </c>
      <c r="J36" s="314" t="s">
        <v>397</v>
      </c>
      <c r="K36" s="324" t="s">
        <v>397</v>
      </c>
    </row>
    <row r="37" spans="1:11" ht="14.25">
      <c r="A37" s="307" t="s">
        <v>397</v>
      </c>
      <c r="B37" s="314" t="s">
        <v>397</v>
      </c>
      <c r="C37" s="314" t="s">
        <v>397</v>
      </c>
      <c r="D37" s="393" t="s">
        <v>397</v>
      </c>
      <c r="E37" s="393" t="s">
        <v>397</v>
      </c>
      <c r="F37" s="308" t="s">
        <v>397</v>
      </c>
      <c r="G37" s="314" t="s">
        <v>397</v>
      </c>
      <c r="H37" s="393" t="s">
        <v>397</v>
      </c>
      <c r="I37" s="393" t="s">
        <v>397</v>
      </c>
      <c r="J37" s="314" t="s">
        <v>397</v>
      </c>
      <c r="K37" s="324" t="s">
        <v>397</v>
      </c>
    </row>
    <row r="38" spans="1:11" ht="14.25">
      <c r="A38" s="307" t="s">
        <v>397</v>
      </c>
      <c r="B38" s="314" t="s">
        <v>397</v>
      </c>
      <c r="C38" s="314" t="s">
        <v>397</v>
      </c>
      <c r="D38" s="393" t="s">
        <v>397</v>
      </c>
      <c r="E38" s="393" t="s">
        <v>397</v>
      </c>
      <c r="F38" s="308" t="s">
        <v>397</v>
      </c>
      <c r="G38" s="314" t="s">
        <v>397</v>
      </c>
      <c r="H38" s="393" t="s">
        <v>397</v>
      </c>
      <c r="I38" s="393" t="s">
        <v>397</v>
      </c>
      <c r="J38" s="314" t="s">
        <v>397</v>
      </c>
      <c r="K38" s="324" t="s">
        <v>397</v>
      </c>
    </row>
    <row r="39" spans="1:11" ht="14.25">
      <c r="A39" s="307" t="s">
        <v>397</v>
      </c>
      <c r="B39" s="314" t="s">
        <v>397</v>
      </c>
      <c r="C39" s="314" t="s">
        <v>397</v>
      </c>
      <c r="D39" s="393" t="s">
        <v>397</v>
      </c>
      <c r="E39" s="393" t="s">
        <v>397</v>
      </c>
      <c r="F39" s="308" t="s">
        <v>397</v>
      </c>
      <c r="G39" s="314" t="s">
        <v>397</v>
      </c>
      <c r="H39" s="393" t="s">
        <v>397</v>
      </c>
      <c r="I39" s="393" t="s">
        <v>397</v>
      </c>
      <c r="J39" s="314" t="s">
        <v>397</v>
      </c>
      <c r="K39" s="324" t="s">
        <v>397</v>
      </c>
    </row>
    <row r="40" spans="1:11" ht="14.25">
      <c r="A40" s="307" t="s">
        <v>397</v>
      </c>
      <c r="B40" s="314" t="s">
        <v>397</v>
      </c>
      <c r="C40" s="314" t="s">
        <v>397</v>
      </c>
      <c r="D40" s="393" t="s">
        <v>397</v>
      </c>
      <c r="E40" s="393" t="s">
        <v>397</v>
      </c>
      <c r="F40" s="308" t="s">
        <v>397</v>
      </c>
      <c r="G40" s="314" t="s">
        <v>397</v>
      </c>
      <c r="H40" s="393" t="s">
        <v>397</v>
      </c>
      <c r="I40" s="393" t="s">
        <v>397</v>
      </c>
      <c r="J40" s="314" t="s">
        <v>397</v>
      </c>
      <c r="K40" s="324" t="s">
        <v>397</v>
      </c>
    </row>
    <row r="41" spans="1:11" ht="14.25">
      <c r="A41" s="307" t="s">
        <v>397</v>
      </c>
      <c r="B41" s="314" t="s">
        <v>397</v>
      </c>
      <c r="C41" s="314" t="s">
        <v>397</v>
      </c>
      <c r="D41" s="393" t="s">
        <v>397</v>
      </c>
      <c r="E41" s="393" t="s">
        <v>397</v>
      </c>
      <c r="F41" s="308" t="s">
        <v>397</v>
      </c>
      <c r="G41" s="314" t="s">
        <v>397</v>
      </c>
      <c r="H41" s="393" t="s">
        <v>397</v>
      </c>
      <c r="I41" s="393" t="s">
        <v>397</v>
      </c>
      <c r="J41" s="314" t="s">
        <v>397</v>
      </c>
      <c r="K41" s="324" t="s">
        <v>397</v>
      </c>
    </row>
    <row r="42" spans="1:11" ht="14.25">
      <c r="A42" s="307" t="s">
        <v>397</v>
      </c>
      <c r="B42" s="314" t="s">
        <v>397</v>
      </c>
      <c r="C42" s="314" t="s">
        <v>397</v>
      </c>
      <c r="D42" s="393" t="s">
        <v>397</v>
      </c>
      <c r="E42" s="393" t="s">
        <v>397</v>
      </c>
      <c r="F42" s="308" t="s">
        <v>397</v>
      </c>
      <c r="G42" s="314" t="s">
        <v>397</v>
      </c>
      <c r="H42" s="393" t="s">
        <v>397</v>
      </c>
      <c r="I42" s="393" t="s">
        <v>397</v>
      </c>
      <c r="J42" s="314" t="s">
        <v>397</v>
      </c>
      <c r="K42" s="324" t="s">
        <v>397</v>
      </c>
    </row>
    <row r="43" spans="1:11" ht="14.25">
      <c r="A43" s="307" t="s">
        <v>397</v>
      </c>
      <c r="B43" s="314" t="s">
        <v>397</v>
      </c>
      <c r="C43" s="314" t="s">
        <v>397</v>
      </c>
      <c r="D43" s="393" t="s">
        <v>397</v>
      </c>
      <c r="E43" s="393" t="s">
        <v>397</v>
      </c>
      <c r="F43" s="308" t="s">
        <v>397</v>
      </c>
      <c r="G43" s="314" t="s">
        <v>397</v>
      </c>
      <c r="H43" s="393" t="s">
        <v>397</v>
      </c>
      <c r="I43" s="393" t="s">
        <v>397</v>
      </c>
      <c r="J43" s="314" t="s">
        <v>397</v>
      </c>
      <c r="K43" s="324" t="s">
        <v>397</v>
      </c>
    </row>
    <row r="44" spans="1:11" ht="14.25">
      <c r="A44" s="307" t="s">
        <v>397</v>
      </c>
      <c r="B44" s="314" t="s">
        <v>397</v>
      </c>
      <c r="C44" s="314" t="s">
        <v>397</v>
      </c>
      <c r="D44" s="393" t="s">
        <v>397</v>
      </c>
      <c r="E44" s="393" t="s">
        <v>397</v>
      </c>
      <c r="F44" s="308" t="s">
        <v>397</v>
      </c>
      <c r="G44" s="314" t="s">
        <v>397</v>
      </c>
      <c r="H44" s="393" t="s">
        <v>397</v>
      </c>
      <c r="I44" s="393" t="s">
        <v>397</v>
      </c>
      <c r="J44" s="314" t="s">
        <v>397</v>
      </c>
      <c r="K44" s="324" t="s">
        <v>397</v>
      </c>
    </row>
    <row r="45" spans="1:11" ht="14.25">
      <c r="A45" s="307" t="s">
        <v>397</v>
      </c>
      <c r="B45" s="314" t="s">
        <v>397</v>
      </c>
      <c r="C45" s="314" t="s">
        <v>397</v>
      </c>
      <c r="D45" s="393" t="s">
        <v>397</v>
      </c>
      <c r="E45" s="393" t="s">
        <v>397</v>
      </c>
      <c r="F45" s="308" t="s">
        <v>397</v>
      </c>
      <c r="G45" s="314" t="s">
        <v>397</v>
      </c>
      <c r="H45" s="393" t="s">
        <v>397</v>
      </c>
      <c r="I45" s="393" t="s">
        <v>397</v>
      </c>
      <c r="J45" s="314" t="s">
        <v>397</v>
      </c>
      <c r="K45" s="324" t="s">
        <v>397</v>
      </c>
    </row>
    <row r="46" spans="1:11" ht="14.25">
      <c r="A46" s="307" t="s">
        <v>397</v>
      </c>
      <c r="B46" s="314" t="s">
        <v>397</v>
      </c>
      <c r="C46" s="314" t="s">
        <v>397</v>
      </c>
      <c r="D46" s="393" t="s">
        <v>397</v>
      </c>
      <c r="E46" s="393" t="s">
        <v>397</v>
      </c>
      <c r="F46" s="308" t="s">
        <v>397</v>
      </c>
      <c r="G46" s="314" t="s">
        <v>397</v>
      </c>
      <c r="H46" s="393" t="s">
        <v>397</v>
      </c>
      <c r="I46" s="393" t="s">
        <v>397</v>
      </c>
      <c r="J46" s="314" t="s">
        <v>397</v>
      </c>
      <c r="K46" s="324" t="s">
        <v>397</v>
      </c>
    </row>
    <row r="47" spans="1:11" ht="14.25">
      <c r="A47" s="307" t="s">
        <v>397</v>
      </c>
      <c r="B47" s="314" t="s">
        <v>397</v>
      </c>
      <c r="C47" s="314" t="s">
        <v>397</v>
      </c>
      <c r="D47" s="393" t="s">
        <v>397</v>
      </c>
      <c r="E47" s="393" t="s">
        <v>397</v>
      </c>
      <c r="F47" s="308" t="s">
        <v>397</v>
      </c>
      <c r="G47" s="314" t="s">
        <v>397</v>
      </c>
      <c r="H47" s="393" t="s">
        <v>397</v>
      </c>
      <c r="I47" s="393" t="s">
        <v>397</v>
      </c>
      <c r="J47" s="314" t="s">
        <v>397</v>
      </c>
      <c r="K47" s="324" t="s">
        <v>397</v>
      </c>
    </row>
    <row r="48" spans="1:11" ht="14.25">
      <c r="A48" s="307" t="s">
        <v>397</v>
      </c>
      <c r="B48" s="314" t="s">
        <v>397</v>
      </c>
      <c r="C48" s="314" t="s">
        <v>397</v>
      </c>
      <c r="D48" s="393" t="s">
        <v>397</v>
      </c>
      <c r="E48" s="393" t="s">
        <v>397</v>
      </c>
      <c r="F48" s="308" t="s">
        <v>397</v>
      </c>
      <c r="G48" s="314" t="s">
        <v>397</v>
      </c>
      <c r="H48" s="393" t="s">
        <v>397</v>
      </c>
      <c r="I48" s="393" t="s">
        <v>397</v>
      </c>
      <c r="J48" s="314" t="s">
        <v>397</v>
      </c>
      <c r="K48" s="324" t="s">
        <v>397</v>
      </c>
    </row>
    <row r="49" spans="1:11" ht="14.25">
      <c r="A49" s="307" t="s">
        <v>397</v>
      </c>
      <c r="B49" s="314" t="s">
        <v>397</v>
      </c>
      <c r="C49" s="314" t="s">
        <v>397</v>
      </c>
      <c r="D49" s="393" t="s">
        <v>397</v>
      </c>
      <c r="E49" s="393" t="s">
        <v>397</v>
      </c>
      <c r="F49" s="308" t="s">
        <v>397</v>
      </c>
      <c r="G49" s="314" t="s">
        <v>397</v>
      </c>
      <c r="H49" s="393" t="s">
        <v>397</v>
      </c>
      <c r="I49" s="393" t="s">
        <v>397</v>
      </c>
      <c r="J49" s="314" t="s">
        <v>397</v>
      </c>
      <c r="K49" s="324" t="s">
        <v>397</v>
      </c>
    </row>
    <row r="50" spans="1:11" ht="14.25">
      <c r="A50" s="307" t="s">
        <v>397</v>
      </c>
      <c r="B50" s="314" t="s">
        <v>397</v>
      </c>
      <c r="C50" s="314" t="s">
        <v>397</v>
      </c>
      <c r="D50" s="393" t="s">
        <v>397</v>
      </c>
      <c r="E50" s="393" t="s">
        <v>397</v>
      </c>
      <c r="F50" s="308" t="s">
        <v>397</v>
      </c>
      <c r="G50" s="314" t="s">
        <v>397</v>
      </c>
      <c r="H50" s="393" t="s">
        <v>397</v>
      </c>
      <c r="I50" s="393" t="s">
        <v>397</v>
      </c>
      <c r="J50" s="314" t="s">
        <v>397</v>
      </c>
      <c r="K50" s="324" t="s">
        <v>397</v>
      </c>
    </row>
    <row r="51" spans="1:11" ht="14.25">
      <c r="A51" s="307" t="s">
        <v>397</v>
      </c>
      <c r="B51" s="314" t="s">
        <v>397</v>
      </c>
      <c r="C51" s="314" t="s">
        <v>397</v>
      </c>
      <c r="D51" s="393" t="s">
        <v>397</v>
      </c>
      <c r="E51" s="393" t="s">
        <v>397</v>
      </c>
      <c r="F51" s="308" t="s">
        <v>397</v>
      </c>
      <c r="G51" s="314" t="s">
        <v>397</v>
      </c>
      <c r="H51" s="393" t="s">
        <v>397</v>
      </c>
      <c r="I51" s="393" t="s">
        <v>397</v>
      </c>
      <c r="J51" s="314" t="s">
        <v>397</v>
      </c>
      <c r="K51" s="324" t="s">
        <v>397</v>
      </c>
    </row>
    <row r="52" spans="1:11" ht="14.25">
      <c r="A52" s="307" t="s">
        <v>397</v>
      </c>
      <c r="B52" s="314" t="s">
        <v>397</v>
      </c>
      <c r="C52" s="314" t="s">
        <v>397</v>
      </c>
      <c r="D52" s="393" t="s">
        <v>397</v>
      </c>
      <c r="E52" s="393" t="s">
        <v>397</v>
      </c>
      <c r="F52" s="308" t="s">
        <v>397</v>
      </c>
      <c r="G52" s="314" t="s">
        <v>397</v>
      </c>
      <c r="H52" s="393" t="s">
        <v>397</v>
      </c>
      <c r="I52" s="393" t="s">
        <v>397</v>
      </c>
      <c r="J52" s="314" t="s">
        <v>397</v>
      </c>
      <c r="K52" s="324" t="s">
        <v>397</v>
      </c>
    </row>
    <row r="53" spans="1:11" ht="14.25">
      <c r="A53" s="307" t="s">
        <v>397</v>
      </c>
      <c r="B53" s="314" t="s">
        <v>397</v>
      </c>
      <c r="C53" s="314" t="s">
        <v>397</v>
      </c>
      <c r="D53" s="393" t="s">
        <v>397</v>
      </c>
      <c r="E53" s="393" t="s">
        <v>397</v>
      </c>
      <c r="F53" s="308" t="s">
        <v>397</v>
      </c>
      <c r="G53" s="314" t="s">
        <v>397</v>
      </c>
      <c r="H53" s="393" t="s">
        <v>397</v>
      </c>
      <c r="I53" s="393" t="s">
        <v>397</v>
      </c>
      <c r="J53" s="314" t="s">
        <v>397</v>
      </c>
      <c r="K53" s="324" t="s">
        <v>397</v>
      </c>
    </row>
    <row r="54" spans="1:11" ht="14.25">
      <c r="A54" s="307" t="s">
        <v>397</v>
      </c>
      <c r="B54" s="314" t="s">
        <v>397</v>
      </c>
      <c r="C54" s="314" t="s">
        <v>397</v>
      </c>
      <c r="D54" s="393" t="s">
        <v>397</v>
      </c>
      <c r="E54" s="393" t="s">
        <v>397</v>
      </c>
      <c r="F54" s="308" t="s">
        <v>397</v>
      </c>
      <c r="G54" s="314" t="s">
        <v>397</v>
      </c>
      <c r="H54" s="393" t="s">
        <v>397</v>
      </c>
      <c r="I54" s="393" t="s">
        <v>397</v>
      </c>
      <c r="J54" s="314" t="s">
        <v>397</v>
      </c>
      <c r="K54" s="324" t="s">
        <v>397</v>
      </c>
    </row>
    <row r="55" spans="1:11" ht="15" thickBot="1">
      <c r="A55" s="402" t="s">
        <v>1197</v>
      </c>
      <c r="B55" s="401" t="s">
        <v>397</v>
      </c>
      <c r="C55" s="401" t="s">
        <v>397</v>
      </c>
      <c r="D55" s="401" t="s">
        <v>397</v>
      </c>
      <c r="E55" s="401" t="s">
        <v>397</v>
      </c>
      <c r="F55" s="401" t="s">
        <v>397</v>
      </c>
      <c r="G55" s="401" t="s">
        <v>397</v>
      </c>
      <c r="H55" s="401" t="s">
        <v>397</v>
      </c>
      <c r="I55" s="401" t="s">
        <v>397</v>
      </c>
      <c r="J55" s="401" t="s">
        <v>397</v>
      </c>
      <c r="K55" s="325">
        <v>5667073.5899999999</v>
      </c>
    </row>
    <row r="56" spans="1:11" ht="30" customHeight="1">
      <c r="A56" s="387" t="s">
        <v>400</v>
      </c>
      <c r="B56" s="387" t="s">
        <v>397</v>
      </c>
      <c r="C56" s="387" t="s">
        <v>397</v>
      </c>
      <c r="D56" s="387" t="s">
        <v>397</v>
      </c>
      <c r="E56" s="388" t="s">
        <v>399</v>
      </c>
      <c r="F56" s="388" t="s">
        <v>397</v>
      </c>
      <c r="G56" s="388" t="s">
        <v>397</v>
      </c>
      <c r="H56" s="388" t="s">
        <v>397</v>
      </c>
      <c r="I56" s="389" t="s">
        <v>398</v>
      </c>
      <c r="J56" s="389" t="s">
        <v>397</v>
      </c>
      <c r="K56" s="389" t="s">
        <v>397</v>
      </c>
    </row>
  </sheetData>
  <mergeCells count="113">
    <mergeCell ref="D50:E50"/>
    <mergeCell ref="H50:I50"/>
    <mergeCell ref="D51:E51"/>
    <mergeCell ref="H51:I51"/>
    <mergeCell ref="A55:J55"/>
    <mergeCell ref="A56:D56"/>
    <mergeCell ref="E56:H56"/>
    <mergeCell ref="I56:K56"/>
    <mergeCell ref="D52:E52"/>
    <mergeCell ref="H52:I52"/>
    <mergeCell ref="D53:E53"/>
    <mergeCell ref="H53:I53"/>
    <mergeCell ref="D54:E54"/>
    <mergeCell ref="H54:I54"/>
    <mergeCell ref="D45:E45"/>
    <mergeCell ref="H45:I45"/>
    <mergeCell ref="D46:E46"/>
    <mergeCell ref="H46:I46"/>
    <mergeCell ref="D47:E47"/>
    <mergeCell ref="H47:I47"/>
    <mergeCell ref="D48:E48"/>
    <mergeCell ref="H48:I48"/>
    <mergeCell ref="D49:E49"/>
    <mergeCell ref="H49:I49"/>
    <mergeCell ref="D40:E40"/>
    <mergeCell ref="H40:I40"/>
    <mergeCell ref="D41:E41"/>
    <mergeCell ref="H41:I41"/>
    <mergeCell ref="D42:E42"/>
    <mergeCell ref="H42:I42"/>
    <mergeCell ref="D43:E43"/>
    <mergeCell ref="H43:I43"/>
    <mergeCell ref="D44:E44"/>
    <mergeCell ref="H44:I44"/>
    <mergeCell ref="D35:E35"/>
    <mergeCell ref="H35:I35"/>
    <mergeCell ref="D36:E36"/>
    <mergeCell ref="H36:I36"/>
    <mergeCell ref="D37:E37"/>
    <mergeCell ref="H37:I37"/>
    <mergeCell ref="D38:E38"/>
    <mergeCell ref="H38:I38"/>
    <mergeCell ref="D39:E39"/>
    <mergeCell ref="H39:I39"/>
    <mergeCell ref="D32:E32"/>
    <mergeCell ref="H32:I32"/>
    <mergeCell ref="D33:E33"/>
    <mergeCell ref="H33:I33"/>
    <mergeCell ref="D34:E34"/>
    <mergeCell ref="H34:I34"/>
    <mergeCell ref="A30:H30"/>
    <mergeCell ref="I30:K30"/>
    <mergeCell ref="D31:E31"/>
    <mergeCell ref="H31:I31"/>
    <mergeCell ref="D26:E26"/>
    <mergeCell ref="H26:I26"/>
    <mergeCell ref="A28:D28"/>
    <mergeCell ref="E28:H28"/>
    <mergeCell ref="I28:K28"/>
    <mergeCell ref="A27:D27"/>
    <mergeCell ref="E27:H27"/>
    <mergeCell ref="I27:K27"/>
    <mergeCell ref="A29:K29"/>
    <mergeCell ref="D21:E21"/>
    <mergeCell ref="H21:I21"/>
    <mergeCell ref="D22:E22"/>
    <mergeCell ref="H22:I22"/>
    <mergeCell ref="D23:E23"/>
    <mergeCell ref="H23:I23"/>
    <mergeCell ref="D24:E24"/>
    <mergeCell ref="H24:I24"/>
    <mergeCell ref="D25:E25"/>
    <mergeCell ref="H25:I25"/>
    <mergeCell ref="D16:E16"/>
    <mergeCell ref="H16:I16"/>
    <mergeCell ref="D17:E17"/>
    <mergeCell ref="H17:I17"/>
    <mergeCell ref="D18:E18"/>
    <mergeCell ref="H18:I18"/>
    <mergeCell ref="D19:E19"/>
    <mergeCell ref="H19:I19"/>
    <mergeCell ref="D20:E20"/>
    <mergeCell ref="H20:I20"/>
    <mergeCell ref="D11:E11"/>
    <mergeCell ref="H11:I11"/>
    <mergeCell ref="D12:E12"/>
    <mergeCell ref="H12:I12"/>
    <mergeCell ref="D13:E13"/>
    <mergeCell ref="H13:I13"/>
    <mergeCell ref="D14:E14"/>
    <mergeCell ref="H14:I14"/>
    <mergeCell ref="D15:E15"/>
    <mergeCell ref="H15:I15"/>
    <mergeCell ref="D6:E6"/>
    <mergeCell ref="H6:I6"/>
    <mergeCell ref="D7:E7"/>
    <mergeCell ref="H7:I7"/>
    <mergeCell ref="D8:E8"/>
    <mergeCell ref="H8:I8"/>
    <mergeCell ref="D9:E9"/>
    <mergeCell ref="H9:I9"/>
    <mergeCell ref="D10:E10"/>
    <mergeCell ref="H10:I10"/>
    <mergeCell ref="A1:D1"/>
    <mergeCell ref="E1:H1"/>
    <mergeCell ref="I1:K1"/>
    <mergeCell ref="A2:K2"/>
    <mergeCell ref="A3:H3"/>
    <mergeCell ref="I3:K3"/>
    <mergeCell ref="D4:E4"/>
    <mergeCell ref="H4:I4"/>
    <mergeCell ref="D5:E5"/>
    <mergeCell ref="H5:I5"/>
  </mergeCells>
  <phoneticPr fontId="34" type="noConversion"/>
  <pageMargins left="0.51500984251968507" right="0.51500984251968507" top="0.59375" bottom="0.59375" header="0.59375" footer="0.59375"/>
  <pageSetup paperSize="9" orientation="landscape" r:id="rId1"/>
  <headerFooter alignWithMargins="0"/>
  <rowBreaks count="1" manualBreakCount="1">
    <brk id="28" min="1" max="256" man="1"/>
  </rowBreaks>
</worksheet>
</file>

<file path=xl/worksheets/sheet11.xml><?xml version="1.0" encoding="utf-8"?>
<worksheet xmlns="http://schemas.openxmlformats.org/spreadsheetml/2006/main" xmlns:r="http://schemas.openxmlformats.org/officeDocument/2006/relationships">
  <dimension ref="A1:G37"/>
  <sheetViews>
    <sheetView workbookViewId="0">
      <selection activeCell="A2" sqref="A2:U2"/>
    </sheetView>
  </sheetViews>
  <sheetFormatPr defaultColWidth="8" defaultRowHeight="11.25"/>
  <cols>
    <col min="1" max="1" width="7.25" style="285" customWidth="1"/>
    <col min="2" max="2" width="19.5" style="285" customWidth="1"/>
    <col min="3" max="3" width="3" style="285" customWidth="1"/>
    <col min="4" max="4" width="28.375" style="285" customWidth="1"/>
    <col min="5" max="5" width="1.375" style="285" customWidth="1"/>
    <col min="6" max="6" width="8.875" style="285" customWidth="1"/>
    <col min="7" max="7" width="16.5" style="285" customWidth="1"/>
    <col min="8" max="16384" width="8" style="285"/>
  </cols>
  <sheetData>
    <row r="1" spans="1:7" ht="16.5" customHeight="1">
      <c r="A1" s="403" t="s">
        <v>397</v>
      </c>
      <c r="B1" s="403" t="s">
        <v>397</v>
      </c>
      <c r="C1" s="404" t="s">
        <v>397</v>
      </c>
      <c r="D1" s="404" t="s">
        <v>397</v>
      </c>
      <c r="E1" s="405" t="s">
        <v>397</v>
      </c>
      <c r="F1" s="405" t="s">
        <v>397</v>
      </c>
      <c r="G1" s="405" t="s">
        <v>397</v>
      </c>
    </row>
    <row r="2" spans="1:7" ht="33.75" customHeight="1">
      <c r="A2" s="406" t="s">
        <v>472</v>
      </c>
      <c r="B2" s="406" t="s">
        <v>397</v>
      </c>
      <c r="C2" s="406" t="s">
        <v>397</v>
      </c>
      <c r="D2" s="406" t="s">
        <v>397</v>
      </c>
      <c r="E2" s="406" t="s">
        <v>397</v>
      </c>
      <c r="F2" s="406" t="s">
        <v>397</v>
      </c>
      <c r="G2" s="406" t="s">
        <v>397</v>
      </c>
    </row>
    <row r="3" spans="1:7" ht="23.25" customHeight="1" thickBot="1">
      <c r="A3" s="403" t="s">
        <v>471</v>
      </c>
      <c r="B3" s="403" t="s">
        <v>397</v>
      </c>
      <c r="C3" s="403" t="s">
        <v>397</v>
      </c>
      <c r="D3" s="403" t="s">
        <v>397</v>
      </c>
      <c r="E3" s="405" t="s">
        <v>470</v>
      </c>
      <c r="F3" s="405" t="s">
        <v>397</v>
      </c>
      <c r="G3" s="405" t="s">
        <v>397</v>
      </c>
    </row>
    <row r="4" spans="1:7" ht="18" customHeight="1">
      <c r="A4" s="294" t="s">
        <v>42</v>
      </c>
      <c r="B4" s="407" t="s">
        <v>469</v>
      </c>
      <c r="C4" s="407" t="s">
        <v>397</v>
      </c>
      <c r="D4" s="407" t="s">
        <v>468</v>
      </c>
      <c r="E4" s="407" t="s">
        <v>397</v>
      </c>
      <c r="F4" s="293" t="s">
        <v>467</v>
      </c>
      <c r="G4" s="292" t="s">
        <v>466</v>
      </c>
    </row>
    <row r="5" spans="1:7" ht="16.5" customHeight="1">
      <c r="A5" s="291" t="s">
        <v>462</v>
      </c>
      <c r="B5" s="408" t="s">
        <v>465</v>
      </c>
      <c r="C5" s="408" t="s">
        <v>397</v>
      </c>
      <c r="D5" s="408" t="s">
        <v>465</v>
      </c>
      <c r="E5" s="408" t="s">
        <v>397</v>
      </c>
      <c r="F5" s="290" t="s">
        <v>397</v>
      </c>
      <c r="G5" s="289">
        <v>1376369.79</v>
      </c>
    </row>
    <row r="6" spans="1:7" ht="29.25" customHeight="1">
      <c r="A6" s="291" t="s">
        <v>51</v>
      </c>
      <c r="B6" s="408" t="s">
        <v>464</v>
      </c>
      <c r="C6" s="408" t="s">
        <v>397</v>
      </c>
      <c r="D6" s="408" t="s">
        <v>463</v>
      </c>
      <c r="E6" s="408" t="s">
        <v>397</v>
      </c>
      <c r="F6" s="290" t="s">
        <v>397</v>
      </c>
      <c r="G6" s="289">
        <v>1239179.83</v>
      </c>
    </row>
    <row r="7" spans="1:7" ht="16.5" customHeight="1">
      <c r="A7" s="291" t="s">
        <v>462</v>
      </c>
      <c r="B7" s="408" t="s">
        <v>450</v>
      </c>
      <c r="C7" s="408" t="s">
        <v>397</v>
      </c>
      <c r="D7" s="408" t="s">
        <v>450</v>
      </c>
      <c r="E7" s="408" t="s">
        <v>397</v>
      </c>
      <c r="F7" s="290" t="s">
        <v>397</v>
      </c>
      <c r="G7" s="289">
        <v>159933.29</v>
      </c>
    </row>
    <row r="8" spans="1:7" ht="16.5" customHeight="1">
      <c r="A8" s="291" t="s">
        <v>403</v>
      </c>
      <c r="B8" s="408" t="s">
        <v>447</v>
      </c>
      <c r="C8" s="408" t="s">
        <v>397</v>
      </c>
      <c r="D8" s="408" t="s">
        <v>447</v>
      </c>
      <c r="E8" s="408" t="s">
        <v>397</v>
      </c>
      <c r="F8" s="290" t="s">
        <v>397</v>
      </c>
      <c r="G8" s="289">
        <v>84606.05</v>
      </c>
    </row>
    <row r="9" spans="1:7" ht="16.5" customHeight="1">
      <c r="A9" s="291" t="s">
        <v>461</v>
      </c>
      <c r="B9" s="408" t="s">
        <v>460</v>
      </c>
      <c r="C9" s="408" t="s">
        <v>397</v>
      </c>
      <c r="D9" s="408" t="s">
        <v>459</v>
      </c>
      <c r="E9" s="408" t="s">
        <v>397</v>
      </c>
      <c r="F9" s="290" t="s">
        <v>397</v>
      </c>
      <c r="G9" s="289">
        <v>927965.83</v>
      </c>
    </row>
    <row r="10" spans="1:7" ht="16.5" customHeight="1">
      <c r="A10" s="291" t="s">
        <v>458</v>
      </c>
      <c r="B10" s="408" t="s">
        <v>444</v>
      </c>
      <c r="C10" s="408" t="s">
        <v>397</v>
      </c>
      <c r="D10" s="408" t="s">
        <v>457</v>
      </c>
      <c r="E10" s="408" t="s">
        <v>397</v>
      </c>
      <c r="F10" s="290" t="s">
        <v>397</v>
      </c>
      <c r="G10" s="289">
        <v>7666.1</v>
      </c>
    </row>
    <row r="11" spans="1:7" ht="16.5" customHeight="1">
      <c r="A11" s="291" t="s">
        <v>365</v>
      </c>
      <c r="B11" s="408" t="s">
        <v>456</v>
      </c>
      <c r="C11" s="408" t="s">
        <v>397</v>
      </c>
      <c r="D11" s="408" t="s">
        <v>455</v>
      </c>
      <c r="E11" s="408" t="s">
        <v>397</v>
      </c>
      <c r="F11" s="290" t="s">
        <v>397</v>
      </c>
      <c r="G11" s="289">
        <v>16257.14</v>
      </c>
    </row>
    <row r="12" spans="1:7" ht="16.5" customHeight="1">
      <c r="A12" s="291" t="s">
        <v>454</v>
      </c>
      <c r="B12" s="408" t="s">
        <v>453</v>
      </c>
      <c r="C12" s="408" t="s">
        <v>397</v>
      </c>
      <c r="D12" s="408" t="s">
        <v>452</v>
      </c>
      <c r="E12" s="408" t="s">
        <v>397</v>
      </c>
      <c r="F12" s="290" t="s">
        <v>397</v>
      </c>
      <c r="G12" s="289" t="s">
        <v>397</v>
      </c>
    </row>
    <row r="13" spans="1:7" ht="16.5" customHeight="1">
      <c r="A13" s="291" t="s">
        <v>451</v>
      </c>
      <c r="B13" s="408" t="s">
        <v>450</v>
      </c>
      <c r="C13" s="408" t="s">
        <v>397</v>
      </c>
      <c r="D13" s="408" t="s">
        <v>449</v>
      </c>
      <c r="E13" s="408" t="s">
        <v>397</v>
      </c>
      <c r="F13" s="290" t="s">
        <v>397</v>
      </c>
      <c r="G13" s="289" t="s">
        <v>397</v>
      </c>
    </row>
    <row r="14" spans="1:7" ht="16.5" customHeight="1">
      <c r="A14" s="291" t="s">
        <v>448</v>
      </c>
      <c r="B14" s="408" t="s">
        <v>447</v>
      </c>
      <c r="C14" s="408" t="s">
        <v>397</v>
      </c>
      <c r="D14" s="408" t="s">
        <v>446</v>
      </c>
      <c r="E14" s="408" t="s">
        <v>397</v>
      </c>
      <c r="F14" s="290" t="s">
        <v>397</v>
      </c>
      <c r="G14" s="289" t="s">
        <v>397</v>
      </c>
    </row>
    <row r="15" spans="1:7" ht="16.5" customHeight="1">
      <c r="A15" s="291" t="s">
        <v>445</v>
      </c>
      <c r="B15" s="408" t="s">
        <v>444</v>
      </c>
      <c r="C15" s="408" t="s">
        <v>397</v>
      </c>
      <c r="D15" s="408" t="s">
        <v>443</v>
      </c>
      <c r="E15" s="408" t="s">
        <v>397</v>
      </c>
      <c r="F15" s="290" t="s">
        <v>397</v>
      </c>
      <c r="G15" s="289" t="s">
        <v>397</v>
      </c>
    </row>
    <row r="16" spans="1:7" ht="16.5" customHeight="1">
      <c r="A16" s="291" t="s">
        <v>442</v>
      </c>
      <c r="B16" s="408" t="s">
        <v>441</v>
      </c>
      <c r="C16" s="408" t="s">
        <v>397</v>
      </c>
      <c r="D16" s="408" t="s">
        <v>440</v>
      </c>
      <c r="E16" s="408" t="s">
        <v>397</v>
      </c>
      <c r="F16" s="290" t="s">
        <v>397</v>
      </c>
      <c r="G16" s="289">
        <v>16257.14</v>
      </c>
    </row>
    <row r="17" spans="1:7" ht="29.25" customHeight="1">
      <c r="A17" s="291" t="s">
        <v>439</v>
      </c>
      <c r="B17" s="408" t="s">
        <v>438</v>
      </c>
      <c r="C17" s="408" t="s">
        <v>397</v>
      </c>
      <c r="D17" s="408" t="s">
        <v>425</v>
      </c>
      <c r="E17" s="408" t="s">
        <v>397</v>
      </c>
      <c r="F17" s="290" t="s">
        <v>437</v>
      </c>
      <c r="G17" s="289">
        <v>15167.74</v>
      </c>
    </row>
    <row r="18" spans="1:7" ht="29.25" customHeight="1">
      <c r="A18" s="291" t="s">
        <v>436</v>
      </c>
      <c r="B18" s="408" t="s">
        <v>435</v>
      </c>
      <c r="C18" s="408" t="s">
        <v>397</v>
      </c>
      <c r="D18" s="408" t="s">
        <v>425</v>
      </c>
      <c r="E18" s="408" t="s">
        <v>397</v>
      </c>
      <c r="F18" s="290" t="s">
        <v>434</v>
      </c>
      <c r="G18" s="289">
        <v>1089.4000000000001</v>
      </c>
    </row>
    <row r="19" spans="1:7" ht="16.5" customHeight="1">
      <c r="A19" s="291" t="s">
        <v>316</v>
      </c>
      <c r="B19" s="408" t="s">
        <v>433</v>
      </c>
      <c r="C19" s="408" t="s">
        <v>397</v>
      </c>
      <c r="D19" s="408" t="s">
        <v>397</v>
      </c>
      <c r="E19" s="408" t="s">
        <v>397</v>
      </c>
      <c r="F19" s="290" t="s">
        <v>397</v>
      </c>
      <c r="G19" s="289" t="s">
        <v>397</v>
      </c>
    </row>
    <row r="20" spans="1:7" ht="29.25" customHeight="1">
      <c r="A20" s="291" t="s">
        <v>393</v>
      </c>
      <c r="B20" s="408" t="s">
        <v>432</v>
      </c>
      <c r="C20" s="408" t="s">
        <v>397</v>
      </c>
      <c r="D20" s="408" t="s">
        <v>425</v>
      </c>
      <c r="E20" s="408" t="s">
        <v>397</v>
      </c>
      <c r="F20" s="290" t="s">
        <v>431</v>
      </c>
      <c r="G20" s="289">
        <v>29329.89</v>
      </c>
    </row>
    <row r="21" spans="1:7" ht="29.25" customHeight="1">
      <c r="A21" s="291" t="s">
        <v>430</v>
      </c>
      <c r="B21" s="408" t="s">
        <v>429</v>
      </c>
      <c r="C21" s="408" t="s">
        <v>397</v>
      </c>
      <c r="D21" s="408" t="s">
        <v>425</v>
      </c>
      <c r="E21" s="408" t="s">
        <v>397</v>
      </c>
      <c r="F21" s="290" t="s">
        <v>428</v>
      </c>
      <c r="G21" s="289">
        <v>24989.07</v>
      </c>
    </row>
    <row r="22" spans="1:7" ht="29.25" customHeight="1">
      <c r="A22" s="291" t="s">
        <v>427</v>
      </c>
      <c r="B22" s="408" t="s">
        <v>426</v>
      </c>
      <c r="C22" s="408" t="s">
        <v>397</v>
      </c>
      <c r="D22" s="408" t="s">
        <v>425</v>
      </c>
      <c r="E22" s="408" t="s">
        <v>397</v>
      </c>
      <c r="F22" s="290" t="s">
        <v>424</v>
      </c>
      <c r="G22" s="289">
        <v>19542.09</v>
      </c>
    </row>
    <row r="23" spans="1:7" ht="16.5" customHeight="1">
      <c r="A23" s="291" t="s">
        <v>423</v>
      </c>
      <c r="B23" s="408" t="s">
        <v>422</v>
      </c>
      <c r="C23" s="408" t="s">
        <v>397</v>
      </c>
      <c r="D23" s="408" t="s">
        <v>397</v>
      </c>
      <c r="E23" s="408" t="s">
        <v>397</v>
      </c>
      <c r="F23" s="290" t="s">
        <v>397</v>
      </c>
      <c r="G23" s="289" t="s">
        <v>397</v>
      </c>
    </row>
    <row r="24" spans="1:7" ht="42" customHeight="1">
      <c r="A24" s="291" t="s">
        <v>421</v>
      </c>
      <c r="B24" s="408" t="s">
        <v>420</v>
      </c>
      <c r="C24" s="408" t="s">
        <v>397</v>
      </c>
      <c r="D24" s="408" t="s">
        <v>419</v>
      </c>
      <c r="E24" s="408" t="s">
        <v>397</v>
      </c>
      <c r="F24" s="290" t="s">
        <v>397</v>
      </c>
      <c r="G24" s="289">
        <v>1329298.02</v>
      </c>
    </row>
    <row r="25" spans="1:7" ht="16.5" customHeight="1">
      <c r="A25" s="291" t="s">
        <v>418</v>
      </c>
      <c r="B25" s="408" t="s">
        <v>417</v>
      </c>
      <c r="C25" s="408" t="s">
        <v>397</v>
      </c>
      <c r="D25" s="408" t="s">
        <v>416</v>
      </c>
      <c r="E25" s="408" t="s">
        <v>397</v>
      </c>
      <c r="F25" s="290" t="s">
        <v>397</v>
      </c>
      <c r="G25" s="289" t="s">
        <v>397</v>
      </c>
    </row>
    <row r="26" spans="1:7" ht="16.5" customHeight="1">
      <c r="A26" s="291" t="s">
        <v>415</v>
      </c>
      <c r="B26" s="408" t="s">
        <v>414</v>
      </c>
      <c r="C26" s="408" t="s">
        <v>397</v>
      </c>
      <c r="D26" s="408" t="s">
        <v>413</v>
      </c>
      <c r="E26" s="408" t="s">
        <v>397</v>
      </c>
      <c r="F26" s="290" t="s">
        <v>412</v>
      </c>
      <c r="G26" s="289">
        <v>47071.77</v>
      </c>
    </row>
    <row r="27" spans="1:7" ht="16.5" customHeight="1">
      <c r="A27" s="291" t="s">
        <v>411</v>
      </c>
      <c r="B27" s="408" t="s">
        <v>410</v>
      </c>
      <c r="C27" s="408" t="s">
        <v>397</v>
      </c>
      <c r="D27" s="408" t="s">
        <v>409</v>
      </c>
      <c r="E27" s="408" t="s">
        <v>397</v>
      </c>
      <c r="F27" s="290" t="s">
        <v>397</v>
      </c>
      <c r="G27" s="289" t="s">
        <v>397</v>
      </c>
    </row>
    <row r="28" spans="1:7" ht="16.5" customHeight="1">
      <c r="A28" s="291" t="s">
        <v>408</v>
      </c>
      <c r="B28" s="408" t="s">
        <v>407</v>
      </c>
      <c r="C28" s="408" t="s">
        <v>397</v>
      </c>
      <c r="D28" s="408" t="s">
        <v>407</v>
      </c>
      <c r="E28" s="408" t="s">
        <v>397</v>
      </c>
      <c r="F28" s="290" t="s">
        <v>397</v>
      </c>
      <c r="G28" s="289" t="s">
        <v>397</v>
      </c>
    </row>
    <row r="29" spans="1:7" ht="29.25" customHeight="1">
      <c r="A29" s="291" t="s">
        <v>406</v>
      </c>
      <c r="B29" s="408" t="s">
        <v>405</v>
      </c>
      <c r="C29" s="408" t="s">
        <v>397</v>
      </c>
      <c r="D29" s="408" t="s">
        <v>404</v>
      </c>
      <c r="E29" s="408" t="s">
        <v>397</v>
      </c>
      <c r="F29" s="290" t="s">
        <v>397</v>
      </c>
      <c r="G29" s="289">
        <v>1376369.79</v>
      </c>
    </row>
    <row r="30" spans="1:7" ht="16.5" customHeight="1">
      <c r="A30" s="291" t="s">
        <v>397</v>
      </c>
      <c r="B30" s="408" t="s">
        <v>397</v>
      </c>
      <c r="C30" s="408" t="s">
        <v>397</v>
      </c>
      <c r="D30" s="409" t="s">
        <v>397</v>
      </c>
      <c r="E30" s="409" t="s">
        <v>397</v>
      </c>
      <c r="F30" s="290" t="s">
        <v>397</v>
      </c>
      <c r="G30" s="289" t="s">
        <v>397</v>
      </c>
    </row>
    <row r="31" spans="1:7" ht="16.5" customHeight="1">
      <c r="A31" s="291" t="s">
        <v>403</v>
      </c>
      <c r="B31" s="408" t="s">
        <v>402</v>
      </c>
      <c r="C31" s="408" t="s">
        <v>397</v>
      </c>
      <c r="D31" s="408" t="s">
        <v>401</v>
      </c>
      <c r="E31" s="408" t="s">
        <v>397</v>
      </c>
      <c r="F31" s="290" t="s">
        <v>397</v>
      </c>
      <c r="G31" s="289">
        <v>1376369.79</v>
      </c>
    </row>
    <row r="32" spans="1:7" ht="16.5" customHeight="1">
      <c r="A32" s="291" t="s">
        <v>397</v>
      </c>
      <c r="B32" s="408" t="s">
        <v>397</v>
      </c>
      <c r="C32" s="408" t="s">
        <v>397</v>
      </c>
      <c r="D32" s="408" t="s">
        <v>397</v>
      </c>
      <c r="E32" s="408" t="s">
        <v>397</v>
      </c>
      <c r="F32" s="290" t="s">
        <v>397</v>
      </c>
      <c r="G32" s="289" t="s">
        <v>397</v>
      </c>
    </row>
    <row r="33" spans="1:7" ht="16.5" customHeight="1">
      <c r="A33" s="291" t="s">
        <v>397</v>
      </c>
      <c r="B33" s="408" t="s">
        <v>397</v>
      </c>
      <c r="C33" s="408" t="s">
        <v>397</v>
      </c>
      <c r="D33" s="408" t="s">
        <v>397</v>
      </c>
      <c r="E33" s="408" t="s">
        <v>397</v>
      </c>
      <c r="F33" s="290" t="s">
        <v>397</v>
      </c>
      <c r="G33" s="289" t="s">
        <v>397</v>
      </c>
    </row>
    <row r="34" spans="1:7" ht="16.5" customHeight="1">
      <c r="A34" s="291" t="s">
        <v>397</v>
      </c>
      <c r="B34" s="408" t="s">
        <v>397</v>
      </c>
      <c r="C34" s="408" t="s">
        <v>397</v>
      </c>
      <c r="D34" s="408" t="s">
        <v>397</v>
      </c>
      <c r="E34" s="408" t="s">
        <v>397</v>
      </c>
      <c r="F34" s="290" t="s">
        <v>397</v>
      </c>
      <c r="G34" s="289" t="s">
        <v>397</v>
      </c>
    </row>
    <row r="35" spans="1:7" ht="16.5" customHeight="1">
      <c r="A35" s="291" t="s">
        <v>397</v>
      </c>
      <c r="B35" s="408" t="s">
        <v>397</v>
      </c>
      <c r="C35" s="408" t="s">
        <v>397</v>
      </c>
      <c r="D35" s="408" t="s">
        <v>397</v>
      </c>
      <c r="E35" s="408" t="s">
        <v>397</v>
      </c>
      <c r="F35" s="290" t="s">
        <v>397</v>
      </c>
      <c r="G35" s="289" t="s">
        <v>397</v>
      </c>
    </row>
    <row r="36" spans="1:7" ht="16.5" customHeight="1" thickBot="1">
      <c r="A36" s="288" t="s">
        <v>397</v>
      </c>
      <c r="B36" s="410" t="s">
        <v>397</v>
      </c>
      <c r="C36" s="410" t="s">
        <v>397</v>
      </c>
      <c r="D36" s="410" t="s">
        <v>397</v>
      </c>
      <c r="E36" s="410" t="s">
        <v>397</v>
      </c>
      <c r="F36" s="287" t="s">
        <v>397</v>
      </c>
      <c r="G36" s="286" t="s">
        <v>397</v>
      </c>
    </row>
    <row r="37" spans="1:7" ht="16.5" customHeight="1">
      <c r="A37" s="403" t="s">
        <v>400</v>
      </c>
      <c r="B37" s="403" t="s">
        <v>397</v>
      </c>
      <c r="C37" s="404" t="s">
        <v>399</v>
      </c>
      <c r="D37" s="404" t="s">
        <v>397</v>
      </c>
      <c r="E37" s="405" t="s">
        <v>398</v>
      </c>
      <c r="F37" s="405" t="s">
        <v>397</v>
      </c>
      <c r="G37" s="405" t="s">
        <v>397</v>
      </c>
    </row>
  </sheetData>
  <mergeCells count="75">
    <mergeCell ref="A37:B37"/>
    <mergeCell ref="C37:D37"/>
    <mergeCell ref="E37:G37"/>
    <mergeCell ref="B34:C34"/>
    <mergeCell ref="D34:E34"/>
    <mergeCell ref="B35:C35"/>
    <mergeCell ref="D35:E35"/>
    <mergeCell ref="B36:C36"/>
    <mergeCell ref="D36:E36"/>
    <mergeCell ref="B31:C31"/>
    <mergeCell ref="D31:E31"/>
    <mergeCell ref="B32:C32"/>
    <mergeCell ref="D32:E32"/>
    <mergeCell ref="B33:C33"/>
    <mergeCell ref="D33:E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10:C10"/>
    <mergeCell ref="D10:E10"/>
    <mergeCell ref="B11:C11"/>
    <mergeCell ref="D11:E11"/>
    <mergeCell ref="B12:C12"/>
    <mergeCell ref="D12:E12"/>
    <mergeCell ref="B7:C7"/>
    <mergeCell ref="D7:E7"/>
    <mergeCell ref="B8:C8"/>
    <mergeCell ref="D8:E8"/>
    <mergeCell ref="B9:C9"/>
    <mergeCell ref="D9:E9"/>
    <mergeCell ref="B4:C4"/>
    <mergeCell ref="D4:E4"/>
    <mergeCell ref="B5:C5"/>
    <mergeCell ref="D5:E5"/>
    <mergeCell ref="B6:C6"/>
    <mergeCell ref="D6:E6"/>
    <mergeCell ref="A1:B1"/>
    <mergeCell ref="C1:D1"/>
    <mergeCell ref="E1:G1"/>
    <mergeCell ref="A2:G2"/>
    <mergeCell ref="A3:D3"/>
    <mergeCell ref="E3:G3"/>
  </mergeCells>
  <phoneticPr fontId="34" type="noConversion"/>
  <pageMargins left="0.51181102362204722" right="0.51181102362204722" top="0.59055118110236227" bottom="0.59055118110236227" header="0.59055118110236227" footer="0.59055118110236227"/>
  <pageSetup paperSize="9" scale="97" orientation="portrait" r:id="rId1"/>
  <headerFooter alignWithMargins="0"/>
</worksheet>
</file>

<file path=xl/worksheets/sheet12.xml><?xml version="1.0" encoding="utf-8"?>
<worksheet xmlns="http://schemas.openxmlformats.org/spreadsheetml/2006/main" xmlns:r="http://schemas.openxmlformats.org/officeDocument/2006/relationships">
  <dimension ref="A1:O192"/>
  <sheetViews>
    <sheetView workbookViewId="0">
      <selection activeCell="A2" sqref="A2:U2"/>
    </sheetView>
  </sheetViews>
  <sheetFormatPr defaultColWidth="8" defaultRowHeight="11.25"/>
  <cols>
    <col min="1" max="1" width="5.25" style="285" customWidth="1"/>
    <col min="2" max="2" width="8.625" style="285" customWidth="1"/>
    <col min="3" max="3" width="19.5" style="285" customWidth="1"/>
    <col min="4" max="4" width="6.25" style="285" customWidth="1"/>
    <col min="5" max="5" width="3.125" style="285" customWidth="1"/>
    <col min="6" max="6" width="6.125" style="285" customWidth="1"/>
    <col min="7" max="7" width="8.375" style="285" customWidth="1"/>
    <col min="8" max="8" width="8.875" style="285" customWidth="1"/>
    <col min="9" max="9" width="9.875" style="285" customWidth="1"/>
    <col min="10" max="10" width="8.375" style="285" customWidth="1"/>
    <col min="11" max="11" width="0.875" style="285" customWidth="1"/>
    <col min="12" max="12" width="9" style="285" customWidth="1"/>
    <col min="13" max="13" width="9.625" style="285" customWidth="1"/>
    <col min="14" max="14" width="11" style="285" customWidth="1"/>
    <col min="15" max="15" width="11.125" style="285" customWidth="1"/>
    <col min="16" max="16384" width="8" style="285"/>
  </cols>
  <sheetData>
    <row r="1" spans="1:15" ht="14.25" customHeight="1">
      <c r="A1" s="405" t="s">
        <v>397</v>
      </c>
      <c r="B1" s="405" t="s">
        <v>397</v>
      </c>
      <c r="C1" s="405" t="s">
        <v>397</v>
      </c>
      <c r="D1" s="405" t="s">
        <v>397</v>
      </c>
      <c r="E1" s="405" t="s">
        <v>397</v>
      </c>
      <c r="F1" s="405" t="s">
        <v>397</v>
      </c>
      <c r="G1" s="405" t="s">
        <v>397</v>
      </c>
      <c r="H1" s="405" t="s">
        <v>397</v>
      </c>
      <c r="I1" s="405" t="s">
        <v>397</v>
      </c>
      <c r="J1" s="405" t="s">
        <v>397</v>
      </c>
      <c r="K1" s="405" t="s">
        <v>397</v>
      </c>
      <c r="L1" s="405" t="s">
        <v>397</v>
      </c>
      <c r="M1" s="405" t="s">
        <v>397</v>
      </c>
      <c r="N1" s="405" t="s">
        <v>397</v>
      </c>
      <c r="O1" s="405" t="s">
        <v>397</v>
      </c>
    </row>
    <row r="2" spans="1:15" ht="32.25" customHeight="1">
      <c r="A2" s="411" t="s">
        <v>509</v>
      </c>
      <c r="B2" s="411" t="s">
        <v>397</v>
      </c>
      <c r="C2" s="411" t="s">
        <v>397</v>
      </c>
      <c r="D2" s="411" t="s">
        <v>397</v>
      </c>
      <c r="E2" s="411" t="s">
        <v>397</v>
      </c>
      <c r="F2" s="411" t="s">
        <v>397</v>
      </c>
      <c r="G2" s="411" t="s">
        <v>397</v>
      </c>
      <c r="H2" s="411" t="s">
        <v>397</v>
      </c>
      <c r="I2" s="411" t="s">
        <v>397</v>
      </c>
      <c r="J2" s="411" t="s">
        <v>397</v>
      </c>
      <c r="K2" s="411" t="s">
        <v>397</v>
      </c>
      <c r="L2" s="411" t="s">
        <v>397</v>
      </c>
      <c r="M2" s="411" t="s">
        <v>397</v>
      </c>
      <c r="N2" s="411" t="s">
        <v>397</v>
      </c>
      <c r="O2" s="411" t="s">
        <v>397</v>
      </c>
    </row>
    <row r="3" spans="1:15" ht="23.25" customHeight="1" thickBot="1">
      <c r="A3" s="412" t="s">
        <v>471</v>
      </c>
      <c r="B3" s="412" t="s">
        <v>397</v>
      </c>
      <c r="C3" s="412" t="s">
        <v>397</v>
      </c>
      <c r="D3" s="412" t="s">
        <v>397</v>
      </c>
      <c r="E3" s="412" t="s">
        <v>397</v>
      </c>
      <c r="F3" s="412" t="s">
        <v>397</v>
      </c>
      <c r="G3" s="412" t="s">
        <v>397</v>
      </c>
      <c r="H3" s="412" t="s">
        <v>397</v>
      </c>
      <c r="I3" s="412" t="s">
        <v>397</v>
      </c>
      <c r="J3" s="412" t="s">
        <v>397</v>
      </c>
      <c r="K3" s="405" t="s">
        <v>659</v>
      </c>
      <c r="L3" s="405" t="s">
        <v>397</v>
      </c>
      <c r="M3" s="405" t="s">
        <v>397</v>
      </c>
      <c r="N3" s="405" t="s">
        <v>397</v>
      </c>
      <c r="O3" s="405" t="s">
        <v>397</v>
      </c>
    </row>
    <row r="4" spans="1:15" ht="19.5" customHeight="1">
      <c r="A4" s="413" t="s">
        <v>42</v>
      </c>
      <c r="B4" s="407" t="s">
        <v>507</v>
      </c>
      <c r="C4" s="407" t="s">
        <v>506</v>
      </c>
      <c r="D4" s="407" t="s">
        <v>505</v>
      </c>
      <c r="E4" s="407" t="s">
        <v>397</v>
      </c>
      <c r="F4" s="407" t="s">
        <v>397</v>
      </c>
      <c r="G4" s="407" t="s">
        <v>504</v>
      </c>
      <c r="H4" s="407" t="s">
        <v>397</v>
      </c>
      <c r="I4" s="407" t="s">
        <v>503</v>
      </c>
      <c r="J4" s="407" t="s">
        <v>397</v>
      </c>
      <c r="K4" s="407" t="s">
        <v>397</v>
      </c>
      <c r="L4" s="407" t="s">
        <v>397</v>
      </c>
      <c r="M4" s="407" t="s">
        <v>397</v>
      </c>
      <c r="N4" s="407" t="s">
        <v>397</v>
      </c>
      <c r="O4" s="416" t="s">
        <v>502</v>
      </c>
    </row>
    <row r="5" spans="1:15" ht="18" customHeight="1">
      <c r="A5" s="414" t="s">
        <v>397</v>
      </c>
      <c r="B5" s="415" t="s">
        <v>397</v>
      </c>
      <c r="C5" s="415" t="s">
        <v>397</v>
      </c>
      <c r="D5" s="298" t="s">
        <v>384</v>
      </c>
      <c r="E5" s="415" t="s">
        <v>383</v>
      </c>
      <c r="F5" s="415" t="s">
        <v>397</v>
      </c>
      <c r="G5" s="298" t="s">
        <v>382</v>
      </c>
      <c r="H5" s="298" t="s">
        <v>381</v>
      </c>
      <c r="I5" s="298" t="s">
        <v>501</v>
      </c>
      <c r="J5" s="415" t="s">
        <v>500</v>
      </c>
      <c r="K5" s="415" t="s">
        <v>397</v>
      </c>
      <c r="L5" s="298" t="s">
        <v>499</v>
      </c>
      <c r="M5" s="298" t="s">
        <v>498</v>
      </c>
      <c r="N5" s="298" t="s">
        <v>497</v>
      </c>
      <c r="O5" s="417" t="s">
        <v>397</v>
      </c>
    </row>
    <row r="6" spans="1:15" ht="16.5" customHeight="1">
      <c r="A6" s="291" t="s">
        <v>397</v>
      </c>
      <c r="B6" s="295" t="s">
        <v>658</v>
      </c>
      <c r="C6" s="297" t="s">
        <v>657</v>
      </c>
      <c r="D6" s="295" t="s">
        <v>397</v>
      </c>
      <c r="E6" s="418" t="s">
        <v>397</v>
      </c>
      <c r="F6" s="418" t="s">
        <v>397</v>
      </c>
      <c r="G6" s="290" t="s">
        <v>397</v>
      </c>
      <c r="H6" s="290">
        <v>2093.56</v>
      </c>
      <c r="I6" s="290">
        <v>1446.33</v>
      </c>
      <c r="J6" s="418">
        <v>387.61</v>
      </c>
      <c r="K6" s="418" t="s">
        <v>397</v>
      </c>
      <c r="L6" s="290">
        <v>259.62</v>
      </c>
      <c r="M6" s="290" t="s">
        <v>397</v>
      </c>
      <c r="N6" s="290" t="s">
        <v>397</v>
      </c>
      <c r="O6" s="289">
        <v>17.260000000000002</v>
      </c>
    </row>
    <row r="7" spans="1:15" ht="18" customHeight="1">
      <c r="A7" s="291">
        <v>1</v>
      </c>
      <c r="B7" s="295" t="s">
        <v>656</v>
      </c>
      <c r="C7" s="296" t="s">
        <v>655</v>
      </c>
      <c r="D7" s="295" t="s">
        <v>309</v>
      </c>
      <c r="E7" s="418">
        <v>2</v>
      </c>
      <c r="F7" s="418" t="s">
        <v>397</v>
      </c>
      <c r="G7" s="290">
        <v>334.84</v>
      </c>
      <c r="H7" s="290">
        <v>669.68</v>
      </c>
      <c r="I7" s="290">
        <v>394.94</v>
      </c>
      <c r="J7" s="418">
        <v>168.12</v>
      </c>
      <c r="K7" s="418" t="s">
        <v>397</v>
      </c>
      <c r="L7" s="290">
        <v>106.62</v>
      </c>
      <c r="M7" s="290" t="s">
        <v>397</v>
      </c>
      <c r="N7" s="290" t="s">
        <v>397</v>
      </c>
      <c r="O7" s="289">
        <v>4.7140000000000004</v>
      </c>
    </row>
    <row r="8" spans="1:15" ht="18" customHeight="1">
      <c r="A8" s="291">
        <v>2</v>
      </c>
      <c r="B8" s="295" t="s">
        <v>654</v>
      </c>
      <c r="C8" s="296" t="s">
        <v>653</v>
      </c>
      <c r="D8" s="295" t="s">
        <v>312</v>
      </c>
      <c r="E8" s="418">
        <v>1</v>
      </c>
      <c r="F8" s="418" t="s">
        <v>397</v>
      </c>
      <c r="G8" s="290">
        <v>1423.88</v>
      </c>
      <c r="H8" s="290">
        <v>1423.88</v>
      </c>
      <c r="I8" s="290">
        <v>1051.3900000000001</v>
      </c>
      <c r="J8" s="418">
        <v>219.49</v>
      </c>
      <c r="K8" s="418" t="s">
        <v>397</v>
      </c>
      <c r="L8" s="290">
        <v>153</v>
      </c>
      <c r="M8" s="290" t="s">
        <v>397</v>
      </c>
      <c r="N8" s="290" t="s">
        <v>397</v>
      </c>
      <c r="O8" s="289">
        <v>12.545999999999999</v>
      </c>
    </row>
    <row r="9" spans="1:15" ht="16.5" customHeight="1">
      <c r="A9" s="291" t="s">
        <v>397</v>
      </c>
      <c r="B9" s="295" t="s">
        <v>652</v>
      </c>
      <c r="C9" s="297" t="s">
        <v>643</v>
      </c>
      <c r="D9" s="295" t="s">
        <v>397</v>
      </c>
      <c r="E9" s="418" t="s">
        <v>397</v>
      </c>
      <c r="F9" s="418" t="s">
        <v>397</v>
      </c>
      <c r="G9" s="290" t="s">
        <v>397</v>
      </c>
      <c r="H9" s="290">
        <v>2868.72</v>
      </c>
      <c r="I9" s="290">
        <v>2210.2199999999998</v>
      </c>
      <c r="J9" s="418">
        <v>336.12</v>
      </c>
      <c r="K9" s="418" t="s">
        <v>397</v>
      </c>
      <c r="L9" s="290">
        <v>322.38</v>
      </c>
      <c r="M9" s="290">
        <v>73810</v>
      </c>
      <c r="N9" s="290" t="s">
        <v>397</v>
      </c>
      <c r="O9" s="289">
        <v>26.802</v>
      </c>
    </row>
    <row r="10" spans="1:15" ht="29.25" customHeight="1">
      <c r="A10" s="291">
        <v>1</v>
      </c>
      <c r="B10" s="295" t="s">
        <v>651</v>
      </c>
      <c r="C10" s="296" t="s">
        <v>650</v>
      </c>
      <c r="D10" s="295" t="s">
        <v>474</v>
      </c>
      <c r="E10" s="418">
        <v>12</v>
      </c>
      <c r="F10" s="418" t="s">
        <v>397</v>
      </c>
      <c r="G10" s="290">
        <v>34.19</v>
      </c>
      <c r="H10" s="290">
        <v>410.28</v>
      </c>
      <c r="I10" s="290">
        <v>278.27999999999997</v>
      </c>
      <c r="J10" s="418">
        <v>61.8</v>
      </c>
      <c r="K10" s="418" t="s">
        <v>397</v>
      </c>
      <c r="L10" s="290">
        <v>70.2</v>
      </c>
      <c r="M10" s="290">
        <v>5760</v>
      </c>
      <c r="N10" s="290" t="s">
        <v>397</v>
      </c>
      <c r="O10" s="289">
        <v>3.3839999999999999</v>
      </c>
    </row>
    <row r="11" spans="1:15" ht="18" customHeight="1">
      <c r="A11" s="291" t="s">
        <v>397</v>
      </c>
      <c r="B11" s="295" t="s">
        <v>483</v>
      </c>
      <c r="C11" s="296" t="s">
        <v>649</v>
      </c>
      <c r="D11" s="295" t="s">
        <v>474</v>
      </c>
      <c r="E11" s="418">
        <v>12</v>
      </c>
      <c r="F11" s="418" t="s">
        <v>397</v>
      </c>
      <c r="G11" s="290">
        <v>480</v>
      </c>
      <c r="H11" s="290">
        <v>5760</v>
      </c>
      <c r="I11" s="290" t="s">
        <v>397</v>
      </c>
      <c r="J11" s="418" t="s">
        <v>397</v>
      </c>
      <c r="K11" s="418" t="s">
        <v>397</v>
      </c>
      <c r="L11" s="290" t="s">
        <v>397</v>
      </c>
      <c r="M11" s="290">
        <v>5760</v>
      </c>
      <c r="N11" s="290" t="s">
        <v>397</v>
      </c>
      <c r="O11" s="289" t="s">
        <v>397</v>
      </c>
    </row>
    <row r="12" spans="1:15" ht="29.25" customHeight="1">
      <c r="A12" s="291">
        <v>2</v>
      </c>
      <c r="B12" s="295" t="s">
        <v>648</v>
      </c>
      <c r="C12" s="296" t="s">
        <v>647</v>
      </c>
      <c r="D12" s="295" t="s">
        <v>474</v>
      </c>
      <c r="E12" s="418">
        <v>2</v>
      </c>
      <c r="F12" s="418" t="s">
        <v>397</v>
      </c>
      <c r="G12" s="290">
        <v>48.87</v>
      </c>
      <c r="H12" s="290">
        <v>97.74</v>
      </c>
      <c r="I12" s="290">
        <v>73.680000000000007</v>
      </c>
      <c r="J12" s="418">
        <v>11.4</v>
      </c>
      <c r="K12" s="418" t="s">
        <v>397</v>
      </c>
      <c r="L12" s="290">
        <v>12.66</v>
      </c>
      <c r="M12" s="290">
        <v>1100</v>
      </c>
      <c r="N12" s="290" t="s">
        <v>397</v>
      </c>
      <c r="O12" s="289">
        <v>0.89400000000000002</v>
      </c>
    </row>
    <row r="13" spans="1:15" ht="18" customHeight="1">
      <c r="A13" s="291" t="s">
        <v>397</v>
      </c>
      <c r="B13" s="295" t="s">
        <v>483</v>
      </c>
      <c r="C13" s="296" t="s">
        <v>646</v>
      </c>
      <c r="D13" s="295" t="s">
        <v>474</v>
      </c>
      <c r="E13" s="418">
        <v>2</v>
      </c>
      <c r="F13" s="418" t="s">
        <v>397</v>
      </c>
      <c r="G13" s="290">
        <v>550</v>
      </c>
      <c r="H13" s="290">
        <v>1100</v>
      </c>
      <c r="I13" s="290" t="s">
        <v>397</v>
      </c>
      <c r="J13" s="418" t="s">
        <v>397</v>
      </c>
      <c r="K13" s="418" t="s">
        <v>397</v>
      </c>
      <c r="L13" s="290" t="s">
        <v>397</v>
      </c>
      <c r="M13" s="290">
        <v>1100</v>
      </c>
      <c r="N13" s="290" t="s">
        <v>397</v>
      </c>
      <c r="O13" s="289" t="s">
        <v>397</v>
      </c>
    </row>
    <row r="14" spans="1:15" ht="29.25" customHeight="1">
      <c r="A14" s="291">
        <v>3</v>
      </c>
      <c r="B14" s="295" t="s">
        <v>645</v>
      </c>
      <c r="C14" s="296" t="s">
        <v>644</v>
      </c>
      <c r="D14" s="295" t="s">
        <v>474</v>
      </c>
      <c r="E14" s="418">
        <v>2</v>
      </c>
      <c r="F14" s="418" t="s">
        <v>397</v>
      </c>
      <c r="G14" s="290">
        <v>57.75</v>
      </c>
      <c r="H14" s="290">
        <v>115.5</v>
      </c>
      <c r="I14" s="290">
        <v>88.56</v>
      </c>
      <c r="J14" s="418">
        <v>13.32</v>
      </c>
      <c r="K14" s="418" t="s">
        <v>397</v>
      </c>
      <c r="L14" s="290">
        <v>13.62</v>
      </c>
      <c r="M14" s="290">
        <v>1300</v>
      </c>
      <c r="N14" s="290" t="s">
        <v>397</v>
      </c>
      <c r="O14" s="289">
        <v>1.0740000000000001</v>
      </c>
    </row>
    <row r="15" spans="1:15" ht="18" customHeight="1">
      <c r="A15" s="291" t="s">
        <v>397</v>
      </c>
      <c r="B15" s="295" t="s">
        <v>483</v>
      </c>
      <c r="C15" s="296" t="s">
        <v>643</v>
      </c>
      <c r="D15" s="295" t="s">
        <v>474</v>
      </c>
      <c r="E15" s="418">
        <v>2</v>
      </c>
      <c r="F15" s="418" t="s">
        <v>397</v>
      </c>
      <c r="G15" s="290">
        <v>650</v>
      </c>
      <c r="H15" s="290">
        <v>1300</v>
      </c>
      <c r="I15" s="290" t="s">
        <v>397</v>
      </c>
      <c r="J15" s="418" t="s">
        <v>397</v>
      </c>
      <c r="K15" s="418" t="s">
        <v>397</v>
      </c>
      <c r="L15" s="290" t="s">
        <v>397</v>
      </c>
      <c r="M15" s="290">
        <v>1300</v>
      </c>
      <c r="N15" s="290" t="s">
        <v>397</v>
      </c>
      <c r="O15" s="289" t="s">
        <v>397</v>
      </c>
    </row>
    <row r="16" spans="1:15" ht="29.25" customHeight="1">
      <c r="A16" s="291">
        <v>4</v>
      </c>
      <c r="B16" s="295" t="s">
        <v>638</v>
      </c>
      <c r="C16" s="296" t="s">
        <v>642</v>
      </c>
      <c r="D16" s="295" t="s">
        <v>474</v>
      </c>
      <c r="E16" s="418">
        <v>15</v>
      </c>
      <c r="F16" s="418" t="s">
        <v>397</v>
      </c>
      <c r="G16" s="290">
        <v>74.84</v>
      </c>
      <c r="H16" s="290">
        <v>1122.5999999999999</v>
      </c>
      <c r="I16" s="290">
        <v>884.85</v>
      </c>
      <c r="J16" s="418">
        <v>124.8</v>
      </c>
      <c r="K16" s="418" t="s">
        <v>397</v>
      </c>
      <c r="L16" s="290">
        <v>112.95</v>
      </c>
      <c r="M16" s="290">
        <v>9150</v>
      </c>
      <c r="N16" s="290" t="s">
        <v>397</v>
      </c>
      <c r="O16" s="289">
        <v>10.725</v>
      </c>
    </row>
    <row r="17" spans="1:15" ht="18" customHeight="1">
      <c r="A17" s="291" t="s">
        <v>397</v>
      </c>
      <c r="B17" s="295" t="s">
        <v>483</v>
      </c>
      <c r="C17" s="296" t="s">
        <v>641</v>
      </c>
      <c r="D17" s="295" t="s">
        <v>474</v>
      </c>
      <c r="E17" s="418">
        <v>15</v>
      </c>
      <c r="F17" s="418" t="s">
        <v>397</v>
      </c>
      <c r="G17" s="290">
        <v>610</v>
      </c>
      <c r="H17" s="290">
        <v>9150</v>
      </c>
      <c r="I17" s="290" t="s">
        <v>397</v>
      </c>
      <c r="J17" s="418" t="s">
        <v>397</v>
      </c>
      <c r="K17" s="418" t="s">
        <v>397</v>
      </c>
      <c r="L17" s="290" t="s">
        <v>397</v>
      </c>
      <c r="M17" s="290">
        <v>9150</v>
      </c>
      <c r="N17" s="290" t="s">
        <v>397</v>
      </c>
      <c r="O17" s="289" t="s">
        <v>397</v>
      </c>
    </row>
    <row r="18" spans="1:15" ht="29.25" customHeight="1">
      <c r="A18" s="291">
        <v>5</v>
      </c>
      <c r="B18" s="295" t="s">
        <v>638</v>
      </c>
      <c r="C18" s="296" t="s">
        <v>640</v>
      </c>
      <c r="D18" s="295" t="s">
        <v>312</v>
      </c>
      <c r="E18" s="418">
        <v>2</v>
      </c>
      <c r="F18" s="418" t="s">
        <v>397</v>
      </c>
      <c r="G18" s="290">
        <v>74.84</v>
      </c>
      <c r="H18" s="290">
        <v>149.68</v>
      </c>
      <c r="I18" s="290">
        <v>117.98</v>
      </c>
      <c r="J18" s="418">
        <v>16.64</v>
      </c>
      <c r="K18" s="418" t="s">
        <v>397</v>
      </c>
      <c r="L18" s="290">
        <v>15.06</v>
      </c>
      <c r="M18" s="290">
        <v>11000</v>
      </c>
      <c r="N18" s="290" t="s">
        <v>397</v>
      </c>
      <c r="O18" s="289">
        <v>1.43</v>
      </c>
    </row>
    <row r="19" spans="1:15" ht="18" customHeight="1">
      <c r="A19" s="291" t="s">
        <v>397</v>
      </c>
      <c r="B19" s="295" t="s">
        <v>483</v>
      </c>
      <c r="C19" s="296" t="s">
        <v>639</v>
      </c>
      <c r="D19" s="295" t="s">
        <v>312</v>
      </c>
      <c r="E19" s="418">
        <v>2</v>
      </c>
      <c r="F19" s="418" t="s">
        <v>397</v>
      </c>
      <c r="G19" s="290">
        <v>5500</v>
      </c>
      <c r="H19" s="290">
        <v>11000</v>
      </c>
      <c r="I19" s="290" t="s">
        <v>397</v>
      </c>
      <c r="J19" s="418" t="s">
        <v>397</v>
      </c>
      <c r="K19" s="418" t="s">
        <v>397</v>
      </c>
      <c r="L19" s="290" t="s">
        <v>397</v>
      </c>
      <c r="M19" s="290">
        <v>11000</v>
      </c>
      <c r="N19" s="290" t="s">
        <v>397</v>
      </c>
      <c r="O19" s="289" t="s">
        <v>397</v>
      </c>
    </row>
    <row r="20" spans="1:15" ht="29.25" customHeight="1">
      <c r="A20" s="291">
        <v>6</v>
      </c>
      <c r="B20" s="295" t="s">
        <v>638</v>
      </c>
      <c r="C20" s="296" t="s">
        <v>637</v>
      </c>
      <c r="D20" s="295" t="s">
        <v>312</v>
      </c>
      <c r="E20" s="418">
        <v>13</v>
      </c>
      <c r="F20" s="418" t="s">
        <v>397</v>
      </c>
      <c r="G20" s="290">
        <v>74.84</v>
      </c>
      <c r="H20" s="290">
        <v>972.92</v>
      </c>
      <c r="I20" s="290">
        <v>766.87</v>
      </c>
      <c r="J20" s="418">
        <v>108.16</v>
      </c>
      <c r="K20" s="418" t="s">
        <v>397</v>
      </c>
      <c r="L20" s="290">
        <v>97.89</v>
      </c>
      <c r="M20" s="290">
        <v>45500</v>
      </c>
      <c r="N20" s="290" t="s">
        <v>397</v>
      </c>
      <c r="O20" s="289">
        <v>9.2949999999999999</v>
      </c>
    </row>
    <row r="21" spans="1:15" ht="18" customHeight="1">
      <c r="A21" s="291" t="s">
        <v>397</v>
      </c>
      <c r="B21" s="295" t="s">
        <v>483</v>
      </c>
      <c r="C21" s="296" t="s">
        <v>636</v>
      </c>
      <c r="D21" s="295" t="s">
        <v>312</v>
      </c>
      <c r="E21" s="418">
        <v>13</v>
      </c>
      <c r="F21" s="418" t="s">
        <v>397</v>
      </c>
      <c r="G21" s="290">
        <v>3500</v>
      </c>
      <c r="H21" s="290">
        <v>45500</v>
      </c>
      <c r="I21" s="290" t="s">
        <v>397</v>
      </c>
      <c r="J21" s="418" t="s">
        <v>397</v>
      </c>
      <c r="K21" s="418" t="s">
        <v>397</v>
      </c>
      <c r="L21" s="290" t="s">
        <v>397</v>
      </c>
      <c r="M21" s="290">
        <v>45500</v>
      </c>
      <c r="N21" s="290" t="s">
        <v>397</v>
      </c>
      <c r="O21" s="289" t="s">
        <v>397</v>
      </c>
    </row>
    <row r="22" spans="1:15" ht="16.5" customHeight="1" thickBot="1">
      <c r="A22" s="288" t="s">
        <v>397</v>
      </c>
      <c r="B22" s="299" t="s">
        <v>635</v>
      </c>
      <c r="C22" s="301" t="s">
        <v>634</v>
      </c>
      <c r="D22" s="299" t="s">
        <v>397</v>
      </c>
      <c r="E22" s="419" t="s">
        <v>397</v>
      </c>
      <c r="F22" s="419" t="s">
        <v>397</v>
      </c>
      <c r="G22" s="287" t="s">
        <v>397</v>
      </c>
      <c r="H22" s="287">
        <v>4395.95</v>
      </c>
      <c r="I22" s="287">
        <v>2448.81</v>
      </c>
      <c r="J22" s="419">
        <v>1907.75</v>
      </c>
      <c r="K22" s="419" t="s">
        <v>397</v>
      </c>
      <c r="L22" s="287">
        <v>39.39</v>
      </c>
      <c r="M22" s="287">
        <v>14300</v>
      </c>
      <c r="N22" s="287" t="s">
        <v>397</v>
      </c>
      <c r="O22" s="286">
        <v>29.718</v>
      </c>
    </row>
    <row r="23" spans="1:15" ht="16.5" customHeight="1">
      <c r="A23" s="412" t="s">
        <v>400</v>
      </c>
      <c r="B23" s="412" t="s">
        <v>397</v>
      </c>
      <c r="C23" s="412" t="s">
        <v>397</v>
      </c>
      <c r="D23" s="412" t="s">
        <v>397</v>
      </c>
      <c r="E23" s="412" t="s">
        <v>397</v>
      </c>
      <c r="F23" s="404" t="s">
        <v>399</v>
      </c>
      <c r="G23" s="404" t="s">
        <v>397</v>
      </c>
      <c r="H23" s="404" t="s">
        <v>397</v>
      </c>
      <c r="I23" s="404" t="s">
        <v>397</v>
      </c>
      <c r="J23" s="404" t="s">
        <v>397</v>
      </c>
      <c r="K23" s="405" t="s">
        <v>398</v>
      </c>
      <c r="L23" s="405" t="s">
        <v>397</v>
      </c>
      <c r="M23" s="405" t="s">
        <v>397</v>
      </c>
      <c r="N23" s="405" t="s">
        <v>397</v>
      </c>
      <c r="O23" s="405" t="s">
        <v>397</v>
      </c>
    </row>
    <row r="24" spans="1:15" ht="14.25" customHeight="1">
      <c r="A24" s="405" t="s">
        <v>397</v>
      </c>
      <c r="B24" s="405" t="s">
        <v>397</v>
      </c>
      <c r="C24" s="405" t="s">
        <v>397</v>
      </c>
      <c r="D24" s="405" t="s">
        <v>397</v>
      </c>
      <c r="E24" s="405" t="s">
        <v>397</v>
      </c>
      <c r="F24" s="405" t="s">
        <v>397</v>
      </c>
      <c r="G24" s="405" t="s">
        <v>397</v>
      </c>
      <c r="H24" s="405" t="s">
        <v>397</v>
      </c>
      <c r="I24" s="405" t="s">
        <v>397</v>
      </c>
      <c r="J24" s="405" t="s">
        <v>397</v>
      </c>
      <c r="K24" s="405" t="s">
        <v>397</v>
      </c>
      <c r="L24" s="405" t="s">
        <v>397</v>
      </c>
      <c r="M24" s="405" t="s">
        <v>397</v>
      </c>
      <c r="N24" s="405" t="s">
        <v>397</v>
      </c>
      <c r="O24" s="405" t="s">
        <v>397</v>
      </c>
    </row>
    <row r="25" spans="1:15" ht="32.25" customHeight="1">
      <c r="A25" s="411" t="s">
        <v>509</v>
      </c>
      <c r="B25" s="411" t="s">
        <v>397</v>
      </c>
      <c r="C25" s="411" t="s">
        <v>397</v>
      </c>
      <c r="D25" s="411" t="s">
        <v>397</v>
      </c>
      <c r="E25" s="411" t="s">
        <v>397</v>
      </c>
      <c r="F25" s="411" t="s">
        <v>397</v>
      </c>
      <c r="G25" s="411" t="s">
        <v>397</v>
      </c>
      <c r="H25" s="411" t="s">
        <v>397</v>
      </c>
      <c r="I25" s="411" t="s">
        <v>397</v>
      </c>
      <c r="J25" s="411" t="s">
        <v>397</v>
      </c>
      <c r="K25" s="411" t="s">
        <v>397</v>
      </c>
      <c r="L25" s="411" t="s">
        <v>397</v>
      </c>
      <c r="M25" s="411" t="s">
        <v>397</v>
      </c>
      <c r="N25" s="411" t="s">
        <v>397</v>
      </c>
      <c r="O25" s="411" t="s">
        <v>397</v>
      </c>
    </row>
    <row r="26" spans="1:15" ht="23.25" customHeight="1" thickBot="1">
      <c r="A26" s="412" t="s">
        <v>471</v>
      </c>
      <c r="B26" s="412" t="s">
        <v>397</v>
      </c>
      <c r="C26" s="412" t="s">
        <v>397</v>
      </c>
      <c r="D26" s="412" t="s">
        <v>397</v>
      </c>
      <c r="E26" s="412" t="s">
        <v>397</v>
      </c>
      <c r="F26" s="412" t="s">
        <v>397</v>
      </c>
      <c r="G26" s="412" t="s">
        <v>397</v>
      </c>
      <c r="H26" s="412" t="s">
        <v>397</v>
      </c>
      <c r="I26" s="412" t="s">
        <v>397</v>
      </c>
      <c r="J26" s="412" t="s">
        <v>397</v>
      </c>
      <c r="K26" s="405" t="s">
        <v>633</v>
      </c>
      <c r="L26" s="405" t="s">
        <v>397</v>
      </c>
      <c r="M26" s="405" t="s">
        <v>397</v>
      </c>
      <c r="N26" s="405" t="s">
        <v>397</v>
      </c>
      <c r="O26" s="405" t="s">
        <v>397</v>
      </c>
    </row>
    <row r="27" spans="1:15" ht="19.5" customHeight="1">
      <c r="A27" s="413" t="s">
        <v>42</v>
      </c>
      <c r="B27" s="407" t="s">
        <v>507</v>
      </c>
      <c r="C27" s="407" t="s">
        <v>506</v>
      </c>
      <c r="D27" s="407" t="s">
        <v>505</v>
      </c>
      <c r="E27" s="407" t="s">
        <v>397</v>
      </c>
      <c r="F27" s="407" t="s">
        <v>397</v>
      </c>
      <c r="G27" s="407" t="s">
        <v>504</v>
      </c>
      <c r="H27" s="407" t="s">
        <v>397</v>
      </c>
      <c r="I27" s="407" t="s">
        <v>503</v>
      </c>
      <c r="J27" s="407" t="s">
        <v>397</v>
      </c>
      <c r="K27" s="407" t="s">
        <v>397</v>
      </c>
      <c r="L27" s="407" t="s">
        <v>397</v>
      </c>
      <c r="M27" s="407" t="s">
        <v>397</v>
      </c>
      <c r="N27" s="407" t="s">
        <v>397</v>
      </c>
      <c r="O27" s="416" t="s">
        <v>502</v>
      </c>
    </row>
    <row r="28" spans="1:15" ht="18" customHeight="1">
      <c r="A28" s="414" t="s">
        <v>397</v>
      </c>
      <c r="B28" s="415" t="s">
        <v>397</v>
      </c>
      <c r="C28" s="415" t="s">
        <v>397</v>
      </c>
      <c r="D28" s="298" t="s">
        <v>384</v>
      </c>
      <c r="E28" s="415" t="s">
        <v>383</v>
      </c>
      <c r="F28" s="415" t="s">
        <v>397</v>
      </c>
      <c r="G28" s="298" t="s">
        <v>382</v>
      </c>
      <c r="H28" s="298" t="s">
        <v>381</v>
      </c>
      <c r="I28" s="298" t="s">
        <v>501</v>
      </c>
      <c r="J28" s="415" t="s">
        <v>500</v>
      </c>
      <c r="K28" s="415" t="s">
        <v>397</v>
      </c>
      <c r="L28" s="298" t="s">
        <v>499</v>
      </c>
      <c r="M28" s="298" t="s">
        <v>498</v>
      </c>
      <c r="N28" s="298" t="s">
        <v>497</v>
      </c>
      <c r="O28" s="417" t="s">
        <v>397</v>
      </c>
    </row>
    <row r="29" spans="1:15" ht="29.25" customHeight="1">
      <c r="A29" s="291">
        <v>1</v>
      </c>
      <c r="B29" s="295" t="s">
        <v>632</v>
      </c>
      <c r="C29" s="296" t="s">
        <v>631</v>
      </c>
      <c r="D29" s="295" t="s">
        <v>474</v>
      </c>
      <c r="E29" s="418">
        <v>13</v>
      </c>
      <c r="F29" s="418" t="s">
        <v>397</v>
      </c>
      <c r="G29" s="290">
        <v>338.15</v>
      </c>
      <c r="H29" s="290">
        <v>4395.95</v>
      </c>
      <c r="I29" s="290">
        <v>2448.81</v>
      </c>
      <c r="J29" s="418">
        <v>1907.75</v>
      </c>
      <c r="K29" s="418" t="s">
        <v>397</v>
      </c>
      <c r="L29" s="290">
        <v>39.39</v>
      </c>
      <c r="M29" s="290">
        <v>14300</v>
      </c>
      <c r="N29" s="290" t="s">
        <v>397</v>
      </c>
      <c r="O29" s="289">
        <v>29.718</v>
      </c>
    </row>
    <row r="30" spans="1:15" ht="18" customHeight="1">
      <c r="A30" s="291" t="s">
        <v>397</v>
      </c>
      <c r="B30" s="295" t="s">
        <v>483</v>
      </c>
      <c r="C30" s="296" t="s">
        <v>630</v>
      </c>
      <c r="D30" s="295" t="s">
        <v>474</v>
      </c>
      <c r="E30" s="418">
        <v>13</v>
      </c>
      <c r="F30" s="418" t="s">
        <v>397</v>
      </c>
      <c r="G30" s="290">
        <v>1100</v>
      </c>
      <c r="H30" s="290">
        <v>14300</v>
      </c>
      <c r="I30" s="290" t="s">
        <v>397</v>
      </c>
      <c r="J30" s="418" t="s">
        <v>397</v>
      </c>
      <c r="K30" s="418" t="s">
        <v>397</v>
      </c>
      <c r="L30" s="290" t="s">
        <v>397</v>
      </c>
      <c r="M30" s="290">
        <v>14300</v>
      </c>
      <c r="N30" s="290" t="s">
        <v>397</v>
      </c>
      <c r="O30" s="289" t="s">
        <v>397</v>
      </c>
    </row>
    <row r="31" spans="1:15" ht="16.5" customHeight="1">
      <c r="A31" s="291" t="s">
        <v>397</v>
      </c>
      <c r="B31" s="295" t="s">
        <v>629</v>
      </c>
      <c r="C31" s="297" t="s">
        <v>628</v>
      </c>
      <c r="D31" s="295" t="s">
        <v>397</v>
      </c>
      <c r="E31" s="418" t="s">
        <v>397</v>
      </c>
      <c r="F31" s="418" t="s">
        <v>397</v>
      </c>
      <c r="G31" s="290" t="s">
        <v>397</v>
      </c>
      <c r="H31" s="290">
        <v>2277.86</v>
      </c>
      <c r="I31" s="290">
        <v>1590.68</v>
      </c>
      <c r="J31" s="418">
        <v>650.13</v>
      </c>
      <c r="K31" s="418" t="s">
        <v>397</v>
      </c>
      <c r="L31" s="290">
        <v>37.049999999999997</v>
      </c>
      <c r="M31" s="290">
        <v>79749.600000000006</v>
      </c>
      <c r="N31" s="290" t="s">
        <v>397</v>
      </c>
      <c r="O31" s="289">
        <v>19.318000000000001</v>
      </c>
    </row>
    <row r="32" spans="1:15" ht="29.25" customHeight="1">
      <c r="A32" s="291">
        <v>1</v>
      </c>
      <c r="B32" s="295" t="s">
        <v>626</v>
      </c>
      <c r="C32" s="296" t="s">
        <v>625</v>
      </c>
      <c r="D32" s="295" t="s">
        <v>521</v>
      </c>
      <c r="E32" s="418">
        <v>2</v>
      </c>
      <c r="F32" s="418" t="s">
        <v>397</v>
      </c>
      <c r="G32" s="290">
        <v>175.22</v>
      </c>
      <c r="H32" s="290">
        <v>350.44</v>
      </c>
      <c r="I32" s="290">
        <v>244.72</v>
      </c>
      <c r="J32" s="418">
        <v>100.02</v>
      </c>
      <c r="K32" s="418" t="s">
        <v>397</v>
      </c>
      <c r="L32" s="290">
        <v>5.7</v>
      </c>
      <c r="M32" s="290">
        <v>64640</v>
      </c>
      <c r="N32" s="290" t="s">
        <v>397</v>
      </c>
      <c r="O32" s="289">
        <v>2.972</v>
      </c>
    </row>
    <row r="33" spans="1:15" ht="18" customHeight="1">
      <c r="A33" s="291" t="s">
        <v>397</v>
      </c>
      <c r="B33" s="295" t="s">
        <v>483</v>
      </c>
      <c r="C33" s="296" t="s">
        <v>627</v>
      </c>
      <c r="D33" s="295" t="s">
        <v>474</v>
      </c>
      <c r="E33" s="418">
        <v>4.04</v>
      </c>
      <c r="F33" s="418" t="s">
        <v>397</v>
      </c>
      <c r="G33" s="290">
        <v>16000</v>
      </c>
      <c r="H33" s="290">
        <v>64640</v>
      </c>
      <c r="I33" s="290" t="s">
        <v>397</v>
      </c>
      <c r="J33" s="418" t="s">
        <v>397</v>
      </c>
      <c r="K33" s="418" t="s">
        <v>397</v>
      </c>
      <c r="L33" s="290" t="s">
        <v>397</v>
      </c>
      <c r="M33" s="290">
        <v>64640</v>
      </c>
      <c r="N33" s="290" t="s">
        <v>397</v>
      </c>
      <c r="O33" s="289" t="s">
        <v>397</v>
      </c>
    </row>
    <row r="34" spans="1:15" ht="29.25" customHeight="1">
      <c r="A34" s="291">
        <v>2</v>
      </c>
      <c r="B34" s="295" t="s">
        <v>626</v>
      </c>
      <c r="C34" s="296" t="s">
        <v>625</v>
      </c>
      <c r="D34" s="295" t="s">
        <v>521</v>
      </c>
      <c r="E34" s="418">
        <v>11</v>
      </c>
      <c r="F34" s="418" t="s">
        <v>397</v>
      </c>
      <c r="G34" s="290">
        <v>175.22</v>
      </c>
      <c r="H34" s="290">
        <v>1927.42</v>
      </c>
      <c r="I34" s="290">
        <v>1345.96</v>
      </c>
      <c r="J34" s="418">
        <v>550.11</v>
      </c>
      <c r="K34" s="418" t="s">
        <v>397</v>
      </c>
      <c r="L34" s="290">
        <v>31.35</v>
      </c>
      <c r="M34" s="290">
        <v>15109.6</v>
      </c>
      <c r="N34" s="290" t="s">
        <v>397</v>
      </c>
      <c r="O34" s="289">
        <v>16.346</v>
      </c>
    </row>
    <row r="35" spans="1:15" ht="18" customHeight="1">
      <c r="A35" s="291" t="s">
        <v>397</v>
      </c>
      <c r="B35" s="295" t="s">
        <v>483</v>
      </c>
      <c r="C35" s="296" t="s">
        <v>624</v>
      </c>
      <c r="D35" s="295" t="s">
        <v>474</v>
      </c>
      <c r="E35" s="418">
        <v>22.22</v>
      </c>
      <c r="F35" s="418" t="s">
        <v>397</v>
      </c>
      <c r="G35" s="290">
        <v>680</v>
      </c>
      <c r="H35" s="290">
        <v>15109.6</v>
      </c>
      <c r="I35" s="290" t="s">
        <v>397</v>
      </c>
      <c r="J35" s="418" t="s">
        <v>397</v>
      </c>
      <c r="K35" s="418" t="s">
        <v>397</v>
      </c>
      <c r="L35" s="290" t="s">
        <v>397</v>
      </c>
      <c r="M35" s="290">
        <v>15109.6</v>
      </c>
      <c r="N35" s="290" t="s">
        <v>397</v>
      </c>
      <c r="O35" s="289" t="s">
        <v>397</v>
      </c>
    </row>
    <row r="36" spans="1:15" ht="16.5" customHeight="1">
      <c r="A36" s="291" t="s">
        <v>397</v>
      </c>
      <c r="B36" s="295" t="s">
        <v>623</v>
      </c>
      <c r="C36" s="297" t="s">
        <v>622</v>
      </c>
      <c r="D36" s="295" t="s">
        <v>397</v>
      </c>
      <c r="E36" s="418" t="s">
        <v>397</v>
      </c>
      <c r="F36" s="418" t="s">
        <v>397</v>
      </c>
      <c r="G36" s="290" t="s">
        <v>397</v>
      </c>
      <c r="H36" s="290">
        <v>1417.12</v>
      </c>
      <c r="I36" s="290">
        <v>673.2</v>
      </c>
      <c r="J36" s="418">
        <v>689.56</v>
      </c>
      <c r="K36" s="418" t="s">
        <v>397</v>
      </c>
      <c r="L36" s="290">
        <v>54.36</v>
      </c>
      <c r="M36" s="290">
        <v>13200</v>
      </c>
      <c r="N36" s="290" t="s">
        <v>397</v>
      </c>
      <c r="O36" s="289">
        <v>8.1720000000000006</v>
      </c>
    </row>
    <row r="37" spans="1:15" ht="29.25" customHeight="1">
      <c r="A37" s="291">
        <v>1</v>
      </c>
      <c r="B37" s="295" t="s">
        <v>621</v>
      </c>
      <c r="C37" s="296" t="s">
        <v>620</v>
      </c>
      <c r="D37" s="295" t="s">
        <v>312</v>
      </c>
      <c r="E37" s="418">
        <v>4</v>
      </c>
      <c r="F37" s="418" t="s">
        <v>397</v>
      </c>
      <c r="G37" s="290">
        <v>354.28</v>
      </c>
      <c r="H37" s="290">
        <v>1417.12</v>
      </c>
      <c r="I37" s="290">
        <v>673.2</v>
      </c>
      <c r="J37" s="418">
        <v>689.56</v>
      </c>
      <c r="K37" s="418" t="s">
        <v>397</v>
      </c>
      <c r="L37" s="290">
        <v>54.36</v>
      </c>
      <c r="M37" s="290">
        <v>13200</v>
      </c>
      <c r="N37" s="290" t="s">
        <v>397</v>
      </c>
      <c r="O37" s="289">
        <v>8.1720000000000006</v>
      </c>
    </row>
    <row r="38" spans="1:15" ht="18" customHeight="1">
      <c r="A38" s="291" t="s">
        <v>397</v>
      </c>
      <c r="B38" s="295" t="s">
        <v>483</v>
      </c>
      <c r="C38" s="296" t="s">
        <v>619</v>
      </c>
      <c r="D38" s="295" t="s">
        <v>312</v>
      </c>
      <c r="E38" s="418">
        <v>4</v>
      </c>
      <c r="F38" s="418" t="s">
        <v>397</v>
      </c>
      <c r="G38" s="290">
        <v>3300</v>
      </c>
      <c r="H38" s="290">
        <v>13200</v>
      </c>
      <c r="I38" s="290" t="s">
        <v>397</v>
      </c>
      <c r="J38" s="418" t="s">
        <v>397</v>
      </c>
      <c r="K38" s="418" t="s">
        <v>397</v>
      </c>
      <c r="L38" s="290" t="s">
        <v>397</v>
      </c>
      <c r="M38" s="290">
        <v>13200</v>
      </c>
      <c r="N38" s="290" t="s">
        <v>397</v>
      </c>
      <c r="O38" s="289" t="s">
        <v>397</v>
      </c>
    </row>
    <row r="39" spans="1:15" ht="16.5" customHeight="1">
      <c r="A39" s="291" t="s">
        <v>397</v>
      </c>
      <c r="B39" s="295" t="s">
        <v>618</v>
      </c>
      <c r="C39" s="297" t="s">
        <v>617</v>
      </c>
      <c r="D39" s="295" t="s">
        <v>397</v>
      </c>
      <c r="E39" s="418" t="s">
        <v>397</v>
      </c>
      <c r="F39" s="418" t="s">
        <v>397</v>
      </c>
      <c r="G39" s="290" t="s">
        <v>397</v>
      </c>
      <c r="H39" s="290">
        <v>3620.94</v>
      </c>
      <c r="I39" s="290">
        <v>3269.95</v>
      </c>
      <c r="J39" s="418">
        <v>350.99</v>
      </c>
      <c r="K39" s="418" t="s">
        <v>397</v>
      </c>
      <c r="L39" s="290" t="s">
        <v>397</v>
      </c>
      <c r="M39" s="290">
        <v>240000</v>
      </c>
      <c r="N39" s="290" t="s">
        <v>397</v>
      </c>
      <c r="O39" s="289">
        <v>54.502000000000002</v>
      </c>
    </row>
    <row r="40" spans="1:15" ht="18" customHeight="1">
      <c r="A40" s="291">
        <v>1</v>
      </c>
      <c r="B40" s="295" t="s">
        <v>616</v>
      </c>
      <c r="C40" s="296" t="s">
        <v>615</v>
      </c>
      <c r="D40" s="295" t="s">
        <v>597</v>
      </c>
      <c r="E40" s="418">
        <v>15</v>
      </c>
      <c r="F40" s="418" t="s">
        <v>397</v>
      </c>
      <c r="G40" s="290">
        <v>83.06</v>
      </c>
      <c r="H40" s="290">
        <v>1245.9000000000001</v>
      </c>
      <c r="I40" s="290">
        <v>1230.9000000000001</v>
      </c>
      <c r="J40" s="418">
        <v>15</v>
      </c>
      <c r="K40" s="418" t="s">
        <v>397</v>
      </c>
      <c r="L40" s="290" t="s">
        <v>397</v>
      </c>
      <c r="M40" s="290">
        <v>45000</v>
      </c>
      <c r="N40" s="290" t="s">
        <v>397</v>
      </c>
      <c r="O40" s="289">
        <v>20.52</v>
      </c>
    </row>
    <row r="41" spans="1:15" ht="29.25" customHeight="1">
      <c r="A41" s="291" t="s">
        <v>397</v>
      </c>
      <c r="B41" s="295" t="s">
        <v>483</v>
      </c>
      <c r="C41" s="296" t="s">
        <v>614</v>
      </c>
      <c r="D41" s="295" t="s">
        <v>312</v>
      </c>
      <c r="E41" s="418">
        <v>150</v>
      </c>
      <c r="F41" s="418" t="s">
        <v>397</v>
      </c>
      <c r="G41" s="290">
        <v>300</v>
      </c>
      <c r="H41" s="290">
        <v>45000</v>
      </c>
      <c r="I41" s="290" t="s">
        <v>397</v>
      </c>
      <c r="J41" s="418" t="s">
        <v>397</v>
      </c>
      <c r="K41" s="418" t="s">
        <v>397</v>
      </c>
      <c r="L41" s="290" t="s">
        <v>397</v>
      </c>
      <c r="M41" s="290">
        <v>45000</v>
      </c>
      <c r="N41" s="290" t="s">
        <v>397</v>
      </c>
      <c r="O41" s="289" t="s">
        <v>397</v>
      </c>
    </row>
    <row r="42" spans="1:15" ht="18" customHeight="1">
      <c r="A42" s="291">
        <v>2</v>
      </c>
      <c r="B42" s="295" t="s">
        <v>613</v>
      </c>
      <c r="C42" s="296" t="s">
        <v>612</v>
      </c>
      <c r="D42" s="295" t="s">
        <v>597</v>
      </c>
      <c r="E42" s="418">
        <v>6.5</v>
      </c>
      <c r="F42" s="418" t="s">
        <v>397</v>
      </c>
      <c r="G42" s="290">
        <v>365.39</v>
      </c>
      <c r="H42" s="290">
        <v>2375.04</v>
      </c>
      <c r="I42" s="290">
        <v>2039.05</v>
      </c>
      <c r="J42" s="418">
        <v>335.99</v>
      </c>
      <c r="K42" s="418" t="s">
        <v>397</v>
      </c>
      <c r="L42" s="290" t="s">
        <v>397</v>
      </c>
      <c r="M42" s="290">
        <v>195000</v>
      </c>
      <c r="N42" s="290" t="s">
        <v>397</v>
      </c>
      <c r="O42" s="289">
        <v>33.981999999999999</v>
      </c>
    </row>
    <row r="43" spans="1:15" ht="18" customHeight="1">
      <c r="A43" s="291" t="s">
        <v>397</v>
      </c>
      <c r="B43" s="295" t="s">
        <v>483</v>
      </c>
      <c r="C43" s="296" t="s">
        <v>611</v>
      </c>
      <c r="D43" s="295" t="s">
        <v>474</v>
      </c>
      <c r="E43" s="418">
        <v>65</v>
      </c>
      <c r="F43" s="418" t="s">
        <v>397</v>
      </c>
      <c r="G43" s="290">
        <v>3000</v>
      </c>
      <c r="H43" s="290">
        <v>195000</v>
      </c>
      <c r="I43" s="290" t="s">
        <v>397</v>
      </c>
      <c r="J43" s="418" t="s">
        <v>397</v>
      </c>
      <c r="K43" s="418" t="s">
        <v>397</v>
      </c>
      <c r="L43" s="290" t="s">
        <v>397</v>
      </c>
      <c r="M43" s="290">
        <v>195000</v>
      </c>
      <c r="N43" s="290" t="s">
        <v>397</v>
      </c>
      <c r="O43" s="289" t="s">
        <v>397</v>
      </c>
    </row>
    <row r="44" spans="1:15" ht="16.5" customHeight="1">
      <c r="A44" s="291" t="s">
        <v>397</v>
      </c>
      <c r="B44" s="295" t="s">
        <v>610</v>
      </c>
      <c r="C44" s="297" t="s">
        <v>609</v>
      </c>
      <c r="D44" s="295" t="s">
        <v>397</v>
      </c>
      <c r="E44" s="418" t="s">
        <v>397</v>
      </c>
      <c r="F44" s="418" t="s">
        <v>397</v>
      </c>
      <c r="G44" s="290" t="s">
        <v>397</v>
      </c>
      <c r="H44" s="290">
        <v>1028.4000000000001</v>
      </c>
      <c r="I44" s="290">
        <v>582.9</v>
      </c>
      <c r="J44" s="418">
        <v>402.84</v>
      </c>
      <c r="K44" s="418" t="s">
        <v>397</v>
      </c>
      <c r="L44" s="290">
        <v>42.66</v>
      </c>
      <c r="M44" s="290">
        <v>27000</v>
      </c>
      <c r="N44" s="290" t="s">
        <v>397</v>
      </c>
      <c r="O44" s="289">
        <v>7.0739999999999998</v>
      </c>
    </row>
    <row r="45" spans="1:15" ht="29.25" customHeight="1" thickBot="1">
      <c r="A45" s="288">
        <v>1</v>
      </c>
      <c r="B45" s="299" t="s">
        <v>608</v>
      </c>
      <c r="C45" s="300" t="s">
        <v>607</v>
      </c>
      <c r="D45" s="299" t="s">
        <v>474</v>
      </c>
      <c r="E45" s="419">
        <v>6</v>
      </c>
      <c r="F45" s="419" t="s">
        <v>397</v>
      </c>
      <c r="G45" s="287">
        <v>171.4</v>
      </c>
      <c r="H45" s="287">
        <v>1028.4000000000001</v>
      </c>
      <c r="I45" s="287">
        <v>582.9</v>
      </c>
      <c r="J45" s="419">
        <v>402.84</v>
      </c>
      <c r="K45" s="419" t="s">
        <v>397</v>
      </c>
      <c r="L45" s="287">
        <v>42.66</v>
      </c>
      <c r="M45" s="287">
        <v>27000</v>
      </c>
      <c r="N45" s="287" t="s">
        <v>397</v>
      </c>
      <c r="O45" s="286">
        <v>7.0739999999999998</v>
      </c>
    </row>
    <row r="46" spans="1:15" ht="16.5" customHeight="1">
      <c r="A46" s="412" t="s">
        <v>400</v>
      </c>
      <c r="B46" s="412" t="s">
        <v>397</v>
      </c>
      <c r="C46" s="412" t="s">
        <v>397</v>
      </c>
      <c r="D46" s="412" t="s">
        <v>397</v>
      </c>
      <c r="E46" s="412" t="s">
        <v>397</v>
      </c>
      <c r="F46" s="404" t="s">
        <v>399</v>
      </c>
      <c r="G46" s="404" t="s">
        <v>397</v>
      </c>
      <c r="H46" s="404" t="s">
        <v>397</v>
      </c>
      <c r="I46" s="404" t="s">
        <v>397</v>
      </c>
      <c r="J46" s="404" t="s">
        <v>397</v>
      </c>
      <c r="K46" s="405" t="s">
        <v>398</v>
      </c>
      <c r="L46" s="405" t="s">
        <v>397</v>
      </c>
      <c r="M46" s="405" t="s">
        <v>397</v>
      </c>
      <c r="N46" s="405" t="s">
        <v>397</v>
      </c>
      <c r="O46" s="405" t="s">
        <v>397</v>
      </c>
    </row>
    <row r="47" spans="1:15" ht="14.25" customHeight="1">
      <c r="A47" s="405" t="s">
        <v>397</v>
      </c>
      <c r="B47" s="405" t="s">
        <v>397</v>
      </c>
      <c r="C47" s="405" t="s">
        <v>397</v>
      </c>
      <c r="D47" s="405" t="s">
        <v>397</v>
      </c>
      <c r="E47" s="405" t="s">
        <v>397</v>
      </c>
      <c r="F47" s="405" t="s">
        <v>397</v>
      </c>
      <c r="G47" s="405" t="s">
        <v>397</v>
      </c>
      <c r="H47" s="405" t="s">
        <v>397</v>
      </c>
      <c r="I47" s="405" t="s">
        <v>397</v>
      </c>
      <c r="J47" s="405" t="s">
        <v>397</v>
      </c>
      <c r="K47" s="405" t="s">
        <v>397</v>
      </c>
      <c r="L47" s="405" t="s">
        <v>397</v>
      </c>
      <c r="M47" s="405" t="s">
        <v>397</v>
      </c>
      <c r="N47" s="405" t="s">
        <v>397</v>
      </c>
      <c r="O47" s="405" t="s">
        <v>397</v>
      </c>
    </row>
    <row r="48" spans="1:15" ht="32.25" customHeight="1">
      <c r="A48" s="411" t="s">
        <v>509</v>
      </c>
      <c r="B48" s="411" t="s">
        <v>397</v>
      </c>
      <c r="C48" s="411" t="s">
        <v>397</v>
      </c>
      <c r="D48" s="411" t="s">
        <v>397</v>
      </c>
      <c r="E48" s="411" t="s">
        <v>397</v>
      </c>
      <c r="F48" s="411" t="s">
        <v>397</v>
      </c>
      <c r="G48" s="411" t="s">
        <v>397</v>
      </c>
      <c r="H48" s="411" t="s">
        <v>397</v>
      </c>
      <c r="I48" s="411" t="s">
        <v>397</v>
      </c>
      <c r="J48" s="411" t="s">
        <v>397</v>
      </c>
      <c r="K48" s="411" t="s">
        <v>397</v>
      </c>
      <c r="L48" s="411" t="s">
        <v>397</v>
      </c>
      <c r="M48" s="411" t="s">
        <v>397</v>
      </c>
      <c r="N48" s="411" t="s">
        <v>397</v>
      </c>
      <c r="O48" s="411" t="s">
        <v>397</v>
      </c>
    </row>
    <row r="49" spans="1:15" ht="23.25" customHeight="1" thickBot="1">
      <c r="A49" s="412" t="s">
        <v>471</v>
      </c>
      <c r="B49" s="412" t="s">
        <v>397</v>
      </c>
      <c r="C49" s="412" t="s">
        <v>397</v>
      </c>
      <c r="D49" s="412" t="s">
        <v>397</v>
      </c>
      <c r="E49" s="412" t="s">
        <v>397</v>
      </c>
      <c r="F49" s="412" t="s">
        <v>397</v>
      </c>
      <c r="G49" s="412" t="s">
        <v>397</v>
      </c>
      <c r="H49" s="412" t="s">
        <v>397</v>
      </c>
      <c r="I49" s="412" t="s">
        <v>397</v>
      </c>
      <c r="J49" s="412" t="s">
        <v>397</v>
      </c>
      <c r="K49" s="405" t="s">
        <v>606</v>
      </c>
      <c r="L49" s="405" t="s">
        <v>397</v>
      </c>
      <c r="M49" s="405" t="s">
        <v>397</v>
      </c>
      <c r="N49" s="405" t="s">
        <v>397</v>
      </c>
      <c r="O49" s="405" t="s">
        <v>397</v>
      </c>
    </row>
    <row r="50" spans="1:15" ht="19.5" customHeight="1">
      <c r="A50" s="413" t="s">
        <v>42</v>
      </c>
      <c r="B50" s="407" t="s">
        <v>507</v>
      </c>
      <c r="C50" s="407" t="s">
        <v>506</v>
      </c>
      <c r="D50" s="407" t="s">
        <v>505</v>
      </c>
      <c r="E50" s="407" t="s">
        <v>397</v>
      </c>
      <c r="F50" s="407" t="s">
        <v>397</v>
      </c>
      <c r="G50" s="407" t="s">
        <v>504</v>
      </c>
      <c r="H50" s="407" t="s">
        <v>397</v>
      </c>
      <c r="I50" s="407" t="s">
        <v>503</v>
      </c>
      <c r="J50" s="407" t="s">
        <v>397</v>
      </c>
      <c r="K50" s="407" t="s">
        <v>397</v>
      </c>
      <c r="L50" s="407" t="s">
        <v>397</v>
      </c>
      <c r="M50" s="407" t="s">
        <v>397</v>
      </c>
      <c r="N50" s="407" t="s">
        <v>397</v>
      </c>
      <c r="O50" s="416" t="s">
        <v>502</v>
      </c>
    </row>
    <row r="51" spans="1:15" ht="18" customHeight="1">
      <c r="A51" s="414" t="s">
        <v>397</v>
      </c>
      <c r="B51" s="415" t="s">
        <v>397</v>
      </c>
      <c r="C51" s="415" t="s">
        <v>397</v>
      </c>
      <c r="D51" s="298" t="s">
        <v>384</v>
      </c>
      <c r="E51" s="415" t="s">
        <v>383</v>
      </c>
      <c r="F51" s="415" t="s">
        <v>397</v>
      </c>
      <c r="G51" s="298" t="s">
        <v>382</v>
      </c>
      <c r="H51" s="298" t="s">
        <v>381</v>
      </c>
      <c r="I51" s="298" t="s">
        <v>501</v>
      </c>
      <c r="J51" s="415" t="s">
        <v>500</v>
      </c>
      <c r="K51" s="415" t="s">
        <v>397</v>
      </c>
      <c r="L51" s="298" t="s">
        <v>499</v>
      </c>
      <c r="M51" s="298" t="s">
        <v>498</v>
      </c>
      <c r="N51" s="298" t="s">
        <v>497</v>
      </c>
      <c r="O51" s="417" t="s">
        <v>397</v>
      </c>
    </row>
    <row r="52" spans="1:15" ht="18" customHeight="1">
      <c r="A52" s="291" t="s">
        <v>397</v>
      </c>
      <c r="B52" s="295" t="s">
        <v>483</v>
      </c>
      <c r="C52" s="296" t="s">
        <v>605</v>
      </c>
      <c r="D52" s="295" t="s">
        <v>474</v>
      </c>
      <c r="E52" s="418">
        <v>6</v>
      </c>
      <c r="F52" s="418" t="s">
        <v>397</v>
      </c>
      <c r="G52" s="290">
        <v>4500</v>
      </c>
      <c r="H52" s="290">
        <v>27000</v>
      </c>
      <c r="I52" s="290" t="s">
        <v>397</v>
      </c>
      <c r="J52" s="418" t="s">
        <v>397</v>
      </c>
      <c r="K52" s="418" t="s">
        <v>397</v>
      </c>
      <c r="L52" s="290" t="s">
        <v>397</v>
      </c>
      <c r="M52" s="290">
        <v>27000</v>
      </c>
      <c r="N52" s="290" t="s">
        <v>397</v>
      </c>
      <c r="O52" s="289" t="s">
        <v>397</v>
      </c>
    </row>
    <row r="53" spans="1:15" ht="16.5" customHeight="1">
      <c r="A53" s="291" t="s">
        <v>397</v>
      </c>
      <c r="B53" s="295" t="s">
        <v>604</v>
      </c>
      <c r="C53" s="297" t="s">
        <v>603</v>
      </c>
      <c r="D53" s="295" t="s">
        <v>397</v>
      </c>
      <c r="E53" s="418" t="s">
        <v>397</v>
      </c>
      <c r="F53" s="418" t="s">
        <v>397</v>
      </c>
      <c r="G53" s="290" t="s">
        <v>397</v>
      </c>
      <c r="H53" s="290">
        <v>30816.720000000001</v>
      </c>
      <c r="I53" s="290">
        <v>21115.02</v>
      </c>
      <c r="J53" s="418">
        <v>5728.94</v>
      </c>
      <c r="K53" s="418" t="s">
        <v>397</v>
      </c>
      <c r="L53" s="290">
        <v>3972.76</v>
      </c>
      <c r="M53" s="290">
        <v>61266.6</v>
      </c>
      <c r="N53" s="290" t="s">
        <v>397</v>
      </c>
      <c r="O53" s="289">
        <v>256.24079999999998</v>
      </c>
    </row>
    <row r="54" spans="1:15" ht="29.25" customHeight="1">
      <c r="A54" s="291">
        <v>1</v>
      </c>
      <c r="B54" s="295" t="s">
        <v>602</v>
      </c>
      <c r="C54" s="296" t="s">
        <v>601</v>
      </c>
      <c r="D54" s="295" t="s">
        <v>597</v>
      </c>
      <c r="E54" s="418">
        <v>120</v>
      </c>
      <c r="F54" s="418" t="s">
        <v>397</v>
      </c>
      <c r="G54" s="290">
        <v>254.21</v>
      </c>
      <c r="H54" s="290">
        <v>30505.200000000001</v>
      </c>
      <c r="I54" s="290">
        <v>20904</v>
      </c>
      <c r="J54" s="418">
        <v>5670</v>
      </c>
      <c r="K54" s="418" t="s">
        <v>397</v>
      </c>
      <c r="L54" s="290">
        <v>3931.2</v>
      </c>
      <c r="M54" s="290">
        <v>60600</v>
      </c>
      <c r="N54" s="290" t="s">
        <v>397</v>
      </c>
      <c r="O54" s="289">
        <v>253.68</v>
      </c>
    </row>
    <row r="55" spans="1:15" ht="18" customHeight="1">
      <c r="A55" s="291" t="s">
        <v>397</v>
      </c>
      <c r="B55" s="295" t="s">
        <v>483</v>
      </c>
      <c r="C55" s="296" t="s">
        <v>600</v>
      </c>
      <c r="D55" s="295" t="s">
        <v>474</v>
      </c>
      <c r="E55" s="418">
        <v>1212</v>
      </c>
      <c r="F55" s="418" t="s">
        <v>397</v>
      </c>
      <c r="G55" s="290">
        <v>50</v>
      </c>
      <c r="H55" s="290">
        <v>60600</v>
      </c>
      <c r="I55" s="290" t="s">
        <v>397</v>
      </c>
      <c r="J55" s="418" t="s">
        <v>397</v>
      </c>
      <c r="K55" s="418" t="s">
        <v>397</v>
      </c>
      <c r="L55" s="290" t="s">
        <v>397</v>
      </c>
      <c r="M55" s="290">
        <v>60600</v>
      </c>
      <c r="N55" s="290" t="s">
        <v>397</v>
      </c>
      <c r="O55" s="289" t="s">
        <v>397</v>
      </c>
    </row>
    <row r="56" spans="1:15" ht="29.25" customHeight="1">
      <c r="A56" s="291">
        <v>2</v>
      </c>
      <c r="B56" s="295" t="s">
        <v>599</v>
      </c>
      <c r="C56" s="296" t="s">
        <v>598</v>
      </c>
      <c r="D56" s="295" t="s">
        <v>597</v>
      </c>
      <c r="E56" s="418">
        <v>1.2</v>
      </c>
      <c r="F56" s="418" t="s">
        <v>397</v>
      </c>
      <c r="G56" s="290">
        <v>259.60000000000002</v>
      </c>
      <c r="H56" s="290">
        <v>311.52</v>
      </c>
      <c r="I56" s="290">
        <v>211.02</v>
      </c>
      <c r="J56" s="418">
        <v>58.94</v>
      </c>
      <c r="K56" s="418" t="s">
        <v>397</v>
      </c>
      <c r="L56" s="290">
        <v>41.56</v>
      </c>
      <c r="M56" s="290">
        <v>666.6</v>
      </c>
      <c r="N56" s="290" t="s">
        <v>397</v>
      </c>
      <c r="O56" s="289">
        <v>2.5608</v>
      </c>
    </row>
    <row r="57" spans="1:15" ht="18" customHeight="1">
      <c r="A57" s="291" t="s">
        <v>397</v>
      </c>
      <c r="B57" s="295" t="s">
        <v>483</v>
      </c>
      <c r="C57" s="296" t="s">
        <v>596</v>
      </c>
      <c r="D57" s="295" t="s">
        <v>474</v>
      </c>
      <c r="E57" s="418">
        <v>12.12</v>
      </c>
      <c r="F57" s="418" t="s">
        <v>397</v>
      </c>
      <c r="G57" s="290">
        <v>55</v>
      </c>
      <c r="H57" s="290">
        <v>666.6</v>
      </c>
      <c r="I57" s="290" t="s">
        <v>397</v>
      </c>
      <c r="J57" s="418" t="s">
        <v>397</v>
      </c>
      <c r="K57" s="418" t="s">
        <v>397</v>
      </c>
      <c r="L57" s="290" t="s">
        <v>397</v>
      </c>
      <c r="M57" s="290">
        <v>666.6</v>
      </c>
      <c r="N57" s="290" t="s">
        <v>397</v>
      </c>
      <c r="O57" s="289" t="s">
        <v>397</v>
      </c>
    </row>
    <row r="58" spans="1:15" ht="16.5" customHeight="1">
      <c r="A58" s="291" t="s">
        <v>397</v>
      </c>
      <c r="B58" s="295" t="s">
        <v>595</v>
      </c>
      <c r="C58" s="297" t="s">
        <v>594</v>
      </c>
      <c r="D58" s="295" t="s">
        <v>397</v>
      </c>
      <c r="E58" s="418" t="s">
        <v>397</v>
      </c>
      <c r="F58" s="418" t="s">
        <v>397</v>
      </c>
      <c r="G58" s="290" t="s">
        <v>397</v>
      </c>
      <c r="H58" s="290">
        <v>110.9</v>
      </c>
      <c r="I58" s="290">
        <v>98.78</v>
      </c>
      <c r="J58" s="418">
        <v>10.76</v>
      </c>
      <c r="K58" s="418" t="s">
        <v>397</v>
      </c>
      <c r="L58" s="290">
        <v>1.36</v>
      </c>
      <c r="M58" s="290">
        <v>444.4</v>
      </c>
      <c r="N58" s="290" t="s">
        <v>397</v>
      </c>
      <c r="O58" s="289">
        <v>1.1040000000000001</v>
      </c>
    </row>
    <row r="59" spans="1:15" ht="18" customHeight="1">
      <c r="A59" s="291">
        <v>1</v>
      </c>
      <c r="B59" s="295" t="s">
        <v>593</v>
      </c>
      <c r="C59" s="296" t="s">
        <v>592</v>
      </c>
      <c r="D59" s="295" t="s">
        <v>309</v>
      </c>
      <c r="E59" s="418">
        <v>2</v>
      </c>
      <c r="F59" s="418" t="s">
        <v>397</v>
      </c>
      <c r="G59" s="290">
        <v>55.45</v>
      </c>
      <c r="H59" s="290">
        <v>110.9</v>
      </c>
      <c r="I59" s="290">
        <v>98.78</v>
      </c>
      <c r="J59" s="418">
        <v>10.76</v>
      </c>
      <c r="K59" s="418" t="s">
        <v>397</v>
      </c>
      <c r="L59" s="290">
        <v>1.36</v>
      </c>
      <c r="M59" s="290">
        <v>444.4</v>
      </c>
      <c r="N59" s="290" t="s">
        <v>397</v>
      </c>
      <c r="O59" s="289">
        <v>1.1040000000000001</v>
      </c>
    </row>
    <row r="60" spans="1:15" ht="18" customHeight="1">
      <c r="A60" s="291" t="s">
        <v>397</v>
      </c>
      <c r="B60" s="295" t="s">
        <v>483</v>
      </c>
      <c r="C60" s="296" t="s">
        <v>591</v>
      </c>
      <c r="D60" s="295" t="s">
        <v>312</v>
      </c>
      <c r="E60" s="418">
        <v>2.02</v>
      </c>
      <c r="F60" s="418" t="s">
        <v>397</v>
      </c>
      <c r="G60" s="290">
        <v>220</v>
      </c>
      <c r="H60" s="290">
        <v>444.4</v>
      </c>
      <c r="I60" s="290" t="s">
        <v>397</v>
      </c>
      <c r="J60" s="418" t="s">
        <v>397</v>
      </c>
      <c r="K60" s="418" t="s">
        <v>397</v>
      </c>
      <c r="L60" s="290" t="s">
        <v>397</v>
      </c>
      <c r="M60" s="290">
        <v>444.4</v>
      </c>
      <c r="N60" s="290" t="s">
        <v>397</v>
      </c>
      <c r="O60" s="289" t="s">
        <v>397</v>
      </c>
    </row>
    <row r="61" spans="1:15" ht="16.5" customHeight="1">
      <c r="A61" s="291" t="s">
        <v>397</v>
      </c>
      <c r="B61" s="295" t="s">
        <v>590</v>
      </c>
      <c r="C61" s="297" t="s">
        <v>589</v>
      </c>
      <c r="D61" s="295" t="s">
        <v>397</v>
      </c>
      <c r="E61" s="418" t="s">
        <v>397</v>
      </c>
      <c r="F61" s="418" t="s">
        <v>397</v>
      </c>
      <c r="G61" s="290" t="s">
        <v>397</v>
      </c>
      <c r="H61" s="290">
        <v>142511.47</v>
      </c>
      <c r="I61" s="290">
        <v>122902.25</v>
      </c>
      <c r="J61" s="418">
        <v>16672.7</v>
      </c>
      <c r="K61" s="418" t="s">
        <v>397</v>
      </c>
      <c r="L61" s="290">
        <v>2936.52</v>
      </c>
      <c r="M61" s="290">
        <v>311396.73</v>
      </c>
      <c r="N61" s="290" t="s">
        <v>397</v>
      </c>
      <c r="O61" s="289">
        <v>1491.633</v>
      </c>
    </row>
    <row r="62" spans="1:15" ht="42" customHeight="1">
      <c r="A62" s="291">
        <v>1</v>
      </c>
      <c r="B62" s="295" t="s">
        <v>588</v>
      </c>
      <c r="C62" s="296" t="s">
        <v>587</v>
      </c>
      <c r="D62" s="295" t="s">
        <v>530</v>
      </c>
      <c r="E62" s="418">
        <v>44</v>
      </c>
      <c r="F62" s="418" t="s">
        <v>397</v>
      </c>
      <c r="G62" s="290">
        <v>179.51</v>
      </c>
      <c r="H62" s="290">
        <v>7898.44</v>
      </c>
      <c r="I62" s="290">
        <v>6836.72</v>
      </c>
      <c r="J62" s="418">
        <v>975.48</v>
      </c>
      <c r="K62" s="418" t="s">
        <v>397</v>
      </c>
      <c r="L62" s="290">
        <v>86.24</v>
      </c>
      <c r="M62" s="290">
        <v>7943.76</v>
      </c>
      <c r="N62" s="290" t="s">
        <v>397</v>
      </c>
      <c r="O62" s="289">
        <v>82.983999999999995</v>
      </c>
    </row>
    <row r="63" spans="1:15" ht="18" customHeight="1">
      <c r="A63" s="291" t="s">
        <v>397</v>
      </c>
      <c r="B63" s="295" t="s">
        <v>483</v>
      </c>
      <c r="C63" s="296" t="s">
        <v>565</v>
      </c>
      <c r="D63" s="295" t="s">
        <v>528</v>
      </c>
      <c r="E63" s="418">
        <v>448.8</v>
      </c>
      <c r="F63" s="418" t="s">
        <v>397</v>
      </c>
      <c r="G63" s="290">
        <v>17.7</v>
      </c>
      <c r="H63" s="290">
        <v>7943.76</v>
      </c>
      <c r="I63" s="290" t="s">
        <v>397</v>
      </c>
      <c r="J63" s="418" t="s">
        <v>397</v>
      </c>
      <c r="K63" s="418" t="s">
        <v>397</v>
      </c>
      <c r="L63" s="290" t="s">
        <v>397</v>
      </c>
      <c r="M63" s="290">
        <v>7943.76</v>
      </c>
      <c r="N63" s="290" t="s">
        <v>397</v>
      </c>
      <c r="O63" s="289" t="s">
        <v>397</v>
      </c>
    </row>
    <row r="64" spans="1:15" ht="42" customHeight="1">
      <c r="A64" s="291">
        <v>2</v>
      </c>
      <c r="B64" s="295" t="s">
        <v>586</v>
      </c>
      <c r="C64" s="296" t="s">
        <v>585</v>
      </c>
      <c r="D64" s="295" t="s">
        <v>530</v>
      </c>
      <c r="E64" s="418">
        <v>60</v>
      </c>
      <c r="F64" s="418" t="s">
        <v>397</v>
      </c>
      <c r="G64" s="290">
        <v>181.61</v>
      </c>
      <c r="H64" s="290">
        <v>10896.6</v>
      </c>
      <c r="I64" s="290">
        <v>9322.7999999999993</v>
      </c>
      <c r="J64" s="418">
        <v>1456.2</v>
      </c>
      <c r="K64" s="418" t="s">
        <v>397</v>
      </c>
      <c r="L64" s="290">
        <v>117.6</v>
      </c>
      <c r="M64" s="290">
        <v>13158</v>
      </c>
      <c r="N64" s="290" t="s">
        <v>397</v>
      </c>
      <c r="O64" s="289">
        <v>113.16</v>
      </c>
    </row>
    <row r="65" spans="1:15" ht="18" customHeight="1">
      <c r="A65" s="291" t="s">
        <v>397</v>
      </c>
      <c r="B65" s="295" t="s">
        <v>483</v>
      </c>
      <c r="C65" s="296" t="s">
        <v>565</v>
      </c>
      <c r="D65" s="295" t="s">
        <v>528</v>
      </c>
      <c r="E65" s="418">
        <v>612</v>
      </c>
      <c r="F65" s="418" t="s">
        <v>397</v>
      </c>
      <c r="G65" s="290">
        <v>21.5</v>
      </c>
      <c r="H65" s="290">
        <v>13158</v>
      </c>
      <c r="I65" s="290" t="s">
        <v>397</v>
      </c>
      <c r="J65" s="418" t="s">
        <v>397</v>
      </c>
      <c r="K65" s="418" t="s">
        <v>397</v>
      </c>
      <c r="L65" s="290" t="s">
        <v>397</v>
      </c>
      <c r="M65" s="290">
        <v>13158</v>
      </c>
      <c r="N65" s="290" t="s">
        <v>397</v>
      </c>
      <c r="O65" s="289" t="s">
        <v>397</v>
      </c>
    </row>
    <row r="66" spans="1:15" ht="42" customHeight="1">
      <c r="A66" s="291">
        <v>3</v>
      </c>
      <c r="B66" s="295" t="s">
        <v>584</v>
      </c>
      <c r="C66" s="296" t="s">
        <v>583</v>
      </c>
      <c r="D66" s="295" t="s">
        <v>530</v>
      </c>
      <c r="E66" s="418">
        <v>25</v>
      </c>
      <c r="F66" s="418" t="s">
        <v>397</v>
      </c>
      <c r="G66" s="290">
        <v>203.07</v>
      </c>
      <c r="H66" s="290">
        <v>5076.75</v>
      </c>
      <c r="I66" s="290">
        <v>4627.5</v>
      </c>
      <c r="J66" s="418">
        <v>387.75</v>
      </c>
      <c r="K66" s="418" t="s">
        <v>397</v>
      </c>
      <c r="L66" s="290">
        <v>61.5</v>
      </c>
      <c r="M66" s="290">
        <v>7318.5</v>
      </c>
      <c r="N66" s="290" t="s">
        <v>397</v>
      </c>
      <c r="O66" s="289">
        <v>56.174999999999997</v>
      </c>
    </row>
    <row r="67" spans="1:15" ht="18" customHeight="1" thickBot="1">
      <c r="A67" s="288" t="s">
        <v>397</v>
      </c>
      <c r="B67" s="299" t="s">
        <v>483</v>
      </c>
      <c r="C67" s="300" t="s">
        <v>565</v>
      </c>
      <c r="D67" s="299" t="s">
        <v>528</v>
      </c>
      <c r="E67" s="419">
        <v>255</v>
      </c>
      <c r="F67" s="419" t="s">
        <v>397</v>
      </c>
      <c r="G67" s="287">
        <v>28.7</v>
      </c>
      <c r="H67" s="287">
        <v>7318.5</v>
      </c>
      <c r="I67" s="287" t="s">
        <v>397</v>
      </c>
      <c r="J67" s="419" t="s">
        <v>397</v>
      </c>
      <c r="K67" s="419" t="s">
        <v>397</v>
      </c>
      <c r="L67" s="287" t="s">
        <v>397</v>
      </c>
      <c r="M67" s="287">
        <v>7318.5</v>
      </c>
      <c r="N67" s="287" t="s">
        <v>397</v>
      </c>
      <c r="O67" s="286" t="s">
        <v>397</v>
      </c>
    </row>
    <row r="68" spans="1:15" ht="16.5" customHeight="1">
      <c r="A68" s="412" t="s">
        <v>400</v>
      </c>
      <c r="B68" s="412" t="s">
        <v>397</v>
      </c>
      <c r="C68" s="412" t="s">
        <v>397</v>
      </c>
      <c r="D68" s="412" t="s">
        <v>397</v>
      </c>
      <c r="E68" s="412" t="s">
        <v>397</v>
      </c>
      <c r="F68" s="404" t="s">
        <v>399</v>
      </c>
      <c r="G68" s="404" t="s">
        <v>397</v>
      </c>
      <c r="H68" s="404" t="s">
        <v>397</v>
      </c>
      <c r="I68" s="404" t="s">
        <v>397</v>
      </c>
      <c r="J68" s="404" t="s">
        <v>397</v>
      </c>
      <c r="K68" s="405" t="s">
        <v>398</v>
      </c>
      <c r="L68" s="405" t="s">
        <v>397</v>
      </c>
      <c r="M68" s="405" t="s">
        <v>397</v>
      </c>
      <c r="N68" s="405" t="s">
        <v>397</v>
      </c>
      <c r="O68" s="405" t="s">
        <v>397</v>
      </c>
    </row>
    <row r="69" spans="1:15" ht="14.25" customHeight="1">
      <c r="A69" s="405" t="s">
        <v>397</v>
      </c>
      <c r="B69" s="405" t="s">
        <v>397</v>
      </c>
      <c r="C69" s="405" t="s">
        <v>397</v>
      </c>
      <c r="D69" s="405" t="s">
        <v>397</v>
      </c>
      <c r="E69" s="405" t="s">
        <v>397</v>
      </c>
      <c r="F69" s="405" t="s">
        <v>397</v>
      </c>
      <c r="G69" s="405" t="s">
        <v>397</v>
      </c>
      <c r="H69" s="405" t="s">
        <v>397</v>
      </c>
      <c r="I69" s="405" t="s">
        <v>397</v>
      </c>
      <c r="J69" s="405" t="s">
        <v>397</v>
      </c>
      <c r="K69" s="405" t="s">
        <v>397</v>
      </c>
      <c r="L69" s="405" t="s">
        <v>397</v>
      </c>
      <c r="M69" s="405" t="s">
        <v>397</v>
      </c>
      <c r="N69" s="405" t="s">
        <v>397</v>
      </c>
      <c r="O69" s="405" t="s">
        <v>397</v>
      </c>
    </row>
    <row r="70" spans="1:15" ht="32.25" customHeight="1">
      <c r="A70" s="411" t="s">
        <v>509</v>
      </c>
      <c r="B70" s="411" t="s">
        <v>397</v>
      </c>
      <c r="C70" s="411" t="s">
        <v>397</v>
      </c>
      <c r="D70" s="411" t="s">
        <v>397</v>
      </c>
      <c r="E70" s="411" t="s">
        <v>397</v>
      </c>
      <c r="F70" s="411" t="s">
        <v>397</v>
      </c>
      <c r="G70" s="411" t="s">
        <v>397</v>
      </c>
      <c r="H70" s="411" t="s">
        <v>397</v>
      </c>
      <c r="I70" s="411" t="s">
        <v>397</v>
      </c>
      <c r="J70" s="411" t="s">
        <v>397</v>
      </c>
      <c r="K70" s="411" t="s">
        <v>397</v>
      </c>
      <c r="L70" s="411" t="s">
        <v>397</v>
      </c>
      <c r="M70" s="411" t="s">
        <v>397</v>
      </c>
      <c r="N70" s="411" t="s">
        <v>397</v>
      </c>
      <c r="O70" s="411" t="s">
        <v>397</v>
      </c>
    </row>
    <row r="71" spans="1:15" ht="23.25" customHeight="1" thickBot="1">
      <c r="A71" s="412" t="s">
        <v>471</v>
      </c>
      <c r="B71" s="412" t="s">
        <v>397</v>
      </c>
      <c r="C71" s="412" t="s">
        <v>397</v>
      </c>
      <c r="D71" s="412" t="s">
        <v>397</v>
      </c>
      <c r="E71" s="412" t="s">
        <v>397</v>
      </c>
      <c r="F71" s="412" t="s">
        <v>397</v>
      </c>
      <c r="G71" s="412" t="s">
        <v>397</v>
      </c>
      <c r="H71" s="412" t="s">
        <v>397</v>
      </c>
      <c r="I71" s="412" t="s">
        <v>397</v>
      </c>
      <c r="J71" s="412" t="s">
        <v>397</v>
      </c>
      <c r="K71" s="405" t="s">
        <v>582</v>
      </c>
      <c r="L71" s="405" t="s">
        <v>397</v>
      </c>
      <c r="M71" s="405" t="s">
        <v>397</v>
      </c>
      <c r="N71" s="405" t="s">
        <v>397</v>
      </c>
      <c r="O71" s="405" t="s">
        <v>397</v>
      </c>
    </row>
    <row r="72" spans="1:15" ht="19.5" customHeight="1">
      <c r="A72" s="413" t="s">
        <v>42</v>
      </c>
      <c r="B72" s="407" t="s">
        <v>507</v>
      </c>
      <c r="C72" s="407" t="s">
        <v>506</v>
      </c>
      <c r="D72" s="407" t="s">
        <v>505</v>
      </c>
      <c r="E72" s="407" t="s">
        <v>397</v>
      </c>
      <c r="F72" s="407" t="s">
        <v>397</v>
      </c>
      <c r="G72" s="407" t="s">
        <v>504</v>
      </c>
      <c r="H72" s="407" t="s">
        <v>397</v>
      </c>
      <c r="I72" s="407" t="s">
        <v>503</v>
      </c>
      <c r="J72" s="407" t="s">
        <v>397</v>
      </c>
      <c r="K72" s="407" t="s">
        <v>397</v>
      </c>
      <c r="L72" s="407" t="s">
        <v>397</v>
      </c>
      <c r="M72" s="407" t="s">
        <v>397</v>
      </c>
      <c r="N72" s="407" t="s">
        <v>397</v>
      </c>
      <c r="O72" s="416" t="s">
        <v>502</v>
      </c>
    </row>
    <row r="73" spans="1:15" ht="18" customHeight="1">
      <c r="A73" s="414" t="s">
        <v>397</v>
      </c>
      <c r="B73" s="415" t="s">
        <v>397</v>
      </c>
      <c r="C73" s="415" t="s">
        <v>397</v>
      </c>
      <c r="D73" s="298" t="s">
        <v>384</v>
      </c>
      <c r="E73" s="415" t="s">
        <v>383</v>
      </c>
      <c r="F73" s="415" t="s">
        <v>397</v>
      </c>
      <c r="G73" s="298" t="s">
        <v>382</v>
      </c>
      <c r="H73" s="298" t="s">
        <v>381</v>
      </c>
      <c r="I73" s="298" t="s">
        <v>501</v>
      </c>
      <c r="J73" s="415" t="s">
        <v>500</v>
      </c>
      <c r="K73" s="415" t="s">
        <v>397</v>
      </c>
      <c r="L73" s="298" t="s">
        <v>499</v>
      </c>
      <c r="M73" s="298" t="s">
        <v>498</v>
      </c>
      <c r="N73" s="298" t="s">
        <v>497</v>
      </c>
      <c r="O73" s="417" t="s">
        <v>397</v>
      </c>
    </row>
    <row r="74" spans="1:15" ht="42" customHeight="1">
      <c r="A74" s="291">
        <v>4</v>
      </c>
      <c r="B74" s="295" t="s">
        <v>581</v>
      </c>
      <c r="C74" s="296" t="s">
        <v>580</v>
      </c>
      <c r="D74" s="295" t="s">
        <v>530</v>
      </c>
      <c r="E74" s="418">
        <v>30</v>
      </c>
      <c r="F74" s="418" t="s">
        <v>397</v>
      </c>
      <c r="G74" s="290">
        <v>216.6</v>
      </c>
      <c r="H74" s="290">
        <v>6498</v>
      </c>
      <c r="I74" s="290">
        <v>5682.3</v>
      </c>
      <c r="J74" s="418">
        <v>687.6</v>
      </c>
      <c r="K74" s="418" t="s">
        <v>397</v>
      </c>
      <c r="L74" s="290">
        <v>128.1</v>
      </c>
      <c r="M74" s="290">
        <v>11260.8</v>
      </c>
      <c r="N74" s="290" t="s">
        <v>397</v>
      </c>
      <c r="O74" s="289">
        <v>68.97</v>
      </c>
    </row>
    <row r="75" spans="1:15" ht="18" customHeight="1">
      <c r="A75" s="291" t="s">
        <v>397</v>
      </c>
      <c r="B75" s="295" t="s">
        <v>483</v>
      </c>
      <c r="C75" s="296" t="s">
        <v>565</v>
      </c>
      <c r="D75" s="295" t="s">
        <v>528</v>
      </c>
      <c r="E75" s="418">
        <v>306</v>
      </c>
      <c r="F75" s="418" t="s">
        <v>397</v>
      </c>
      <c r="G75" s="290">
        <v>36.799999999999997</v>
      </c>
      <c r="H75" s="290">
        <v>11260.8</v>
      </c>
      <c r="I75" s="290" t="s">
        <v>397</v>
      </c>
      <c r="J75" s="418" t="s">
        <v>397</v>
      </c>
      <c r="K75" s="418" t="s">
        <v>397</v>
      </c>
      <c r="L75" s="290" t="s">
        <v>397</v>
      </c>
      <c r="M75" s="290">
        <v>11260.8</v>
      </c>
      <c r="N75" s="290" t="s">
        <v>397</v>
      </c>
      <c r="O75" s="289" t="s">
        <v>397</v>
      </c>
    </row>
    <row r="76" spans="1:15" ht="42" customHeight="1">
      <c r="A76" s="291">
        <v>5</v>
      </c>
      <c r="B76" s="295" t="s">
        <v>579</v>
      </c>
      <c r="C76" s="296" t="s">
        <v>578</v>
      </c>
      <c r="D76" s="295" t="s">
        <v>530</v>
      </c>
      <c r="E76" s="418">
        <v>17</v>
      </c>
      <c r="F76" s="418" t="s">
        <v>397</v>
      </c>
      <c r="G76" s="290">
        <v>228.15</v>
      </c>
      <c r="H76" s="290">
        <v>3878.55</v>
      </c>
      <c r="I76" s="290">
        <v>3290.35</v>
      </c>
      <c r="J76" s="418">
        <v>497.93</v>
      </c>
      <c r="K76" s="418" t="s">
        <v>397</v>
      </c>
      <c r="L76" s="290">
        <v>90.27</v>
      </c>
      <c r="M76" s="290">
        <v>7924.38</v>
      </c>
      <c r="N76" s="290" t="s">
        <v>397</v>
      </c>
      <c r="O76" s="289">
        <v>39.933</v>
      </c>
    </row>
    <row r="77" spans="1:15" ht="18" customHeight="1">
      <c r="A77" s="291" t="s">
        <v>397</v>
      </c>
      <c r="B77" s="295" t="s">
        <v>483</v>
      </c>
      <c r="C77" s="296" t="s">
        <v>565</v>
      </c>
      <c r="D77" s="295" t="s">
        <v>528</v>
      </c>
      <c r="E77" s="418">
        <v>173.4</v>
      </c>
      <c r="F77" s="418" t="s">
        <v>397</v>
      </c>
      <c r="G77" s="290">
        <v>45.7</v>
      </c>
      <c r="H77" s="290">
        <v>7924.38</v>
      </c>
      <c r="I77" s="290" t="s">
        <v>397</v>
      </c>
      <c r="J77" s="418" t="s">
        <v>397</v>
      </c>
      <c r="K77" s="418" t="s">
        <v>397</v>
      </c>
      <c r="L77" s="290" t="s">
        <v>397</v>
      </c>
      <c r="M77" s="290">
        <v>7924.38</v>
      </c>
      <c r="N77" s="290" t="s">
        <v>397</v>
      </c>
      <c r="O77" s="289" t="s">
        <v>397</v>
      </c>
    </row>
    <row r="78" spans="1:15" ht="42" customHeight="1">
      <c r="A78" s="291">
        <v>6</v>
      </c>
      <c r="B78" s="295" t="s">
        <v>579</v>
      </c>
      <c r="C78" s="296" t="s">
        <v>578</v>
      </c>
      <c r="D78" s="295" t="s">
        <v>530</v>
      </c>
      <c r="E78" s="418">
        <v>40</v>
      </c>
      <c r="F78" s="418" t="s">
        <v>397</v>
      </c>
      <c r="G78" s="290">
        <v>228.15</v>
      </c>
      <c r="H78" s="290">
        <v>9126</v>
      </c>
      <c r="I78" s="290">
        <v>7742</v>
      </c>
      <c r="J78" s="418">
        <v>1171.5999999999999</v>
      </c>
      <c r="K78" s="418" t="s">
        <v>397</v>
      </c>
      <c r="L78" s="290">
        <v>212.4</v>
      </c>
      <c r="M78" s="290">
        <v>22440</v>
      </c>
      <c r="N78" s="290" t="s">
        <v>397</v>
      </c>
      <c r="O78" s="289">
        <v>93.96</v>
      </c>
    </row>
    <row r="79" spans="1:15" ht="18" customHeight="1">
      <c r="A79" s="291" t="s">
        <v>397</v>
      </c>
      <c r="B79" s="295" t="s">
        <v>483</v>
      </c>
      <c r="C79" s="296" t="s">
        <v>565</v>
      </c>
      <c r="D79" s="295" t="s">
        <v>528</v>
      </c>
      <c r="E79" s="418">
        <v>408</v>
      </c>
      <c r="F79" s="418" t="s">
        <v>397</v>
      </c>
      <c r="G79" s="290">
        <v>55</v>
      </c>
      <c r="H79" s="290">
        <v>22440</v>
      </c>
      <c r="I79" s="290" t="s">
        <v>397</v>
      </c>
      <c r="J79" s="418" t="s">
        <v>397</v>
      </c>
      <c r="K79" s="418" t="s">
        <v>397</v>
      </c>
      <c r="L79" s="290" t="s">
        <v>397</v>
      </c>
      <c r="M79" s="290">
        <v>22440</v>
      </c>
      <c r="N79" s="290" t="s">
        <v>397</v>
      </c>
      <c r="O79" s="289" t="s">
        <v>397</v>
      </c>
    </row>
    <row r="80" spans="1:15" ht="42" customHeight="1">
      <c r="A80" s="291">
        <v>7</v>
      </c>
      <c r="B80" s="295" t="s">
        <v>579</v>
      </c>
      <c r="C80" s="296" t="s">
        <v>578</v>
      </c>
      <c r="D80" s="295" t="s">
        <v>530</v>
      </c>
      <c r="E80" s="418">
        <v>28</v>
      </c>
      <c r="F80" s="418" t="s">
        <v>397</v>
      </c>
      <c r="G80" s="290">
        <v>228.15</v>
      </c>
      <c r="H80" s="290">
        <v>6388.2</v>
      </c>
      <c r="I80" s="290">
        <v>5419.4</v>
      </c>
      <c r="J80" s="418">
        <v>820.12</v>
      </c>
      <c r="K80" s="418" t="s">
        <v>397</v>
      </c>
      <c r="L80" s="290">
        <v>148.68</v>
      </c>
      <c r="M80" s="290">
        <v>15708</v>
      </c>
      <c r="N80" s="290" t="s">
        <v>397</v>
      </c>
      <c r="O80" s="289">
        <v>65.772000000000006</v>
      </c>
    </row>
    <row r="81" spans="1:15" ht="18" customHeight="1">
      <c r="A81" s="291" t="s">
        <v>397</v>
      </c>
      <c r="B81" s="295" t="s">
        <v>483</v>
      </c>
      <c r="C81" s="296" t="s">
        <v>570</v>
      </c>
      <c r="D81" s="295" t="s">
        <v>528</v>
      </c>
      <c r="E81" s="418">
        <v>285.60000000000002</v>
      </c>
      <c r="F81" s="418" t="s">
        <v>397</v>
      </c>
      <c r="G81" s="290">
        <v>55</v>
      </c>
      <c r="H81" s="290">
        <v>15708</v>
      </c>
      <c r="I81" s="290" t="s">
        <v>397</v>
      </c>
      <c r="J81" s="418" t="s">
        <v>397</v>
      </c>
      <c r="K81" s="418" t="s">
        <v>397</v>
      </c>
      <c r="L81" s="290" t="s">
        <v>397</v>
      </c>
      <c r="M81" s="290">
        <v>15708</v>
      </c>
      <c r="N81" s="290" t="s">
        <v>397</v>
      </c>
      <c r="O81" s="289" t="s">
        <v>397</v>
      </c>
    </row>
    <row r="82" spans="1:15" ht="42" customHeight="1">
      <c r="A82" s="291">
        <v>8</v>
      </c>
      <c r="B82" s="295" t="s">
        <v>577</v>
      </c>
      <c r="C82" s="296" t="s">
        <v>576</v>
      </c>
      <c r="D82" s="295" t="s">
        <v>530</v>
      </c>
      <c r="E82" s="418">
        <v>36</v>
      </c>
      <c r="F82" s="418" t="s">
        <v>397</v>
      </c>
      <c r="G82" s="290">
        <v>236.96</v>
      </c>
      <c r="H82" s="290">
        <v>8530.56</v>
      </c>
      <c r="I82" s="290">
        <v>7375.68</v>
      </c>
      <c r="J82" s="418">
        <v>995.4</v>
      </c>
      <c r="K82" s="418" t="s">
        <v>397</v>
      </c>
      <c r="L82" s="290">
        <v>159.47999999999999</v>
      </c>
      <c r="M82" s="290">
        <v>22986.720000000001</v>
      </c>
      <c r="N82" s="290" t="s">
        <v>397</v>
      </c>
      <c r="O82" s="289">
        <v>89.495999999999995</v>
      </c>
    </row>
    <row r="83" spans="1:15" ht="18" customHeight="1">
      <c r="A83" s="291" t="s">
        <v>397</v>
      </c>
      <c r="B83" s="295" t="s">
        <v>483</v>
      </c>
      <c r="C83" s="296" t="s">
        <v>565</v>
      </c>
      <c r="D83" s="295" t="s">
        <v>528</v>
      </c>
      <c r="E83" s="418">
        <v>367.2</v>
      </c>
      <c r="F83" s="418" t="s">
        <v>397</v>
      </c>
      <c r="G83" s="290">
        <v>62.6</v>
      </c>
      <c r="H83" s="290">
        <v>22986.720000000001</v>
      </c>
      <c r="I83" s="290" t="s">
        <v>397</v>
      </c>
      <c r="J83" s="418" t="s">
        <v>397</v>
      </c>
      <c r="K83" s="418" t="s">
        <v>397</v>
      </c>
      <c r="L83" s="290" t="s">
        <v>397</v>
      </c>
      <c r="M83" s="290">
        <v>22986.720000000001</v>
      </c>
      <c r="N83" s="290" t="s">
        <v>397</v>
      </c>
      <c r="O83" s="289" t="s">
        <v>397</v>
      </c>
    </row>
    <row r="84" spans="1:15" ht="42" customHeight="1">
      <c r="A84" s="291">
        <v>9</v>
      </c>
      <c r="B84" s="295" t="s">
        <v>572</v>
      </c>
      <c r="C84" s="296" t="s">
        <v>571</v>
      </c>
      <c r="D84" s="295" t="s">
        <v>530</v>
      </c>
      <c r="E84" s="418">
        <v>40</v>
      </c>
      <c r="F84" s="418" t="s">
        <v>397</v>
      </c>
      <c r="G84" s="290">
        <v>274.2</v>
      </c>
      <c r="H84" s="290">
        <v>10968</v>
      </c>
      <c r="I84" s="290">
        <v>9297.6</v>
      </c>
      <c r="J84" s="418">
        <v>1358</v>
      </c>
      <c r="K84" s="418" t="s">
        <v>397</v>
      </c>
      <c r="L84" s="290">
        <v>312.39999999999998</v>
      </c>
      <c r="M84" s="290">
        <v>34557.599999999999</v>
      </c>
      <c r="N84" s="290" t="s">
        <v>397</v>
      </c>
      <c r="O84" s="289">
        <v>112.84</v>
      </c>
    </row>
    <row r="85" spans="1:15" ht="18" customHeight="1">
      <c r="A85" s="291" t="s">
        <v>397</v>
      </c>
      <c r="B85" s="295" t="s">
        <v>483</v>
      </c>
      <c r="C85" s="296" t="s">
        <v>565</v>
      </c>
      <c r="D85" s="295" t="s">
        <v>528</v>
      </c>
      <c r="E85" s="418">
        <v>408</v>
      </c>
      <c r="F85" s="418" t="s">
        <v>397</v>
      </c>
      <c r="G85" s="290">
        <v>84.7</v>
      </c>
      <c r="H85" s="290">
        <v>34557.599999999999</v>
      </c>
      <c r="I85" s="290" t="s">
        <v>397</v>
      </c>
      <c r="J85" s="418" t="s">
        <v>397</v>
      </c>
      <c r="K85" s="418" t="s">
        <v>397</v>
      </c>
      <c r="L85" s="290" t="s">
        <v>397</v>
      </c>
      <c r="M85" s="290">
        <v>34557.599999999999</v>
      </c>
      <c r="N85" s="290" t="s">
        <v>397</v>
      </c>
      <c r="O85" s="289" t="s">
        <v>397</v>
      </c>
    </row>
    <row r="86" spans="1:15" ht="24.75" customHeight="1" thickBot="1">
      <c r="A86" s="288">
        <v>10</v>
      </c>
      <c r="B86" s="299" t="s">
        <v>572</v>
      </c>
      <c r="C86" s="300" t="s">
        <v>575</v>
      </c>
      <c r="D86" s="299" t="s">
        <v>530</v>
      </c>
      <c r="E86" s="419">
        <v>22</v>
      </c>
      <c r="F86" s="419" t="s">
        <v>397</v>
      </c>
      <c r="G86" s="287">
        <v>274.2</v>
      </c>
      <c r="H86" s="287">
        <v>6032.4</v>
      </c>
      <c r="I86" s="287">
        <v>5113.68</v>
      </c>
      <c r="J86" s="419">
        <v>746.9</v>
      </c>
      <c r="K86" s="419" t="s">
        <v>397</v>
      </c>
      <c r="L86" s="287">
        <v>171.82</v>
      </c>
      <c r="M86" s="287">
        <v>19006.68</v>
      </c>
      <c r="N86" s="287" t="s">
        <v>397</v>
      </c>
      <c r="O86" s="286">
        <v>62.061999999999998</v>
      </c>
    </row>
    <row r="87" spans="1:15" ht="16.5" customHeight="1">
      <c r="A87" s="412" t="s">
        <v>400</v>
      </c>
      <c r="B87" s="412" t="s">
        <v>397</v>
      </c>
      <c r="C87" s="412" t="s">
        <v>397</v>
      </c>
      <c r="D87" s="412" t="s">
        <v>397</v>
      </c>
      <c r="E87" s="412" t="s">
        <v>397</v>
      </c>
      <c r="F87" s="404" t="s">
        <v>399</v>
      </c>
      <c r="G87" s="404" t="s">
        <v>397</v>
      </c>
      <c r="H87" s="404" t="s">
        <v>397</v>
      </c>
      <c r="I87" s="404" t="s">
        <v>397</v>
      </c>
      <c r="J87" s="404" t="s">
        <v>397</v>
      </c>
      <c r="K87" s="405" t="s">
        <v>398</v>
      </c>
      <c r="L87" s="405" t="s">
        <v>397</v>
      </c>
      <c r="M87" s="405" t="s">
        <v>397</v>
      </c>
      <c r="N87" s="405" t="s">
        <v>397</v>
      </c>
      <c r="O87" s="405" t="s">
        <v>397</v>
      </c>
    </row>
    <row r="88" spans="1:15" ht="14.25" customHeight="1">
      <c r="A88" s="405" t="s">
        <v>397</v>
      </c>
      <c r="B88" s="405" t="s">
        <v>397</v>
      </c>
      <c r="C88" s="405" t="s">
        <v>397</v>
      </c>
      <c r="D88" s="405" t="s">
        <v>397</v>
      </c>
      <c r="E88" s="405" t="s">
        <v>397</v>
      </c>
      <c r="F88" s="405" t="s">
        <v>397</v>
      </c>
      <c r="G88" s="405" t="s">
        <v>397</v>
      </c>
      <c r="H88" s="405" t="s">
        <v>397</v>
      </c>
      <c r="I88" s="405" t="s">
        <v>397</v>
      </c>
      <c r="J88" s="405" t="s">
        <v>397</v>
      </c>
      <c r="K88" s="405" t="s">
        <v>397</v>
      </c>
      <c r="L88" s="405" t="s">
        <v>397</v>
      </c>
      <c r="M88" s="405" t="s">
        <v>397</v>
      </c>
      <c r="N88" s="405" t="s">
        <v>397</v>
      </c>
      <c r="O88" s="405" t="s">
        <v>397</v>
      </c>
    </row>
    <row r="89" spans="1:15" ht="32.25" customHeight="1">
      <c r="A89" s="411" t="s">
        <v>509</v>
      </c>
      <c r="B89" s="411" t="s">
        <v>397</v>
      </c>
      <c r="C89" s="411" t="s">
        <v>397</v>
      </c>
      <c r="D89" s="411" t="s">
        <v>397</v>
      </c>
      <c r="E89" s="411" t="s">
        <v>397</v>
      </c>
      <c r="F89" s="411" t="s">
        <v>397</v>
      </c>
      <c r="G89" s="411" t="s">
        <v>397</v>
      </c>
      <c r="H89" s="411" t="s">
        <v>397</v>
      </c>
      <c r="I89" s="411" t="s">
        <v>397</v>
      </c>
      <c r="J89" s="411" t="s">
        <v>397</v>
      </c>
      <c r="K89" s="411" t="s">
        <v>397</v>
      </c>
      <c r="L89" s="411" t="s">
        <v>397</v>
      </c>
      <c r="M89" s="411" t="s">
        <v>397</v>
      </c>
      <c r="N89" s="411" t="s">
        <v>397</v>
      </c>
      <c r="O89" s="411" t="s">
        <v>397</v>
      </c>
    </row>
    <row r="90" spans="1:15" ht="23.25" customHeight="1" thickBot="1">
      <c r="A90" s="412" t="s">
        <v>471</v>
      </c>
      <c r="B90" s="412" t="s">
        <v>397</v>
      </c>
      <c r="C90" s="412" t="s">
        <v>397</v>
      </c>
      <c r="D90" s="412" t="s">
        <v>397</v>
      </c>
      <c r="E90" s="412" t="s">
        <v>397</v>
      </c>
      <c r="F90" s="412" t="s">
        <v>397</v>
      </c>
      <c r="G90" s="412" t="s">
        <v>397</v>
      </c>
      <c r="H90" s="412" t="s">
        <v>397</v>
      </c>
      <c r="I90" s="412" t="s">
        <v>397</v>
      </c>
      <c r="J90" s="412" t="s">
        <v>397</v>
      </c>
      <c r="K90" s="405" t="s">
        <v>574</v>
      </c>
      <c r="L90" s="405" t="s">
        <v>397</v>
      </c>
      <c r="M90" s="405" t="s">
        <v>397</v>
      </c>
      <c r="N90" s="405" t="s">
        <v>397</v>
      </c>
      <c r="O90" s="405" t="s">
        <v>397</v>
      </c>
    </row>
    <row r="91" spans="1:15" ht="19.5" customHeight="1">
      <c r="A91" s="413" t="s">
        <v>42</v>
      </c>
      <c r="B91" s="407" t="s">
        <v>507</v>
      </c>
      <c r="C91" s="407" t="s">
        <v>506</v>
      </c>
      <c r="D91" s="407" t="s">
        <v>505</v>
      </c>
      <c r="E91" s="407" t="s">
        <v>397</v>
      </c>
      <c r="F91" s="407" t="s">
        <v>397</v>
      </c>
      <c r="G91" s="407" t="s">
        <v>504</v>
      </c>
      <c r="H91" s="407" t="s">
        <v>397</v>
      </c>
      <c r="I91" s="407" t="s">
        <v>503</v>
      </c>
      <c r="J91" s="407" t="s">
        <v>397</v>
      </c>
      <c r="K91" s="407" t="s">
        <v>397</v>
      </c>
      <c r="L91" s="407" t="s">
        <v>397</v>
      </c>
      <c r="M91" s="407" t="s">
        <v>397</v>
      </c>
      <c r="N91" s="407" t="s">
        <v>397</v>
      </c>
      <c r="O91" s="416" t="s">
        <v>502</v>
      </c>
    </row>
    <row r="92" spans="1:15" ht="18" customHeight="1">
      <c r="A92" s="414" t="s">
        <v>397</v>
      </c>
      <c r="B92" s="415" t="s">
        <v>397</v>
      </c>
      <c r="C92" s="415" t="s">
        <v>397</v>
      </c>
      <c r="D92" s="298" t="s">
        <v>384</v>
      </c>
      <c r="E92" s="415" t="s">
        <v>383</v>
      </c>
      <c r="F92" s="415" t="s">
        <v>397</v>
      </c>
      <c r="G92" s="298" t="s">
        <v>382</v>
      </c>
      <c r="H92" s="298" t="s">
        <v>381</v>
      </c>
      <c r="I92" s="298" t="s">
        <v>501</v>
      </c>
      <c r="J92" s="415" t="s">
        <v>500</v>
      </c>
      <c r="K92" s="415" t="s">
        <v>397</v>
      </c>
      <c r="L92" s="298" t="s">
        <v>499</v>
      </c>
      <c r="M92" s="298" t="s">
        <v>498</v>
      </c>
      <c r="N92" s="298" t="s">
        <v>497</v>
      </c>
      <c r="O92" s="417" t="s">
        <v>397</v>
      </c>
    </row>
    <row r="93" spans="1:15" ht="19.5" customHeight="1">
      <c r="A93" s="291" t="s">
        <v>397</v>
      </c>
      <c r="B93" s="295" t="s">
        <v>397</v>
      </c>
      <c r="C93" s="296" t="s">
        <v>573</v>
      </c>
      <c r="D93" s="295" t="s">
        <v>397</v>
      </c>
      <c r="E93" s="418" t="s">
        <v>397</v>
      </c>
      <c r="F93" s="418" t="s">
        <v>397</v>
      </c>
      <c r="G93" s="290" t="s">
        <v>397</v>
      </c>
      <c r="H93" s="290" t="s">
        <v>397</v>
      </c>
      <c r="I93" s="290" t="s">
        <v>397</v>
      </c>
      <c r="J93" s="418" t="s">
        <v>397</v>
      </c>
      <c r="K93" s="418" t="s">
        <v>397</v>
      </c>
      <c r="L93" s="290" t="s">
        <v>397</v>
      </c>
      <c r="M93" s="290" t="s">
        <v>397</v>
      </c>
      <c r="N93" s="290" t="s">
        <v>397</v>
      </c>
      <c r="O93" s="289" t="s">
        <v>397</v>
      </c>
    </row>
    <row r="94" spans="1:15" ht="18" customHeight="1">
      <c r="A94" s="291" t="s">
        <v>397</v>
      </c>
      <c r="B94" s="295" t="s">
        <v>483</v>
      </c>
      <c r="C94" s="296" t="s">
        <v>565</v>
      </c>
      <c r="D94" s="295" t="s">
        <v>528</v>
      </c>
      <c r="E94" s="418">
        <v>224.4</v>
      </c>
      <c r="F94" s="418" t="s">
        <v>397</v>
      </c>
      <c r="G94" s="290">
        <v>84.7</v>
      </c>
      <c r="H94" s="290">
        <v>19006.68</v>
      </c>
      <c r="I94" s="290" t="s">
        <v>397</v>
      </c>
      <c r="J94" s="418" t="s">
        <v>397</v>
      </c>
      <c r="K94" s="418" t="s">
        <v>397</v>
      </c>
      <c r="L94" s="290" t="s">
        <v>397</v>
      </c>
      <c r="M94" s="290">
        <v>19006.68</v>
      </c>
      <c r="N94" s="290" t="s">
        <v>397</v>
      </c>
      <c r="O94" s="289" t="s">
        <v>397</v>
      </c>
    </row>
    <row r="95" spans="1:15" ht="42" customHeight="1">
      <c r="A95" s="291">
        <v>11</v>
      </c>
      <c r="B95" s="295" t="s">
        <v>572</v>
      </c>
      <c r="C95" s="296" t="s">
        <v>571</v>
      </c>
      <c r="D95" s="295" t="s">
        <v>530</v>
      </c>
      <c r="E95" s="418">
        <v>3</v>
      </c>
      <c r="F95" s="418" t="s">
        <v>397</v>
      </c>
      <c r="G95" s="290">
        <v>274.2</v>
      </c>
      <c r="H95" s="290">
        <v>822.6</v>
      </c>
      <c r="I95" s="290">
        <v>697.32</v>
      </c>
      <c r="J95" s="418">
        <v>101.85</v>
      </c>
      <c r="K95" s="418" t="s">
        <v>397</v>
      </c>
      <c r="L95" s="290">
        <v>23.43</v>
      </c>
      <c r="M95" s="290">
        <v>2591.8200000000002</v>
      </c>
      <c r="N95" s="290" t="s">
        <v>397</v>
      </c>
      <c r="O95" s="289">
        <v>8.4629999999999992</v>
      </c>
    </row>
    <row r="96" spans="1:15" ht="18" customHeight="1">
      <c r="A96" s="291" t="s">
        <v>397</v>
      </c>
      <c r="B96" s="295" t="s">
        <v>483</v>
      </c>
      <c r="C96" s="296" t="s">
        <v>570</v>
      </c>
      <c r="D96" s="295" t="s">
        <v>528</v>
      </c>
      <c r="E96" s="418">
        <v>30.6</v>
      </c>
      <c r="F96" s="418" t="s">
        <v>397</v>
      </c>
      <c r="G96" s="290">
        <v>84.7</v>
      </c>
      <c r="H96" s="290">
        <v>2591.8200000000002</v>
      </c>
      <c r="I96" s="290" t="s">
        <v>397</v>
      </c>
      <c r="J96" s="418" t="s">
        <v>397</v>
      </c>
      <c r="K96" s="418" t="s">
        <v>397</v>
      </c>
      <c r="L96" s="290" t="s">
        <v>397</v>
      </c>
      <c r="M96" s="290">
        <v>2591.8200000000002</v>
      </c>
      <c r="N96" s="290" t="s">
        <v>397</v>
      </c>
      <c r="O96" s="289" t="s">
        <v>397</v>
      </c>
    </row>
    <row r="97" spans="1:15" ht="42" customHeight="1">
      <c r="A97" s="291">
        <v>12</v>
      </c>
      <c r="B97" s="295" t="s">
        <v>569</v>
      </c>
      <c r="C97" s="296" t="s">
        <v>568</v>
      </c>
      <c r="D97" s="295" t="s">
        <v>530</v>
      </c>
      <c r="E97" s="418">
        <v>50</v>
      </c>
      <c r="F97" s="418" t="s">
        <v>397</v>
      </c>
      <c r="G97" s="290">
        <v>304.56</v>
      </c>
      <c r="H97" s="290">
        <v>15228</v>
      </c>
      <c r="I97" s="290">
        <v>12895</v>
      </c>
      <c r="J97" s="418">
        <v>1547</v>
      </c>
      <c r="K97" s="418" t="s">
        <v>397</v>
      </c>
      <c r="L97" s="290">
        <v>786</v>
      </c>
      <c r="M97" s="290">
        <v>51255</v>
      </c>
      <c r="N97" s="290" t="s">
        <v>397</v>
      </c>
      <c r="O97" s="289">
        <v>156.5</v>
      </c>
    </row>
    <row r="98" spans="1:15" ht="18" customHeight="1">
      <c r="A98" s="291" t="s">
        <v>397</v>
      </c>
      <c r="B98" s="295" t="s">
        <v>483</v>
      </c>
      <c r="C98" s="296" t="s">
        <v>565</v>
      </c>
      <c r="D98" s="295" t="s">
        <v>528</v>
      </c>
      <c r="E98" s="418">
        <v>510</v>
      </c>
      <c r="F98" s="418" t="s">
        <v>397</v>
      </c>
      <c r="G98" s="290">
        <v>100.5</v>
      </c>
      <c r="H98" s="290">
        <v>51255</v>
      </c>
      <c r="I98" s="290" t="s">
        <v>397</v>
      </c>
      <c r="J98" s="418" t="s">
        <v>397</v>
      </c>
      <c r="K98" s="418" t="s">
        <v>397</v>
      </c>
      <c r="L98" s="290" t="s">
        <v>397</v>
      </c>
      <c r="M98" s="290">
        <v>51255</v>
      </c>
      <c r="N98" s="290" t="s">
        <v>397</v>
      </c>
      <c r="O98" s="289" t="s">
        <v>397</v>
      </c>
    </row>
    <row r="99" spans="1:15" ht="42" customHeight="1">
      <c r="A99" s="291">
        <v>13</v>
      </c>
      <c r="B99" s="295" t="s">
        <v>567</v>
      </c>
      <c r="C99" s="296" t="s">
        <v>566</v>
      </c>
      <c r="D99" s="295" t="s">
        <v>530</v>
      </c>
      <c r="E99" s="418">
        <v>3</v>
      </c>
      <c r="F99" s="418" t="s">
        <v>397</v>
      </c>
      <c r="G99" s="290">
        <v>342.5</v>
      </c>
      <c r="H99" s="290">
        <v>1027.5</v>
      </c>
      <c r="I99" s="290">
        <v>886.05</v>
      </c>
      <c r="J99" s="418">
        <v>99.24</v>
      </c>
      <c r="K99" s="418" t="s">
        <v>397</v>
      </c>
      <c r="L99" s="290">
        <v>42.21</v>
      </c>
      <c r="M99" s="290">
        <v>3353.76</v>
      </c>
      <c r="N99" s="290" t="s">
        <v>397</v>
      </c>
      <c r="O99" s="289">
        <v>10.755000000000001</v>
      </c>
    </row>
    <row r="100" spans="1:15" ht="18" customHeight="1">
      <c r="A100" s="291" t="s">
        <v>397</v>
      </c>
      <c r="B100" s="295" t="s">
        <v>483</v>
      </c>
      <c r="C100" s="296" t="s">
        <v>565</v>
      </c>
      <c r="D100" s="295" t="s">
        <v>528</v>
      </c>
      <c r="E100" s="418">
        <v>30.6</v>
      </c>
      <c r="F100" s="418" t="s">
        <v>397</v>
      </c>
      <c r="G100" s="290">
        <v>109.6</v>
      </c>
      <c r="H100" s="290">
        <v>3353.76</v>
      </c>
      <c r="I100" s="290" t="s">
        <v>397</v>
      </c>
      <c r="J100" s="418" t="s">
        <v>397</v>
      </c>
      <c r="K100" s="418" t="s">
        <v>397</v>
      </c>
      <c r="L100" s="290" t="s">
        <v>397</v>
      </c>
      <c r="M100" s="290">
        <v>3353.76</v>
      </c>
      <c r="N100" s="290" t="s">
        <v>397</v>
      </c>
      <c r="O100" s="289" t="s">
        <v>397</v>
      </c>
    </row>
    <row r="101" spans="1:15" ht="42" customHeight="1">
      <c r="A101" s="291">
        <v>14</v>
      </c>
      <c r="B101" s="295" t="s">
        <v>567</v>
      </c>
      <c r="C101" s="296" t="s">
        <v>566</v>
      </c>
      <c r="D101" s="295" t="s">
        <v>530</v>
      </c>
      <c r="E101" s="418">
        <v>12</v>
      </c>
      <c r="F101" s="418" t="s">
        <v>397</v>
      </c>
      <c r="G101" s="290">
        <v>342.5</v>
      </c>
      <c r="H101" s="290">
        <v>4110</v>
      </c>
      <c r="I101" s="290">
        <v>3544.2</v>
      </c>
      <c r="J101" s="418">
        <v>396.96</v>
      </c>
      <c r="K101" s="418" t="s">
        <v>397</v>
      </c>
      <c r="L101" s="290">
        <v>168.84</v>
      </c>
      <c r="M101" s="290">
        <v>13415.04</v>
      </c>
      <c r="N101" s="290" t="s">
        <v>397</v>
      </c>
      <c r="O101" s="289">
        <v>43.02</v>
      </c>
    </row>
    <row r="102" spans="1:15" ht="18" customHeight="1">
      <c r="A102" s="291" t="s">
        <v>397</v>
      </c>
      <c r="B102" s="295" t="s">
        <v>483</v>
      </c>
      <c r="C102" s="296" t="s">
        <v>565</v>
      </c>
      <c r="D102" s="295" t="s">
        <v>528</v>
      </c>
      <c r="E102" s="418">
        <v>122.4</v>
      </c>
      <c r="F102" s="418" t="s">
        <v>397</v>
      </c>
      <c r="G102" s="290">
        <v>109.6</v>
      </c>
      <c r="H102" s="290">
        <v>13415.04</v>
      </c>
      <c r="I102" s="290" t="s">
        <v>397</v>
      </c>
      <c r="J102" s="418" t="s">
        <v>397</v>
      </c>
      <c r="K102" s="418" t="s">
        <v>397</v>
      </c>
      <c r="L102" s="290" t="s">
        <v>397</v>
      </c>
      <c r="M102" s="290">
        <v>13415.04</v>
      </c>
      <c r="N102" s="290" t="s">
        <v>397</v>
      </c>
      <c r="O102" s="289" t="s">
        <v>397</v>
      </c>
    </row>
    <row r="103" spans="1:15" ht="42" customHeight="1">
      <c r="A103" s="291">
        <v>15</v>
      </c>
      <c r="B103" s="295" t="s">
        <v>564</v>
      </c>
      <c r="C103" s="296" t="s">
        <v>563</v>
      </c>
      <c r="D103" s="295" t="s">
        <v>530</v>
      </c>
      <c r="E103" s="418">
        <v>22</v>
      </c>
      <c r="F103" s="418" t="s">
        <v>397</v>
      </c>
      <c r="G103" s="290">
        <v>129.97999999999999</v>
      </c>
      <c r="H103" s="290">
        <v>2859.56</v>
      </c>
      <c r="I103" s="290">
        <v>2728</v>
      </c>
      <c r="J103" s="418">
        <v>110.88</v>
      </c>
      <c r="K103" s="418" t="s">
        <v>397</v>
      </c>
      <c r="L103" s="290">
        <v>20.68</v>
      </c>
      <c r="M103" s="290">
        <v>1767.48</v>
      </c>
      <c r="N103" s="290" t="s">
        <v>397</v>
      </c>
      <c r="O103" s="289">
        <v>33.088000000000001</v>
      </c>
    </row>
    <row r="104" spans="1:15" ht="18" customHeight="1">
      <c r="A104" s="291" t="s">
        <v>397</v>
      </c>
      <c r="B104" s="295" t="s">
        <v>483</v>
      </c>
      <c r="C104" s="296" t="s">
        <v>557</v>
      </c>
      <c r="D104" s="295" t="s">
        <v>528</v>
      </c>
      <c r="E104" s="418">
        <v>226.6</v>
      </c>
      <c r="F104" s="418" t="s">
        <v>397</v>
      </c>
      <c r="G104" s="290">
        <v>7.8</v>
      </c>
      <c r="H104" s="290">
        <v>1767.48</v>
      </c>
      <c r="I104" s="290" t="s">
        <v>397</v>
      </c>
      <c r="J104" s="418" t="s">
        <v>397</v>
      </c>
      <c r="K104" s="418" t="s">
        <v>397</v>
      </c>
      <c r="L104" s="290" t="s">
        <v>397</v>
      </c>
      <c r="M104" s="290">
        <v>1767.48</v>
      </c>
      <c r="N104" s="290" t="s">
        <v>397</v>
      </c>
      <c r="O104" s="289" t="s">
        <v>397</v>
      </c>
    </row>
    <row r="105" spans="1:15" ht="42" customHeight="1" thickBot="1">
      <c r="A105" s="288">
        <v>16</v>
      </c>
      <c r="B105" s="299" t="s">
        <v>562</v>
      </c>
      <c r="C105" s="300" t="s">
        <v>561</v>
      </c>
      <c r="D105" s="299" t="s">
        <v>530</v>
      </c>
      <c r="E105" s="419">
        <v>28</v>
      </c>
      <c r="F105" s="419" t="s">
        <v>397</v>
      </c>
      <c r="G105" s="287">
        <v>139.32</v>
      </c>
      <c r="H105" s="287">
        <v>3900.96</v>
      </c>
      <c r="I105" s="287">
        <v>3585.96</v>
      </c>
      <c r="J105" s="419">
        <v>288.68</v>
      </c>
      <c r="K105" s="419" t="s">
        <v>397</v>
      </c>
      <c r="L105" s="287">
        <v>26.32</v>
      </c>
      <c r="M105" s="287">
        <v>2653.28</v>
      </c>
      <c r="N105" s="287" t="s">
        <v>397</v>
      </c>
      <c r="O105" s="286">
        <v>43.512</v>
      </c>
    </row>
    <row r="106" spans="1:15" ht="16.5" customHeight="1">
      <c r="A106" s="412" t="s">
        <v>400</v>
      </c>
      <c r="B106" s="412" t="s">
        <v>397</v>
      </c>
      <c r="C106" s="412" t="s">
        <v>397</v>
      </c>
      <c r="D106" s="412" t="s">
        <v>397</v>
      </c>
      <c r="E106" s="412" t="s">
        <v>397</v>
      </c>
      <c r="F106" s="404" t="s">
        <v>399</v>
      </c>
      <c r="G106" s="404" t="s">
        <v>397</v>
      </c>
      <c r="H106" s="404" t="s">
        <v>397</v>
      </c>
      <c r="I106" s="404" t="s">
        <v>397</v>
      </c>
      <c r="J106" s="404" t="s">
        <v>397</v>
      </c>
      <c r="K106" s="405" t="s">
        <v>398</v>
      </c>
      <c r="L106" s="405" t="s">
        <v>397</v>
      </c>
      <c r="M106" s="405" t="s">
        <v>397</v>
      </c>
      <c r="N106" s="405" t="s">
        <v>397</v>
      </c>
      <c r="O106" s="405" t="s">
        <v>397</v>
      </c>
    </row>
    <row r="107" spans="1:15" ht="14.25" customHeight="1">
      <c r="A107" s="405" t="s">
        <v>397</v>
      </c>
      <c r="B107" s="405" t="s">
        <v>397</v>
      </c>
      <c r="C107" s="405" t="s">
        <v>397</v>
      </c>
      <c r="D107" s="405" t="s">
        <v>397</v>
      </c>
      <c r="E107" s="405" t="s">
        <v>397</v>
      </c>
      <c r="F107" s="405" t="s">
        <v>397</v>
      </c>
      <c r="G107" s="405" t="s">
        <v>397</v>
      </c>
      <c r="H107" s="405" t="s">
        <v>397</v>
      </c>
      <c r="I107" s="405" t="s">
        <v>397</v>
      </c>
      <c r="J107" s="405" t="s">
        <v>397</v>
      </c>
      <c r="K107" s="405" t="s">
        <v>397</v>
      </c>
      <c r="L107" s="405" t="s">
        <v>397</v>
      </c>
      <c r="M107" s="405" t="s">
        <v>397</v>
      </c>
      <c r="N107" s="405" t="s">
        <v>397</v>
      </c>
      <c r="O107" s="405" t="s">
        <v>397</v>
      </c>
    </row>
    <row r="108" spans="1:15" ht="32.25" customHeight="1">
      <c r="A108" s="411" t="s">
        <v>509</v>
      </c>
      <c r="B108" s="411" t="s">
        <v>397</v>
      </c>
      <c r="C108" s="411" t="s">
        <v>397</v>
      </c>
      <c r="D108" s="411" t="s">
        <v>397</v>
      </c>
      <c r="E108" s="411" t="s">
        <v>397</v>
      </c>
      <c r="F108" s="411" t="s">
        <v>397</v>
      </c>
      <c r="G108" s="411" t="s">
        <v>397</v>
      </c>
      <c r="H108" s="411" t="s">
        <v>397</v>
      </c>
      <c r="I108" s="411" t="s">
        <v>397</v>
      </c>
      <c r="J108" s="411" t="s">
        <v>397</v>
      </c>
      <c r="K108" s="411" t="s">
        <v>397</v>
      </c>
      <c r="L108" s="411" t="s">
        <v>397</v>
      </c>
      <c r="M108" s="411" t="s">
        <v>397</v>
      </c>
      <c r="N108" s="411" t="s">
        <v>397</v>
      </c>
      <c r="O108" s="411" t="s">
        <v>397</v>
      </c>
    </row>
    <row r="109" spans="1:15" ht="23.25" customHeight="1" thickBot="1">
      <c r="A109" s="412" t="s">
        <v>471</v>
      </c>
      <c r="B109" s="412" t="s">
        <v>397</v>
      </c>
      <c r="C109" s="412" t="s">
        <v>397</v>
      </c>
      <c r="D109" s="412" t="s">
        <v>397</v>
      </c>
      <c r="E109" s="412" t="s">
        <v>397</v>
      </c>
      <c r="F109" s="412" t="s">
        <v>397</v>
      </c>
      <c r="G109" s="412" t="s">
        <v>397</v>
      </c>
      <c r="H109" s="412" t="s">
        <v>397</v>
      </c>
      <c r="I109" s="412" t="s">
        <v>397</v>
      </c>
      <c r="J109" s="412" t="s">
        <v>397</v>
      </c>
      <c r="K109" s="405" t="s">
        <v>560</v>
      </c>
      <c r="L109" s="405" t="s">
        <v>397</v>
      </c>
      <c r="M109" s="405" t="s">
        <v>397</v>
      </c>
      <c r="N109" s="405" t="s">
        <v>397</v>
      </c>
      <c r="O109" s="405" t="s">
        <v>397</v>
      </c>
    </row>
    <row r="110" spans="1:15" ht="19.5" customHeight="1">
      <c r="A110" s="413" t="s">
        <v>42</v>
      </c>
      <c r="B110" s="407" t="s">
        <v>507</v>
      </c>
      <c r="C110" s="407" t="s">
        <v>506</v>
      </c>
      <c r="D110" s="407" t="s">
        <v>505</v>
      </c>
      <c r="E110" s="407" t="s">
        <v>397</v>
      </c>
      <c r="F110" s="407" t="s">
        <v>397</v>
      </c>
      <c r="G110" s="407" t="s">
        <v>504</v>
      </c>
      <c r="H110" s="407" t="s">
        <v>397</v>
      </c>
      <c r="I110" s="407" t="s">
        <v>503</v>
      </c>
      <c r="J110" s="407" t="s">
        <v>397</v>
      </c>
      <c r="K110" s="407" t="s">
        <v>397</v>
      </c>
      <c r="L110" s="407" t="s">
        <v>397</v>
      </c>
      <c r="M110" s="407" t="s">
        <v>397</v>
      </c>
      <c r="N110" s="407" t="s">
        <v>397</v>
      </c>
      <c r="O110" s="416" t="s">
        <v>502</v>
      </c>
    </row>
    <row r="111" spans="1:15" ht="18" customHeight="1">
      <c r="A111" s="414" t="s">
        <v>397</v>
      </c>
      <c r="B111" s="415" t="s">
        <v>397</v>
      </c>
      <c r="C111" s="415" t="s">
        <v>397</v>
      </c>
      <c r="D111" s="298" t="s">
        <v>384</v>
      </c>
      <c r="E111" s="415" t="s">
        <v>383</v>
      </c>
      <c r="F111" s="415" t="s">
        <v>397</v>
      </c>
      <c r="G111" s="298" t="s">
        <v>382</v>
      </c>
      <c r="H111" s="298" t="s">
        <v>381</v>
      </c>
      <c r="I111" s="298" t="s">
        <v>501</v>
      </c>
      <c r="J111" s="415" t="s">
        <v>500</v>
      </c>
      <c r="K111" s="415" t="s">
        <v>397</v>
      </c>
      <c r="L111" s="298" t="s">
        <v>499</v>
      </c>
      <c r="M111" s="298" t="s">
        <v>498</v>
      </c>
      <c r="N111" s="298" t="s">
        <v>497</v>
      </c>
      <c r="O111" s="417" t="s">
        <v>397</v>
      </c>
    </row>
    <row r="112" spans="1:15" ht="18" customHeight="1">
      <c r="A112" s="291" t="s">
        <v>397</v>
      </c>
      <c r="B112" s="295" t="s">
        <v>483</v>
      </c>
      <c r="C112" s="296" t="s">
        <v>552</v>
      </c>
      <c r="D112" s="295" t="s">
        <v>528</v>
      </c>
      <c r="E112" s="418">
        <v>288.39999999999998</v>
      </c>
      <c r="F112" s="418" t="s">
        <v>397</v>
      </c>
      <c r="G112" s="290">
        <v>9.1999999999999993</v>
      </c>
      <c r="H112" s="290">
        <v>2653.28</v>
      </c>
      <c r="I112" s="290" t="s">
        <v>397</v>
      </c>
      <c r="J112" s="418" t="s">
        <v>397</v>
      </c>
      <c r="K112" s="418" t="s">
        <v>397</v>
      </c>
      <c r="L112" s="290" t="s">
        <v>397</v>
      </c>
      <c r="M112" s="290">
        <v>2653.28</v>
      </c>
      <c r="N112" s="290" t="s">
        <v>397</v>
      </c>
      <c r="O112" s="289" t="s">
        <v>397</v>
      </c>
    </row>
    <row r="113" spans="1:15" ht="42" customHeight="1">
      <c r="A113" s="291">
        <v>17</v>
      </c>
      <c r="B113" s="295" t="s">
        <v>559</v>
      </c>
      <c r="C113" s="296" t="s">
        <v>558</v>
      </c>
      <c r="D113" s="295" t="s">
        <v>530</v>
      </c>
      <c r="E113" s="418">
        <v>32</v>
      </c>
      <c r="F113" s="418" t="s">
        <v>397</v>
      </c>
      <c r="G113" s="290">
        <v>155.97</v>
      </c>
      <c r="H113" s="290">
        <v>4991.04</v>
      </c>
      <c r="I113" s="290">
        <v>4565.4399999999996</v>
      </c>
      <c r="J113" s="418">
        <v>395.52</v>
      </c>
      <c r="K113" s="418" t="s">
        <v>397</v>
      </c>
      <c r="L113" s="290">
        <v>30.08</v>
      </c>
      <c r="M113" s="290">
        <v>6097.6</v>
      </c>
      <c r="N113" s="290" t="s">
        <v>397</v>
      </c>
      <c r="O113" s="289">
        <v>55.423999999999999</v>
      </c>
    </row>
    <row r="114" spans="1:15" ht="18" customHeight="1">
      <c r="A114" s="291" t="s">
        <v>397</v>
      </c>
      <c r="B114" s="295" t="s">
        <v>483</v>
      </c>
      <c r="C114" s="296" t="s">
        <v>557</v>
      </c>
      <c r="D114" s="295" t="s">
        <v>528</v>
      </c>
      <c r="E114" s="418">
        <v>329.6</v>
      </c>
      <c r="F114" s="418" t="s">
        <v>397</v>
      </c>
      <c r="G114" s="290">
        <v>18.5</v>
      </c>
      <c r="H114" s="290">
        <v>6097.6</v>
      </c>
      <c r="I114" s="290" t="s">
        <v>397</v>
      </c>
      <c r="J114" s="418" t="s">
        <v>397</v>
      </c>
      <c r="K114" s="418" t="s">
        <v>397</v>
      </c>
      <c r="L114" s="290" t="s">
        <v>397</v>
      </c>
      <c r="M114" s="290">
        <v>6097.6</v>
      </c>
      <c r="N114" s="290" t="s">
        <v>397</v>
      </c>
      <c r="O114" s="289" t="s">
        <v>397</v>
      </c>
    </row>
    <row r="115" spans="1:15" ht="42" customHeight="1">
      <c r="A115" s="291">
        <v>18</v>
      </c>
      <c r="B115" s="295" t="s">
        <v>556</v>
      </c>
      <c r="C115" s="296" t="s">
        <v>555</v>
      </c>
      <c r="D115" s="295" t="s">
        <v>530</v>
      </c>
      <c r="E115" s="418">
        <v>9</v>
      </c>
      <c r="F115" s="418" t="s">
        <v>397</v>
      </c>
      <c r="G115" s="290">
        <v>159.38</v>
      </c>
      <c r="H115" s="290">
        <v>1434.42</v>
      </c>
      <c r="I115" s="290">
        <v>1365.57</v>
      </c>
      <c r="J115" s="418">
        <v>60.39</v>
      </c>
      <c r="K115" s="418" t="s">
        <v>397</v>
      </c>
      <c r="L115" s="290">
        <v>8.4600000000000009</v>
      </c>
      <c r="M115" s="290">
        <v>2178.4499999999998</v>
      </c>
      <c r="N115" s="290" t="s">
        <v>397</v>
      </c>
      <c r="O115" s="289">
        <v>16.568999999999999</v>
      </c>
    </row>
    <row r="116" spans="1:15" ht="18" customHeight="1">
      <c r="A116" s="291" t="s">
        <v>397</v>
      </c>
      <c r="B116" s="295" t="s">
        <v>483</v>
      </c>
      <c r="C116" s="296" t="s">
        <v>552</v>
      </c>
      <c r="D116" s="295" t="s">
        <v>528</v>
      </c>
      <c r="E116" s="418">
        <v>92.7</v>
      </c>
      <c r="F116" s="418" t="s">
        <v>397</v>
      </c>
      <c r="G116" s="290">
        <v>23.5</v>
      </c>
      <c r="H116" s="290">
        <v>2178.4499999999998</v>
      </c>
      <c r="I116" s="290" t="s">
        <v>397</v>
      </c>
      <c r="J116" s="418" t="s">
        <v>397</v>
      </c>
      <c r="K116" s="418" t="s">
        <v>397</v>
      </c>
      <c r="L116" s="290" t="s">
        <v>397</v>
      </c>
      <c r="M116" s="290">
        <v>2178.4499999999998</v>
      </c>
      <c r="N116" s="290" t="s">
        <v>397</v>
      </c>
      <c r="O116" s="289" t="s">
        <v>397</v>
      </c>
    </row>
    <row r="117" spans="1:15" ht="42" customHeight="1">
      <c r="A117" s="291">
        <v>19</v>
      </c>
      <c r="B117" s="295" t="s">
        <v>554</v>
      </c>
      <c r="C117" s="296" t="s">
        <v>553</v>
      </c>
      <c r="D117" s="295" t="s">
        <v>530</v>
      </c>
      <c r="E117" s="418">
        <v>15</v>
      </c>
      <c r="F117" s="418" t="s">
        <v>397</v>
      </c>
      <c r="G117" s="290">
        <v>169.65</v>
      </c>
      <c r="H117" s="290">
        <v>2544.75</v>
      </c>
      <c r="I117" s="290">
        <v>2410.5</v>
      </c>
      <c r="J117" s="418">
        <v>120.15</v>
      </c>
      <c r="K117" s="418" t="s">
        <v>397</v>
      </c>
      <c r="L117" s="290">
        <v>14.1</v>
      </c>
      <c r="M117" s="290">
        <v>5685.6</v>
      </c>
      <c r="N117" s="290" t="s">
        <v>397</v>
      </c>
      <c r="O117" s="289">
        <v>29.25</v>
      </c>
    </row>
    <row r="118" spans="1:15" ht="18" customHeight="1">
      <c r="A118" s="291" t="s">
        <v>397</v>
      </c>
      <c r="B118" s="295" t="s">
        <v>483</v>
      </c>
      <c r="C118" s="296" t="s">
        <v>552</v>
      </c>
      <c r="D118" s="295" t="s">
        <v>528</v>
      </c>
      <c r="E118" s="418">
        <v>154.5</v>
      </c>
      <c r="F118" s="418" t="s">
        <v>397</v>
      </c>
      <c r="G118" s="290">
        <v>36.799999999999997</v>
      </c>
      <c r="H118" s="290">
        <v>5685.6</v>
      </c>
      <c r="I118" s="290" t="s">
        <v>397</v>
      </c>
      <c r="J118" s="418" t="s">
        <v>397</v>
      </c>
      <c r="K118" s="418" t="s">
        <v>397</v>
      </c>
      <c r="L118" s="290" t="s">
        <v>397</v>
      </c>
      <c r="M118" s="290">
        <v>5685.6</v>
      </c>
      <c r="N118" s="290" t="s">
        <v>397</v>
      </c>
      <c r="O118" s="289" t="s">
        <v>397</v>
      </c>
    </row>
    <row r="119" spans="1:15" ht="42" customHeight="1">
      <c r="A119" s="291">
        <v>20</v>
      </c>
      <c r="B119" s="295" t="s">
        <v>551</v>
      </c>
      <c r="C119" s="296" t="s">
        <v>550</v>
      </c>
      <c r="D119" s="295" t="s">
        <v>530</v>
      </c>
      <c r="E119" s="418">
        <v>50</v>
      </c>
      <c r="F119" s="418" t="s">
        <v>397</v>
      </c>
      <c r="G119" s="290">
        <v>126.45</v>
      </c>
      <c r="H119" s="290">
        <v>6322.5</v>
      </c>
      <c r="I119" s="290">
        <v>5298</v>
      </c>
      <c r="J119" s="418">
        <v>1019.5</v>
      </c>
      <c r="K119" s="418" t="s">
        <v>397</v>
      </c>
      <c r="L119" s="290">
        <v>5</v>
      </c>
      <c r="M119" s="290">
        <v>4738.5</v>
      </c>
      <c r="N119" s="290" t="s">
        <v>397</v>
      </c>
      <c r="O119" s="289">
        <v>64.3</v>
      </c>
    </row>
    <row r="120" spans="1:15" ht="18" customHeight="1">
      <c r="A120" s="291" t="s">
        <v>397</v>
      </c>
      <c r="B120" s="295" t="s">
        <v>483</v>
      </c>
      <c r="C120" s="296" t="s">
        <v>544</v>
      </c>
      <c r="D120" s="295" t="s">
        <v>528</v>
      </c>
      <c r="E120" s="418">
        <v>483.5</v>
      </c>
      <c r="F120" s="418" t="s">
        <v>397</v>
      </c>
      <c r="G120" s="290">
        <v>9.8000000000000007</v>
      </c>
      <c r="H120" s="290">
        <v>4738.3</v>
      </c>
      <c r="I120" s="290" t="s">
        <v>397</v>
      </c>
      <c r="J120" s="418" t="s">
        <v>397</v>
      </c>
      <c r="K120" s="418" t="s">
        <v>397</v>
      </c>
      <c r="L120" s="290" t="s">
        <v>397</v>
      </c>
      <c r="M120" s="290">
        <v>4738.3</v>
      </c>
      <c r="N120" s="290" t="s">
        <v>397</v>
      </c>
      <c r="O120" s="289" t="s">
        <v>397</v>
      </c>
    </row>
    <row r="121" spans="1:15" ht="42" customHeight="1">
      <c r="A121" s="291">
        <v>21</v>
      </c>
      <c r="B121" s="295" t="s">
        <v>549</v>
      </c>
      <c r="C121" s="296" t="s">
        <v>548</v>
      </c>
      <c r="D121" s="295" t="s">
        <v>530</v>
      </c>
      <c r="E121" s="418">
        <v>40</v>
      </c>
      <c r="F121" s="418" t="s">
        <v>397</v>
      </c>
      <c r="G121" s="290">
        <v>172.66</v>
      </c>
      <c r="H121" s="290">
        <v>6906.4</v>
      </c>
      <c r="I121" s="290">
        <v>5762.4</v>
      </c>
      <c r="J121" s="418">
        <v>1140</v>
      </c>
      <c r="K121" s="418" t="s">
        <v>397</v>
      </c>
      <c r="L121" s="290">
        <v>4</v>
      </c>
      <c r="M121" s="290">
        <v>8474.4</v>
      </c>
      <c r="N121" s="290" t="s">
        <v>397</v>
      </c>
      <c r="O121" s="289">
        <v>69.959999999999994</v>
      </c>
    </row>
    <row r="122" spans="1:15" ht="18" customHeight="1">
      <c r="A122" s="291" t="s">
        <v>397</v>
      </c>
      <c r="B122" s="295" t="s">
        <v>483</v>
      </c>
      <c r="C122" s="296" t="s">
        <v>544</v>
      </c>
      <c r="D122" s="295" t="s">
        <v>528</v>
      </c>
      <c r="E122" s="418">
        <v>385.2</v>
      </c>
      <c r="F122" s="418" t="s">
        <v>397</v>
      </c>
      <c r="G122" s="290">
        <v>22</v>
      </c>
      <c r="H122" s="290">
        <v>8474.4</v>
      </c>
      <c r="I122" s="290" t="s">
        <v>397</v>
      </c>
      <c r="J122" s="418" t="s">
        <v>397</v>
      </c>
      <c r="K122" s="418" t="s">
        <v>397</v>
      </c>
      <c r="L122" s="290" t="s">
        <v>397</v>
      </c>
      <c r="M122" s="290">
        <v>8474.4</v>
      </c>
      <c r="N122" s="290" t="s">
        <v>397</v>
      </c>
      <c r="O122" s="289" t="s">
        <v>397</v>
      </c>
    </row>
    <row r="123" spans="1:15" ht="42" customHeight="1">
      <c r="A123" s="291">
        <v>22</v>
      </c>
      <c r="B123" s="295" t="s">
        <v>546</v>
      </c>
      <c r="C123" s="296" t="s">
        <v>545</v>
      </c>
      <c r="D123" s="295" t="s">
        <v>530</v>
      </c>
      <c r="E123" s="418">
        <v>20</v>
      </c>
      <c r="F123" s="418" t="s">
        <v>397</v>
      </c>
      <c r="G123" s="290">
        <v>199.96</v>
      </c>
      <c r="H123" s="290">
        <v>3999.2</v>
      </c>
      <c r="I123" s="290">
        <v>3214</v>
      </c>
      <c r="J123" s="418">
        <v>783.2</v>
      </c>
      <c r="K123" s="418" t="s">
        <v>397</v>
      </c>
      <c r="L123" s="290">
        <v>2</v>
      </c>
      <c r="M123" s="290">
        <v>7276</v>
      </c>
      <c r="N123" s="290" t="s">
        <v>397</v>
      </c>
      <c r="O123" s="289">
        <v>39</v>
      </c>
    </row>
    <row r="124" spans="1:15" ht="18" customHeight="1" thickBot="1">
      <c r="A124" s="288" t="s">
        <v>397</v>
      </c>
      <c r="B124" s="299" t="s">
        <v>483</v>
      </c>
      <c r="C124" s="300" t="s">
        <v>544</v>
      </c>
      <c r="D124" s="299" t="s">
        <v>528</v>
      </c>
      <c r="E124" s="419">
        <v>170.4</v>
      </c>
      <c r="F124" s="419" t="s">
        <v>397</v>
      </c>
      <c r="G124" s="287">
        <v>42.7</v>
      </c>
      <c r="H124" s="287">
        <v>7276.08</v>
      </c>
      <c r="I124" s="287" t="s">
        <v>397</v>
      </c>
      <c r="J124" s="419" t="s">
        <v>397</v>
      </c>
      <c r="K124" s="419" t="s">
        <v>397</v>
      </c>
      <c r="L124" s="287" t="s">
        <v>397</v>
      </c>
      <c r="M124" s="287">
        <v>7276.08</v>
      </c>
      <c r="N124" s="287" t="s">
        <v>397</v>
      </c>
      <c r="O124" s="286" t="s">
        <v>397</v>
      </c>
    </row>
    <row r="125" spans="1:15" ht="16.5" customHeight="1">
      <c r="A125" s="412" t="s">
        <v>400</v>
      </c>
      <c r="B125" s="412" t="s">
        <v>397</v>
      </c>
      <c r="C125" s="412" t="s">
        <v>397</v>
      </c>
      <c r="D125" s="412" t="s">
        <v>397</v>
      </c>
      <c r="E125" s="412" t="s">
        <v>397</v>
      </c>
      <c r="F125" s="404" t="s">
        <v>399</v>
      </c>
      <c r="G125" s="404" t="s">
        <v>397</v>
      </c>
      <c r="H125" s="404" t="s">
        <v>397</v>
      </c>
      <c r="I125" s="404" t="s">
        <v>397</v>
      </c>
      <c r="J125" s="404" t="s">
        <v>397</v>
      </c>
      <c r="K125" s="405" t="s">
        <v>398</v>
      </c>
      <c r="L125" s="405" t="s">
        <v>397</v>
      </c>
      <c r="M125" s="405" t="s">
        <v>397</v>
      </c>
      <c r="N125" s="405" t="s">
        <v>397</v>
      </c>
      <c r="O125" s="405" t="s">
        <v>397</v>
      </c>
    </row>
    <row r="126" spans="1:15" ht="14.25" customHeight="1">
      <c r="A126" s="405" t="s">
        <v>397</v>
      </c>
      <c r="B126" s="405" t="s">
        <v>397</v>
      </c>
      <c r="C126" s="405" t="s">
        <v>397</v>
      </c>
      <c r="D126" s="405" t="s">
        <v>397</v>
      </c>
      <c r="E126" s="405" t="s">
        <v>397</v>
      </c>
      <c r="F126" s="405" t="s">
        <v>397</v>
      </c>
      <c r="G126" s="405" t="s">
        <v>397</v>
      </c>
      <c r="H126" s="405" t="s">
        <v>397</v>
      </c>
      <c r="I126" s="405" t="s">
        <v>397</v>
      </c>
      <c r="J126" s="405" t="s">
        <v>397</v>
      </c>
      <c r="K126" s="405" t="s">
        <v>397</v>
      </c>
      <c r="L126" s="405" t="s">
        <v>397</v>
      </c>
      <c r="M126" s="405" t="s">
        <v>397</v>
      </c>
      <c r="N126" s="405" t="s">
        <v>397</v>
      </c>
      <c r="O126" s="405" t="s">
        <v>397</v>
      </c>
    </row>
    <row r="127" spans="1:15" ht="32.25" customHeight="1">
      <c r="A127" s="411" t="s">
        <v>509</v>
      </c>
      <c r="B127" s="411" t="s">
        <v>397</v>
      </c>
      <c r="C127" s="411" t="s">
        <v>397</v>
      </c>
      <c r="D127" s="411" t="s">
        <v>397</v>
      </c>
      <c r="E127" s="411" t="s">
        <v>397</v>
      </c>
      <c r="F127" s="411" t="s">
        <v>397</v>
      </c>
      <c r="G127" s="411" t="s">
        <v>397</v>
      </c>
      <c r="H127" s="411" t="s">
        <v>397</v>
      </c>
      <c r="I127" s="411" t="s">
        <v>397</v>
      </c>
      <c r="J127" s="411" t="s">
        <v>397</v>
      </c>
      <c r="K127" s="411" t="s">
        <v>397</v>
      </c>
      <c r="L127" s="411" t="s">
        <v>397</v>
      </c>
      <c r="M127" s="411" t="s">
        <v>397</v>
      </c>
      <c r="N127" s="411" t="s">
        <v>397</v>
      </c>
      <c r="O127" s="411" t="s">
        <v>397</v>
      </c>
    </row>
    <row r="128" spans="1:15" ht="23.25" customHeight="1" thickBot="1">
      <c r="A128" s="412" t="s">
        <v>471</v>
      </c>
      <c r="B128" s="412" t="s">
        <v>397</v>
      </c>
      <c r="C128" s="412" t="s">
        <v>397</v>
      </c>
      <c r="D128" s="412" t="s">
        <v>397</v>
      </c>
      <c r="E128" s="412" t="s">
        <v>397</v>
      </c>
      <c r="F128" s="412" t="s">
        <v>397</v>
      </c>
      <c r="G128" s="412" t="s">
        <v>397</v>
      </c>
      <c r="H128" s="412" t="s">
        <v>397</v>
      </c>
      <c r="I128" s="412" t="s">
        <v>397</v>
      </c>
      <c r="J128" s="412" t="s">
        <v>397</v>
      </c>
      <c r="K128" s="405" t="s">
        <v>547</v>
      </c>
      <c r="L128" s="405" t="s">
        <v>397</v>
      </c>
      <c r="M128" s="405" t="s">
        <v>397</v>
      </c>
      <c r="N128" s="405" t="s">
        <v>397</v>
      </c>
      <c r="O128" s="405" t="s">
        <v>397</v>
      </c>
    </row>
    <row r="129" spans="1:15" ht="19.5" customHeight="1">
      <c r="A129" s="413" t="s">
        <v>42</v>
      </c>
      <c r="B129" s="407" t="s">
        <v>507</v>
      </c>
      <c r="C129" s="407" t="s">
        <v>506</v>
      </c>
      <c r="D129" s="407" t="s">
        <v>505</v>
      </c>
      <c r="E129" s="407" t="s">
        <v>397</v>
      </c>
      <c r="F129" s="407" t="s">
        <v>397</v>
      </c>
      <c r="G129" s="407" t="s">
        <v>504</v>
      </c>
      <c r="H129" s="407" t="s">
        <v>397</v>
      </c>
      <c r="I129" s="407" t="s">
        <v>503</v>
      </c>
      <c r="J129" s="407" t="s">
        <v>397</v>
      </c>
      <c r="K129" s="407" t="s">
        <v>397</v>
      </c>
      <c r="L129" s="407" t="s">
        <v>397</v>
      </c>
      <c r="M129" s="407" t="s">
        <v>397</v>
      </c>
      <c r="N129" s="407" t="s">
        <v>397</v>
      </c>
      <c r="O129" s="416" t="s">
        <v>502</v>
      </c>
    </row>
    <row r="130" spans="1:15" ht="18" customHeight="1">
      <c r="A130" s="414" t="s">
        <v>397</v>
      </c>
      <c r="B130" s="415" t="s">
        <v>397</v>
      </c>
      <c r="C130" s="415" t="s">
        <v>397</v>
      </c>
      <c r="D130" s="298" t="s">
        <v>384</v>
      </c>
      <c r="E130" s="415" t="s">
        <v>383</v>
      </c>
      <c r="F130" s="415" t="s">
        <v>397</v>
      </c>
      <c r="G130" s="298" t="s">
        <v>382</v>
      </c>
      <c r="H130" s="298" t="s">
        <v>381</v>
      </c>
      <c r="I130" s="298" t="s">
        <v>501</v>
      </c>
      <c r="J130" s="415" t="s">
        <v>500</v>
      </c>
      <c r="K130" s="415" t="s">
        <v>397</v>
      </c>
      <c r="L130" s="298" t="s">
        <v>499</v>
      </c>
      <c r="M130" s="298" t="s">
        <v>498</v>
      </c>
      <c r="N130" s="298" t="s">
        <v>497</v>
      </c>
      <c r="O130" s="417" t="s">
        <v>397</v>
      </c>
    </row>
    <row r="131" spans="1:15" ht="42" customHeight="1">
      <c r="A131" s="291">
        <v>23</v>
      </c>
      <c r="B131" s="295" t="s">
        <v>546</v>
      </c>
      <c r="C131" s="296" t="s">
        <v>545</v>
      </c>
      <c r="D131" s="295" t="s">
        <v>530</v>
      </c>
      <c r="E131" s="418">
        <v>13</v>
      </c>
      <c r="F131" s="418" t="s">
        <v>397</v>
      </c>
      <c r="G131" s="290">
        <v>199.96</v>
      </c>
      <c r="H131" s="290">
        <v>2599.48</v>
      </c>
      <c r="I131" s="290">
        <v>2089.1</v>
      </c>
      <c r="J131" s="418">
        <v>509.08</v>
      </c>
      <c r="K131" s="418" t="s">
        <v>397</v>
      </c>
      <c r="L131" s="290">
        <v>1.3</v>
      </c>
      <c r="M131" s="290">
        <v>4729.3999999999996</v>
      </c>
      <c r="N131" s="290" t="s">
        <v>397</v>
      </c>
      <c r="O131" s="289">
        <v>25.35</v>
      </c>
    </row>
    <row r="132" spans="1:15" ht="18" customHeight="1">
      <c r="A132" s="291" t="s">
        <v>397</v>
      </c>
      <c r="B132" s="295" t="s">
        <v>483</v>
      </c>
      <c r="C132" s="296" t="s">
        <v>541</v>
      </c>
      <c r="D132" s="295" t="s">
        <v>528</v>
      </c>
      <c r="E132" s="418">
        <v>110.76</v>
      </c>
      <c r="F132" s="418" t="s">
        <v>397</v>
      </c>
      <c r="G132" s="290">
        <v>42.7</v>
      </c>
      <c r="H132" s="290">
        <v>4729.45</v>
      </c>
      <c r="I132" s="290" t="s">
        <v>397</v>
      </c>
      <c r="J132" s="418" t="s">
        <v>397</v>
      </c>
      <c r="K132" s="418" t="s">
        <v>397</v>
      </c>
      <c r="L132" s="290" t="s">
        <v>397</v>
      </c>
      <c r="M132" s="290">
        <v>4729.45</v>
      </c>
      <c r="N132" s="290" t="s">
        <v>397</v>
      </c>
      <c r="O132" s="289" t="s">
        <v>397</v>
      </c>
    </row>
    <row r="133" spans="1:15" ht="42" customHeight="1">
      <c r="A133" s="291">
        <v>24</v>
      </c>
      <c r="B133" s="295" t="s">
        <v>546</v>
      </c>
      <c r="C133" s="296" t="s">
        <v>545</v>
      </c>
      <c r="D133" s="295" t="s">
        <v>530</v>
      </c>
      <c r="E133" s="418">
        <v>6</v>
      </c>
      <c r="F133" s="418" t="s">
        <v>397</v>
      </c>
      <c r="G133" s="290">
        <v>199.96</v>
      </c>
      <c r="H133" s="290">
        <v>1199.76</v>
      </c>
      <c r="I133" s="290">
        <v>964.2</v>
      </c>
      <c r="J133" s="418">
        <v>234.96</v>
      </c>
      <c r="K133" s="418" t="s">
        <v>397</v>
      </c>
      <c r="L133" s="290">
        <v>0.6</v>
      </c>
      <c r="M133" s="290">
        <v>2182.8000000000002</v>
      </c>
      <c r="N133" s="290" t="s">
        <v>397</v>
      </c>
      <c r="O133" s="289">
        <v>11.7</v>
      </c>
    </row>
    <row r="134" spans="1:15" ht="18" customHeight="1">
      <c r="A134" s="291" t="s">
        <v>397</v>
      </c>
      <c r="B134" s="295" t="s">
        <v>483</v>
      </c>
      <c r="C134" s="296" t="s">
        <v>544</v>
      </c>
      <c r="D134" s="295" t="s">
        <v>528</v>
      </c>
      <c r="E134" s="418">
        <v>51.12</v>
      </c>
      <c r="F134" s="418" t="s">
        <v>397</v>
      </c>
      <c r="G134" s="290">
        <v>42.7</v>
      </c>
      <c r="H134" s="290">
        <v>2182.8200000000002</v>
      </c>
      <c r="I134" s="290" t="s">
        <v>397</v>
      </c>
      <c r="J134" s="418" t="s">
        <v>397</v>
      </c>
      <c r="K134" s="418" t="s">
        <v>397</v>
      </c>
      <c r="L134" s="290" t="s">
        <v>397</v>
      </c>
      <c r="M134" s="290">
        <v>2182.8200000000002</v>
      </c>
      <c r="N134" s="290" t="s">
        <v>397</v>
      </c>
      <c r="O134" s="289" t="s">
        <v>397</v>
      </c>
    </row>
    <row r="135" spans="1:15" ht="42" customHeight="1">
      <c r="A135" s="291">
        <v>25</v>
      </c>
      <c r="B135" s="295" t="s">
        <v>543</v>
      </c>
      <c r="C135" s="296" t="s">
        <v>542</v>
      </c>
      <c r="D135" s="295" t="s">
        <v>530</v>
      </c>
      <c r="E135" s="418">
        <v>8</v>
      </c>
      <c r="F135" s="418" t="s">
        <v>397</v>
      </c>
      <c r="G135" s="290">
        <v>268.58999999999997</v>
      </c>
      <c r="H135" s="290">
        <v>2148.7199999999998</v>
      </c>
      <c r="I135" s="290">
        <v>1811.6</v>
      </c>
      <c r="J135" s="418">
        <v>336.32</v>
      </c>
      <c r="K135" s="418" t="s">
        <v>397</v>
      </c>
      <c r="L135" s="290">
        <v>0.8</v>
      </c>
      <c r="M135" s="290">
        <v>4394.08</v>
      </c>
      <c r="N135" s="290" t="s">
        <v>397</v>
      </c>
      <c r="O135" s="289">
        <v>21.992000000000001</v>
      </c>
    </row>
    <row r="136" spans="1:15" ht="18" customHeight="1">
      <c r="A136" s="291" t="s">
        <v>397</v>
      </c>
      <c r="B136" s="295" t="s">
        <v>483</v>
      </c>
      <c r="C136" s="296" t="s">
        <v>541</v>
      </c>
      <c r="D136" s="295" t="s">
        <v>528</v>
      </c>
      <c r="E136" s="418">
        <v>75.760000000000005</v>
      </c>
      <c r="F136" s="418" t="s">
        <v>397</v>
      </c>
      <c r="G136" s="290">
        <v>58</v>
      </c>
      <c r="H136" s="290">
        <v>4394.08</v>
      </c>
      <c r="I136" s="290" t="s">
        <v>397</v>
      </c>
      <c r="J136" s="418" t="s">
        <v>397</v>
      </c>
      <c r="K136" s="418" t="s">
        <v>397</v>
      </c>
      <c r="L136" s="290" t="s">
        <v>397</v>
      </c>
      <c r="M136" s="290">
        <v>4394.08</v>
      </c>
      <c r="N136" s="290" t="s">
        <v>397</v>
      </c>
      <c r="O136" s="289" t="s">
        <v>397</v>
      </c>
    </row>
    <row r="137" spans="1:15" ht="42" customHeight="1">
      <c r="A137" s="291">
        <v>26</v>
      </c>
      <c r="B137" s="295" t="s">
        <v>543</v>
      </c>
      <c r="C137" s="296" t="s">
        <v>542</v>
      </c>
      <c r="D137" s="295" t="s">
        <v>530</v>
      </c>
      <c r="E137" s="418">
        <v>10</v>
      </c>
      <c r="F137" s="418" t="s">
        <v>397</v>
      </c>
      <c r="G137" s="290">
        <v>268.58999999999997</v>
      </c>
      <c r="H137" s="290">
        <v>2685.9</v>
      </c>
      <c r="I137" s="290">
        <v>2264.5</v>
      </c>
      <c r="J137" s="418">
        <v>420.4</v>
      </c>
      <c r="K137" s="418" t="s">
        <v>397</v>
      </c>
      <c r="L137" s="290">
        <v>1</v>
      </c>
      <c r="M137" s="290">
        <v>8333.6</v>
      </c>
      <c r="N137" s="290" t="s">
        <v>397</v>
      </c>
      <c r="O137" s="289">
        <v>27.49</v>
      </c>
    </row>
    <row r="138" spans="1:15" ht="18" customHeight="1">
      <c r="A138" s="291" t="s">
        <v>397</v>
      </c>
      <c r="B138" s="295" t="s">
        <v>483</v>
      </c>
      <c r="C138" s="296" t="s">
        <v>541</v>
      </c>
      <c r="D138" s="295" t="s">
        <v>528</v>
      </c>
      <c r="E138" s="418">
        <v>94.7</v>
      </c>
      <c r="F138" s="418" t="s">
        <v>397</v>
      </c>
      <c r="G138" s="290">
        <v>88</v>
      </c>
      <c r="H138" s="290">
        <v>8333.6</v>
      </c>
      <c r="I138" s="290" t="s">
        <v>397</v>
      </c>
      <c r="J138" s="418" t="s">
        <v>397</v>
      </c>
      <c r="K138" s="418" t="s">
        <v>397</v>
      </c>
      <c r="L138" s="290" t="s">
        <v>397</v>
      </c>
      <c r="M138" s="290">
        <v>8333.6</v>
      </c>
      <c r="N138" s="290" t="s">
        <v>397</v>
      </c>
      <c r="O138" s="289" t="s">
        <v>397</v>
      </c>
    </row>
    <row r="139" spans="1:15" ht="42" customHeight="1">
      <c r="A139" s="291">
        <v>27</v>
      </c>
      <c r="B139" s="295" t="s">
        <v>540</v>
      </c>
      <c r="C139" s="296" t="s">
        <v>539</v>
      </c>
      <c r="D139" s="295" t="s">
        <v>530</v>
      </c>
      <c r="E139" s="418">
        <v>2</v>
      </c>
      <c r="F139" s="418" t="s">
        <v>397</v>
      </c>
      <c r="G139" s="290">
        <v>228.65</v>
      </c>
      <c r="H139" s="290">
        <v>457.3</v>
      </c>
      <c r="I139" s="290">
        <v>425.86</v>
      </c>
      <c r="J139" s="418">
        <v>1</v>
      </c>
      <c r="K139" s="418" t="s">
        <v>397</v>
      </c>
      <c r="L139" s="290">
        <v>30.44</v>
      </c>
      <c r="M139" s="290">
        <v>1554.48</v>
      </c>
      <c r="N139" s="290" t="s">
        <v>397</v>
      </c>
      <c r="O139" s="289">
        <v>5.1680000000000001</v>
      </c>
    </row>
    <row r="140" spans="1:15" ht="18" customHeight="1">
      <c r="A140" s="291" t="s">
        <v>397</v>
      </c>
      <c r="B140" s="295" t="s">
        <v>483</v>
      </c>
      <c r="C140" s="296" t="s">
        <v>529</v>
      </c>
      <c r="D140" s="295" t="s">
        <v>528</v>
      </c>
      <c r="E140" s="418">
        <v>20.399999999999999</v>
      </c>
      <c r="F140" s="418" t="s">
        <v>397</v>
      </c>
      <c r="G140" s="290">
        <v>76.2</v>
      </c>
      <c r="H140" s="290">
        <v>1554.48</v>
      </c>
      <c r="I140" s="290" t="s">
        <v>397</v>
      </c>
      <c r="J140" s="418" t="s">
        <v>397</v>
      </c>
      <c r="K140" s="418" t="s">
        <v>397</v>
      </c>
      <c r="L140" s="290" t="s">
        <v>397</v>
      </c>
      <c r="M140" s="290">
        <v>1554.48</v>
      </c>
      <c r="N140" s="290" t="s">
        <v>397</v>
      </c>
      <c r="O140" s="289" t="s">
        <v>397</v>
      </c>
    </row>
    <row r="141" spans="1:15" ht="42" customHeight="1">
      <c r="A141" s="291">
        <v>28</v>
      </c>
      <c r="B141" s="295" t="s">
        <v>538</v>
      </c>
      <c r="C141" s="296" t="s">
        <v>537</v>
      </c>
      <c r="D141" s="295" t="s">
        <v>530</v>
      </c>
      <c r="E141" s="418">
        <v>2</v>
      </c>
      <c r="F141" s="418" t="s">
        <v>397</v>
      </c>
      <c r="G141" s="290">
        <v>256.2</v>
      </c>
      <c r="H141" s="290">
        <v>512.4</v>
      </c>
      <c r="I141" s="290">
        <v>479.88</v>
      </c>
      <c r="J141" s="418">
        <v>1.1399999999999999</v>
      </c>
      <c r="K141" s="418" t="s">
        <v>397</v>
      </c>
      <c r="L141" s="290">
        <v>31.38</v>
      </c>
      <c r="M141" s="290">
        <v>2019.6</v>
      </c>
      <c r="N141" s="290" t="s">
        <v>397</v>
      </c>
      <c r="O141" s="289">
        <v>5.8239999999999998</v>
      </c>
    </row>
    <row r="142" spans="1:15" ht="18" customHeight="1">
      <c r="A142" s="291" t="s">
        <v>397</v>
      </c>
      <c r="B142" s="295" t="s">
        <v>483</v>
      </c>
      <c r="C142" s="296" t="s">
        <v>529</v>
      </c>
      <c r="D142" s="295" t="s">
        <v>528</v>
      </c>
      <c r="E142" s="418">
        <v>20.399999999999999</v>
      </c>
      <c r="F142" s="418" t="s">
        <v>397</v>
      </c>
      <c r="G142" s="290">
        <v>99</v>
      </c>
      <c r="H142" s="290">
        <v>2019.6</v>
      </c>
      <c r="I142" s="290" t="s">
        <v>397</v>
      </c>
      <c r="J142" s="418" t="s">
        <v>397</v>
      </c>
      <c r="K142" s="418" t="s">
        <v>397</v>
      </c>
      <c r="L142" s="290" t="s">
        <v>397</v>
      </c>
      <c r="M142" s="290">
        <v>2019.6</v>
      </c>
      <c r="N142" s="290" t="s">
        <v>397</v>
      </c>
      <c r="O142" s="289" t="s">
        <v>397</v>
      </c>
    </row>
    <row r="143" spans="1:15" ht="24.75" customHeight="1" thickBot="1">
      <c r="A143" s="288">
        <v>29</v>
      </c>
      <c r="B143" s="299" t="s">
        <v>536</v>
      </c>
      <c r="C143" s="300" t="s">
        <v>535</v>
      </c>
      <c r="D143" s="299" t="s">
        <v>530</v>
      </c>
      <c r="E143" s="419">
        <v>8</v>
      </c>
      <c r="F143" s="419" t="s">
        <v>397</v>
      </c>
      <c r="G143" s="287">
        <v>262.52999999999997</v>
      </c>
      <c r="H143" s="287">
        <v>2100.2399999999998</v>
      </c>
      <c r="I143" s="287">
        <v>1993.44</v>
      </c>
      <c r="J143" s="419">
        <v>5.04</v>
      </c>
      <c r="K143" s="419" t="s">
        <v>397</v>
      </c>
      <c r="L143" s="287">
        <v>101.76</v>
      </c>
      <c r="M143" s="287">
        <v>9384</v>
      </c>
      <c r="N143" s="287" t="s">
        <v>397</v>
      </c>
      <c r="O143" s="286">
        <v>24.192</v>
      </c>
    </row>
    <row r="144" spans="1:15" ht="16.5" customHeight="1">
      <c r="A144" s="412" t="s">
        <v>400</v>
      </c>
      <c r="B144" s="412" t="s">
        <v>397</v>
      </c>
      <c r="C144" s="412" t="s">
        <v>397</v>
      </c>
      <c r="D144" s="412" t="s">
        <v>397</v>
      </c>
      <c r="E144" s="412" t="s">
        <v>397</v>
      </c>
      <c r="F144" s="404" t="s">
        <v>399</v>
      </c>
      <c r="G144" s="404" t="s">
        <v>397</v>
      </c>
      <c r="H144" s="404" t="s">
        <v>397</v>
      </c>
      <c r="I144" s="404" t="s">
        <v>397</v>
      </c>
      <c r="J144" s="404" t="s">
        <v>397</v>
      </c>
      <c r="K144" s="405" t="s">
        <v>398</v>
      </c>
      <c r="L144" s="405" t="s">
        <v>397</v>
      </c>
      <c r="M144" s="405" t="s">
        <v>397</v>
      </c>
      <c r="N144" s="405" t="s">
        <v>397</v>
      </c>
      <c r="O144" s="405" t="s">
        <v>397</v>
      </c>
    </row>
    <row r="145" spans="1:15" ht="14.25" customHeight="1">
      <c r="A145" s="405" t="s">
        <v>397</v>
      </c>
      <c r="B145" s="405" t="s">
        <v>397</v>
      </c>
      <c r="C145" s="405" t="s">
        <v>397</v>
      </c>
      <c r="D145" s="405" t="s">
        <v>397</v>
      </c>
      <c r="E145" s="405" t="s">
        <v>397</v>
      </c>
      <c r="F145" s="405" t="s">
        <v>397</v>
      </c>
      <c r="G145" s="405" t="s">
        <v>397</v>
      </c>
      <c r="H145" s="405" t="s">
        <v>397</v>
      </c>
      <c r="I145" s="405" t="s">
        <v>397</v>
      </c>
      <c r="J145" s="405" t="s">
        <v>397</v>
      </c>
      <c r="K145" s="405" t="s">
        <v>397</v>
      </c>
      <c r="L145" s="405" t="s">
        <v>397</v>
      </c>
      <c r="M145" s="405" t="s">
        <v>397</v>
      </c>
      <c r="N145" s="405" t="s">
        <v>397</v>
      </c>
      <c r="O145" s="405" t="s">
        <v>397</v>
      </c>
    </row>
    <row r="146" spans="1:15" ht="32.25" customHeight="1">
      <c r="A146" s="411" t="s">
        <v>509</v>
      </c>
      <c r="B146" s="411" t="s">
        <v>397</v>
      </c>
      <c r="C146" s="411" t="s">
        <v>397</v>
      </c>
      <c r="D146" s="411" t="s">
        <v>397</v>
      </c>
      <c r="E146" s="411" t="s">
        <v>397</v>
      </c>
      <c r="F146" s="411" t="s">
        <v>397</v>
      </c>
      <c r="G146" s="411" t="s">
        <v>397</v>
      </c>
      <c r="H146" s="411" t="s">
        <v>397</v>
      </c>
      <c r="I146" s="411" t="s">
        <v>397</v>
      </c>
      <c r="J146" s="411" t="s">
        <v>397</v>
      </c>
      <c r="K146" s="411" t="s">
        <v>397</v>
      </c>
      <c r="L146" s="411" t="s">
        <v>397</v>
      </c>
      <c r="M146" s="411" t="s">
        <v>397</v>
      </c>
      <c r="N146" s="411" t="s">
        <v>397</v>
      </c>
      <c r="O146" s="411" t="s">
        <v>397</v>
      </c>
    </row>
    <row r="147" spans="1:15" ht="23.25" customHeight="1" thickBot="1">
      <c r="A147" s="412" t="s">
        <v>471</v>
      </c>
      <c r="B147" s="412" t="s">
        <v>397</v>
      </c>
      <c r="C147" s="412" t="s">
        <v>397</v>
      </c>
      <c r="D147" s="412" t="s">
        <v>397</v>
      </c>
      <c r="E147" s="412" t="s">
        <v>397</v>
      </c>
      <c r="F147" s="412" t="s">
        <v>397</v>
      </c>
      <c r="G147" s="412" t="s">
        <v>397</v>
      </c>
      <c r="H147" s="412" t="s">
        <v>397</v>
      </c>
      <c r="I147" s="412" t="s">
        <v>397</v>
      </c>
      <c r="J147" s="412" t="s">
        <v>397</v>
      </c>
      <c r="K147" s="405" t="s">
        <v>534</v>
      </c>
      <c r="L147" s="405" t="s">
        <v>397</v>
      </c>
      <c r="M147" s="405" t="s">
        <v>397</v>
      </c>
      <c r="N147" s="405" t="s">
        <v>397</v>
      </c>
      <c r="O147" s="405" t="s">
        <v>397</v>
      </c>
    </row>
    <row r="148" spans="1:15" ht="19.5" customHeight="1">
      <c r="A148" s="413" t="s">
        <v>42</v>
      </c>
      <c r="B148" s="407" t="s">
        <v>507</v>
      </c>
      <c r="C148" s="407" t="s">
        <v>506</v>
      </c>
      <c r="D148" s="407" t="s">
        <v>505</v>
      </c>
      <c r="E148" s="407" t="s">
        <v>397</v>
      </c>
      <c r="F148" s="407" t="s">
        <v>397</v>
      </c>
      <c r="G148" s="407" t="s">
        <v>504</v>
      </c>
      <c r="H148" s="407" t="s">
        <v>397</v>
      </c>
      <c r="I148" s="407" t="s">
        <v>503</v>
      </c>
      <c r="J148" s="407" t="s">
        <v>397</v>
      </c>
      <c r="K148" s="407" t="s">
        <v>397</v>
      </c>
      <c r="L148" s="407" t="s">
        <v>397</v>
      </c>
      <c r="M148" s="407" t="s">
        <v>397</v>
      </c>
      <c r="N148" s="407" t="s">
        <v>397</v>
      </c>
      <c r="O148" s="416" t="s">
        <v>502</v>
      </c>
    </row>
    <row r="149" spans="1:15" ht="18" customHeight="1">
      <c r="A149" s="414" t="s">
        <v>397</v>
      </c>
      <c r="B149" s="415" t="s">
        <v>397</v>
      </c>
      <c r="C149" s="415" t="s">
        <v>397</v>
      </c>
      <c r="D149" s="298" t="s">
        <v>384</v>
      </c>
      <c r="E149" s="415" t="s">
        <v>383</v>
      </c>
      <c r="F149" s="415" t="s">
        <v>397</v>
      </c>
      <c r="G149" s="298" t="s">
        <v>382</v>
      </c>
      <c r="H149" s="298" t="s">
        <v>381</v>
      </c>
      <c r="I149" s="298" t="s">
        <v>501</v>
      </c>
      <c r="J149" s="415" t="s">
        <v>500</v>
      </c>
      <c r="K149" s="415" t="s">
        <v>397</v>
      </c>
      <c r="L149" s="298" t="s">
        <v>499</v>
      </c>
      <c r="M149" s="298" t="s">
        <v>498</v>
      </c>
      <c r="N149" s="298" t="s">
        <v>497</v>
      </c>
      <c r="O149" s="417" t="s">
        <v>397</v>
      </c>
    </row>
    <row r="150" spans="1:15" ht="19.5" customHeight="1">
      <c r="A150" s="291" t="s">
        <v>397</v>
      </c>
      <c r="B150" s="295" t="s">
        <v>397</v>
      </c>
      <c r="C150" s="296" t="s">
        <v>533</v>
      </c>
      <c r="D150" s="295" t="s">
        <v>397</v>
      </c>
      <c r="E150" s="418" t="s">
        <v>397</v>
      </c>
      <c r="F150" s="418" t="s">
        <v>397</v>
      </c>
      <c r="G150" s="290" t="s">
        <v>397</v>
      </c>
      <c r="H150" s="290" t="s">
        <v>397</v>
      </c>
      <c r="I150" s="290" t="s">
        <v>397</v>
      </c>
      <c r="J150" s="418" t="s">
        <v>397</v>
      </c>
      <c r="K150" s="418" t="s">
        <v>397</v>
      </c>
      <c r="L150" s="290" t="s">
        <v>397</v>
      </c>
      <c r="M150" s="290" t="s">
        <v>397</v>
      </c>
      <c r="N150" s="290" t="s">
        <v>397</v>
      </c>
      <c r="O150" s="289" t="s">
        <v>397</v>
      </c>
    </row>
    <row r="151" spans="1:15" ht="18" customHeight="1">
      <c r="A151" s="291" t="s">
        <v>397</v>
      </c>
      <c r="B151" s="295" t="s">
        <v>483</v>
      </c>
      <c r="C151" s="296" t="s">
        <v>529</v>
      </c>
      <c r="D151" s="295" t="s">
        <v>528</v>
      </c>
      <c r="E151" s="418">
        <v>81.599999999999994</v>
      </c>
      <c r="F151" s="418" t="s">
        <v>397</v>
      </c>
      <c r="G151" s="290">
        <v>115</v>
      </c>
      <c r="H151" s="290">
        <v>9384</v>
      </c>
      <c r="I151" s="290" t="s">
        <v>397</v>
      </c>
      <c r="J151" s="418" t="s">
        <v>397</v>
      </c>
      <c r="K151" s="418" t="s">
        <v>397</v>
      </c>
      <c r="L151" s="290" t="s">
        <v>397</v>
      </c>
      <c r="M151" s="290">
        <v>9384</v>
      </c>
      <c r="N151" s="290" t="s">
        <v>397</v>
      </c>
      <c r="O151" s="289" t="s">
        <v>397</v>
      </c>
    </row>
    <row r="152" spans="1:15" ht="42" customHeight="1">
      <c r="A152" s="291">
        <v>30</v>
      </c>
      <c r="B152" s="295" t="s">
        <v>532</v>
      </c>
      <c r="C152" s="296" t="s">
        <v>531</v>
      </c>
      <c r="D152" s="295" t="s">
        <v>530</v>
      </c>
      <c r="E152" s="418">
        <v>1.5</v>
      </c>
      <c r="F152" s="418" t="s">
        <v>397</v>
      </c>
      <c r="G152" s="290">
        <v>303.83</v>
      </c>
      <c r="H152" s="290">
        <v>455.75</v>
      </c>
      <c r="I152" s="290">
        <v>404.4</v>
      </c>
      <c r="J152" s="418">
        <v>1.47</v>
      </c>
      <c r="K152" s="418" t="s">
        <v>397</v>
      </c>
      <c r="L152" s="290">
        <v>49.88</v>
      </c>
      <c r="M152" s="290">
        <v>2876.4</v>
      </c>
      <c r="N152" s="290" t="s">
        <v>397</v>
      </c>
      <c r="O152" s="289">
        <v>4.9080000000000004</v>
      </c>
    </row>
    <row r="153" spans="1:15" ht="18" customHeight="1">
      <c r="A153" s="291" t="s">
        <v>397</v>
      </c>
      <c r="B153" s="295" t="s">
        <v>483</v>
      </c>
      <c r="C153" s="296" t="s">
        <v>529</v>
      </c>
      <c r="D153" s="295" t="s">
        <v>528</v>
      </c>
      <c r="E153" s="418">
        <v>15.3</v>
      </c>
      <c r="F153" s="418" t="s">
        <v>397</v>
      </c>
      <c r="G153" s="290">
        <v>188</v>
      </c>
      <c r="H153" s="290">
        <v>2876.4</v>
      </c>
      <c r="I153" s="290" t="s">
        <v>397</v>
      </c>
      <c r="J153" s="418" t="s">
        <v>397</v>
      </c>
      <c r="K153" s="418" t="s">
        <v>397</v>
      </c>
      <c r="L153" s="290" t="s">
        <v>397</v>
      </c>
      <c r="M153" s="290">
        <v>2876.4</v>
      </c>
      <c r="N153" s="290" t="s">
        <v>397</v>
      </c>
      <c r="O153" s="289" t="s">
        <v>397</v>
      </c>
    </row>
    <row r="154" spans="1:15" ht="42" customHeight="1">
      <c r="A154" s="291">
        <v>31</v>
      </c>
      <c r="B154" s="295" t="s">
        <v>532</v>
      </c>
      <c r="C154" s="296" t="s">
        <v>531</v>
      </c>
      <c r="D154" s="295" t="s">
        <v>530</v>
      </c>
      <c r="E154" s="418">
        <v>3</v>
      </c>
      <c r="F154" s="418" t="s">
        <v>397</v>
      </c>
      <c r="G154" s="290">
        <v>303.83</v>
      </c>
      <c r="H154" s="290">
        <v>911.49</v>
      </c>
      <c r="I154" s="290">
        <v>808.8</v>
      </c>
      <c r="J154" s="418">
        <v>2.94</v>
      </c>
      <c r="K154" s="418" t="s">
        <v>397</v>
      </c>
      <c r="L154" s="290">
        <v>99.75</v>
      </c>
      <c r="M154" s="290">
        <v>4131</v>
      </c>
      <c r="N154" s="290" t="s">
        <v>397</v>
      </c>
      <c r="O154" s="289">
        <v>9.8160000000000007</v>
      </c>
    </row>
    <row r="155" spans="1:15" ht="18" customHeight="1">
      <c r="A155" s="291" t="s">
        <v>397</v>
      </c>
      <c r="B155" s="295" t="s">
        <v>483</v>
      </c>
      <c r="C155" s="296" t="s">
        <v>529</v>
      </c>
      <c r="D155" s="295" t="s">
        <v>528</v>
      </c>
      <c r="E155" s="418">
        <v>30.6</v>
      </c>
      <c r="F155" s="418" t="s">
        <v>397</v>
      </c>
      <c r="G155" s="290">
        <v>135</v>
      </c>
      <c r="H155" s="290">
        <v>4131</v>
      </c>
      <c r="I155" s="290" t="s">
        <v>397</v>
      </c>
      <c r="J155" s="418" t="s">
        <v>397</v>
      </c>
      <c r="K155" s="418" t="s">
        <v>397</v>
      </c>
      <c r="L155" s="290" t="s">
        <v>397</v>
      </c>
      <c r="M155" s="290">
        <v>4131</v>
      </c>
      <c r="N155" s="290" t="s">
        <v>397</v>
      </c>
      <c r="O155" s="289" t="s">
        <v>397</v>
      </c>
    </row>
    <row r="156" spans="1:15" ht="16.5" customHeight="1">
      <c r="A156" s="291" t="s">
        <v>397</v>
      </c>
      <c r="B156" s="295" t="s">
        <v>527</v>
      </c>
      <c r="C156" s="297" t="s">
        <v>526</v>
      </c>
      <c r="D156" s="295" t="s">
        <v>397</v>
      </c>
      <c r="E156" s="418" t="s">
        <v>397</v>
      </c>
      <c r="F156" s="418" t="s">
        <v>397</v>
      </c>
      <c r="G156" s="290" t="s">
        <v>397</v>
      </c>
      <c r="H156" s="290">
        <v>110.21</v>
      </c>
      <c r="I156" s="290">
        <v>100.07</v>
      </c>
      <c r="J156" s="418">
        <v>10.14</v>
      </c>
      <c r="K156" s="418" t="s">
        <v>397</v>
      </c>
      <c r="L156" s="290" t="s">
        <v>397</v>
      </c>
      <c r="M156" s="290">
        <v>900</v>
      </c>
      <c r="N156" s="290" t="s">
        <v>397</v>
      </c>
      <c r="O156" s="289">
        <v>1.2150000000000001</v>
      </c>
    </row>
    <row r="157" spans="1:15" ht="29.25" customHeight="1">
      <c r="A157" s="291">
        <v>1</v>
      </c>
      <c r="B157" s="295" t="s">
        <v>525</v>
      </c>
      <c r="C157" s="296" t="s">
        <v>524</v>
      </c>
      <c r="D157" s="295" t="s">
        <v>521</v>
      </c>
      <c r="E157" s="418">
        <v>1</v>
      </c>
      <c r="F157" s="418" t="s">
        <v>397</v>
      </c>
      <c r="G157" s="290">
        <v>31.49</v>
      </c>
      <c r="H157" s="290">
        <v>31.49</v>
      </c>
      <c r="I157" s="290">
        <v>29.12</v>
      </c>
      <c r="J157" s="418">
        <v>2.37</v>
      </c>
      <c r="K157" s="418" t="s">
        <v>397</v>
      </c>
      <c r="L157" s="290" t="s">
        <v>397</v>
      </c>
      <c r="M157" s="290">
        <v>220</v>
      </c>
      <c r="N157" s="290" t="s">
        <v>397</v>
      </c>
      <c r="O157" s="289">
        <v>0.35299999999999998</v>
      </c>
    </row>
    <row r="158" spans="1:15" ht="18" customHeight="1">
      <c r="A158" s="291" t="s">
        <v>397</v>
      </c>
      <c r="B158" s="295" t="s">
        <v>483</v>
      </c>
      <c r="C158" s="296" t="s">
        <v>520</v>
      </c>
      <c r="D158" s="295" t="s">
        <v>474</v>
      </c>
      <c r="E158" s="418">
        <v>1</v>
      </c>
      <c r="F158" s="418" t="s">
        <v>397</v>
      </c>
      <c r="G158" s="290">
        <v>220</v>
      </c>
      <c r="H158" s="290">
        <v>220</v>
      </c>
      <c r="I158" s="290" t="s">
        <v>397</v>
      </c>
      <c r="J158" s="418" t="s">
        <v>397</v>
      </c>
      <c r="K158" s="418" t="s">
        <v>397</v>
      </c>
      <c r="L158" s="290" t="s">
        <v>397</v>
      </c>
      <c r="M158" s="290">
        <v>220</v>
      </c>
      <c r="N158" s="290" t="s">
        <v>397</v>
      </c>
      <c r="O158" s="289" t="s">
        <v>397</v>
      </c>
    </row>
    <row r="159" spans="1:15" ht="29.25" customHeight="1">
      <c r="A159" s="291">
        <v>2</v>
      </c>
      <c r="B159" s="295" t="s">
        <v>523</v>
      </c>
      <c r="C159" s="296" t="s">
        <v>522</v>
      </c>
      <c r="D159" s="295" t="s">
        <v>521</v>
      </c>
      <c r="E159" s="418">
        <v>1</v>
      </c>
      <c r="F159" s="418" t="s">
        <v>397</v>
      </c>
      <c r="G159" s="290">
        <v>78.72</v>
      </c>
      <c r="H159" s="290">
        <v>78.72</v>
      </c>
      <c r="I159" s="290">
        <v>70.95</v>
      </c>
      <c r="J159" s="418">
        <v>7.77</v>
      </c>
      <c r="K159" s="418" t="s">
        <v>397</v>
      </c>
      <c r="L159" s="290" t="s">
        <v>397</v>
      </c>
      <c r="M159" s="290">
        <v>680</v>
      </c>
      <c r="N159" s="290" t="s">
        <v>397</v>
      </c>
      <c r="O159" s="289">
        <v>0.86199999999999999</v>
      </c>
    </row>
    <row r="160" spans="1:15" ht="18" customHeight="1">
      <c r="A160" s="291" t="s">
        <v>397</v>
      </c>
      <c r="B160" s="295" t="s">
        <v>483</v>
      </c>
      <c r="C160" s="296" t="s">
        <v>520</v>
      </c>
      <c r="D160" s="295" t="s">
        <v>474</v>
      </c>
      <c r="E160" s="418">
        <v>1</v>
      </c>
      <c r="F160" s="418" t="s">
        <v>397</v>
      </c>
      <c r="G160" s="290">
        <v>680</v>
      </c>
      <c r="H160" s="290">
        <v>680</v>
      </c>
      <c r="I160" s="290" t="s">
        <v>397</v>
      </c>
      <c r="J160" s="418" t="s">
        <v>397</v>
      </c>
      <c r="K160" s="418" t="s">
        <v>397</v>
      </c>
      <c r="L160" s="290" t="s">
        <v>397</v>
      </c>
      <c r="M160" s="290">
        <v>680</v>
      </c>
      <c r="N160" s="290" t="s">
        <v>397</v>
      </c>
      <c r="O160" s="289" t="s">
        <v>397</v>
      </c>
    </row>
    <row r="161" spans="1:15" ht="16.5" customHeight="1">
      <c r="A161" s="291" t="s">
        <v>397</v>
      </c>
      <c r="B161" s="295" t="s">
        <v>519</v>
      </c>
      <c r="C161" s="297" t="s">
        <v>518</v>
      </c>
      <c r="D161" s="295" t="s">
        <v>397</v>
      </c>
      <c r="E161" s="418" t="s">
        <v>397</v>
      </c>
      <c r="F161" s="418" t="s">
        <v>397</v>
      </c>
      <c r="G161" s="290" t="s">
        <v>397</v>
      </c>
      <c r="H161" s="290">
        <v>1594.68</v>
      </c>
      <c r="I161" s="290">
        <v>415.63</v>
      </c>
      <c r="J161" s="418">
        <v>1179.05</v>
      </c>
      <c r="K161" s="418" t="s">
        <v>397</v>
      </c>
      <c r="L161" s="290" t="s">
        <v>397</v>
      </c>
      <c r="M161" s="290">
        <v>16412.5</v>
      </c>
      <c r="N161" s="290" t="s">
        <v>397</v>
      </c>
      <c r="O161" s="289">
        <v>5.0425000000000004</v>
      </c>
    </row>
    <row r="162" spans="1:15" ht="18" customHeight="1">
      <c r="A162" s="291">
        <v>1</v>
      </c>
      <c r="B162" s="295" t="s">
        <v>517</v>
      </c>
      <c r="C162" s="296" t="s">
        <v>516</v>
      </c>
      <c r="D162" s="295" t="s">
        <v>511</v>
      </c>
      <c r="E162" s="418">
        <v>2.5</v>
      </c>
      <c r="F162" s="418" t="s">
        <v>397</v>
      </c>
      <c r="G162" s="290">
        <v>637.87</v>
      </c>
      <c r="H162" s="290">
        <v>1594.68</v>
      </c>
      <c r="I162" s="290">
        <v>415.63</v>
      </c>
      <c r="J162" s="418">
        <v>1179.05</v>
      </c>
      <c r="K162" s="418" t="s">
        <v>397</v>
      </c>
      <c r="L162" s="290" t="s">
        <v>397</v>
      </c>
      <c r="M162" s="290">
        <v>16412.5</v>
      </c>
      <c r="N162" s="290" t="s">
        <v>397</v>
      </c>
      <c r="O162" s="289">
        <v>5.0425000000000004</v>
      </c>
    </row>
    <row r="163" spans="1:15" ht="18" customHeight="1">
      <c r="A163" s="291" t="s">
        <v>397</v>
      </c>
      <c r="B163" s="295" t="s">
        <v>483</v>
      </c>
      <c r="C163" s="296" t="s">
        <v>515</v>
      </c>
      <c r="D163" s="295" t="s">
        <v>474</v>
      </c>
      <c r="E163" s="418">
        <v>25.25</v>
      </c>
      <c r="F163" s="418" t="s">
        <v>397</v>
      </c>
      <c r="G163" s="290">
        <v>650</v>
      </c>
      <c r="H163" s="290">
        <v>16412.5</v>
      </c>
      <c r="I163" s="290" t="s">
        <v>397</v>
      </c>
      <c r="J163" s="418" t="s">
        <v>397</v>
      </c>
      <c r="K163" s="418" t="s">
        <v>397</v>
      </c>
      <c r="L163" s="290" t="s">
        <v>397</v>
      </c>
      <c r="M163" s="290">
        <v>16412.5</v>
      </c>
      <c r="N163" s="290" t="s">
        <v>397</v>
      </c>
      <c r="O163" s="289" t="s">
        <v>397</v>
      </c>
    </row>
    <row r="164" spans="1:15" ht="16.5" customHeight="1">
      <c r="A164" s="291" t="s">
        <v>397</v>
      </c>
      <c r="B164" s="295" t="s">
        <v>514</v>
      </c>
      <c r="C164" s="297" t="s">
        <v>513</v>
      </c>
      <c r="D164" s="295" t="s">
        <v>397</v>
      </c>
      <c r="E164" s="418" t="s">
        <v>397</v>
      </c>
      <c r="F164" s="418" t="s">
        <v>397</v>
      </c>
      <c r="G164" s="290" t="s">
        <v>397</v>
      </c>
      <c r="H164" s="290">
        <v>1716.64</v>
      </c>
      <c r="I164" s="290">
        <v>353.75</v>
      </c>
      <c r="J164" s="418">
        <v>1362.89</v>
      </c>
      <c r="K164" s="418" t="s">
        <v>397</v>
      </c>
      <c r="L164" s="290" t="s">
        <v>397</v>
      </c>
      <c r="M164" s="290">
        <v>6060</v>
      </c>
      <c r="N164" s="290" t="s">
        <v>397</v>
      </c>
      <c r="O164" s="289">
        <v>4.2935999999999996</v>
      </c>
    </row>
    <row r="165" spans="1:15" ht="18" customHeight="1">
      <c r="A165" s="291">
        <v>1</v>
      </c>
      <c r="B165" s="295" t="s">
        <v>512</v>
      </c>
      <c r="C165" s="296" t="s">
        <v>510</v>
      </c>
      <c r="D165" s="295" t="s">
        <v>511</v>
      </c>
      <c r="E165" s="418">
        <v>1.2</v>
      </c>
      <c r="F165" s="418" t="s">
        <v>397</v>
      </c>
      <c r="G165" s="290">
        <v>1430.53</v>
      </c>
      <c r="H165" s="290">
        <v>1716.64</v>
      </c>
      <c r="I165" s="290">
        <v>353.75</v>
      </c>
      <c r="J165" s="418">
        <v>1362.89</v>
      </c>
      <c r="K165" s="418" t="s">
        <v>397</v>
      </c>
      <c r="L165" s="290" t="s">
        <v>397</v>
      </c>
      <c r="M165" s="290">
        <v>6060</v>
      </c>
      <c r="N165" s="290" t="s">
        <v>397</v>
      </c>
      <c r="O165" s="289">
        <v>4.2935999999999996</v>
      </c>
    </row>
    <row r="166" spans="1:15" ht="18" customHeight="1" thickBot="1">
      <c r="A166" s="288" t="s">
        <v>397</v>
      </c>
      <c r="B166" s="299" t="s">
        <v>483</v>
      </c>
      <c r="C166" s="300" t="s">
        <v>510</v>
      </c>
      <c r="D166" s="299" t="s">
        <v>474</v>
      </c>
      <c r="E166" s="419">
        <v>12.12</v>
      </c>
      <c r="F166" s="419" t="s">
        <v>397</v>
      </c>
      <c r="G166" s="287">
        <v>500</v>
      </c>
      <c r="H166" s="287">
        <v>6060</v>
      </c>
      <c r="I166" s="287" t="s">
        <v>397</v>
      </c>
      <c r="J166" s="419" t="s">
        <v>397</v>
      </c>
      <c r="K166" s="419" t="s">
        <v>397</v>
      </c>
      <c r="L166" s="287" t="s">
        <v>397</v>
      </c>
      <c r="M166" s="287">
        <v>6060</v>
      </c>
      <c r="N166" s="287" t="s">
        <v>397</v>
      </c>
      <c r="O166" s="286" t="s">
        <v>397</v>
      </c>
    </row>
    <row r="167" spans="1:15" ht="16.5" customHeight="1">
      <c r="A167" s="412" t="s">
        <v>400</v>
      </c>
      <c r="B167" s="412" t="s">
        <v>397</v>
      </c>
      <c r="C167" s="412" t="s">
        <v>397</v>
      </c>
      <c r="D167" s="412" t="s">
        <v>397</v>
      </c>
      <c r="E167" s="412" t="s">
        <v>397</v>
      </c>
      <c r="F167" s="404" t="s">
        <v>399</v>
      </c>
      <c r="G167" s="404" t="s">
        <v>397</v>
      </c>
      <c r="H167" s="404" t="s">
        <v>397</v>
      </c>
      <c r="I167" s="404" t="s">
        <v>397</v>
      </c>
      <c r="J167" s="404" t="s">
        <v>397</v>
      </c>
      <c r="K167" s="405" t="s">
        <v>398</v>
      </c>
      <c r="L167" s="405" t="s">
        <v>397</v>
      </c>
      <c r="M167" s="405" t="s">
        <v>397</v>
      </c>
      <c r="N167" s="405" t="s">
        <v>397</v>
      </c>
      <c r="O167" s="405" t="s">
        <v>397</v>
      </c>
    </row>
    <row r="168" spans="1:15" ht="14.25" customHeight="1">
      <c r="A168" s="405" t="s">
        <v>397</v>
      </c>
      <c r="B168" s="405" t="s">
        <v>397</v>
      </c>
      <c r="C168" s="405" t="s">
        <v>397</v>
      </c>
      <c r="D168" s="405" t="s">
        <v>397</v>
      </c>
      <c r="E168" s="405" t="s">
        <v>397</v>
      </c>
      <c r="F168" s="405" t="s">
        <v>397</v>
      </c>
      <c r="G168" s="405" t="s">
        <v>397</v>
      </c>
      <c r="H168" s="405" t="s">
        <v>397</v>
      </c>
      <c r="I168" s="405" t="s">
        <v>397</v>
      </c>
      <c r="J168" s="405" t="s">
        <v>397</v>
      </c>
      <c r="K168" s="405" t="s">
        <v>397</v>
      </c>
      <c r="L168" s="405" t="s">
        <v>397</v>
      </c>
      <c r="M168" s="405" t="s">
        <v>397</v>
      </c>
      <c r="N168" s="405" t="s">
        <v>397</v>
      </c>
      <c r="O168" s="405" t="s">
        <v>397</v>
      </c>
    </row>
    <row r="169" spans="1:15" ht="32.25" customHeight="1">
      <c r="A169" s="411" t="s">
        <v>509</v>
      </c>
      <c r="B169" s="411" t="s">
        <v>397</v>
      </c>
      <c r="C169" s="411" t="s">
        <v>397</v>
      </c>
      <c r="D169" s="411" t="s">
        <v>397</v>
      </c>
      <c r="E169" s="411" t="s">
        <v>397</v>
      </c>
      <c r="F169" s="411" t="s">
        <v>397</v>
      </c>
      <c r="G169" s="411" t="s">
        <v>397</v>
      </c>
      <c r="H169" s="411" t="s">
        <v>397</v>
      </c>
      <c r="I169" s="411" t="s">
        <v>397</v>
      </c>
      <c r="J169" s="411" t="s">
        <v>397</v>
      </c>
      <c r="K169" s="411" t="s">
        <v>397</v>
      </c>
      <c r="L169" s="411" t="s">
        <v>397</v>
      </c>
      <c r="M169" s="411" t="s">
        <v>397</v>
      </c>
      <c r="N169" s="411" t="s">
        <v>397</v>
      </c>
      <c r="O169" s="411" t="s">
        <v>397</v>
      </c>
    </row>
    <row r="170" spans="1:15" ht="23.25" customHeight="1" thickBot="1">
      <c r="A170" s="412" t="s">
        <v>471</v>
      </c>
      <c r="B170" s="412" t="s">
        <v>397</v>
      </c>
      <c r="C170" s="412" t="s">
        <v>397</v>
      </c>
      <c r="D170" s="412" t="s">
        <v>397</v>
      </c>
      <c r="E170" s="412" t="s">
        <v>397</v>
      </c>
      <c r="F170" s="412" t="s">
        <v>397</v>
      </c>
      <c r="G170" s="412" t="s">
        <v>397</v>
      </c>
      <c r="H170" s="412" t="s">
        <v>397</v>
      </c>
      <c r="I170" s="412" t="s">
        <v>397</v>
      </c>
      <c r="J170" s="412" t="s">
        <v>397</v>
      </c>
      <c r="K170" s="405" t="s">
        <v>508</v>
      </c>
      <c r="L170" s="405" t="s">
        <v>397</v>
      </c>
      <c r="M170" s="405" t="s">
        <v>397</v>
      </c>
      <c r="N170" s="405" t="s">
        <v>397</v>
      </c>
      <c r="O170" s="405" t="s">
        <v>397</v>
      </c>
    </row>
    <row r="171" spans="1:15" ht="19.5" customHeight="1">
      <c r="A171" s="413" t="s">
        <v>42</v>
      </c>
      <c r="B171" s="407" t="s">
        <v>507</v>
      </c>
      <c r="C171" s="407" t="s">
        <v>506</v>
      </c>
      <c r="D171" s="407" t="s">
        <v>505</v>
      </c>
      <c r="E171" s="407" t="s">
        <v>397</v>
      </c>
      <c r="F171" s="407" t="s">
        <v>397</v>
      </c>
      <c r="G171" s="407" t="s">
        <v>504</v>
      </c>
      <c r="H171" s="407" t="s">
        <v>397</v>
      </c>
      <c r="I171" s="407" t="s">
        <v>503</v>
      </c>
      <c r="J171" s="407" t="s">
        <v>397</v>
      </c>
      <c r="K171" s="407" t="s">
        <v>397</v>
      </c>
      <c r="L171" s="407" t="s">
        <v>397</v>
      </c>
      <c r="M171" s="407" t="s">
        <v>397</v>
      </c>
      <c r="N171" s="407" t="s">
        <v>397</v>
      </c>
      <c r="O171" s="416" t="s">
        <v>502</v>
      </c>
    </row>
    <row r="172" spans="1:15" ht="18" customHeight="1">
      <c r="A172" s="414" t="s">
        <v>397</v>
      </c>
      <c r="B172" s="415" t="s">
        <v>397</v>
      </c>
      <c r="C172" s="415" t="s">
        <v>397</v>
      </c>
      <c r="D172" s="298" t="s">
        <v>384</v>
      </c>
      <c r="E172" s="415" t="s">
        <v>383</v>
      </c>
      <c r="F172" s="415" t="s">
        <v>397</v>
      </c>
      <c r="G172" s="298" t="s">
        <v>382</v>
      </c>
      <c r="H172" s="298" t="s">
        <v>381</v>
      </c>
      <c r="I172" s="298" t="s">
        <v>501</v>
      </c>
      <c r="J172" s="415" t="s">
        <v>500</v>
      </c>
      <c r="K172" s="415" t="s">
        <v>397</v>
      </c>
      <c r="L172" s="298" t="s">
        <v>499</v>
      </c>
      <c r="M172" s="298" t="s">
        <v>498</v>
      </c>
      <c r="N172" s="298" t="s">
        <v>497</v>
      </c>
      <c r="O172" s="417" t="s">
        <v>397</v>
      </c>
    </row>
    <row r="173" spans="1:15" ht="16.5" customHeight="1">
      <c r="A173" s="291" t="s">
        <v>397</v>
      </c>
      <c r="B173" s="295" t="s">
        <v>496</v>
      </c>
      <c r="C173" s="297" t="s">
        <v>495</v>
      </c>
      <c r="D173" s="295" t="s">
        <v>397</v>
      </c>
      <c r="E173" s="418" t="s">
        <v>397</v>
      </c>
      <c r="F173" s="418" t="s">
        <v>397</v>
      </c>
      <c r="G173" s="290" t="s">
        <v>397</v>
      </c>
      <c r="H173" s="290">
        <v>4375</v>
      </c>
      <c r="I173" s="290">
        <v>1814.04</v>
      </c>
      <c r="J173" s="418">
        <v>2560.9499999999998</v>
      </c>
      <c r="K173" s="418" t="s">
        <v>397</v>
      </c>
      <c r="L173" s="290" t="s">
        <v>397</v>
      </c>
      <c r="M173" s="290">
        <v>39794</v>
      </c>
      <c r="N173" s="290" t="s">
        <v>397</v>
      </c>
      <c r="O173" s="289">
        <v>22.015499999999999</v>
      </c>
    </row>
    <row r="174" spans="1:15" ht="29.25" customHeight="1">
      <c r="A174" s="291">
        <v>1</v>
      </c>
      <c r="B174" s="295" t="s">
        <v>494</v>
      </c>
      <c r="C174" s="296" t="s">
        <v>493</v>
      </c>
      <c r="D174" s="295" t="s">
        <v>484</v>
      </c>
      <c r="E174" s="418">
        <v>4.8</v>
      </c>
      <c r="F174" s="418" t="s">
        <v>397</v>
      </c>
      <c r="G174" s="290">
        <v>900.82</v>
      </c>
      <c r="H174" s="290">
        <v>4323.9399999999996</v>
      </c>
      <c r="I174" s="290">
        <v>1767.94</v>
      </c>
      <c r="J174" s="418">
        <v>2556</v>
      </c>
      <c r="K174" s="418" t="s">
        <v>397</v>
      </c>
      <c r="L174" s="290" t="s">
        <v>397</v>
      </c>
      <c r="M174" s="290">
        <v>38784</v>
      </c>
      <c r="N174" s="290" t="s">
        <v>397</v>
      </c>
      <c r="O174" s="289">
        <v>21.456</v>
      </c>
    </row>
    <row r="175" spans="1:15" ht="18" customHeight="1">
      <c r="A175" s="291" t="s">
        <v>397</v>
      </c>
      <c r="B175" s="295" t="s">
        <v>483</v>
      </c>
      <c r="C175" s="296" t="s">
        <v>492</v>
      </c>
      <c r="D175" s="295" t="s">
        <v>474</v>
      </c>
      <c r="E175" s="418">
        <v>48.48</v>
      </c>
      <c r="F175" s="418" t="s">
        <v>397</v>
      </c>
      <c r="G175" s="290">
        <v>800</v>
      </c>
      <c r="H175" s="290">
        <v>38784</v>
      </c>
      <c r="I175" s="290" t="s">
        <v>397</v>
      </c>
      <c r="J175" s="418" t="s">
        <v>397</v>
      </c>
      <c r="K175" s="418" t="s">
        <v>397</v>
      </c>
      <c r="L175" s="290" t="s">
        <v>397</v>
      </c>
      <c r="M175" s="290">
        <v>38784</v>
      </c>
      <c r="N175" s="290" t="s">
        <v>397</v>
      </c>
      <c r="O175" s="289" t="s">
        <v>397</v>
      </c>
    </row>
    <row r="176" spans="1:15" ht="29.25" customHeight="1">
      <c r="A176" s="291">
        <v>2</v>
      </c>
      <c r="B176" s="295" t="s">
        <v>491</v>
      </c>
      <c r="C176" s="296" t="s">
        <v>490</v>
      </c>
      <c r="D176" s="295" t="s">
        <v>484</v>
      </c>
      <c r="E176" s="418">
        <v>0.1</v>
      </c>
      <c r="F176" s="418" t="s">
        <v>397</v>
      </c>
      <c r="G176" s="290">
        <v>510.57</v>
      </c>
      <c r="H176" s="290">
        <v>51.06</v>
      </c>
      <c r="I176" s="290">
        <v>46.1</v>
      </c>
      <c r="J176" s="418">
        <v>4.95</v>
      </c>
      <c r="K176" s="418" t="s">
        <v>397</v>
      </c>
      <c r="L176" s="290" t="s">
        <v>397</v>
      </c>
      <c r="M176" s="290">
        <v>1010</v>
      </c>
      <c r="N176" s="290" t="s">
        <v>397</v>
      </c>
      <c r="O176" s="289">
        <v>0.5595</v>
      </c>
    </row>
    <row r="177" spans="1:15" ht="18" customHeight="1">
      <c r="A177" s="291" t="s">
        <v>397</v>
      </c>
      <c r="B177" s="295" t="s">
        <v>483</v>
      </c>
      <c r="C177" s="296" t="s">
        <v>489</v>
      </c>
      <c r="D177" s="295" t="s">
        <v>474</v>
      </c>
      <c r="E177" s="418">
        <v>1.01</v>
      </c>
      <c r="F177" s="418" t="s">
        <v>397</v>
      </c>
      <c r="G177" s="290">
        <v>1000</v>
      </c>
      <c r="H177" s="290">
        <v>1010</v>
      </c>
      <c r="I177" s="290" t="s">
        <v>397</v>
      </c>
      <c r="J177" s="418" t="s">
        <v>397</v>
      </c>
      <c r="K177" s="418" t="s">
        <v>397</v>
      </c>
      <c r="L177" s="290" t="s">
        <v>397</v>
      </c>
      <c r="M177" s="290">
        <v>1010</v>
      </c>
      <c r="N177" s="290" t="s">
        <v>397</v>
      </c>
      <c r="O177" s="289" t="s">
        <v>397</v>
      </c>
    </row>
    <row r="178" spans="1:15" ht="16.5" customHeight="1">
      <c r="A178" s="291" t="s">
        <v>397</v>
      </c>
      <c r="B178" s="295" t="s">
        <v>488</v>
      </c>
      <c r="C178" s="297" t="s">
        <v>487</v>
      </c>
      <c r="D178" s="295" t="s">
        <v>397</v>
      </c>
      <c r="E178" s="418" t="s">
        <v>397</v>
      </c>
      <c r="F178" s="418" t="s">
        <v>397</v>
      </c>
      <c r="G178" s="290" t="s">
        <v>397</v>
      </c>
      <c r="H178" s="290">
        <v>2367.29</v>
      </c>
      <c r="I178" s="290">
        <v>911.66</v>
      </c>
      <c r="J178" s="418">
        <v>1455.62</v>
      </c>
      <c r="K178" s="418" t="s">
        <v>397</v>
      </c>
      <c r="L178" s="290" t="s">
        <v>397</v>
      </c>
      <c r="M178" s="290">
        <v>43632</v>
      </c>
      <c r="N178" s="290" t="s">
        <v>397</v>
      </c>
      <c r="O178" s="289">
        <v>11.064</v>
      </c>
    </row>
    <row r="179" spans="1:15" ht="18" customHeight="1">
      <c r="A179" s="291">
        <v>1</v>
      </c>
      <c r="B179" s="295" t="s">
        <v>486</v>
      </c>
      <c r="C179" s="296" t="s">
        <v>485</v>
      </c>
      <c r="D179" s="295" t="s">
        <v>484</v>
      </c>
      <c r="E179" s="418">
        <v>2.4</v>
      </c>
      <c r="F179" s="418" t="s">
        <v>397</v>
      </c>
      <c r="G179" s="290">
        <v>986.37</v>
      </c>
      <c r="H179" s="290">
        <v>2367.29</v>
      </c>
      <c r="I179" s="290">
        <v>911.66</v>
      </c>
      <c r="J179" s="418">
        <v>1455.62</v>
      </c>
      <c r="K179" s="418" t="s">
        <v>397</v>
      </c>
      <c r="L179" s="290" t="s">
        <v>397</v>
      </c>
      <c r="M179" s="290">
        <v>43632</v>
      </c>
      <c r="N179" s="290" t="s">
        <v>397</v>
      </c>
      <c r="O179" s="289">
        <v>11.064</v>
      </c>
    </row>
    <row r="180" spans="1:15" ht="18" customHeight="1">
      <c r="A180" s="291" t="s">
        <v>397</v>
      </c>
      <c r="B180" s="295" t="s">
        <v>483</v>
      </c>
      <c r="C180" s="296" t="s">
        <v>482</v>
      </c>
      <c r="D180" s="295" t="s">
        <v>474</v>
      </c>
      <c r="E180" s="418">
        <v>24.24</v>
      </c>
      <c r="F180" s="418" t="s">
        <v>397</v>
      </c>
      <c r="G180" s="290">
        <v>1800</v>
      </c>
      <c r="H180" s="290">
        <v>43632</v>
      </c>
      <c r="I180" s="290" t="s">
        <v>397</v>
      </c>
      <c r="J180" s="418" t="s">
        <v>397</v>
      </c>
      <c r="K180" s="418" t="s">
        <v>397</v>
      </c>
      <c r="L180" s="290" t="s">
        <v>397</v>
      </c>
      <c r="M180" s="290">
        <v>43632</v>
      </c>
      <c r="N180" s="290" t="s">
        <v>397</v>
      </c>
      <c r="O180" s="289" t="s">
        <v>397</v>
      </c>
    </row>
    <row r="181" spans="1:15" ht="16.5" customHeight="1">
      <c r="A181" s="291" t="s">
        <v>397</v>
      </c>
      <c r="B181" s="295" t="s">
        <v>397</v>
      </c>
      <c r="C181" s="297" t="s">
        <v>481</v>
      </c>
      <c r="D181" s="295" t="s">
        <v>397</v>
      </c>
      <c r="E181" s="418" t="s">
        <v>397</v>
      </c>
      <c r="F181" s="418" t="s">
        <v>397</v>
      </c>
      <c r="G181" s="290" t="s">
        <v>397</v>
      </c>
      <c r="H181" s="290">
        <v>50900</v>
      </c>
      <c r="I181" s="290" t="s">
        <v>397</v>
      </c>
      <c r="J181" s="418">
        <v>50900</v>
      </c>
      <c r="K181" s="418" t="s">
        <v>397</v>
      </c>
      <c r="L181" s="290" t="s">
        <v>397</v>
      </c>
      <c r="M181" s="290" t="s">
        <v>397</v>
      </c>
      <c r="N181" s="290" t="s">
        <v>397</v>
      </c>
      <c r="O181" s="289" t="s">
        <v>397</v>
      </c>
    </row>
    <row r="182" spans="1:15" ht="18" customHeight="1">
      <c r="A182" s="291">
        <v>1</v>
      </c>
      <c r="B182" s="295" t="s">
        <v>480</v>
      </c>
      <c r="C182" s="296" t="s">
        <v>479</v>
      </c>
      <c r="D182" s="295" t="s">
        <v>474</v>
      </c>
      <c r="E182" s="418">
        <v>6</v>
      </c>
      <c r="F182" s="418" t="s">
        <v>397</v>
      </c>
      <c r="G182" s="290">
        <v>350</v>
      </c>
      <c r="H182" s="290">
        <v>2100</v>
      </c>
      <c r="I182" s="290" t="s">
        <v>397</v>
      </c>
      <c r="J182" s="418">
        <v>2100</v>
      </c>
      <c r="K182" s="418" t="s">
        <v>397</v>
      </c>
      <c r="L182" s="290" t="s">
        <v>397</v>
      </c>
      <c r="M182" s="290" t="s">
        <v>397</v>
      </c>
      <c r="N182" s="290" t="s">
        <v>397</v>
      </c>
      <c r="O182" s="289" t="s">
        <v>397</v>
      </c>
    </row>
    <row r="183" spans="1:15" ht="18" customHeight="1">
      <c r="A183" s="291">
        <v>2</v>
      </c>
      <c r="B183" s="295" t="s">
        <v>478</v>
      </c>
      <c r="C183" s="296" t="s">
        <v>477</v>
      </c>
      <c r="D183" s="295" t="s">
        <v>474</v>
      </c>
      <c r="E183" s="418">
        <v>4</v>
      </c>
      <c r="F183" s="418" t="s">
        <v>397</v>
      </c>
      <c r="G183" s="290">
        <v>9800</v>
      </c>
      <c r="H183" s="290">
        <v>39200</v>
      </c>
      <c r="I183" s="290" t="s">
        <v>397</v>
      </c>
      <c r="J183" s="418">
        <v>39200</v>
      </c>
      <c r="K183" s="418" t="s">
        <v>397</v>
      </c>
      <c r="L183" s="290" t="s">
        <v>397</v>
      </c>
      <c r="M183" s="290" t="s">
        <v>397</v>
      </c>
      <c r="N183" s="290" t="s">
        <v>397</v>
      </c>
      <c r="O183" s="289" t="s">
        <v>397</v>
      </c>
    </row>
    <row r="184" spans="1:15" ht="18" customHeight="1">
      <c r="A184" s="291">
        <v>3</v>
      </c>
      <c r="B184" s="295" t="s">
        <v>476</v>
      </c>
      <c r="C184" s="296" t="s">
        <v>475</v>
      </c>
      <c r="D184" s="295" t="s">
        <v>474</v>
      </c>
      <c r="E184" s="418">
        <v>16</v>
      </c>
      <c r="F184" s="418" t="s">
        <v>397</v>
      </c>
      <c r="G184" s="290">
        <v>600</v>
      </c>
      <c r="H184" s="290">
        <v>9600</v>
      </c>
      <c r="I184" s="290" t="s">
        <v>397</v>
      </c>
      <c r="J184" s="418">
        <v>9600</v>
      </c>
      <c r="K184" s="418" t="s">
        <v>397</v>
      </c>
      <c r="L184" s="290" t="s">
        <v>397</v>
      </c>
      <c r="M184" s="290" t="s">
        <v>397</v>
      </c>
      <c r="N184" s="290" t="s">
        <v>397</v>
      </c>
      <c r="O184" s="289" t="s">
        <v>397</v>
      </c>
    </row>
    <row r="185" spans="1:15" ht="18" customHeight="1">
      <c r="A185" s="291" t="s">
        <v>397</v>
      </c>
      <c r="B185" s="295" t="s">
        <v>397</v>
      </c>
      <c r="C185" s="296" t="s">
        <v>397</v>
      </c>
      <c r="D185" s="295" t="s">
        <v>397</v>
      </c>
      <c r="E185" s="418" t="s">
        <v>397</v>
      </c>
      <c r="F185" s="418" t="s">
        <v>397</v>
      </c>
      <c r="G185" s="290" t="s">
        <v>397</v>
      </c>
      <c r="H185" s="290" t="s">
        <v>397</v>
      </c>
      <c r="I185" s="290" t="s">
        <v>397</v>
      </c>
      <c r="J185" s="418" t="s">
        <v>397</v>
      </c>
      <c r="K185" s="418" t="s">
        <v>397</v>
      </c>
      <c r="L185" s="290" t="s">
        <v>397</v>
      </c>
      <c r="M185" s="290" t="s">
        <v>397</v>
      </c>
      <c r="N185" s="290" t="s">
        <v>397</v>
      </c>
      <c r="O185" s="289" t="s">
        <v>397</v>
      </c>
    </row>
    <row r="186" spans="1:15" ht="18" customHeight="1">
      <c r="A186" s="291" t="s">
        <v>397</v>
      </c>
      <c r="B186" s="295" t="s">
        <v>397</v>
      </c>
      <c r="C186" s="296" t="s">
        <v>397</v>
      </c>
      <c r="D186" s="295" t="s">
        <v>397</v>
      </c>
      <c r="E186" s="418" t="s">
        <v>397</v>
      </c>
      <c r="F186" s="418" t="s">
        <v>397</v>
      </c>
      <c r="G186" s="290" t="s">
        <v>397</v>
      </c>
      <c r="H186" s="290" t="s">
        <v>397</v>
      </c>
      <c r="I186" s="290" t="s">
        <v>397</v>
      </c>
      <c r="J186" s="418" t="s">
        <v>397</v>
      </c>
      <c r="K186" s="418" t="s">
        <v>397</v>
      </c>
      <c r="L186" s="290" t="s">
        <v>397</v>
      </c>
      <c r="M186" s="290" t="s">
        <v>397</v>
      </c>
      <c r="N186" s="290" t="s">
        <v>397</v>
      </c>
      <c r="O186" s="289" t="s">
        <v>397</v>
      </c>
    </row>
    <row r="187" spans="1:15" ht="18" customHeight="1">
      <c r="A187" s="291" t="s">
        <v>397</v>
      </c>
      <c r="B187" s="295" t="s">
        <v>397</v>
      </c>
      <c r="C187" s="296" t="s">
        <v>397</v>
      </c>
      <c r="D187" s="295" t="s">
        <v>397</v>
      </c>
      <c r="E187" s="418" t="s">
        <v>397</v>
      </c>
      <c r="F187" s="418" t="s">
        <v>397</v>
      </c>
      <c r="G187" s="290" t="s">
        <v>397</v>
      </c>
      <c r="H187" s="290" t="s">
        <v>397</v>
      </c>
      <c r="I187" s="290" t="s">
        <v>397</v>
      </c>
      <c r="J187" s="418" t="s">
        <v>397</v>
      </c>
      <c r="K187" s="418" t="s">
        <v>397</v>
      </c>
      <c r="L187" s="290" t="s">
        <v>397</v>
      </c>
      <c r="M187" s="290" t="s">
        <v>397</v>
      </c>
      <c r="N187" s="290" t="s">
        <v>397</v>
      </c>
      <c r="O187" s="289" t="s">
        <v>397</v>
      </c>
    </row>
    <row r="188" spans="1:15" ht="18" customHeight="1">
      <c r="A188" s="291" t="s">
        <v>397</v>
      </c>
      <c r="B188" s="295" t="s">
        <v>397</v>
      </c>
      <c r="C188" s="296" t="s">
        <v>397</v>
      </c>
      <c r="D188" s="295" t="s">
        <v>397</v>
      </c>
      <c r="E188" s="418" t="s">
        <v>397</v>
      </c>
      <c r="F188" s="418" t="s">
        <v>397</v>
      </c>
      <c r="G188" s="290" t="s">
        <v>397</v>
      </c>
      <c r="H188" s="290" t="s">
        <v>397</v>
      </c>
      <c r="I188" s="290" t="s">
        <v>397</v>
      </c>
      <c r="J188" s="418" t="s">
        <v>397</v>
      </c>
      <c r="K188" s="418" t="s">
        <v>397</v>
      </c>
      <c r="L188" s="290" t="s">
        <v>397</v>
      </c>
      <c r="M188" s="290" t="s">
        <v>397</v>
      </c>
      <c r="N188" s="290" t="s">
        <v>397</v>
      </c>
      <c r="O188" s="289" t="s">
        <v>397</v>
      </c>
    </row>
    <row r="189" spans="1:15" ht="18" customHeight="1">
      <c r="A189" s="291" t="s">
        <v>397</v>
      </c>
      <c r="B189" s="295" t="s">
        <v>397</v>
      </c>
      <c r="C189" s="296" t="s">
        <v>397</v>
      </c>
      <c r="D189" s="295" t="s">
        <v>397</v>
      </c>
      <c r="E189" s="418" t="s">
        <v>397</v>
      </c>
      <c r="F189" s="418" t="s">
        <v>397</v>
      </c>
      <c r="G189" s="290" t="s">
        <v>397</v>
      </c>
      <c r="H189" s="290" t="s">
        <v>397</v>
      </c>
      <c r="I189" s="290" t="s">
        <v>397</v>
      </c>
      <c r="J189" s="418" t="s">
        <v>397</v>
      </c>
      <c r="K189" s="418" t="s">
        <v>397</v>
      </c>
      <c r="L189" s="290" t="s">
        <v>397</v>
      </c>
      <c r="M189" s="290" t="s">
        <v>397</v>
      </c>
      <c r="N189" s="290" t="s">
        <v>397</v>
      </c>
      <c r="O189" s="289" t="s">
        <v>397</v>
      </c>
    </row>
    <row r="190" spans="1:15" ht="18" customHeight="1">
      <c r="A190" s="291" t="s">
        <v>397</v>
      </c>
      <c r="B190" s="295" t="s">
        <v>397</v>
      </c>
      <c r="C190" s="296" t="s">
        <v>397</v>
      </c>
      <c r="D190" s="295" t="s">
        <v>397</v>
      </c>
      <c r="E190" s="418" t="s">
        <v>397</v>
      </c>
      <c r="F190" s="418" t="s">
        <v>397</v>
      </c>
      <c r="G190" s="290" t="s">
        <v>397</v>
      </c>
      <c r="H190" s="290" t="s">
        <v>397</v>
      </c>
      <c r="I190" s="290" t="s">
        <v>397</v>
      </c>
      <c r="J190" s="418" t="s">
        <v>397</v>
      </c>
      <c r="K190" s="418" t="s">
        <v>397</v>
      </c>
      <c r="L190" s="290" t="s">
        <v>397</v>
      </c>
      <c r="M190" s="290" t="s">
        <v>397</v>
      </c>
      <c r="N190" s="290" t="s">
        <v>397</v>
      </c>
      <c r="O190" s="289" t="s">
        <v>397</v>
      </c>
    </row>
    <row r="191" spans="1:15" ht="29.25" customHeight="1" thickBot="1">
      <c r="A191" s="420" t="s">
        <v>473</v>
      </c>
      <c r="B191" s="421" t="s">
        <v>397</v>
      </c>
      <c r="C191" s="421" t="s">
        <v>397</v>
      </c>
      <c r="D191" s="421" t="s">
        <v>397</v>
      </c>
      <c r="E191" s="421" t="s">
        <v>397</v>
      </c>
      <c r="F191" s="421" t="s">
        <v>397</v>
      </c>
      <c r="G191" s="421" t="s">
        <v>397</v>
      </c>
      <c r="H191" s="287">
        <v>1180171.29</v>
      </c>
      <c r="I191" s="287">
        <v>159933.29</v>
      </c>
      <c r="J191" s="419">
        <v>84606.05</v>
      </c>
      <c r="K191" s="419" t="s">
        <v>397</v>
      </c>
      <c r="L191" s="287">
        <v>7666.1</v>
      </c>
      <c r="M191" s="287">
        <v>927965.83</v>
      </c>
      <c r="N191" s="287" t="s">
        <v>397</v>
      </c>
      <c r="O191" s="286">
        <v>1955.4544000000001</v>
      </c>
    </row>
    <row r="192" spans="1:15" ht="16.5" customHeight="1">
      <c r="A192" s="412" t="s">
        <v>400</v>
      </c>
      <c r="B192" s="412" t="s">
        <v>397</v>
      </c>
      <c r="C192" s="412" t="s">
        <v>397</v>
      </c>
      <c r="D192" s="412" t="s">
        <v>397</v>
      </c>
      <c r="E192" s="412" t="s">
        <v>397</v>
      </c>
      <c r="F192" s="404" t="s">
        <v>399</v>
      </c>
      <c r="G192" s="404" t="s">
        <v>397</v>
      </c>
      <c r="H192" s="404" t="s">
        <v>397</v>
      </c>
      <c r="I192" s="404" t="s">
        <v>397</v>
      </c>
      <c r="J192" s="404" t="s">
        <v>397</v>
      </c>
      <c r="K192" s="405" t="s">
        <v>398</v>
      </c>
      <c r="L192" s="405" t="s">
        <v>397</v>
      </c>
      <c r="M192" s="405" t="s">
        <v>397</v>
      </c>
      <c r="N192" s="405" t="s">
        <v>397</v>
      </c>
      <c r="O192" s="405" t="s">
        <v>397</v>
      </c>
    </row>
  </sheetData>
  <mergeCells count="438">
    <mergeCell ref="E188:F188"/>
    <mergeCell ref="J188:K188"/>
    <mergeCell ref="E189:F189"/>
    <mergeCell ref="J189:K189"/>
    <mergeCell ref="E190:F190"/>
    <mergeCell ref="J190:K190"/>
    <mergeCell ref="A191:G191"/>
    <mergeCell ref="J191:K191"/>
    <mergeCell ref="A192:E192"/>
    <mergeCell ref="F192:J192"/>
    <mergeCell ref="K192:O192"/>
    <mergeCell ref="E183:F183"/>
    <mergeCell ref="J183:K183"/>
    <mergeCell ref="E184:F184"/>
    <mergeCell ref="J184:K184"/>
    <mergeCell ref="E185:F185"/>
    <mergeCell ref="J185:K185"/>
    <mergeCell ref="E186:F186"/>
    <mergeCell ref="J186:K186"/>
    <mergeCell ref="E187:F187"/>
    <mergeCell ref="J187:K187"/>
    <mergeCell ref="E178:F178"/>
    <mergeCell ref="J178:K178"/>
    <mergeCell ref="E179:F179"/>
    <mergeCell ref="J179:K179"/>
    <mergeCell ref="E180:F180"/>
    <mergeCell ref="J180:K180"/>
    <mergeCell ref="E181:F181"/>
    <mergeCell ref="J181:K181"/>
    <mergeCell ref="E182:F182"/>
    <mergeCell ref="J182:K182"/>
    <mergeCell ref="E173:F173"/>
    <mergeCell ref="J173:K173"/>
    <mergeCell ref="E174:F174"/>
    <mergeCell ref="J174:K174"/>
    <mergeCell ref="E175:F175"/>
    <mergeCell ref="J175:K175"/>
    <mergeCell ref="E176:F176"/>
    <mergeCell ref="J176:K176"/>
    <mergeCell ref="E177:F177"/>
    <mergeCell ref="J177:K177"/>
    <mergeCell ref="A169:O169"/>
    <mergeCell ref="A170:J170"/>
    <mergeCell ref="K170:O170"/>
    <mergeCell ref="A171:A172"/>
    <mergeCell ref="B171:B172"/>
    <mergeCell ref="C171:C172"/>
    <mergeCell ref="D171:F171"/>
    <mergeCell ref="G171:H171"/>
    <mergeCell ref="I171:N171"/>
    <mergeCell ref="O171:O172"/>
    <mergeCell ref="E172:F172"/>
    <mergeCell ref="J172:K172"/>
    <mergeCell ref="E165:F165"/>
    <mergeCell ref="J165:K165"/>
    <mergeCell ref="E166:F166"/>
    <mergeCell ref="J166:K166"/>
    <mergeCell ref="A167:E167"/>
    <mergeCell ref="F167:J167"/>
    <mergeCell ref="K167:O167"/>
    <mergeCell ref="A168:E168"/>
    <mergeCell ref="F168:J168"/>
    <mergeCell ref="K168:O168"/>
    <mergeCell ref="E160:F160"/>
    <mergeCell ref="J160:K160"/>
    <mergeCell ref="E161:F161"/>
    <mergeCell ref="J161:K161"/>
    <mergeCell ref="E162:F162"/>
    <mergeCell ref="J162:K162"/>
    <mergeCell ref="E163:F163"/>
    <mergeCell ref="J163:K163"/>
    <mergeCell ref="E164:F164"/>
    <mergeCell ref="J164:K164"/>
    <mergeCell ref="E155:F155"/>
    <mergeCell ref="J155:K155"/>
    <mergeCell ref="E156:F156"/>
    <mergeCell ref="J156:K156"/>
    <mergeCell ref="E157:F157"/>
    <mergeCell ref="J157:K157"/>
    <mergeCell ref="E158:F158"/>
    <mergeCell ref="J158:K158"/>
    <mergeCell ref="E159:F159"/>
    <mergeCell ref="J159:K159"/>
    <mergeCell ref="E150:F150"/>
    <mergeCell ref="J150:K150"/>
    <mergeCell ref="E151:F151"/>
    <mergeCell ref="J151:K151"/>
    <mergeCell ref="E152:F152"/>
    <mergeCell ref="J152:K152"/>
    <mergeCell ref="E153:F153"/>
    <mergeCell ref="J153:K153"/>
    <mergeCell ref="E154:F154"/>
    <mergeCell ref="J154:K154"/>
    <mergeCell ref="A145:E145"/>
    <mergeCell ref="F145:J145"/>
    <mergeCell ref="K145:O145"/>
    <mergeCell ref="A146:O146"/>
    <mergeCell ref="A147:J147"/>
    <mergeCell ref="K147:O147"/>
    <mergeCell ref="A148:A149"/>
    <mergeCell ref="B148:B149"/>
    <mergeCell ref="C148:C149"/>
    <mergeCell ref="D148:F148"/>
    <mergeCell ref="G148:H148"/>
    <mergeCell ref="I148:N148"/>
    <mergeCell ref="O148:O149"/>
    <mergeCell ref="E149:F149"/>
    <mergeCell ref="J149:K149"/>
    <mergeCell ref="E141:F141"/>
    <mergeCell ref="J141:K141"/>
    <mergeCell ref="E142:F142"/>
    <mergeCell ref="J142:K142"/>
    <mergeCell ref="E143:F143"/>
    <mergeCell ref="J143:K143"/>
    <mergeCell ref="A144:E144"/>
    <mergeCell ref="F144:J144"/>
    <mergeCell ref="K144:O144"/>
    <mergeCell ref="E136:F136"/>
    <mergeCell ref="J136:K136"/>
    <mergeCell ref="E137:F137"/>
    <mergeCell ref="J137:K137"/>
    <mergeCell ref="E138:F138"/>
    <mergeCell ref="J138:K138"/>
    <mergeCell ref="E139:F139"/>
    <mergeCell ref="J139:K139"/>
    <mergeCell ref="E140:F140"/>
    <mergeCell ref="J140:K140"/>
    <mergeCell ref="E131:F131"/>
    <mergeCell ref="J131:K131"/>
    <mergeCell ref="E132:F132"/>
    <mergeCell ref="J132:K132"/>
    <mergeCell ref="E133:F133"/>
    <mergeCell ref="J133:K133"/>
    <mergeCell ref="E134:F134"/>
    <mergeCell ref="J134:K134"/>
    <mergeCell ref="E135:F135"/>
    <mergeCell ref="J135:K135"/>
    <mergeCell ref="A126:E126"/>
    <mergeCell ref="F126:J126"/>
    <mergeCell ref="K126:O126"/>
    <mergeCell ref="A127:O127"/>
    <mergeCell ref="A128:J128"/>
    <mergeCell ref="K128:O128"/>
    <mergeCell ref="A129:A130"/>
    <mergeCell ref="B129:B130"/>
    <mergeCell ref="C129:C130"/>
    <mergeCell ref="D129:F129"/>
    <mergeCell ref="G129:H129"/>
    <mergeCell ref="I129:N129"/>
    <mergeCell ref="O129:O130"/>
    <mergeCell ref="E130:F130"/>
    <mergeCell ref="J130:K130"/>
    <mergeCell ref="E122:F122"/>
    <mergeCell ref="J122:K122"/>
    <mergeCell ref="E123:F123"/>
    <mergeCell ref="J123:K123"/>
    <mergeCell ref="E124:F124"/>
    <mergeCell ref="J124:K124"/>
    <mergeCell ref="A125:E125"/>
    <mergeCell ref="F125:J125"/>
    <mergeCell ref="K125:O125"/>
    <mergeCell ref="E117:F117"/>
    <mergeCell ref="J117:K117"/>
    <mergeCell ref="E118:F118"/>
    <mergeCell ref="J118:K118"/>
    <mergeCell ref="E119:F119"/>
    <mergeCell ref="J119:K119"/>
    <mergeCell ref="E120:F120"/>
    <mergeCell ref="J120:K120"/>
    <mergeCell ref="E121:F121"/>
    <mergeCell ref="J121:K121"/>
    <mergeCell ref="E112:F112"/>
    <mergeCell ref="J112:K112"/>
    <mergeCell ref="E113:F113"/>
    <mergeCell ref="J113:K113"/>
    <mergeCell ref="E114:F114"/>
    <mergeCell ref="J114:K114"/>
    <mergeCell ref="E115:F115"/>
    <mergeCell ref="J115:K115"/>
    <mergeCell ref="E116:F116"/>
    <mergeCell ref="J116:K116"/>
    <mergeCell ref="A107:E107"/>
    <mergeCell ref="F107:J107"/>
    <mergeCell ref="K107:O107"/>
    <mergeCell ref="A108:O108"/>
    <mergeCell ref="A109:J109"/>
    <mergeCell ref="K109:O109"/>
    <mergeCell ref="A110:A111"/>
    <mergeCell ref="B110:B111"/>
    <mergeCell ref="C110:C111"/>
    <mergeCell ref="D110:F110"/>
    <mergeCell ref="G110:H110"/>
    <mergeCell ref="I110:N110"/>
    <mergeCell ref="O110:O111"/>
    <mergeCell ref="E111:F111"/>
    <mergeCell ref="J111:K111"/>
    <mergeCell ref="E103:F103"/>
    <mergeCell ref="J103:K103"/>
    <mergeCell ref="E104:F104"/>
    <mergeCell ref="J104:K104"/>
    <mergeCell ref="E105:F105"/>
    <mergeCell ref="J105:K105"/>
    <mergeCell ref="A106:E106"/>
    <mergeCell ref="F106:J106"/>
    <mergeCell ref="K106:O106"/>
    <mergeCell ref="E98:F98"/>
    <mergeCell ref="J98:K98"/>
    <mergeCell ref="E99:F99"/>
    <mergeCell ref="J99:K99"/>
    <mergeCell ref="E100:F100"/>
    <mergeCell ref="J100:K100"/>
    <mergeCell ref="E101:F101"/>
    <mergeCell ref="J101:K101"/>
    <mergeCell ref="E102:F102"/>
    <mergeCell ref="J102:K102"/>
    <mergeCell ref="E93:F93"/>
    <mergeCell ref="J93:K93"/>
    <mergeCell ref="E94:F94"/>
    <mergeCell ref="J94:K94"/>
    <mergeCell ref="E95:F95"/>
    <mergeCell ref="J95:K95"/>
    <mergeCell ref="E96:F96"/>
    <mergeCell ref="J96:K96"/>
    <mergeCell ref="E97:F97"/>
    <mergeCell ref="J97:K97"/>
    <mergeCell ref="A88:E88"/>
    <mergeCell ref="F88:J88"/>
    <mergeCell ref="K88:O88"/>
    <mergeCell ref="A89:O89"/>
    <mergeCell ref="A90:J90"/>
    <mergeCell ref="K90:O90"/>
    <mergeCell ref="A91:A92"/>
    <mergeCell ref="B91:B92"/>
    <mergeCell ref="C91:C92"/>
    <mergeCell ref="D91:F91"/>
    <mergeCell ref="G91:H91"/>
    <mergeCell ref="I91:N91"/>
    <mergeCell ref="O91:O92"/>
    <mergeCell ref="E92:F92"/>
    <mergeCell ref="J92:K92"/>
    <mergeCell ref="E84:F84"/>
    <mergeCell ref="J84:K84"/>
    <mergeCell ref="E85:F85"/>
    <mergeCell ref="J85:K85"/>
    <mergeCell ref="E86:F86"/>
    <mergeCell ref="J86:K86"/>
    <mergeCell ref="A87:E87"/>
    <mergeCell ref="F87:J87"/>
    <mergeCell ref="K87:O87"/>
    <mergeCell ref="E79:F79"/>
    <mergeCell ref="J79:K79"/>
    <mergeCell ref="E80:F80"/>
    <mergeCell ref="J80:K80"/>
    <mergeCell ref="E81:F81"/>
    <mergeCell ref="J81:K81"/>
    <mergeCell ref="E82:F82"/>
    <mergeCell ref="J82:K82"/>
    <mergeCell ref="E83:F83"/>
    <mergeCell ref="J83:K83"/>
    <mergeCell ref="E74:F74"/>
    <mergeCell ref="J74:K74"/>
    <mergeCell ref="E75:F75"/>
    <mergeCell ref="J75:K75"/>
    <mergeCell ref="E76:F76"/>
    <mergeCell ref="J76:K76"/>
    <mergeCell ref="E77:F77"/>
    <mergeCell ref="J77:K77"/>
    <mergeCell ref="E78:F78"/>
    <mergeCell ref="J78:K78"/>
    <mergeCell ref="A71:J71"/>
    <mergeCell ref="K71:O71"/>
    <mergeCell ref="A72:A73"/>
    <mergeCell ref="B72:B73"/>
    <mergeCell ref="C72:C73"/>
    <mergeCell ref="D72:F72"/>
    <mergeCell ref="G72:H72"/>
    <mergeCell ref="I72:N72"/>
    <mergeCell ref="O72:O73"/>
    <mergeCell ref="E73:F73"/>
    <mergeCell ref="J73:K73"/>
    <mergeCell ref="E67:F67"/>
    <mergeCell ref="J67:K67"/>
    <mergeCell ref="A68:E68"/>
    <mergeCell ref="F68:J68"/>
    <mergeCell ref="K68:O68"/>
    <mergeCell ref="A69:E69"/>
    <mergeCell ref="F69:J69"/>
    <mergeCell ref="K69:O69"/>
    <mergeCell ref="A70:O70"/>
    <mergeCell ref="E62:F62"/>
    <mergeCell ref="J62:K62"/>
    <mergeCell ref="E63:F63"/>
    <mergeCell ref="J63:K63"/>
    <mergeCell ref="E64:F64"/>
    <mergeCell ref="J64:K64"/>
    <mergeCell ref="E65:F65"/>
    <mergeCell ref="J65:K65"/>
    <mergeCell ref="E66:F66"/>
    <mergeCell ref="J66:K66"/>
    <mergeCell ref="E57:F57"/>
    <mergeCell ref="J57:K57"/>
    <mergeCell ref="E58:F58"/>
    <mergeCell ref="J58:K58"/>
    <mergeCell ref="E59:F59"/>
    <mergeCell ref="J59:K59"/>
    <mergeCell ref="E60:F60"/>
    <mergeCell ref="J60:K60"/>
    <mergeCell ref="E61:F61"/>
    <mergeCell ref="J61:K61"/>
    <mergeCell ref="E52:F52"/>
    <mergeCell ref="J52:K52"/>
    <mergeCell ref="E53:F53"/>
    <mergeCell ref="J53:K53"/>
    <mergeCell ref="E54:F54"/>
    <mergeCell ref="J54:K54"/>
    <mergeCell ref="E55:F55"/>
    <mergeCell ref="J55:K55"/>
    <mergeCell ref="E56:F56"/>
    <mergeCell ref="J56:K56"/>
    <mergeCell ref="A48:O48"/>
    <mergeCell ref="A49:J49"/>
    <mergeCell ref="K49:O49"/>
    <mergeCell ref="A50:A51"/>
    <mergeCell ref="B50:B51"/>
    <mergeCell ref="C50:C51"/>
    <mergeCell ref="D50:F50"/>
    <mergeCell ref="G50:H50"/>
    <mergeCell ref="I50:N50"/>
    <mergeCell ref="O50:O51"/>
    <mergeCell ref="E51:F51"/>
    <mergeCell ref="J51:K51"/>
    <mergeCell ref="E44:F44"/>
    <mergeCell ref="J44:K44"/>
    <mergeCell ref="E45:F45"/>
    <mergeCell ref="J45:K45"/>
    <mergeCell ref="A46:E46"/>
    <mergeCell ref="F46:J46"/>
    <mergeCell ref="K46:O46"/>
    <mergeCell ref="A47:E47"/>
    <mergeCell ref="F47:J47"/>
    <mergeCell ref="K47:O47"/>
    <mergeCell ref="E39:F39"/>
    <mergeCell ref="J39:K39"/>
    <mergeCell ref="E40:F40"/>
    <mergeCell ref="J40:K40"/>
    <mergeCell ref="E41:F41"/>
    <mergeCell ref="J41:K41"/>
    <mergeCell ref="E42:F42"/>
    <mergeCell ref="J42:K42"/>
    <mergeCell ref="E43:F43"/>
    <mergeCell ref="J43:K43"/>
    <mergeCell ref="E34:F34"/>
    <mergeCell ref="J34:K34"/>
    <mergeCell ref="E35:F35"/>
    <mergeCell ref="J35:K35"/>
    <mergeCell ref="E36:F36"/>
    <mergeCell ref="J36:K36"/>
    <mergeCell ref="E37:F37"/>
    <mergeCell ref="J37:K37"/>
    <mergeCell ref="E38:F38"/>
    <mergeCell ref="J38:K38"/>
    <mergeCell ref="E29:F29"/>
    <mergeCell ref="J29:K29"/>
    <mergeCell ref="E30:F30"/>
    <mergeCell ref="J30:K30"/>
    <mergeCell ref="E31:F31"/>
    <mergeCell ref="J31:K31"/>
    <mergeCell ref="E32:F32"/>
    <mergeCell ref="J32:K32"/>
    <mergeCell ref="E33:F33"/>
    <mergeCell ref="J33:K33"/>
    <mergeCell ref="A25:O25"/>
    <mergeCell ref="A26:J26"/>
    <mergeCell ref="K26:O26"/>
    <mergeCell ref="A27:A28"/>
    <mergeCell ref="B27:B28"/>
    <mergeCell ref="C27:C28"/>
    <mergeCell ref="D27:F27"/>
    <mergeCell ref="G27:H27"/>
    <mergeCell ref="I27:N27"/>
    <mergeCell ref="O27:O28"/>
    <mergeCell ref="E28:F28"/>
    <mergeCell ref="J28:K28"/>
    <mergeCell ref="E21:F21"/>
    <mergeCell ref="J21:K21"/>
    <mergeCell ref="E22:F22"/>
    <mergeCell ref="J22:K22"/>
    <mergeCell ref="A23:E23"/>
    <mergeCell ref="F23:J23"/>
    <mergeCell ref="K23:O23"/>
    <mergeCell ref="A24:E24"/>
    <mergeCell ref="F24:J24"/>
    <mergeCell ref="K24:O24"/>
    <mergeCell ref="E16:F16"/>
    <mergeCell ref="J16:K16"/>
    <mergeCell ref="E17:F17"/>
    <mergeCell ref="J17:K17"/>
    <mergeCell ref="E18:F18"/>
    <mergeCell ref="J18:K18"/>
    <mergeCell ref="E19:F19"/>
    <mergeCell ref="J19:K19"/>
    <mergeCell ref="E20:F20"/>
    <mergeCell ref="J20:K20"/>
    <mergeCell ref="E11:F11"/>
    <mergeCell ref="J11:K11"/>
    <mergeCell ref="E12:F12"/>
    <mergeCell ref="J12:K12"/>
    <mergeCell ref="E13:F13"/>
    <mergeCell ref="J13:K13"/>
    <mergeCell ref="E14:F14"/>
    <mergeCell ref="J14:K14"/>
    <mergeCell ref="E15:F15"/>
    <mergeCell ref="J15:K15"/>
    <mergeCell ref="E6:F6"/>
    <mergeCell ref="J6:K6"/>
    <mergeCell ref="E7:F7"/>
    <mergeCell ref="J7:K7"/>
    <mergeCell ref="E8:F8"/>
    <mergeCell ref="J8:K8"/>
    <mergeCell ref="E9:F9"/>
    <mergeCell ref="J9:K9"/>
    <mergeCell ref="E10:F10"/>
    <mergeCell ref="J10:K10"/>
    <mergeCell ref="A1:E1"/>
    <mergeCell ref="F1:J1"/>
    <mergeCell ref="K1:O1"/>
    <mergeCell ref="A2:O2"/>
    <mergeCell ref="A3:J3"/>
    <mergeCell ref="K3:O3"/>
    <mergeCell ref="A4:A5"/>
    <mergeCell ref="B4:B5"/>
    <mergeCell ref="C4:C5"/>
    <mergeCell ref="D4:F4"/>
    <mergeCell ref="G4:H4"/>
    <mergeCell ref="I4:N4"/>
    <mergeCell ref="O4:O5"/>
    <mergeCell ref="E5:F5"/>
    <mergeCell ref="J5:K5"/>
  </mergeCells>
  <phoneticPr fontId="34" type="noConversion"/>
  <pageMargins left="0.51181102362204722" right="0.51181102362204722" top="0.59055118110236227" bottom="0.59055118110236227" header="0.59055118110236227" footer="0.59055118110236227"/>
  <pageSetup paperSize="9" scale="96" orientation="landscape" r:id="rId1"/>
  <headerFooter alignWithMargins="0"/>
  <rowBreaks count="8" manualBreakCount="8">
    <brk id="23" min="1" max="256" man="1"/>
    <brk id="46" min="1" max="256" man="1"/>
    <brk id="68" min="1" max="256" man="1"/>
    <brk id="87" min="1" max="256" man="1"/>
    <brk id="106" min="1" max="256" man="1"/>
    <brk id="125" min="1" max="256" man="1"/>
    <brk id="144" min="1" max="256" man="1"/>
    <brk id="167" min="1" max="256" man="1"/>
  </rowBreaks>
</worksheet>
</file>

<file path=xl/worksheets/sheet13.xml><?xml version="1.0" encoding="utf-8"?>
<worksheet xmlns="http://schemas.openxmlformats.org/spreadsheetml/2006/main" xmlns:r="http://schemas.openxmlformats.org/officeDocument/2006/relationships">
  <dimension ref="A1:G37"/>
  <sheetViews>
    <sheetView topLeftCell="A16" workbookViewId="0">
      <selection activeCell="A2" sqref="A2:U2"/>
    </sheetView>
  </sheetViews>
  <sheetFormatPr defaultColWidth="8" defaultRowHeight="11.25"/>
  <cols>
    <col min="1" max="1" width="7.25" style="285" customWidth="1"/>
    <col min="2" max="2" width="19.5" style="285" customWidth="1"/>
    <col min="3" max="3" width="3" style="285" customWidth="1"/>
    <col min="4" max="4" width="28.375" style="285" customWidth="1"/>
    <col min="5" max="5" width="1.375" style="285" customWidth="1"/>
    <col min="6" max="6" width="8.875" style="285" customWidth="1"/>
    <col min="7" max="7" width="16.5" style="285" customWidth="1"/>
    <col min="8" max="16384" width="8" style="285"/>
  </cols>
  <sheetData>
    <row r="1" spans="1:7" ht="16.5" customHeight="1">
      <c r="A1" s="403" t="s">
        <v>397</v>
      </c>
      <c r="B1" s="403" t="s">
        <v>397</v>
      </c>
      <c r="C1" s="404" t="s">
        <v>397</v>
      </c>
      <c r="D1" s="404" t="s">
        <v>397</v>
      </c>
      <c r="E1" s="405" t="s">
        <v>397</v>
      </c>
      <c r="F1" s="405" t="s">
        <v>397</v>
      </c>
      <c r="G1" s="405" t="s">
        <v>397</v>
      </c>
    </row>
    <row r="2" spans="1:7" ht="33.75" customHeight="1">
      <c r="A2" s="406" t="s">
        <v>472</v>
      </c>
      <c r="B2" s="406" t="s">
        <v>397</v>
      </c>
      <c r="C2" s="406" t="s">
        <v>397</v>
      </c>
      <c r="D2" s="406" t="s">
        <v>397</v>
      </c>
      <c r="E2" s="406" t="s">
        <v>397</v>
      </c>
      <c r="F2" s="406" t="s">
        <v>397</v>
      </c>
      <c r="G2" s="406" t="s">
        <v>397</v>
      </c>
    </row>
    <row r="3" spans="1:7" ht="23.25" customHeight="1" thickBot="1">
      <c r="A3" s="403" t="s">
        <v>660</v>
      </c>
      <c r="B3" s="403" t="s">
        <v>397</v>
      </c>
      <c r="C3" s="403" t="s">
        <v>397</v>
      </c>
      <c r="D3" s="403" t="s">
        <v>397</v>
      </c>
      <c r="E3" s="405" t="s">
        <v>470</v>
      </c>
      <c r="F3" s="405" t="s">
        <v>397</v>
      </c>
      <c r="G3" s="405" t="s">
        <v>397</v>
      </c>
    </row>
    <row r="4" spans="1:7" ht="18" customHeight="1">
      <c r="A4" s="294" t="s">
        <v>42</v>
      </c>
      <c r="B4" s="407" t="s">
        <v>469</v>
      </c>
      <c r="C4" s="407" t="s">
        <v>397</v>
      </c>
      <c r="D4" s="407" t="s">
        <v>468</v>
      </c>
      <c r="E4" s="407" t="s">
        <v>397</v>
      </c>
      <c r="F4" s="293" t="s">
        <v>467</v>
      </c>
      <c r="G4" s="292" t="s">
        <v>466</v>
      </c>
    </row>
    <row r="5" spans="1:7" ht="16.5" customHeight="1">
      <c r="A5" s="291" t="s">
        <v>462</v>
      </c>
      <c r="B5" s="408" t="s">
        <v>465</v>
      </c>
      <c r="C5" s="408" t="s">
        <v>397</v>
      </c>
      <c r="D5" s="408" t="s">
        <v>465</v>
      </c>
      <c r="E5" s="408" t="s">
        <v>397</v>
      </c>
      <c r="F5" s="290" t="s">
        <v>397</v>
      </c>
      <c r="G5" s="289">
        <v>2696961.59</v>
      </c>
    </row>
    <row r="6" spans="1:7" ht="29.25" customHeight="1">
      <c r="A6" s="291" t="s">
        <v>51</v>
      </c>
      <c r="B6" s="408" t="s">
        <v>464</v>
      </c>
      <c r="C6" s="408" t="s">
        <v>397</v>
      </c>
      <c r="D6" s="408" t="s">
        <v>463</v>
      </c>
      <c r="E6" s="408" t="s">
        <v>397</v>
      </c>
      <c r="F6" s="290" t="s">
        <v>397</v>
      </c>
      <c r="G6" s="289">
        <v>2341518.5</v>
      </c>
    </row>
    <row r="7" spans="1:7" ht="16.5" customHeight="1">
      <c r="A7" s="291" t="s">
        <v>462</v>
      </c>
      <c r="B7" s="408" t="s">
        <v>450</v>
      </c>
      <c r="C7" s="408" t="s">
        <v>397</v>
      </c>
      <c r="D7" s="408" t="s">
        <v>450</v>
      </c>
      <c r="E7" s="408" t="s">
        <v>397</v>
      </c>
      <c r="F7" s="290" t="s">
        <v>397</v>
      </c>
      <c r="G7" s="289">
        <v>427991.63</v>
      </c>
    </row>
    <row r="8" spans="1:7" ht="16.5" customHeight="1">
      <c r="A8" s="291" t="s">
        <v>403</v>
      </c>
      <c r="B8" s="408" t="s">
        <v>447</v>
      </c>
      <c r="C8" s="408" t="s">
        <v>397</v>
      </c>
      <c r="D8" s="408" t="s">
        <v>447</v>
      </c>
      <c r="E8" s="408" t="s">
        <v>397</v>
      </c>
      <c r="F8" s="290" t="s">
        <v>397</v>
      </c>
      <c r="G8" s="289">
        <v>241775.43</v>
      </c>
    </row>
    <row r="9" spans="1:7" ht="16.5" customHeight="1">
      <c r="A9" s="291" t="s">
        <v>461</v>
      </c>
      <c r="B9" s="408" t="s">
        <v>460</v>
      </c>
      <c r="C9" s="408" t="s">
        <v>397</v>
      </c>
      <c r="D9" s="408" t="s">
        <v>459</v>
      </c>
      <c r="E9" s="408" t="s">
        <v>397</v>
      </c>
      <c r="F9" s="290" t="s">
        <v>397</v>
      </c>
      <c r="G9" s="289">
        <v>1498736.61</v>
      </c>
    </row>
    <row r="10" spans="1:7" ht="16.5" customHeight="1">
      <c r="A10" s="291" t="s">
        <v>458</v>
      </c>
      <c r="B10" s="408" t="s">
        <v>444</v>
      </c>
      <c r="C10" s="408" t="s">
        <v>397</v>
      </c>
      <c r="D10" s="408" t="s">
        <v>457</v>
      </c>
      <c r="E10" s="408" t="s">
        <v>397</v>
      </c>
      <c r="F10" s="290" t="s">
        <v>397</v>
      </c>
      <c r="G10" s="289">
        <v>61513.95</v>
      </c>
    </row>
    <row r="11" spans="1:7" ht="16.5" customHeight="1">
      <c r="A11" s="291" t="s">
        <v>365</v>
      </c>
      <c r="B11" s="408" t="s">
        <v>456</v>
      </c>
      <c r="C11" s="408" t="s">
        <v>397</v>
      </c>
      <c r="D11" s="408" t="s">
        <v>455</v>
      </c>
      <c r="E11" s="408" t="s">
        <v>397</v>
      </c>
      <c r="F11" s="290" t="s">
        <v>397</v>
      </c>
      <c r="G11" s="289">
        <v>47482.04</v>
      </c>
    </row>
    <row r="12" spans="1:7" ht="16.5" customHeight="1">
      <c r="A12" s="291" t="s">
        <v>454</v>
      </c>
      <c r="B12" s="408" t="s">
        <v>453</v>
      </c>
      <c r="C12" s="408" t="s">
        <v>397</v>
      </c>
      <c r="D12" s="408" t="s">
        <v>452</v>
      </c>
      <c r="E12" s="408" t="s">
        <v>397</v>
      </c>
      <c r="F12" s="290" t="s">
        <v>397</v>
      </c>
      <c r="G12" s="289" t="s">
        <v>397</v>
      </c>
    </row>
    <row r="13" spans="1:7" ht="16.5" customHeight="1">
      <c r="A13" s="291" t="s">
        <v>451</v>
      </c>
      <c r="B13" s="408" t="s">
        <v>450</v>
      </c>
      <c r="C13" s="408" t="s">
        <v>397</v>
      </c>
      <c r="D13" s="408" t="s">
        <v>449</v>
      </c>
      <c r="E13" s="408" t="s">
        <v>397</v>
      </c>
      <c r="F13" s="290" t="s">
        <v>397</v>
      </c>
      <c r="G13" s="289" t="s">
        <v>397</v>
      </c>
    </row>
    <row r="14" spans="1:7" ht="16.5" customHeight="1">
      <c r="A14" s="291" t="s">
        <v>448</v>
      </c>
      <c r="B14" s="408" t="s">
        <v>447</v>
      </c>
      <c r="C14" s="408" t="s">
        <v>397</v>
      </c>
      <c r="D14" s="408" t="s">
        <v>446</v>
      </c>
      <c r="E14" s="408" t="s">
        <v>397</v>
      </c>
      <c r="F14" s="290" t="s">
        <v>397</v>
      </c>
      <c r="G14" s="289" t="s">
        <v>397</v>
      </c>
    </row>
    <row r="15" spans="1:7" ht="16.5" customHeight="1">
      <c r="A15" s="291" t="s">
        <v>445</v>
      </c>
      <c r="B15" s="408" t="s">
        <v>444</v>
      </c>
      <c r="C15" s="408" t="s">
        <v>397</v>
      </c>
      <c r="D15" s="408" t="s">
        <v>443</v>
      </c>
      <c r="E15" s="408" t="s">
        <v>397</v>
      </c>
      <c r="F15" s="290" t="s">
        <v>397</v>
      </c>
      <c r="G15" s="289" t="s">
        <v>397</v>
      </c>
    </row>
    <row r="16" spans="1:7" ht="16.5" customHeight="1">
      <c r="A16" s="291" t="s">
        <v>442</v>
      </c>
      <c r="B16" s="408" t="s">
        <v>441</v>
      </c>
      <c r="C16" s="408" t="s">
        <v>397</v>
      </c>
      <c r="D16" s="408" t="s">
        <v>440</v>
      </c>
      <c r="E16" s="408" t="s">
        <v>397</v>
      </c>
      <c r="F16" s="290" t="s">
        <v>397</v>
      </c>
      <c r="G16" s="289">
        <v>47482.04</v>
      </c>
    </row>
    <row r="17" spans="1:7" ht="29.25" customHeight="1">
      <c r="A17" s="291" t="s">
        <v>439</v>
      </c>
      <c r="B17" s="408" t="s">
        <v>438</v>
      </c>
      <c r="C17" s="408" t="s">
        <v>397</v>
      </c>
      <c r="D17" s="408" t="s">
        <v>425</v>
      </c>
      <c r="E17" s="408" t="s">
        <v>397</v>
      </c>
      <c r="F17" s="290" t="s">
        <v>437</v>
      </c>
      <c r="G17" s="289">
        <v>44300.25</v>
      </c>
    </row>
    <row r="18" spans="1:7" ht="29.25" customHeight="1">
      <c r="A18" s="291" t="s">
        <v>436</v>
      </c>
      <c r="B18" s="408" t="s">
        <v>435</v>
      </c>
      <c r="C18" s="408" t="s">
        <v>397</v>
      </c>
      <c r="D18" s="408" t="s">
        <v>425</v>
      </c>
      <c r="E18" s="408" t="s">
        <v>397</v>
      </c>
      <c r="F18" s="290" t="s">
        <v>434</v>
      </c>
      <c r="G18" s="289">
        <v>3181.79</v>
      </c>
    </row>
    <row r="19" spans="1:7" ht="16.5" customHeight="1">
      <c r="A19" s="291" t="s">
        <v>316</v>
      </c>
      <c r="B19" s="408" t="s">
        <v>433</v>
      </c>
      <c r="C19" s="408" t="s">
        <v>397</v>
      </c>
      <c r="D19" s="408" t="s">
        <v>397</v>
      </c>
      <c r="E19" s="408" t="s">
        <v>397</v>
      </c>
      <c r="F19" s="290" t="s">
        <v>397</v>
      </c>
      <c r="G19" s="289" t="s">
        <v>397</v>
      </c>
    </row>
    <row r="20" spans="1:7" ht="29.25" customHeight="1">
      <c r="A20" s="291" t="s">
        <v>393</v>
      </c>
      <c r="B20" s="408" t="s">
        <v>432</v>
      </c>
      <c r="C20" s="408" t="s">
        <v>397</v>
      </c>
      <c r="D20" s="408" t="s">
        <v>425</v>
      </c>
      <c r="E20" s="408" t="s">
        <v>397</v>
      </c>
      <c r="F20" s="290" t="s">
        <v>431</v>
      </c>
      <c r="G20" s="289">
        <v>85663.48</v>
      </c>
    </row>
    <row r="21" spans="1:7" ht="29.25" customHeight="1">
      <c r="A21" s="291" t="s">
        <v>430</v>
      </c>
      <c r="B21" s="408" t="s">
        <v>429</v>
      </c>
      <c r="C21" s="408" t="s">
        <v>397</v>
      </c>
      <c r="D21" s="408" t="s">
        <v>425</v>
      </c>
      <c r="E21" s="408" t="s">
        <v>397</v>
      </c>
      <c r="F21" s="290" t="s">
        <v>428</v>
      </c>
      <c r="G21" s="289">
        <v>72985.279999999999</v>
      </c>
    </row>
    <row r="22" spans="1:7" ht="29.25" customHeight="1">
      <c r="A22" s="291" t="s">
        <v>427</v>
      </c>
      <c r="B22" s="408" t="s">
        <v>426</v>
      </c>
      <c r="C22" s="408" t="s">
        <v>397</v>
      </c>
      <c r="D22" s="408" t="s">
        <v>425</v>
      </c>
      <c r="E22" s="408" t="s">
        <v>397</v>
      </c>
      <c r="F22" s="290" t="s">
        <v>424</v>
      </c>
      <c r="G22" s="289">
        <v>57076.35</v>
      </c>
    </row>
    <row r="23" spans="1:7" ht="16.5" customHeight="1">
      <c r="A23" s="291" t="s">
        <v>423</v>
      </c>
      <c r="B23" s="408" t="s">
        <v>422</v>
      </c>
      <c r="C23" s="408" t="s">
        <v>397</v>
      </c>
      <c r="D23" s="408" t="s">
        <v>397</v>
      </c>
      <c r="E23" s="408" t="s">
        <v>397</v>
      </c>
      <c r="F23" s="290" t="s">
        <v>397</v>
      </c>
      <c r="G23" s="289" t="s">
        <v>397</v>
      </c>
    </row>
    <row r="24" spans="1:7" ht="42" customHeight="1">
      <c r="A24" s="291" t="s">
        <v>421</v>
      </c>
      <c r="B24" s="408" t="s">
        <v>420</v>
      </c>
      <c r="C24" s="408" t="s">
        <v>397</v>
      </c>
      <c r="D24" s="408" t="s">
        <v>419</v>
      </c>
      <c r="E24" s="408" t="s">
        <v>397</v>
      </c>
      <c r="F24" s="290" t="s">
        <v>397</v>
      </c>
      <c r="G24" s="289">
        <v>2604725.65</v>
      </c>
    </row>
    <row r="25" spans="1:7" ht="16.5" customHeight="1">
      <c r="A25" s="291" t="s">
        <v>418</v>
      </c>
      <c r="B25" s="408" t="s">
        <v>417</v>
      </c>
      <c r="C25" s="408" t="s">
        <v>397</v>
      </c>
      <c r="D25" s="408" t="s">
        <v>416</v>
      </c>
      <c r="E25" s="408" t="s">
        <v>397</v>
      </c>
      <c r="F25" s="290" t="s">
        <v>397</v>
      </c>
      <c r="G25" s="289" t="s">
        <v>397</v>
      </c>
    </row>
    <row r="26" spans="1:7" ht="16.5" customHeight="1">
      <c r="A26" s="291" t="s">
        <v>415</v>
      </c>
      <c r="B26" s="408" t="s">
        <v>414</v>
      </c>
      <c r="C26" s="408" t="s">
        <v>397</v>
      </c>
      <c r="D26" s="408" t="s">
        <v>413</v>
      </c>
      <c r="E26" s="408" t="s">
        <v>397</v>
      </c>
      <c r="F26" s="290" t="s">
        <v>412</v>
      </c>
      <c r="G26" s="289">
        <v>92235.94</v>
      </c>
    </row>
    <row r="27" spans="1:7" ht="16.5" customHeight="1">
      <c r="A27" s="291" t="s">
        <v>411</v>
      </c>
      <c r="B27" s="408" t="s">
        <v>410</v>
      </c>
      <c r="C27" s="408" t="s">
        <v>397</v>
      </c>
      <c r="D27" s="408" t="s">
        <v>409</v>
      </c>
      <c r="E27" s="408" t="s">
        <v>397</v>
      </c>
      <c r="F27" s="290" t="s">
        <v>397</v>
      </c>
      <c r="G27" s="289" t="s">
        <v>397</v>
      </c>
    </row>
    <row r="28" spans="1:7" ht="16.5" customHeight="1">
      <c r="A28" s="291" t="s">
        <v>408</v>
      </c>
      <c r="B28" s="408" t="s">
        <v>407</v>
      </c>
      <c r="C28" s="408" t="s">
        <v>397</v>
      </c>
      <c r="D28" s="408" t="s">
        <v>407</v>
      </c>
      <c r="E28" s="408" t="s">
        <v>397</v>
      </c>
      <c r="F28" s="290" t="s">
        <v>397</v>
      </c>
      <c r="G28" s="289" t="s">
        <v>397</v>
      </c>
    </row>
    <row r="29" spans="1:7" ht="29.25" customHeight="1">
      <c r="A29" s="291" t="s">
        <v>406</v>
      </c>
      <c r="B29" s="408" t="s">
        <v>405</v>
      </c>
      <c r="C29" s="408" t="s">
        <v>397</v>
      </c>
      <c r="D29" s="408" t="s">
        <v>404</v>
      </c>
      <c r="E29" s="408" t="s">
        <v>397</v>
      </c>
      <c r="F29" s="290" t="s">
        <v>397</v>
      </c>
      <c r="G29" s="289">
        <v>2696961.59</v>
      </c>
    </row>
    <row r="30" spans="1:7" ht="16.5" customHeight="1">
      <c r="A30" s="291" t="s">
        <v>397</v>
      </c>
      <c r="B30" s="408" t="s">
        <v>397</v>
      </c>
      <c r="C30" s="408" t="s">
        <v>397</v>
      </c>
      <c r="D30" s="409" t="s">
        <v>397</v>
      </c>
      <c r="E30" s="409" t="s">
        <v>397</v>
      </c>
      <c r="F30" s="290" t="s">
        <v>397</v>
      </c>
      <c r="G30" s="289" t="s">
        <v>397</v>
      </c>
    </row>
    <row r="31" spans="1:7" ht="16.5" customHeight="1">
      <c r="A31" s="291" t="s">
        <v>403</v>
      </c>
      <c r="B31" s="408" t="s">
        <v>402</v>
      </c>
      <c r="C31" s="408" t="s">
        <v>397</v>
      </c>
      <c r="D31" s="408" t="s">
        <v>401</v>
      </c>
      <c r="E31" s="408" t="s">
        <v>397</v>
      </c>
      <c r="F31" s="290" t="s">
        <v>397</v>
      </c>
      <c r="G31" s="289">
        <v>2696961.59</v>
      </c>
    </row>
    <row r="32" spans="1:7" ht="16.5" customHeight="1">
      <c r="A32" s="291" t="s">
        <v>397</v>
      </c>
      <c r="B32" s="408" t="s">
        <v>397</v>
      </c>
      <c r="C32" s="408" t="s">
        <v>397</v>
      </c>
      <c r="D32" s="408" t="s">
        <v>397</v>
      </c>
      <c r="E32" s="408" t="s">
        <v>397</v>
      </c>
      <c r="F32" s="290" t="s">
        <v>397</v>
      </c>
      <c r="G32" s="289" t="s">
        <v>397</v>
      </c>
    </row>
    <row r="33" spans="1:7" ht="16.5" customHeight="1">
      <c r="A33" s="291" t="s">
        <v>397</v>
      </c>
      <c r="B33" s="408" t="s">
        <v>397</v>
      </c>
      <c r="C33" s="408" t="s">
        <v>397</v>
      </c>
      <c r="D33" s="408" t="s">
        <v>397</v>
      </c>
      <c r="E33" s="408" t="s">
        <v>397</v>
      </c>
      <c r="F33" s="290" t="s">
        <v>397</v>
      </c>
      <c r="G33" s="289" t="s">
        <v>397</v>
      </c>
    </row>
    <row r="34" spans="1:7" ht="16.5" customHeight="1">
      <c r="A34" s="291" t="s">
        <v>397</v>
      </c>
      <c r="B34" s="408" t="s">
        <v>397</v>
      </c>
      <c r="C34" s="408" t="s">
        <v>397</v>
      </c>
      <c r="D34" s="408" t="s">
        <v>397</v>
      </c>
      <c r="E34" s="408" t="s">
        <v>397</v>
      </c>
      <c r="F34" s="290" t="s">
        <v>397</v>
      </c>
      <c r="G34" s="289" t="s">
        <v>397</v>
      </c>
    </row>
    <row r="35" spans="1:7" ht="16.5" customHeight="1">
      <c r="A35" s="291" t="s">
        <v>397</v>
      </c>
      <c r="B35" s="408" t="s">
        <v>397</v>
      </c>
      <c r="C35" s="408" t="s">
        <v>397</v>
      </c>
      <c r="D35" s="408" t="s">
        <v>397</v>
      </c>
      <c r="E35" s="408" t="s">
        <v>397</v>
      </c>
      <c r="F35" s="290" t="s">
        <v>397</v>
      </c>
      <c r="G35" s="289" t="s">
        <v>397</v>
      </c>
    </row>
    <row r="36" spans="1:7" ht="16.5" customHeight="1" thickBot="1">
      <c r="A36" s="288" t="s">
        <v>397</v>
      </c>
      <c r="B36" s="410" t="s">
        <v>397</v>
      </c>
      <c r="C36" s="410" t="s">
        <v>397</v>
      </c>
      <c r="D36" s="410" t="s">
        <v>397</v>
      </c>
      <c r="E36" s="410" t="s">
        <v>397</v>
      </c>
      <c r="F36" s="287" t="s">
        <v>397</v>
      </c>
      <c r="G36" s="286" t="s">
        <v>397</v>
      </c>
    </row>
    <row r="37" spans="1:7" ht="16.5" customHeight="1">
      <c r="A37" s="403" t="s">
        <v>400</v>
      </c>
      <c r="B37" s="403" t="s">
        <v>397</v>
      </c>
      <c r="C37" s="404" t="s">
        <v>399</v>
      </c>
      <c r="D37" s="404" t="s">
        <v>397</v>
      </c>
      <c r="E37" s="405" t="s">
        <v>398</v>
      </c>
      <c r="F37" s="405" t="s">
        <v>397</v>
      </c>
      <c r="G37" s="405" t="s">
        <v>397</v>
      </c>
    </row>
  </sheetData>
  <mergeCells count="75">
    <mergeCell ref="A37:B37"/>
    <mergeCell ref="C37:D37"/>
    <mergeCell ref="E37:G37"/>
    <mergeCell ref="B34:C34"/>
    <mergeCell ref="D34:E34"/>
    <mergeCell ref="B35:C35"/>
    <mergeCell ref="D35:E35"/>
    <mergeCell ref="B36:C36"/>
    <mergeCell ref="D36:E36"/>
    <mergeCell ref="B31:C31"/>
    <mergeCell ref="D31:E31"/>
    <mergeCell ref="B32:C32"/>
    <mergeCell ref="D32:E32"/>
    <mergeCell ref="B33:C33"/>
    <mergeCell ref="D33:E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10:C10"/>
    <mergeCell ref="D10:E10"/>
    <mergeCell ref="B11:C11"/>
    <mergeCell ref="D11:E11"/>
    <mergeCell ref="B12:C12"/>
    <mergeCell ref="D12:E12"/>
    <mergeCell ref="B7:C7"/>
    <mergeCell ref="D7:E7"/>
    <mergeCell ref="B8:C8"/>
    <mergeCell ref="D8:E8"/>
    <mergeCell ref="B9:C9"/>
    <mergeCell ref="D9:E9"/>
    <mergeCell ref="B4:C4"/>
    <mergeCell ref="D4:E4"/>
    <mergeCell ref="B5:C5"/>
    <mergeCell ref="D5:E5"/>
    <mergeCell ref="B6:C6"/>
    <mergeCell ref="D6:E6"/>
    <mergeCell ref="A1:B1"/>
    <mergeCell ref="C1:D1"/>
    <mergeCell ref="E1:G1"/>
    <mergeCell ref="A2:G2"/>
    <mergeCell ref="A3:D3"/>
    <mergeCell ref="E3:G3"/>
  </mergeCells>
  <phoneticPr fontId="34" type="noConversion"/>
  <pageMargins left="0.51181102362204722" right="0.51181102362204722" top="0.59055118110236227" bottom="0.59055118110236227" header="0.59055118110236227" footer="0.59055118110236227"/>
  <pageSetup paperSize="9" scale="97" orientation="portrait" r:id="rId1"/>
  <headerFooter alignWithMargins="0"/>
</worksheet>
</file>

<file path=xl/worksheets/sheet14.xml><?xml version="1.0" encoding="utf-8"?>
<worksheet xmlns="http://schemas.openxmlformats.org/spreadsheetml/2006/main" xmlns:r="http://schemas.openxmlformats.org/officeDocument/2006/relationships">
  <dimension ref="A1:O143"/>
  <sheetViews>
    <sheetView workbookViewId="0">
      <selection activeCell="A2" sqref="A2:U2"/>
    </sheetView>
  </sheetViews>
  <sheetFormatPr defaultColWidth="8" defaultRowHeight="11.25"/>
  <cols>
    <col min="1" max="1" width="5.25" style="285" customWidth="1"/>
    <col min="2" max="2" width="8.625" style="285" customWidth="1"/>
    <col min="3" max="3" width="19.5" style="285" customWidth="1"/>
    <col min="4" max="4" width="6.25" style="285" customWidth="1"/>
    <col min="5" max="5" width="3.125" style="285" customWidth="1"/>
    <col min="6" max="6" width="6.125" style="285" customWidth="1"/>
    <col min="7" max="7" width="8.375" style="285" customWidth="1"/>
    <col min="8" max="8" width="8.875" style="285" customWidth="1"/>
    <col min="9" max="9" width="9.875" style="285" customWidth="1"/>
    <col min="10" max="10" width="8.375" style="285" customWidth="1"/>
    <col min="11" max="11" width="0.875" style="285" customWidth="1"/>
    <col min="12" max="12" width="9" style="285" customWidth="1"/>
    <col min="13" max="13" width="9.625" style="285" customWidth="1"/>
    <col min="14" max="14" width="11" style="285" customWidth="1"/>
    <col min="15" max="15" width="11.125" style="285" customWidth="1"/>
    <col min="16" max="16384" width="8" style="285"/>
  </cols>
  <sheetData>
    <row r="1" spans="1:15" ht="14.25" customHeight="1">
      <c r="A1" s="405" t="s">
        <v>397</v>
      </c>
      <c r="B1" s="405" t="s">
        <v>397</v>
      </c>
      <c r="C1" s="405" t="s">
        <v>397</v>
      </c>
      <c r="D1" s="405" t="s">
        <v>397</v>
      </c>
      <c r="E1" s="405" t="s">
        <v>397</v>
      </c>
      <c r="F1" s="405" t="s">
        <v>397</v>
      </c>
      <c r="G1" s="405" t="s">
        <v>397</v>
      </c>
      <c r="H1" s="405" t="s">
        <v>397</v>
      </c>
      <c r="I1" s="405" t="s">
        <v>397</v>
      </c>
      <c r="J1" s="405" t="s">
        <v>397</v>
      </c>
      <c r="K1" s="405" t="s">
        <v>397</v>
      </c>
      <c r="L1" s="405" t="s">
        <v>397</v>
      </c>
      <c r="M1" s="405" t="s">
        <v>397</v>
      </c>
      <c r="N1" s="405" t="s">
        <v>397</v>
      </c>
      <c r="O1" s="405" t="s">
        <v>397</v>
      </c>
    </row>
    <row r="2" spans="1:15" ht="32.25" customHeight="1">
      <c r="A2" s="411" t="s">
        <v>509</v>
      </c>
      <c r="B2" s="411" t="s">
        <v>397</v>
      </c>
      <c r="C2" s="411" t="s">
        <v>397</v>
      </c>
      <c r="D2" s="411" t="s">
        <v>397</v>
      </c>
      <c r="E2" s="411" t="s">
        <v>397</v>
      </c>
      <c r="F2" s="411" t="s">
        <v>397</v>
      </c>
      <c r="G2" s="411" t="s">
        <v>397</v>
      </c>
      <c r="H2" s="411" t="s">
        <v>397</v>
      </c>
      <c r="I2" s="411" t="s">
        <v>397</v>
      </c>
      <c r="J2" s="411" t="s">
        <v>397</v>
      </c>
      <c r="K2" s="411" t="s">
        <v>397</v>
      </c>
      <c r="L2" s="411" t="s">
        <v>397</v>
      </c>
      <c r="M2" s="411" t="s">
        <v>397</v>
      </c>
      <c r="N2" s="411" t="s">
        <v>397</v>
      </c>
      <c r="O2" s="411" t="s">
        <v>397</v>
      </c>
    </row>
    <row r="3" spans="1:15" ht="23.25" customHeight="1" thickBot="1">
      <c r="A3" s="412" t="s">
        <v>660</v>
      </c>
      <c r="B3" s="412" t="s">
        <v>397</v>
      </c>
      <c r="C3" s="412" t="s">
        <v>397</v>
      </c>
      <c r="D3" s="412" t="s">
        <v>397</v>
      </c>
      <c r="E3" s="412" t="s">
        <v>397</v>
      </c>
      <c r="F3" s="412" t="s">
        <v>397</v>
      </c>
      <c r="G3" s="412" t="s">
        <v>397</v>
      </c>
      <c r="H3" s="412" t="s">
        <v>397</v>
      </c>
      <c r="I3" s="412" t="s">
        <v>397</v>
      </c>
      <c r="J3" s="412" t="s">
        <v>397</v>
      </c>
      <c r="K3" s="405" t="s">
        <v>796</v>
      </c>
      <c r="L3" s="405" t="s">
        <v>397</v>
      </c>
      <c r="M3" s="405" t="s">
        <v>397</v>
      </c>
      <c r="N3" s="405" t="s">
        <v>397</v>
      </c>
      <c r="O3" s="405" t="s">
        <v>397</v>
      </c>
    </row>
    <row r="4" spans="1:15" ht="19.5" customHeight="1">
      <c r="A4" s="413" t="s">
        <v>42</v>
      </c>
      <c r="B4" s="407" t="s">
        <v>507</v>
      </c>
      <c r="C4" s="407" t="s">
        <v>506</v>
      </c>
      <c r="D4" s="407" t="s">
        <v>505</v>
      </c>
      <c r="E4" s="407" t="s">
        <v>397</v>
      </c>
      <c r="F4" s="407" t="s">
        <v>397</v>
      </c>
      <c r="G4" s="407" t="s">
        <v>504</v>
      </c>
      <c r="H4" s="407" t="s">
        <v>397</v>
      </c>
      <c r="I4" s="407" t="s">
        <v>503</v>
      </c>
      <c r="J4" s="407" t="s">
        <v>397</v>
      </c>
      <c r="K4" s="407" t="s">
        <v>397</v>
      </c>
      <c r="L4" s="407" t="s">
        <v>397</v>
      </c>
      <c r="M4" s="407" t="s">
        <v>397</v>
      </c>
      <c r="N4" s="407" t="s">
        <v>397</v>
      </c>
      <c r="O4" s="416" t="s">
        <v>502</v>
      </c>
    </row>
    <row r="5" spans="1:15" ht="18" customHeight="1">
      <c r="A5" s="414" t="s">
        <v>397</v>
      </c>
      <c r="B5" s="415" t="s">
        <v>397</v>
      </c>
      <c r="C5" s="415" t="s">
        <v>397</v>
      </c>
      <c r="D5" s="298" t="s">
        <v>384</v>
      </c>
      <c r="E5" s="415" t="s">
        <v>383</v>
      </c>
      <c r="F5" s="415" t="s">
        <v>397</v>
      </c>
      <c r="G5" s="298" t="s">
        <v>382</v>
      </c>
      <c r="H5" s="298" t="s">
        <v>381</v>
      </c>
      <c r="I5" s="298" t="s">
        <v>501</v>
      </c>
      <c r="J5" s="415" t="s">
        <v>500</v>
      </c>
      <c r="K5" s="415" t="s">
        <v>397</v>
      </c>
      <c r="L5" s="298" t="s">
        <v>499</v>
      </c>
      <c r="M5" s="298" t="s">
        <v>498</v>
      </c>
      <c r="N5" s="298" t="s">
        <v>497</v>
      </c>
      <c r="O5" s="417" t="s">
        <v>397</v>
      </c>
    </row>
    <row r="6" spans="1:15" ht="16.5" customHeight="1">
      <c r="A6" s="291" t="s">
        <v>397</v>
      </c>
      <c r="B6" s="295" t="s">
        <v>795</v>
      </c>
      <c r="C6" s="297" t="s">
        <v>794</v>
      </c>
      <c r="D6" s="295" t="s">
        <v>397</v>
      </c>
      <c r="E6" s="418" t="s">
        <v>397</v>
      </c>
      <c r="F6" s="418" t="s">
        <v>397</v>
      </c>
      <c r="G6" s="290" t="s">
        <v>397</v>
      </c>
      <c r="H6" s="290">
        <v>37543.4</v>
      </c>
      <c r="I6" s="290">
        <v>25583.59</v>
      </c>
      <c r="J6" s="418">
        <v>8723.48</v>
      </c>
      <c r="K6" s="418" t="s">
        <v>397</v>
      </c>
      <c r="L6" s="290">
        <v>3236.33</v>
      </c>
      <c r="M6" s="290" t="s">
        <v>397</v>
      </c>
      <c r="N6" s="290" t="s">
        <v>397</v>
      </c>
      <c r="O6" s="289">
        <v>305.29199999999997</v>
      </c>
    </row>
    <row r="7" spans="1:15" ht="18" customHeight="1">
      <c r="A7" s="291">
        <v>1</v>
      </c>
      <c r="B7" s="295" t="s">
        <v>793</v>
      </c>
      <c r="C7" s="296" t="s">
        <v>792</v>
      </c>
      <c r="D7" s="295" t="s">
        <v>309</v>
      </c>
      <c r="E7" s="418">
        <v>6</v>
      </c>
      <c r="F7" s="418" t="s">
        <v>397</v>
      </c>
      <c r="G7" s="290">
        <v>655.83</v>
      </c>
      <c r="H7" s="290">
        <v>3934.98</v>
      </c>
      <c r="I7" s="290">
        <v>2519.1</v>
      </c>
      <c r="J7" s="418">
        <v>1096.02</v>
      </c>
      <c r="K7" s="418" t="s">
        <v>397</v>
      </c>
      <c r="L7" s="290">
        <v>319.86</v>
      </c>
      <c r="M7" s="290" t="s">
        <v>397</v>
      </c>
      <c r="N7" s="290" t="s">
        <v>397</v>
      </c>
      <c r="O7" s="289">
        <v>30.06</v>
      </c>
    </row>
    <row r="8" spans="1:15" ht="18" customHeight="1">
      <c r="A8" s="291">
        <v>2</v>
      </c>
      <c r="B8" s="295" t="s">
        <v>791</v>
      </c>
      <c r="C8" s="296" t="s">
        <v>774</v>
      </c>
      <c r="D8" s="295" t="s">
        <v>309</v>
      </c>
      <c r="E8" s="418">
        <v>2</v>
      </c>
      <c r="F8" s="418" t="s">
        <v>397</v>
      </c>
      <c r="G8" s="290">
        <v>1120.56</v>
      </c>
      <c r="H8" s="290">
        <v>2241.12</v>
      </c>
      <c r="I8" s="290">
        <v>1530.5</v>
      </c>
      <c r="J8" s="418">
        <v>511.26</v>
      </c>
      <c r="K8" s="418" t="s">
        <v>397</v>
      </c>
      <c r="L8" s="290">
        <v>199.36</v>
      </c>
      <c r="M8" s="290" t="s">
        <v>397</v>
      </c>
      <c r="N8" s="290" t="s">
        <v>397</v>
      </c>
      <c r="O8" s="289">
        <v>18.263999999999999</v>
      </c>
    </row>
    <row r="9" spans="1:15" ht="29.25" customHeight="1">
      <c r="A9" s="291">
        <v>3</v>
      </c>
      <c r="B9" s="295" t="s">
        <v>791</v>
      </c>
      <c r="C9" s="296" t="s">
        <v>790</v>
      </c>
      <c r="D9" s="295" t="s">
        <v>309</v>
      </c>
      <c r="E9" s="418">
        <v>1</v>
      </c>
      <c r="F9" s="418" t="s">
        <v>397</v>
      </c>
      <c r="G9" s="290">
        <v>1120.56</v>
      </c>
      <c r="H9" s="290">
        <v>1120.56</v>
      </c>
      <c r="I9" s="290">
        <v>765.25</v>
      </c>
      <c r="J9" s="418">
        <v>255.63</v>
      </c>
      <c r="K9" s="418" t="s">
        <v>397</v>
      </c>
      <c r="L9" s="290">
        <v>99.68</v>
      </c>
      <c r="M9" s="290" t="s">
        <v>397</v>
      </c>
      <c r="N9" s="290" t="s">
        <v>397</v>
      </c>
      <c r="O9" s="289">
        <v>9.1319999999999997</v>
      </c>
    </row>
    <row r="10" spans="1:15" ht="29.25" customHeight="1">
      <c r="A10" s="291">
        <v>4</v>
      </c>
      <c r="B10" s="295" t="s">
        <v>789</v>
      </c>
      <c r="C10" s="296" t="s">
        <v>788</v>
      </c>
      <c r="D10" s="295" t="s">
        <v>309</v>
      </c>
      <c r="E10" s="418">
        <v>1</v>
      </c>
      <c r="F10" s="418" t="s">
        <v>397</v>
      </c>
      <c r="G10" s="290">
        <v>1408.73</v>
      </c>
      <c r="H10" s="290">
        <v>1408.73</v>
      </c>
      <c r="I10" s="290">
        <v>975.13</v>
      </c>
      <c r="J10" s="418">
        <v>296.52</v>
      </c>
      <c r="K10" s="418" t="s">
        <v>397</v>
      </c>
      <c r="L10" s="290">
        <v>137.08000000000001</v>
      </c>
      <c r="M10" s="290" t="s">
        <v>397</v>
      </c>
      <c r="N10" s="290" t="s">
        <v>397</v>
      </c>
      <c r="O10" s="289">
        <v>11.635999999999999</v>
      </c>
    </row>
    <row r="11" spans="1:15" ht="29.25" customHeight="1">
      <c r="A11" s="291">
        <v>5</v>
      </c>
      <c r="B11" s="295" t="s">
        <v>787</v>
      </c>
      <c r="C11" s="296" t="s">
        <v>786</v>
      </c>
      <c r="D11" s="295" t="s">
        <v>309</v>
      </c>
      <c r="E11" s="418">
        <v>1</v>
      </c>
      <c r="F11" s="418" t="s">
        <v>397</v>
      </c>
      <c r="G11" s="290">
        <v>1810.33</v>
      </c>
      <c r="H11" s="290">
        <v>1810.33</v>
      </c>
      <c r="I11" s="290">
        <v>1262.71</v>
      </c>
      <c r="J11" s="418">
        <v>384.29</v>
      </c>
      <c r="K11" s="418" t="s">
        <v>397</v>
      </c>
      <c r="L11" s="290">
        <v>163.33000000000001</v>
      </c>
      <c r="M11" s="290" t="s">
        <v>397</v>
      </c>
      <c r="N11" s="290" t="s">
        <v>397</v>
      </c>
      <c r="O11" s="289">
        <v>15.068</v>
      </c>
    </row>
    <row r="12" spans="1:15" ht="29.25" customHeight="1">
      <c r="A12" s="291">
        <v>6</v>
      </c>
      <c r="B12" s="295" t="s">
        <v>785</v>
      </c>
      <c r="C12" s="296" t="s">
        <v>784</v>
      </c>
      <c r="D12" s="295" t="s">
        <v>309</v>
      </c>
      <c r="E12" s="418">
        <v>8</v>
      </c>
      <c r="F12" s="418" t="s">
        <v>397</v>
      </c>
      <c r="G12" s="290">
        <v>2558.14</v>
      </c>
      <c r="H12" s="290">
        <v>20465.12</v>
      </c>
      <c r="I12" s="290">
        <v>13863.84</v>
      </c>
      <c r="J12" s="418">
        <v>4857.28</v>
      </c>
      <c r="K12" s="418" t="s">
        <v>397</v>
      </c>
      <c r="L12" s="290">
        <v>1744</v>
      </c>
      <c r="M12" s="290" t="s">
        <v>397</v>
      </c>
      <c r="N12" s="290" t="s">
        <v>397</v>
      </c>
      <c r="O12" s="289">
        <v>165.44</v>
      </c>
    </row>
    <row r="13" spans="1:15" ht="29.25" customHeight="1">
      <c r="A13" s="291">
        <v>7</v>
      </c>
      <c r="B13" s="295" t="s">
        <v>783</v>
      </c>
      <c r="C13" s="296" t="s">
        <v>782</v>
      </c>
      <c r="D13" s="295" t="s">
        <v>309</v>
      </c>
      <c r="E13" s="418">
        <v>2</v>
      </c>
      <c r="F13" s="418" t="s">
        <v>397</v>
      </c>
      <c r="G13" s="290">
        <v>3281.28</v>
      </c>
      <c r="H13" s="290">
        <v>6562.56</v>
      </c>
      <c r="I13" s="290">
        <v>4667.0600000000004</v>
      </c>
      <c r="J13" s="418">
        <v>1322.48</v>
      </c>
      <c r="K13" s="418" t="s">
        <v>397</v>
      </c>
      <c r="L13" s="290">
        <v>573.02</v>
      </c>
      <c r="M13" s="290" t="s">
        <v>397</v>
      </c>
      <c r="N13" s="290" t="s">
        <v>397</v>
      </c>
      <c r="O13" s="289">
        <v>55.692</v>
      </c>
    </row>
    <row r="14" spans="1:15" ht="16.5" customHeight="1">
      <c r="A14" s="291" t="s">
        <v>397</v>
      </c>
      <c r="B14" s="295" t="s">
        <v>781</v>
      </c>
      <c r="C14" s="297" t="s">
        <v>780</v>
      </c>
      <c r="D14" s="295" t="s">
        <v>397</v>
      </c>
      <c r="E14" s="418" t="s">
        <v>397</v>
      </c>
      <c r="F14" s="418" t="s">
        <v>397</v>
      </c>
      <c r="G14" s="290" t="s">
        <v>397</v>
      </c>
      <c r="H14" s="290">
        <v>11221.34</v>
      </c>
      <c r="I14" s="290">
        <v>7724.72</v>
      </c>
      <c r="J14" s="418">
        <v>2617.1999999999998</v>
      </c>
      <c r="K14" s="418" t="s">
        <v>397</v>
      </c>
      <c r="L14" s="290">
        <v>879.42</v>
      </c>
      <c r="M14" s="290" t="s">
        <v>397</v>
      </c>
      <c r="N14" s="290" t="s">
        <v>397</v>
      </c>
      <c r="O14" s="289">
        <v>92.179000000000002</v>
      </c>
    </row>
    <row r="15" spans="1:15" ht="29.25" customHeight="1">
      <c r="A15" s="291">
        <v>1</v>
      </c>
      <c r="B15" s="295" t="s">
        <v>779</v>
      </c>
      <c r="C15" s="296" t="s">
        <v>778</v>
      </c>
      <c r="D15" s="295" t="s">
        <v>309</v>
      </c>
      <c r="E15" s="418">
        <v>1</v>
      </c>
      <c r="F15" s="418" t="s">
        <v>397</v>
      </c>
      <c r="G15" s="290">
        <v>455.8</v>
      </c>
      <c r="H15" s="290">
        <v>455.8</v>
      </c>
      <c r="I15" s="290">
        <v>262.06</v>
      </c>
      <c r="J15" s="418">
        <v>140.43</v>
      </c>
      <c r="K15" s="418" t="s">
        <v>397</v>
      </c>
      <c r="L15" s="290">
        <v>53.31</v>
      </c>
      <c r="M15" s="290" t="s">
        <v>397</v>
      </c>
      <c r="N15" s="290" t="s">
        <v>397</v>
      </c>
      <c r="O15" s="289">
        <v>3.1269999999999998</v>
      </c>
    </row>
    <row r="16" spans="1:15" ht="29.25" customHeight="1">
      <c r="A16" s="291">
        <v>2</v>
      </c>
      <c r="B16" s="295" t="s">
        <v>777</v>
      </c>
      <c r="C16" s="296" t="s">
        <v>776</v>
      </c>
      <c r="D16" s="295" t="s">
        <v>309</v>
      </c>
      <c r="E16" s="418">
        <v>1</v>
      </c>
      <c r="F16" s="418" t="s">
        <v>397</v>
      </c>
      <c r="G16" s="290">
        <v>615.1</v>
      </c>
      <c r="H16" s="290">
        <v>615.1</v>
      </c>
      <c r="I16" s="290">
        <v>414.34</v>
      </c>
      <c r="J16" s="418">
        <v>147.44999999999999</v>
      </c>
      <c r="K16" s="418" t="s">
        <v>397</v>
      </c>
      <c r="L16" s="290">
        <v>53.31</v>
      </c>
      <c r="M16" s="290" t="s">
        <v>397</v>
      </c>
      <c r="N16" s="290" t="s">
        <v>397</v>
      </c>
      <c r="O16" s="289">
        <v>4.944</v>
      </c>
    </row>
    <row r="17" spans="1:15" ht="18" customHeight="1">
      <c r="A17" s="291">
        <v>3</v>
      </c>
      <c r="B17" s="295" t="s">
        <v>775</v>
      </c>
      <c r="C17" s="296" t="s">
        <v>774</v>
      </c>
      <c r="D17" s="295" t="s">
        <v>309</v>
      </c>
      <c r="E17" s="418">
        <v>6</v>
      </c>
      <c r="F17" s="418" t="s">
        <v>397</v>
      </c>
      <c r="G17" s="290">
        <v>1691.74</v>
      </c>
      <c r="H17" s="290">
        <v>10150.44</v>
      </c>
      <c r="I17" s="290">
        <v>7048.32</v>
      </c>
      <c r="J17" s="418">
        <v>2329.3200000000002</v>
      </c>
      <c r="K17" s="418" t="s">
        <v>397</v>
      </c>
      <c r="L17" s="290">
        <v>772.8</v>
      </c>
      <c r="M17" s="290" t="s">
        <v>397</v>
      </c>
      <c r="N17" s="290" t="s">
        <v>397</v>
      </c>
      <c r="O17" s="289">
        <v>84.108000000000004</v>
      </c>
    </row>
    <row r="18" spans="1:15" ht="16.5" customHeight="1">
      <c r="A18" s="291" t="s">
        <v>397</v>
      </c>
      <c r="B18" s="295" t="s">
        <v>658</v>
      </c>
      <c r="C18" s="297" t="s">
        <v>657</v>
      </c>
      <c r="D18" s="295" t="s">
        <v>397</v>
      </c>
      <c r="E18" s="418" t="s">
        <v>397</v>
      </c>
      <c r="F18" s="418" t="s">
        <v>397</v>
      </c>
      <c r="G18" s="290" t="s">
        <v>397</v>
      </c>
      <c r="H18" s="290">
        <v>2422.4299999999998</v>
      </c>
      <c r="I18" s="290">
        <v>1611.98</v>
      </c>
      <c r="J18" s="418">
        <v>543.9</v>
      </c>
      <c r="K18" s="418" t="s">
        <v>397</v>
      </c>
      <c r="L18" s="290">
        <v>266.55</v>
      </c>
      <c r="M18" s="290" t="s">
        <v>397</v>
      </c>
      <c r="N18" s="290" t="s">
        <v>397</v>
      </c>
      <c r="O18" s="289">
        <v>19.236999999999998</v>
      </c>
    </row>
    <row r="19" spans="1:15" ht="18" customHeight="1">
      <c r="A19" s="291">
        <v>1</v>
      </c>
      <c r="B19" s="295" t="s">
        <v>656</v>
      </c>
      <c r="C19" s="296" t="s">
        <v>773</v>
      </c>
      <c r="D19" s="295" t="s">
        <v>309</v>
      </c>
      <c r="E19" s="418">
        <v>2</v>
      </c>
      <c r="F19" s="418" t="s">
        <v>397</v>
      </c>
      <c r="G19" s="290">
        <v>334.84</v>
      </c>
      <c r="H19" s="290">
        <v>669.68</v>
      </c>
      <c r="I19" s="290">
        <v>394.94</v>
      </c>
      <c r="J19" s="418">
        <v>168.12</v>
      </c>
      <c r="K19" s="418" t="s">
        <v>397</v>
      </c>
      <c r="L19" s="290">
        <v>106.62</v>
      </c>
      <c r="M19" s="290" t="s">
        <v>397</v>
      </c>
      <c r="N19" s="290" t="s">
        <v>397</v>
      </c>
      <c r="O19" s="289">
        <v>4.7140000000000004</v>
      </c>
    </row>
    <row r="20" spans="1:15" ht="18" customHeight="1">
      <c r="A20" s="291">
        <v>2</v>
      </c>
      <c r="B20" s="295" t="s">
        <v>772</v>
      </c>
      <c r="C20" s="296" t="s">
        <v>771</v>
      </c>
      <c r="D20" s="295" t="s">
        <v>309</v>
      </c>
      <c r="E20" s="418">
        <v>3</v>
      </c>
      <c r="F20" s="418" t="s">
        <v>397</v>
      </c>
      <c r="G20" s="290">
        <v>584.25</v>
      </c>
      <c r="H20" s="290">
        <v>1752.75</v>
      </c>
      <c r="I20" s="290">
        <v>1217.04</v>
      </c>
      <c r="J20" s="418">
        <v>375.78</v>
      </c>
      <c r="K20" s="418" t="s">
        <v>397</v>
      </c>
      <c r="L20" s="290">
        <v>159.93</v>
      </c>
      <c r="M20" s="290" t="s">
        <v>397</v>
      </c>
      <c r="N20" s="290" t="s">
        <v>397</v>
      </c>
      <c r="O20" s="289">
        <v>14.523</v>
      </c>
    </row>
    <row r="21" spans="1:15" ht="16.5" customHeight="1">
      <c r="A21" s="291" t="s">
        <v>397</v>
      </c>
      <c r="B21" s="295" t="s">
        <v>770</v>
      </c>
      <c r="C21" s="297" t="s">
        <v>769</v>
      </c>
      <c r="D21" s="295" t="s">
        <v>397</v>
      </c>
      <c r="E21" s="418" t="s">
        <v>397</v>
      </c>
      <c r="F21" s="418" t="s">
        <v>397</v>
      </c>
      <c r="G21" s="290" t="s">
        <v>397</v>
      </c>
      <c r="H21" s="290">
        <v>7579.41</v>
      </c>
      <c r="I21" s="290">
        <v>1160.3</v>
      </c>
      <c r="J21" s="418">
        <v>5380.4</v>
      </c>
      <c r="K21" s="418" t="s">
        <v>397</v>
      </c>
      <c r="L21" s="290">
        <v>1038.71</v>
      </c>
      <c r="M21" s="290" t="s">
        <v>397</v>
      </c>
      <c r="N21" s="290" t="s">
        <v>397</v>
      </c>
      <c r="O21" s="289">
        <v>12.84</v>
      </c>
    </row>
    <row r="22" spans="1:15" ht="24" customHeight="1" thickBot="1">
      <c r="A22" s="288">
        <v>1</v>
      </c>
      <c r="B22" s="299" t="s">
        <v>768</v>
      </c>
      <c r="C22" s="300" t="s">
        <v>767</v>
      </c>
      <c r="D22" s="299" t="s">
        <v>309</v>
      </c>
      <c r="E22" s="419">
        <v>1</v>
      </c>
      <c r="F22" s="419" t="s">
        <v>397</v>
      </c>
      <c r="G22" s="287">
        <v>6601.1</v>
      </c>
      <c r="H22" s="287">
        <v>6601.1</v>
      </c>
      <c r="I22" s="287">
        <v>778.06</v>
      </c>
      <c r="J22" s="419">
        <v>5259.2</v>
      </c>
      <c r="K22" s="419" t="s">
        <v>397</v>
      </c>
      <c r="L22" s="287">
        <v>563.84</v>
      </c>
      <c r="M22" s="287" t="s">
        <v>397</v>
      </c>
      <c r="N22" s="287" t="s">
        <v>397</v>
      </c>
      <c r="O22" s="286">
        <v>8.61</v>
      </c>
    </row>
    <row r="23" spans="1:15" ht="16.5" customHeight="1">
      <c r="A23" s="412" t="s">
        <v>400</v>
      </c>
      <c r="B23" s="412" t="s">
        <v>397</v>
      </c>
      <c r="C23" s="412" t="s">
        <v>397</v>
      </c>
      <c r="D23" s="412" t="s">
        <v>397</v>
      </c>
      <c r="E23" s="412" t="s">
        <v>397</v>
      </c>
      <c r="F23" s="404" t="s">
        <v>399</v>
      </c>
      <c r="G23" s="404" t="s">
        <v>397</v>
      </c>
      <c r="H23" s="404" t="s">
        <v>397</v>
      </c>
      <c r="I23" s="404" t="s">
        <v>397</v>
      </c>
      <c r="J23" s="404" t="s">
        <v>397</v>
      </c>
      <c r="K23" s="405" t="s">
        <v>398</v>
      </c>
      <c r="L23" s="405" t="s">
        <v>397</v>
      </c>
      <c r="M23" s="405" t="s">
        <v>397</v>
      </c>
      <c r="N23" s="405" t="s">
        <v>397</v>
      </c>
      <c r="O23" s="405" t="s">
        <v>397</v>
      </c>
    </row>
    <row r="24" spans="1:15" ht="14.25" customHeight="1">
      <c r="A24" s="405" t="s">
        <v>397</v>
      </c>
      <c r="B24" s="405" t="s">
        <v>397</v>
      </c>
      <c r="C24" s="405" t="s">
        <v>397</v>
      </c>
      <c r="D24" s="405" t="s">
        <v>397</v>
      </c>
      <c r="E24" s="405" t="s">
        <v>397</v>
      </c>
      <c r="F24" s="405" t="s">
        <v>397</v>
      </c>
      <c r="G24" s="405" t="s">
        <v>397</v>
      </c>
      <c r="H24" s="405" t="s">
        <v>397</v>
      </c>
      <c r="I24" s="405" t="s">
        <v>397</v>
      </c>
      <c r="J24" s="405" t="s">
        <v>397</v>
      </c>
      <c r="K24" s="405" t="s">
        <v>397</v>
      </c>
      <c r="L24" s="405" t="s">
        <v>397</v>
      </c>
      <c r="M24" s="405" t="s">
        <v>397</v>
      </c>
      <c r="N24" s="405" t="s">
        <v>397</v>
      </c>
      <c r="O24" s="405" t="s">
        <v>397</v>
      </c>
    </row>
    <row r="25" spans="1:15" ht="32.25" customHeight="1">
      <c r="A25" s="411" t="s">
        <v>509</v>
      </c>
      <c r="B25" s="411" t="s">
        <v>397</v>
      </c>
      <c r="C25" s="411" t="s">
        <v>397</v>
      </c>
      <c r="D25" s="411" t="s">
        <v>397</v>
      </c>
      <c r="E25" s="411" t="s">
        <v>397</v>
      </c>
      <c r="F25" s="411" t="s">
        <v>397</v>
      </c>
      <c r="G25" s="411" t="s">
        <v>397</v>
      </c>
      <c r="H25" s="411" t="s">
        <v>397</v>
      </c>
      <c r="I25" s="411" t="s">
        <v>397</v>
      </c>
      <c r="J25" s="411" t="s">
        <v>397</v>
      </c>
      <c r="K25" s="411" t="s">
        <v>397</v>
      </c>
      <c r="L25" s="411" t="s">
        <v>397</v>
      </c>
      <c r="M25" s="411" t="s">
        <v>397</v>
      </c>
      <c r="N25" s="411" t="s">
        <v>397</v>
      </c>
      <c r="O25" s="411" t="s">
        <v>397</v>
      </c>
    </row>
    <row r="26" spans="1:15" ht="23.25" customHeight="1" thickBot="1">
      <c r="A26" s="412" t="s">
        <v>660</v>
      </c>
      <c r="B26" s="412" t="s">
        <v>397</v>
      </c>
      <c r="C26" s="412" t="s">
        <v>397</v>
      </c>
      <c r="D26" s="412" t="s">
        <v>397</v>
      </c>
      <c r="E26" s="412" t="s">
        <v>397</v>
      </c>
      <c r="F26" s="412" t="s">
        <v>397</v>
      </c>
      <c r="G26" s="412" t="s">
        <v>397</v>
      </c>
      <c r="H26" s="412" t="s">
        <v>397</v>
      </c>
      <c r="I26" s="412" t="s">
        <v>397</v>
      </c>
      <c r="J26" s="412" t="s">
        <v>397</v>
      </c>
      <c r="K26" s="405" t="s">
        <v>766</v>
      </c>
      <c r="L26" s="405" t="s">
        <v>397</v>
      </c>
      <c r="M26" s="405" t="s">
        <v>397</v>
      </c>
      <c r="N26" s="405" t="s">
        <v>397</v>
      </c>
      <c r="O26" s="405" t="s">
        <v>397</v>
      </c>
    </row>
    <row r="27" spans="1:15" ht="19.5" customHeight="1">
      <c r="A27" s="413" t="s">
        <v>42</v>
      </c>
      <c r="B27" s="407" t="s">
        <v>507</v>
      </c>
      <c r="C27" s="407" t="s">
        <v>506</v>
      </c>
      <c r="D27" s="407" t="s">
        <v>505</v>
      </c>
      <c r="E27" s="407" t="s">
        <v>397</v>
      </c>
      <c r="F27" s="407" t="s">
        <v>397</v>
      </c>
      <c r="G27" s="407" t="s">
        <v>504</v>
      </c>
      <c r="H27" s="407" t="s">
        <v>397</v>
      </c>
      <c r="I27" s="407" t="s">
        <v>503</v>
      </c>
      <c r="J27" s="407" t="s">
        <v>397</v>
      </c>
      <c r="K27" s="407" t="s">
        <v>397</v>
      </c>
      <c r="L27" s="407" t="s">
        <v>397</v>
      </c>
      <c r="M27" s="407" t="s">
        <v>397</v>
      </c>
      <c r="N27" s="407" t="s">
        <v>397</v>
      </c>
      <c r="O27" s="416" t="s">
        <v>502</v>
      </c>
    </row>
    <row r="28" spans="1:15" ht="18" customHeight="1">
      <c r="A28" s="414" t="s">
        <v>397</v>
      </c>
      <c r="B28" s="415" t="s">
        <v>397</v>
      </c>
      <c r="C28" s="415" t="s">
        <v>397</v>
      </c>
      <c r="D28" s="298" t="s">
        <v>384</v>
      </c>
      <c r="E28" s="415" t="s">
        <v>383</v>
      </c>
      <c r="F28" s="415" t="s">
        <v>397</v>
      </c>
      <c r="G28" s="298" t="s">
        <v>382</v>
      </c>
      <c r="H28" s="298" t="s">
        <v>381</v>
      </c>
      <c r="I28" s="298" t="s">
        <v>501</v>
      </c>
      <c r="J28" s="415" t="s">
        <v>500</v>
      </c>
      <c r="K28" s="415" t="s">
        <v>397</v>
      </c>
      <c r="L28" s="298" t="s">
        <v>499</v>
      </c>
      <c r="M28" s="298" t="s">
        <v>498</v>
      </c>
      <c r="N28" s="298" t="s">
        <v>497</v>
      </c>
      <c r="O28" s="417" t="s">
        <v>397</v>
      </c>
    </row>
    <row r="29" spans="1:15" ht="18" customHeight="1">
      <c r="A29" s="291">
        <v>2</v>
      </c>
      <c r="B29" s="295" t="s">
        <v>765</v>
      </c>
      <c r="C29" s="296" t="s">
        <v>764</v>
      </c>
      <c r="D29" s="295" t="s">
        <v>309</v>
      </c>
      <c r="E29" s="418">
        <v>1</v>
      </c>
      <c r="F29" s="418" t="s">
        <v>397</v>
      </c>
      <c r="G29" s="290">
        <v>978.31</v>
      </c>
      <c r="H29" s="290">
        <v>978.31</v>
      </c>
      <c r="I29" s="290">
        <v>382.24</v>
      </c>
      <c r="J29" s="418">
        <v>121.2</v>
      </c>
      <c r="K29" s="418" t="s">
        <v>397</v>
      </c>
      <c r="L29" s="290">
        <v>474.87</v>
      </c>
      <c r="M29" s="290" t="s">
        <v>397</v>
      </c>
      <c r="N29" s="290" t="s">
        <v>397</v>
      </c>
      <c r="O29" s="289">
        <v>4.2300000000000004</v>
      </c>
    </row>
    <row r="30" spans="1:15" ht="16.5" customHeight="1">
      <c r="A30" s="291" t="s">
        <v>397</v>
      </c>
      <c r="B30" s="295" t="s">
        <v>763</v>
      </c>
      <c r="C30" s="297" t="s">
        <v>762</v>
      </c>
      <c r="D30" s="295" t="s">
        <v>397</v>
      </c>
      <c r="E30" s="418" t="s">
        <v>397</v>
      </c>
      <c r="F30" s="418" t="s">
        <v>397</v>
      </c>
      <c r="G30" s="290" t="s">
        <v>397</v>
      </c>
      <c r="H30" s="290">
        <v>2522.87</v>
      </c>
      <c r="I30" s="290">
        <v>1351.94</v>
      </c>
      <c r="J30" s="418">
        <v>544.99</v>
      </c>
      <c r="K30" s="418" t="s">
        <v>397</v>
      </c>
      <c r="L30" s="290">
        <v>625.94000000000005</v>
      </c>
      <c r="M30" s="290" t="s">
        <v>397</v>
      </c>
      <c r="N30" s="290" t="s">
        <v>397</v>
      </c>
      <c r="O30" s="289">
        <v>16.132999999999999</v>
      </c>
    </row>
    <row r="31" spans="1:15" ht="18" customHeight="1">
      <c r="A31" s="291">
        <v>1</v>
      </c>
      <c r="B31" s="295" t="s">
        <v>761</v>
      </c>
      <c r="C31" s="296" t="s">
        <v>760</v>
      </c>
      <c r="D31" s="295" t="s">
        <v>309</v>
      </c>
      <c r="E31" s="418">
        <v>1</v>
      </c>
      <c r="F31" s="418" t="s">
        <v>397</v>
      </c>
      <c r="G31" s="290">
        <v>2522.87</v>
      </c>
      <c r="H31" s="290">
        <v>2522.87</v>
      </c>
      <c r="I31" s="290">
        <v>1351.94</v>
      </c>
      <c r="J31" s="418">
        <v>544.99</v>
      </c>
      <c r="K31" s="418" t="s">
        <v>397</v>
      </c>
      <c r="L31" s="290">
        <v>625.94000000000005</v>
      </c>
      <c r="M31" s="290" t="s">
        <v>397</v>
      </c>
      <c r="N31" s="290" t="s">
        <v>397</v>
      </c>
      <c r="O31" s="289">
        <v>16.132999999999999</v>
      </c>
    </row>
    <row r="32" spans="1:15" ht="16.5" customHeight="1">
      <c r="A32" s="291" t="s">
        <v>397</v>
      </c>
      <c r="B32" s="295" t="s">
        <v>759</v>
      </c>
      <c r="C32" s="297" t="s">
        <v>758</v>
      </c>
      <c r="D32" s="295" t="s">
        <v>397</v>
      </c>
      <c r="E32" s="418" t="s">
        <v>397</v>
      </c>
      <c r="F32" s="418" t="s">
        <v>397</v>
      </c>
      <c r="G32" s="290" t="s">
        <v>397</v>
      </c>
      <c r="H32" s="290">
        <v>883.5</v>
      </c>
      <c r="I32" s="290">
        <v>756.5</v>
      </c>
      <c r="J32" s="418">
        <v>127</v>
      </c>
      <c r="K32" s="418" t="s">
        <v>397</v>
      </c>
      <c r="L32" s="290" t="s">
        <v>397</v>
      </c>
      <c r="M32" s="290">
        <v>12500</v>
      </c>
      <c r="N32" s="290" t="s">
        <v>397</v>
      </c>
      <c r="O32" s="289">
        <v>8.85</v>
      </c>
    </row>
    <row r="33" spans="1:15" ht="18" customHeight="1">
      <c r="A33" s="291">
        <v>1</v>
      </c>
      <c r="B33" s="295" t="s">
        <v>757</v>
      </c>
      <c r="C33" s="296" t="s">
        <v>756</v>
      </c>
      <c r="D33" s="295" t="s">
        <v>309</v>
      </c>
      <c r="E33" s="418">
        <v>25</v>
      </c>
      <c r="F33" s="418" t="s">
        <v>397</v>
      </c>
      <c r="G33" s="290">
        <v>35.340000000000003</v>
      </c>
      <c r="H33" s="290">
        <v>883.5</v>
      </c>
      <c r="I33" s="290">
        <v>756.5</v>
      </c>
      <c r="J33" s="418">
        <v>127</v>
      </c>
      <c r="K33" s="418" t="s">
        <v>397</v>
      </c>
      <c r="L33" s="290" t="s">
        <v>397</v>
      </c>
      <c r="M33" s="290">
        <v>12500</v>
      </c>
      <c r="N33" s="290" t="s">
        <v>397</v>
      </c>
      <c r="O33" s="289">
        <v>8.85</v>
      </c>
    </row>
    <row r="34" spans="1:15" ht="18" customHeight="1">
      <c r="A34" s="291" t="s">
        <v>397</v>
      </c>
      <c r="B34" s="295" t="s">
        <v>483</v>
      </c>
      <c r="C34" s="296" t="s">
        <v>755</v>
      </c>
      <c r="D34" s="295" t="s">
        <v>309</v>
      </c>
      <c r="E34" s="418">
        <v>25</v>
      </c>
      <c r="F34" s="418" t="s">
        <v>397</v>
      </c>
      <c r="G34" s="290">
        <v>500</v>
      </c>
      <c r="H34" s="290">
        <v>12500</v>
      </c>
      <c r="I34" s="290" t="s">
        <v>397</v>
      </c>
      <c r="J34" s="418" t="s">
        <v>397</v>
      </c>
      <c r="K34" s="418" t="s">
        <v>397</v>
      </c>
      <c r="L34" s="290" t="s">
        <v>397</v>
      </c>
      <c r="M34" s="290">
        <v>12500</v>
      </c>
      <c r="N34" s="290" t="s">
        <v>397</v>
      </c>
      <c r="O34" s="289" t="s">
        <v>397</v>
      </c>
    </row>
    <row r="35" spans="1:15" ht="16.5" customHeight="1">
      <c r="A35" s="291" t="s">
        <v>397</v>
      </c>
      <c r="B35" s="295" t="s">
        <v>754</v>
      </c>
      <c r="C35" s="297" t="s">
        <v>753</v>
      </c>
      <c r="D35" s="295" t="s">
        <v>397</v>
      </c>
      <c r="E35" s="418" t="s">
        <v>397</v>
      </c>
      <c r="F35" s="418" t="s">
        <v>397</v>
      </c>
      <c r="G35" s="290" t="s">
        <v>397</v>
      </c>
      <c r="H35" s="290">
        <v>90639.4</v>
      </c>
      <c r="I35" s="290">
        <v>10420.24</v>
      </c>
      <c r="J35" s="418">
        <v>80073.56</v>
      </c>
      <c r="K35" s="418" t="s">
        <v>397</v>
      </c>
      <c r="L35" s="290">
        <v>145.6</v>
      </c>
      <c r="M35" s="290" t="s">
        <v>397</v>
      </c>
      <c r="N35" s="290" t="s">
        <v>397</v>
      </c>
      <c r="O35" s="289">
        <v>121.532</v>
      </c>
    </row>
    <row r="36" spans="1:15" ht="18" customHeight="1">
      <c r="A36" s="291">
        <v>1</v>
      </c>
      <c r="B36" s="295" t="s">
        <v>752</v>
      </c>
      <c r="C36" s="296" t="s">
        <v>751</v>
      </c>
      <c r="D36" s="295" t="s">
        <v>309</v>
      </c>
      <c r="E36" s="418">
        <v>3</v>
      </c>
      <c r="F36" s="418" t="s">
        <v>397</v>
      </c>
      <c r="G36" s="290">
        <v>160.78</v>
      </c>
      <c r="H36" s="290">
        <v>482.34</v>
      </c>
      <c r="I36" s="290">
        <v>473.34</v>
      </c>
      <c r="J36" s="418">
        <v>9</v>
      </c>
      <c r="K36" s="418" t="s">
        <v>397</v>
      </c>
      <c r="L36" s="290" t="s">
        <v>397</v>
      </c>
      <c r="M36" s="290" t="s">
        <v>397</v>
      </c>
      <c r="N36" s="290" t="s">
        <v>397</v>
      </c>
      <c r="O36" s="289">
        <v>5.52</v>
      </c>
    </row>
    <row r="37" spans="1:15" ht="18" customHeight="1">
      <c r="A37" s="291">
        <v>2</v>
      </c>
      <c r="B37" s="295" t="s">
        <v>750</v>
      </c>
      <c r="C37" s="296" t="s">
        <v>749</v>
      </c>
      <c r="D37" s="295" t="s">
        <v>309</v>
      </c>
      <c r="E37" s="418">
        <v>1</v>
      </c>
      <c r="F37" s="418" t="s">
        <v>397</v>
      </c>
      <c r="G37" s="290">
        <v>1752.3</v>
      </c>
      <c r="H37" s="290">
        <v>1752.3</v>
      </c>
      <c r="I37" s="290">
        <v>1749.3</v>
      </c>
      <c r="J37" s="418">
        <v>3</v>
      </c>
      <c r="K37" s="418" t="s">
        <v>397</v>
      </c>
      <c r="L37" s="290" t="s">
        <v>397</v>
      </c>
      <c r="M37" s="290" t="s">
        <v>397</v>
      </c>
      <c r="N37" s="290" t="s">
        <v>397</v>
      </c>
      <c r="O37" s="289">
        <v>20.399999999999999</v>
      </c>
    </row>
    <row r="38" spans="1:15" ht="18" customHeight="1">
      <c r="A38" s="291">
        <v>3</v>
      </c>
      <c r="B38" s="295" t="s">
        <v>748</v>
      </c>
      <c r="C38" s="296" t="s">
        <v>747</v>
      </c>
      <c r="D38" s="295" t="s">
        <v>309</v>
      </c>
      <c r="E38" s="418">
        <v>4</v>
      </c>
      <c r="F38" s="418" t="s">
        <v>397</v>
      </c>
      <c r="G38" s="290">
        <v>22101.19</v>
      </c>
      <c r="H38" s="290">
        <v>88404.76</v>
      </c>
      <c r="I38" s="290">
        <v>8197.6</v>
      </c>
      <c r="J38" s="418">
        <v>80061.56</v>
      </c>
      <c r="K38" s="418" t="s">
        <v>397</v>
      </c>
      <c r="L38" s="290">
        <v>145.6</v>
      </c>
      <c r="M38" s="290" t="s">
        <v>397</v>
      </c>
      <c r="N38" s="290" t="s">
        <v>397</v>
      </c>
      <c r="O38" s="289">
        <v>95.611999999999995</v>
      </c>
    </row>
    <row r="39" spans="1:15" ht="16.5" customHeight="1">
      <c r="A39" s="291" t="s">
        <v>397</v>
      </c>
      <c r="B39" s="295" t="s">
        <v>746</v>
      </c>
      <c r="C39" s="297" t="s">
        <v>349</v>
      </c>
      <c r="D39" s="295" t="s">
        <v>397</v>
      </c>
      <c r="E39" s="418" t="s">
        <v>397</v>
      </c>
      <c r="F39" s="418" t="s">
        <v>397</v>
      </c>
      <c r="G39" s="290" t="s">
        <v>397</v>
      </c>
      <c r="H39" s="290">
        <v>52254.87</v>
      </c>
      <c r="I39" s="290">
        <v>27063</v>
      </c>
      <c r="J39" s="418">
        <v>23096.67</v>
      </c>
      <c r="K39" s="418" t="s">
        <v>397</v>
      </c>
      <c r="L39" s="290">
        <v>2095.1999999999998</v>
      </c>
      <c r="M39" s="290" t="s">
        <v>397</v>
      </c>
      <c r="N39" s="290" t="s">
        <v>397</v>
      </c>
      <c r="O39" s="289">
        <v>314.27999999999997</v>
      </c>
    </row>
    <row r="40" spans="1:15" ht="18" customHeight="1">
      <c r="A40" s="291">
        <v>1</v>
      </c>
      <c r="B40" s="295" t="s">
        <v>745</v>
      </c>
      <c r="C40" s="296" t="s">
        <v>744</v>
      </c>
      <c r="D40" s="295" t="s">
        <v>309</v>
      </c>
      <c r="E40" s="418">
        <v>291</v>
      </c>
      <c r="F40" s="418" t="s">
        <v>397</v>
      </c>
      <c r="G40" s="290">
        <v>179.57</v>
      </c>
      <c r="H40" s="290">
        <v>52254.87</v>
      </c>
      <c r="I40" s="290">
        <v>27063</v>
      </c>
      <c r="J40" s="418">
        <v>23096.67</v>
      </c>
      <c r="K40" s="418" t="s">
        <v>397</v>
      </c>
      <c r="L40" s="290">
        <v>2095.1999999999998</v>
      </c>
      <c r="M40" s="290" t="s">
        <v>397</v>
      </c>
      <c r="N40" s="290" t="s">
        <v>397</v>
      </c>
      <c r="O40" s="289">
        <v>314.27999999999997</v>
      </c>
    </row>
    <row r="41" spans="1:15" ht="16.5" customHeight="1">
      <c r="A41" s="291" t="s">
        <v>397</v>
      </c>
      <c r="B41" s="295" t="s">
        <v>743</v>
      </c>
      <c r="C41" s="297" t="s">
        <v>742</v>
      </c>
      <c r="D41" s="295" t="s">
        <v>397</v>
      </c>
      <c r="E41" s="418" t="s">
        <v>397</v>
      </c>
      <c r="F41" s="418" t="s">
        <v>397</v>
      </c>
      <c r="G41" s="290" t="s">
        <v>397</v>
      </c>
      <c r="H41" s="290">
        <v>191764.8</v>
      </c>
      <c r="I41" s="290">
        <v>162646.39999999999</v>
      </c>
      <c r="J41" s="418">
        <v>20915.2</v>
      </c>
      <c r="K41" s="418" t="s">
        <v>397</v>
      </c>
      <c r="L41" s="290">
        <v>8203.2000000000007</v>
      </c>
      <c r="M41" s="290">
        <v>100144</v>
      </c>
      <c r="N41" s="290" t="s">
        <v>397</v>
      </c>
      <c r="O41" s="289">
        <v>1869.44</v>
      </c>
    </row>
    <row r="42" spans="1:15" ht="18" customHeight="1">
      <c r="A42" s="291">
        <v>1</v>
      </c>
      <c r="B42" s="295" t="s">
        <v>741</v>
      </c>
      <c r="C42" s="296" t="s">
        <v>740</v>
      </c>
      <c r="D42" s="295" t="s">
        <v>739</v>
      </c>
      <c r="E42" s="418">
        <v>160</v>
      </c>
      <c r="F42" s="418" t="s">
        <v>397</v>
      </c>
      <c r="G42" s="290">
        <v>1198.53</v>
      </c>
      <c r="H42" s="290">
        <v>191764.8</v>
      </c>
      <c r="I42" s="290">
        <v>162646.39999999999</v>
      </c>
      <c r="J42" s="418">
        <v>20915.2</v>
      </c>
      <c r="K42" s="418" t="s">
        <v>397</v>
      </c>
      <c r="L42" s="290">
        <v>8203.2000000000007</v>
      </c>
      <c r="M42" s="290">
        <v>100144</v>
      </c>
      <c r="N42" s="290" t="s">
        <v>397</v>
      </c>
      <c r="O42" s="289">
        <v>1869.44</v>
      </c>
    </row>
    <row r="43" spans="1:15" ht="18" customHeight="1">
      <c r="A43" s="291" t="s">
        <v>397</v>
      </c>
      <c r="B43" s="295" t="s">
        <v>483</v>
      </c>
      <c r="C43" s="296" t="s">
        <v>738</v>
      </c>
      <c r="D43" s="295" t="s">
        <v>737</v>
      </c>
      <c r="E43" s="418">
        <v>1820.8</v>
      </c>
      <c r="F43" s="418" t="s">
        <v>397</v>
      </c>
      <c r="G43" s="290">
        <v>55</v>
      </c>
      <c r="H43" s="290">
        <v>100144</v>
      </c>
      <c r="I43" s="290" t="s">
        <v>397</v>
      </c>
      <c r="J43" s="418" t="s">
        <v>397</v>
      </c>
      <c r="K43" s="418" t="s">
        <v>397</v>
      </c>
      <c r="L43" s="290" t="s">
        <v>397</v>
      </c>
      <c r="M43" s="290">
        <v>100144</v>
      </c>
      <c r="N43" s="290" t="s">
        <v>397</v>
      </c>
      <c r="O43" s="289" t="s">
        <v>397</v>
      </c>
    </row>
    <row r="44" spans="1:15" ht="16.5" customHeight="1">
      <c r="A44" s="291" t="s">
        <v>397</v>
      </c>
      <c r="B44" s="295" t="s">
        <v>736</v>
      </c>
      <c r="C44" s="297" t="s">
        <v>735</v>
      </c>
      <c r="D44" s="295" t="s">
        <v>397</v>
      </c>
      <c r="E44" s="418" t="s">
        <v>397</v>
      </c>
      <c r="F44" s="418" t="s">
        <v>397</v>
      </c>
      <c r="G44" s="290" t="s">
        <v>397</v>
      </c>
      <c r="H44" s="290">
        <v>10274.15</v>
      </c>
      <c r="I44" s="290">
        <v>9133.56</v>
      </c>
      <c r="J44" s="418">
        <v>1140.5899999999999</v>
      </c>
      <c r="K44" s="418" t="s">
        <v>397</v>
      </c>
      <c r="L44" s="290" t="s">
        <v>397</v>
      </c>
      <c r="M44" s="290">
        <v>135609</v>
      </c>
      <c r="N44" s="290" t="s">
        <v>397</v>
      </c>
      <c r="O44" s="289">
        <v>106.22</v>
      </c>
    </row>
    <row r="45" spans="1:15" ht="18" customHeight="1">
      <c r="A45" s="291">
        <v>1</v>
      </c>
      <c r="B45" s="295" t="s">
        <v>734</v>
      </c>
      <c r="C45" s="296" t="s">
        <v>733</v>
      </c>
      <c r="D45" s="295" t="s">
        <v>474</v>
      </c>
      <c r="E45" s="418">
        <v>400</v>
      </c>
      <c r="F45" s="418" t="s">
        <v>397</v>
      </c>
      <c r="G45" s="290">
        <v>24.12</v>
      </c>
      <c r="H45" s="290">
        <v>9648</v>
      </c>
      <c r="I45" s="290">
        <v>8600</v>
      </c>
      <c r="J45" s="418">
        <v>1048</v>
      </c>
      <c r="K45" s="418" t="s">
        <v>397</v>
      </c>
      <c r="L45" s="290" t="s">
        <v>397</v>
      </c>
      <c r="M45" s="290">
        <v>128000</v>
      </c>
      <c r="N45" s="290" t="s">
        <v>397</v>
      </c>
      <c r="O45" s="289">
        <v>100</v>
      </c>
    </row>
    <row r="46" spans="1:15" ht="18" customHeight="1">
      <c r="A46" s="291" t="s">
        <v>397</v>
      </c>
      <c r="B46" s="295" t="s">
        <v>483</v>
      </c>
      <c r="C46" s="296" t="s">
        <v>733</v>
      </c>
      <c r="D46" s="295" t="s">
        <v>474</v>
      </c>
      <c r="E46" s="418">
        <v>400</v>
      </c>
      <c r="F46" s="418" t="s">
        <v>397</v>
      </c>
      <c r="G46" s="290">
        <v>320</v>
      </c>
      <c r="H46" s="290">
        <v>128000</v>
      </c>
      <c r="I46" s="290" t="s">
        <v>397</v>
      </c>
      <c r="J46" s="418" t="s">
        <v>397</v>
      </c>
      <c r="K46" s="418" t="s">
        <v>397</v>
      </c>
      <c r="L46" s="290" t="s">
        <v>397</v>
      </c>
      <c r="M46" s="290">
        <v>128000</v>
      </c>
      <c r="N46" s="290" t="s">
        <v>397</v>
      </c>
      <c r="O46" s="289" t="s">
        <v>397</v>
      </c>
    </row>
    <row r="47" spans="1:15" ht="29.25" customHeight="1">
      <c r="A47" s="291">
        <v>2</v>
      </c>
      <c r="B47" s="295" t="s">
        <v>729</v>
      </c>
      <c r="C47" s="296" t="s">
        <v>728</v>
      </c>
      <c r="D47" s="295" t="s">
        <v>474</v>
      </c>
      <c r="E47" s="418">
        <v>1</v>
      </c>
      <c r="F47" s="418" t="s">
        <v>397</v>
      </c>
      <c r="G47" s="290">
        <v>24.1</v>
      </c>
      <c r="H47" s="290">
        <v>24.1</v>
      </c>
      <c r="I47" s="290">
        <v>15.24</v>
      </c>
      <c r="J47" s="418">
        <v>8.86</v>
      </c>
      <c r="K47" s="418" t="s">
        <v>397</v>
      </c>
      <c r="L47" s="290" t="s">
        <v>397</v>
      </c>
      <c r="M47" s="290">
        <v>633</v>
      </c>
      <c r="N47" s="290" t="s">
        <v>397</v>
      </c>
      <c r="O47" s="289">
        <v>0.18</v>
      </c>
    </row>
    <row r="48" spans="1:15" ht="18" customHeight="1">
      <c r="A48" s="291" t="s">
        <v>397</v>
      </c>
      <c r="B48" s="295" t="s">
        <v>483</v>
      </c>
      <c r="C48" s="296" t="s">
        <v>724</v>
      </c>
      <c r="D48" s="295" t="s">
        <v>474</v>
      </c>
      <c r="E48" s="418">
        <v>1</v>
      </c>
      <c r="F48" s="418" t="s">
        <v>397</v>
      </c>
      <c r="G48" s="290">
        <v>633</v>
      </c>
      <c r="H48" s="290">
        <v>633</v>
      </c>
      <c r="I48" s="290" t="s">
        <v>397</v>
      </c>
      <c r="J48" s="418" t="s">
        <v>397</v>
      </c>
      <c r="K48" s="418" t="s">
        <v>397</v>
      </c>
      <c r="L48" s="290" t="s">
        <v>397</v>
      </c>
      <c r="M48" s="290">
        <v>633</v>
      </c>
      <c r="N48" s="290" t="s">
        <v>397</v>
      </c>
      <c r="O48" s="289" t="s">
        <v>397</v>
      </c>
    </row>
    <row r="49" spans="1:15" ht="22.5" customHeight="1" thickBot="1">
      <c r="A49" s="288">
        <v>3</v>
      </c>
      <c r="B49" s="299" t="s">
        <v>729</v>
      </c>
      <c r="C49" s="300" t="s">
        <v>732</v>
      </c>
      <c r="D49" s="299" t="s">
        <v>474</v>
      </c>
      <c r="E49" s="419">
        <v>1</v>
      </c>
      <c r="F49" s="419" t="s">
        <v>397</v>
      </c>
      <c r="G49" s="287">
        <v>24.1</v>
      </c>
      <c r="H49" s="287">
        <v>24.1</v>
      </c>
      <c r="I49" s="287">
        <v>15.24</v>
      </c>
      <c r="J49" s="419">
        <v>8.86</v>
      </c>
      <c r="K49" s="419" t="s">
        <v>397</v>
      </c>
      <c r="L49" s="287" t="s">
        <v>397</v>
      </c>
      <c r="M49" s="287">
        <v>600</v>
      </c>
      <c r="N49" s="287" t="s">
        <v>397</v>
      </c>
      <c r="O49" s="286">
        <v>0.18</v>
      </c>
    </row>
    <row r="50" spans="1:15" ht="16.5" customHeight="1">
      <c r="A50" s="412" t="s">
        <v>400</v>
      </c>
      <c r="B50" s="412" t="s">
        <v>397</v>
      </c>
      <c r="C50" s="412" t="s">
        <v>397</v>
      </c>
      <c r="D50" s="412" t="s">
        <v>397</v>
      </c>
      <c r="E50" s="412" t="s">
        <v>397</v>
      </c>
      <c r="F50" s="404" t="s">
        <v>399</v>
      </c>
      <c r="G50" s="404" t="s">
        <v>397</v>
      </c>
      <c r="H50" s="404" t="s">
        <v>397</v>
      </c>
      <c r="I50" s="404" t="s">
        <v>397</v>
      </c>
      <c r="J50" s="404" t="s">
        <v>397</v>
      </c>
      <c r="K50" s="405" t="s">
        <v>398</v>
      </c>
      <c r="L50" s="405" t="s">
        <v>397</v>
      </c>
      <c r="M50" s="405" t="s">
        <v>397</v>
      </c>
      <c r="N50" s="405" t="s">
        <v>397</v>
      </c>
      <c r="O50" s="405" t="s">
        <v>397</v>
      </c>
    </row>
    <row r="51" spans="1:15" ht="14.25" customHeight="1">
      <c r="A51" s="405" t="s">
        <v>397</v>
      </c>
      <c r="B51" s="405" t="s">
        <v>397</v>
      </c>
      <c r="C51" s="405" t="s">
        <v>397</v>
      </c>
      <c r="D51" s="405" t="s">
        <v>397</v>
      </c>
      <c r="E51" s="405" t="s">
        <v>397</v>
      </c>
      <c r="F51" s="405" t="s">
        <v>397</v>
      </c>
      <c r="G51" s="405" t="s">
        <v>397</v>
      </c>
      <c r="H51" s="405" t="s">
        <v>397</v>
      </c>
      <c r="I51" s="405" t="s">
        <v>397</v>
      </c>
      <c r="J51" s="405" t="s">
        <v>397</v>
      </c>
      <c r="K51" s="405" t="s">
        <v>397</v>
      </c>
      <c r="L51" s="405" t="s">
        <v>397</v>
      </c>
      <c r="M51" s="405" t="s">
        <v>397</v>
      </c>
      <c r="N51" s="405" t="s">
        <v>397</v>
      </c>
      <c r="O51" s="405" t="s">
        <v>397</v>
      </c>
    </row>
    <row r="52" spans="1:15" ht="32.25" customHeight="1">
      <c r="A52" s="411" t="s">
        <v>509</v>
      </c>
      <c r="B52" s="411" t="s">
        <v>397</v>
      </c>
      <c r="C52" s="411" t="s">
        <v>397</v>
      </c>
      <c r="D52" s="411" t="s">
        <v>397</v>
      </c>
      <c r="E52" s="411" t="s">
        <v>397</v>
      </c>
      <c r="F52" s="411" t="s">
        <v>397</v>
      </c>
      <c r="G52" s="411" t="s">
        <v>397</v>
      </c>
      <c r="H52" s="411" t="s">
        <v>397</v>
      </c>
      <c r="I52" s="411" t="s">
        <v>397</v>
      </c>
      <c r="J52" s="411" t="s">
        <v>397</v>
      </c>
      <c r="K52" s="411" t="s">
        <v>397</v>
      </c>
      <c r="L52" s="411" t="s">
        <v>397</v>
      </c>
      <c r="M52" s="411" t="s">
        <v>397</v>
      </c>
      <c r="N52" s="411" t="s">
        <v>397</v>
      </c>
      <c r="O52" s="411" t="s">
        <v>397</v>
      </c>
    </row>
    <row r="53" spans="1:15" ht="23.25" customHeight="1" thickBot="1">
      <c r="A53" s="412" t="s">
        <v>660</v>
      </c>
      <c r="B53" s="412" t="s">
        <v>397</v>
      </c>
      <c r="C53" s="412" t="s">
        <v>397</v>
      </c>
      <c r="D53" s="412" t="s">
        <v>397</v>
      </c>
      <c r="E53" s="412" t="s">
        <v>397</v>
      </c>
      <c r="F53" s="412" t="s">
        <v>397</v>
      </c>
      <c r="G53" s="412" t="s">
        <v>397</v>
      </c>
      <c r="H53" s="412" t="s">
        <v>397</v>
      </c>
      <c r="I53" s="412" t="s">
        <v>397</v>
      </c>
      <c r="J53" s="412" t="s">
        <v>397</v>
      </c>
      <c r="K53" s="405" t="s">
        <v>731</v>
      </c>
      <c r="L53" s="405" t="s">
        <v>397</v>
      </c>
      <c r="M53" s="405" t="s">
        <v>397</v>
      </c>
      <c r="N53" s="405" t="s">
        <v>397</v>
      </c>
      <c r="O53" s="405" t="s">
        <v>397</v>
      </c>
    </row>
    <row r="54" spans="1:15" ht="19.5" customHeight="1">
      <c r="A54" s="413" t="s">
        <v>42</v>
      </c>
      <c r="B54" s="407" t="s">
        <v>507</v>
      </c>
      <c r="C54" s="407" t="s">
        <v>506</v>
      </c>
      <c r="D54" s="407" t="s">
        <v>505</v>
      </c>
      <c r="E54" s="407" t="s">
        <v>397</v>
      </c>
      <c r="F54" s="407" t="s">
        <v>397</v>
      </c>
      <c r="G54" s="407" t="s">
        <v>504</v>
      </c>
      <c r="H54" s="407" t="s">
        <v>397</v>
      </c>
      <c r="I54" s="407" t="s">
        <v>503</v>
      </c>
      <c r="J54" s="407" t="s">
        <v>397</v>
      </c>
      <c r="K54" s="407" t="s">
        <v>397</v>
      </c>
      <c r="L54" s="407" t="s">
        <v>397</v>
      </c>
      <c r="M54" s="407" t="s">
        <v>397</v>
      </c>
      <c r="N54" s="407" t="s">
        <v>397</v>
      </c>
      <c r="O54" s="416" t="s">
        <v>502</v>
      </c>
    </row>
    <row r="55" spans="1:15" ht="18" customHeight="1">
      <c r="A55" s="414" t="s">
        <v>397</v>
      </c>
      <c r="B55" s="415" t="s">
        <v>397</v>
      </c>
      <c r="C55" s="415" t="s">
        <v>397</v>
      </c>
      <c r="D55" s="298" t="s">
        <v>384</v>
      </c>
      <c r="E55" s="415" t="s">
        <v>383</v>
      </c>
      <c r="F55" s="415" t="s">
        <v>397</v>
      </c>
      <c r="G55" s="298" t="s">
        <v>382</v>
      </c>
      <c r="H55" s="298" t="s">
        <v>381</v>
      </c>
      <c r="I55" s="298" t="s">
        <v>501</v>
      </c>
      <c r="J55" s="415" t="s">
        <v>500</v>
      </c>
      <c r="K55" s="415" t="s">
        <v>397</v>
      </c>
      <c r="L55" s="298" t="s">
        <v>499</v>
      </c>
      <c r="M55" s="298" t="s">
        <v>498</v>
      </c>
      <c r="N55" s="298" t="s">
        <v>497</v>
      </c>
      <c r="O55" s="417" t="s">
        <v>397</v>
      </c>
    </row>
    <row r="56" spans="1:15" ht="19.5" customHeight="1">
      <c r="A56" s="291" t="s">
        <v>397</v>
      </c>
      <c r="B56" s="295" t="s">
        <v>397</v>
      </c>
      <c r="C56" s="296" t="s">
        <v>730</v>
      </c>
      <c r="D56" s="295" t="s">
        <v>397</v>
      </c>
      <c r="E56" s="418" t="s">
        <v>397</v>
      </c>
      <c r="F56" s="418" t="s">
        <v>397</v>
      </c>
      <c r="G56" s="290" t="s">
        <v>397</v>
      </c>
      <c r="H56" s="290" t="s">
        <v>397</v>
      </c>
      <c r="I56" s="290" t="s">
        <v>397</v>
      </c>
      <c r="J56" s="418" t="s">
        <v>397</v>
      </c>
      <c r="K56" s="418" t="s">
        <v>397</v>
      </c>
      <c r="L56" s="290" t="s">
        <v>397</v>
      </c>
      <c r="M56" s="290" t="s">
        <v>397</v>
      </c>
      <c r="N56" s="290" t="s">
        <v>397</v>
      </c>
      <c r="O56" s="289" t="s">
        <v>397</v>
      </c>
    </row>
    <row r="57" spans="1:15" ht="18" customHeight="1">
      <c r="A57" s="291" t="s">
        <v>397</v>
      </c>
      <c r="B57" s="295" t="s">
        <v>483</v>
      </c>
      <c r="C57" s="296" t="s">
        <v>724</v>
      </c>
      <c r="D57" s="295" t="s">
        <v>474</v>
      </c>
      <c r="E57" s="418">
        <v>1</v>
      </c>
      <c r="F57" s="418" t="s">
        <v>397</v>
      </c>
      <c r="G57" s="290">
        <v>600</v>
      </c>
      <c r="H57" s="290">
        <v>600</v>
      </c>
      <c r="I57" s="290" t="s">
        <v>397</v>
      </c>
      <c r="J57" s="418" t="s">
        <v>397</v>
      </c>
      <c r="K57" s="418" t="s">
        <v>397</v>
      </c>
      <c r="L57" s="290" t="s">
        <v>397</v>
      </c>
      <c r="M57" s="290">
        <v>600</v>
      </c>
      <c r="N57" s="290" t="s">
        <v>397</v>
      </c>
      <c r="O57" s="289" t="s">
        <v>397</v>
      </c>
    </row>
    <row r="58" spans="1:15" ht="29.25" customHeight="1">
      <c r="A58" s="291">
        <v>4</v>
      </c>
      <c r="B58" s="295" t="s">
        <v>729</v>
      </c>
      <c r="C58" s="296" t="s">
        <v>728</v>
      </c>
      <c r="D58" s="295" t="s">
        <v>474</v>
      </c>
      <c r="E58" s="418">
        <v>1</v>
      </c>
      <c r="F58" s="418" t="s">
        <v>397</v>
      </c>
      <c r="G58" s="290">
        <v>24.1</v>
      </c>
      <c r="H58" s="290">
        <v>24.1</v>
      </c>
      <c r="I58" s="290">
        <v>15.24</v>
      </c>
      <c r="J58" s="418">
        <v>8.86</v>
      </c>
      <c r="K58" s="418" t="s">
        <v>397</v>
      </c>
      <c r="L58" s="290" t="s">
        <v>397</v>
      </c>
      <c r="M58" s="290">
        <v>792</v>
      </c>
      <c r="N58" s="290" t="s">
        <v>397</v>
      </c>
      <c r="O58" s="289">
        <v>0.18</v>
      </c>
    </row>
    <row r="59" spans="1:15" ht="18" customHeight="1">
      <c r="A59" s="291" t="s">
        <v>397</v>
      </c>
      <c r="B59" s="295" t="s">
        <v>483</v>
      </c>
      <c r="C59" s="296" t="s">
        <v>724</v>
      </c>
      <c r="D59" s="295" t="s">
        <v>474</v>
      </c>
      <c r="E59" s="418">
        <v>1</v>
      </c>
      <c r="F59" s="418" t="s">
        <v>397</v>
      </c>
      <c r="G59" s="290">
        <v>792</v>
      </c>
      <c r="H59" s="290">
        <v>792</v>
      </c>
      <c r="I59" s="290" t="s">
        <v>397</v>
      </c>
      <c r="J59" s="418" t="s">
        <v>397</v>
      </c>
      <c r="K59" s="418" t="s">
        <v>397</v>
      </c>
      <c r="L59" s="290" t="s">
        <v>397</v>
      </c>
      <c r="M59" s="290">
        <v>792</v>
      </c>
      <c r="N59" s="290" t="s">
        <v>397</v>
      </c>
      <c r="O59" s="289" t="s">
        <v>397</v>
      </c>
    </row>
    <row r="60" spans="1:15" ht="29.25" customHeight="1">
      <c r="A60" s="291">
        <v>5</v>
      </c>
      <c r="B60" s="295" t="s">
        <v>729</v>
      </c>
      <c r="C60" s="296" t="s">
        <v>728</v>
      </c>
      <c r="D60" s="295" t="s">
        <v>474</v>
      </c>
      <c r="E60" s="418">
        <v>1</v>
      </c>
      <c r="F60" s="418" t="s">
        <v>397</v>
      </c>
      <c r="G60" s="290">
        <v>24.1</v>
      </c>
      <c r="H60" s="290">
        <v>24.1</v>
      </c>
      <c r="I60" s="290">
        <v>15.24</v>
      </c>
      <c r="J60" s="418">
        <v>8.86</v>
      </c>
      <c r="K60" s="418" t="s">
        <v>397</v>
      </c>
      <c r="L60" s="290" t="s">
        <v>397</v>
      </c>
      <c r="M60" s="290">
        <v>650</v>
      </c>
      <c r="N60" s="290" t="s">
        <v>397</v>
      </c>
      <c r="O60" s="289">
        <v>0.18</v>
      </c>
    </row>
    <row r="61" spans="1:15" ht="18" customHeight="1">
      <c r="A61" s="291" t="s">
        <v>397</v>
      </c>
      <c r="B61" s="295" t="s">
        <v>483</v>
      </c>
      <c r="C61" s="296" t="s">
        <v>727</v>
      </c>
      <c r="D61" s="295" t="s">
        <v>474</v>
      </c>
      <c r="E61" s="418">
        <v>1</v>
      </c>
      <c r="F61" s="418" t="s">
        <v>397</v>
      </c>
      <c r="G61" s="290">
        <v>650</v>
      </c>
      <c r="H61" s="290">
        <v>650</v>
      </c>
      <c r="I61" s="290" t="s">
        <v>397</v>
      </c>
      <c r="J61" s="418" t="s">
        <v>397</v>
      </c>
      <c r="K61" s="418" t="s">
        <v>397</v>
      </c>
      <c r="L61" s="290" t="s">
        <v>397</v>
      </c>
      <c r="M61" s="290">
        <v>650</v>
      </c>
      <c r="N61" s="290" t="s">
        <v>397</v>
      </c>
      <c r="O61" s="289" t="s">
        <v>397</v>
      </c>
    </row>
    <row r="62" spans="1:15" ht="29.25" customHeight="1">
      <c r="A62" s="291">
        <v>6</v>
      </c>
      <c r="B62" s="295" t="s">
        <v>726</v>
      </c>
      <c r="C62" s="296" t="s">
        <v>725</v>
      </c>
      <c r="D62" s="295" t="s">
        <v>474</v>
      </c>
      <c r="E62" s="418">
        <v>2</v>
      </c>
      <c r="F62" s="418" t="s">
        <v>397</v>
      </c>
      <c r="G62" s="290">
        <v>105.95</v>
      </c>
      <c r="H62" s="290">
        <v>211.9</v>
      </c>
      <c r="I62" s="290">
        <v>189.04</v>
      </c>
      <c r="J62" s="418">
        <v>22.86</v>
      </c>
      <c r="K62" s="418" t="s">
        <v>397</v>
      </c>
      <c r="L62" s="290" t="s">
        <v>397</v>
      </c>
      <c r="M62" s="290">
        <v>2294</v>
      </c>
      <c r="N62" s="290" t="s">
        <v>397</v>
      </c>
      <c r="O62" s="289">
        <v>2.2000000000000002</v>
      </c>
    </row>
    <row r="63" spans="1:15" ht="18" customHeight="1">
      <c r="A63" s="291" t="s">
        <v>397</v>
      </c>
      <c r="B63" s="295" t="s">
        <v>483</v>
      </c>
      <c r="C63" s="296" t="s">
        <v>724</v>
      </c>
      <c r="D63" s="295" t="s">
        <v>474</v>
      </c>
      <c r="E63" s="418">
        <v>2</v>
      </c>
      <c r="F63" s="418" t="s">
        <v>397</v>
      </c>
      <c r="G63" s="290">
        <v>1147</v>
      </c>
      <c r="H63" s="290">
        <v>2294</v>
      </c>
      <c r="I63" s="290" t="s">
        <v>397</v>
      </c>
      <c r="J63" s="418" t="s">
        <v>397</v>
      </c>
      <c r="K63" s="418" t="s">
        <v>397</v>
      </c>
      <c r="L63" s="290" t="s">
        <v>397</v>
      </c>
      <c r="M63" s="290">
        <v>2294</v>
      </c>
      <c r="N63" s="290" t="s">
        <v>397</v>
      </c>
      <c r="O63" s="289" t="s">
        <v>397</v>
      </c>
    </row>
    <row r="64" spans="1:15" ht="29.25" customHeight="1">
      <c r="A64" s="291">
        <v>7</v>
      </c>
      <c r="B64" s="295" t="s">
        <v>726</v>
      </c>
      <c r="C64" s="296" t="s">
        <v>725</v>
      </c>
      <c r="D64" s="295" t="s">
        <v>474</v>
      </c>
      <c r="E64" s="418">
        <v>2</v>
      </c>
      <c r="F64" s="418" t="s">
        <v>397</v>
      </c>
      <c r="G64" s="290">
        <v>105.95</v>
      </c>
      <c r="H64" s="290">
        <v>211.9</v>
      </c>
      <c r="I64" s="290">
        <v>189.04</v>
      </c>
      <c r="J64" s="418">
        <v>22.86</v>
      </c>
      <c r="K64" s="418" t="s">
        <v>397</v>
      </c>
      <c r="L64" s="290" t="s">
        <v>397</v>
      </c>
      <c r="M64" s="290">
        <v>1800</v>
      </c>
      <c r="N64" s="290" t="s">
        <v>397</v>
      </c>
      <c r="O64" s="289">
        <v>2.2000000000000002</v>
      </c>
    </row>
    <row r="65" spans="1:15" ht="18" customHeight="1">
      <c r="A65" s="291" t="s">
        <v>397</v>
      </c>
      <c r="B65" s="295" t="s">
        <v>483</v>
      </c>
      <c r="C65" s="296" t="s">
        <v>724</v>
      </c>
      <c r="D65" s="295" t="s">
        <v>474</v>
      </c>
      <c r="E65" s="418">
        <v>2</v>
      </c>
      <c r="F65" s="418" t="s">
        <v>397</v>
      </c>
      <c r="G65" s="290">
        <v>900</v>
      </c>
      <c r="H65" s="290">
        <v>1800</v>
      </c>
      <c r="I65" s="290" t="s">
        <v>397</v>
      </c>
      <c r="J65" s="418" t="s">
        <v>397</v>
      </c>
      <c r="K65" s="418" t="s">
        <v>397</v>
      </c>
      <c r="L65" s="290" t="s">
        <v>397</v>
      </c>
      <c r="M65" s="290">
        <v>1800</v>
      </c>
      <c r="N65" s="290" t="s">
        <v>397</v>
      </c>
      <c r="O65" s="289" t="s">
        <v>397</v>
      </c>
    </row>
    <row r="66" spans="1:15" ht="29.25" customHeight="1">
      <c r="A66" s="291">
        <v>8</v>
      </c>
      <c r="B66" s="295" t="s">
        <v>726</v>
      </c>
      <c r="C66" s="296" t="s">
        <v>725</v>
      </c>
      <c r="D66" s="295" t="s">
        <v>474</v>
      </c>
      <c r="E66" s="418">
        <v>1</v>
      </c>
      <c r="F66" s="418" t="s">
        <v>397</v>
      </c>
      <c r="G66" s="290">
        <v>105.95</v>
      </c>
      <c r="H66" s="290">
        <v>105.95</v>
      </c>
      <c r="I66" s="290">
        <v>94.52</v>
      </c>
      <c r="J66" s="418">
        <v>11.43</v>
      </c>
      <c r="K66" s="418" t="s">
        <v>397</v>
      </c>
      <c r="L66" s="290" t="s">
        <v>397</v>
      </c>
      <c r="M66" s="290">
        <v>840</v>
      </c>
      <c r="N66" s="290" t="s">
        <v>397</v>
      </c>
      <c r="O66" s="289">
        <v>1.1000000000000001</v>
      </c>
    </row>
    <row r="67" spans="1:15" ht="18" customHeight="1">
      <c r="A67" s="291" t="s">
        <v>397</v>
      </c>
      <c r="B67" s="295" t="s">
        <v>483</v>
      </c>
      <c r="C67" s="296" t="s">
        <v>724</v>
      </c>
      <c r="D67" s="295" t="s">
        <v>474</v>
      </c>
      <c r="E67" s="418">
        <v>1</v>
      </c>
      <c r="F67" s="418" t="s">
        <v>397</v>
      </c>
      <c r="G67" s="290">
        <v>840</v>
      </c>
      <c r="H67" s="290">
        <v>840</v>
      </c>
      <c r="I67" s="290" t="s">
        <v>397</v>
      </c>
      <c r="J67" s="418" t="s">
        <v>397</v>
      </c>
      <c r="K67" s="418" t="s">
        <v>397</v>
      </c>
      <c r="L67" s="290" t="s">
        <v>397</v>
      </c>
      <c r="M67" s="290">
        <v>840</v>
      </c>
      <c r="N67" s="290" t="s">
        <v>397</v>
      </c>
      <c r="O67" s="289" t="s">
        <v>397</v>
      </c>
    </row>
    <row r="68" spans="1:15" ht="29.25" customHeight="1">
      <c r="A68" s="291" t="s">
        <v>397</v>
      </c>
      <c r="B68" s="295" t="s">
        <v>723</v>
      </c>
      <c r="C68" s="297" t="s">
        <v>722</v>
      </c>
      <c r="D68" s="295" t="s">
        <v>397</v>
      </c>
      <c r="E68" s="418" t="s">
        <v>397</v>
      </c>
      <c r="F68" s="418" t="s">
        <v>397</v>
      </c>
      <c r="G68" s="290" t="s">
        <v>397</v>
      </c>
      <c r="H68" s="290">
        <v>4462.7700000000004</v>
      </c>
      <c r="I68" s="290">
        <v>3880.89</v>
      </c>
      <c r="J68" s="418">
        <v>565.5</v>
      </c>
      <c r="K68" s="418" t="s">
        <v>397</v>
      </c>
      <c r="L68" s="290">
        <v>16.38</v>
      </c>
      <c r="M68" s="290">
        <v>8580</v>
      </c>
      <c r="N68" s="290" t="s">
        <v>397</v>
      </c>
      <c r="O68" s="289">
        <v>45.356999999999999</v>
      </c>
    </row>
    <row r="69" spans="1:15" ht="29.25" customHeight="1">
      <c r="A69" s="291">
        <v>1</v>
      </c>
      <c r="B69" s="295" t="s">
        <v>721</v>
      </c>
      <c r="C69" s="296" t="s">
        <v>720</v>
      </c>
      <c r="D69" s="295" t="s">
        <v>474</v>
      </c>
      <c r="E69" s="418">
        <v>39</v>
      </c>
      <c r="F69" s="418" t="s">
        <v>397</v>
      </c>
      <c r="G69" s="290">
        <v>114.43</v>
      </c>
      <c r="H69" s="290">
        <v>4462.7700000000004</v>
      </c>
      <c r="I69" s="290">
        <v>3880.89</v>
      </c>
      <c r="J69" s="418">
        <v>565.5</v>
      </c>
      <c r="K69" s="418" t="s">
        <v>397</v>
      </c>
      <c r="L69" s="290">
        <v>16.38</v>
      </c>
      <c r="M69" s="290">
        <v>8580</v>
      </c>
      <c r="N69" s="290" t="s">
        <v>397</v>
      </c>
      <c r="O69" s="289">
        <v>45.356999999999999</v>
      </c>
    </row>
    <row r="70" spans="1:15" ht="18" customHeight="1">
      <c r="A70" s="291" t="s">
        <v>397</v>
      </c>
      <c r="B70" s="295" t="s">
        <v>483</v>
      </c>
      <c r="C70" s="296" t="s">
        <v>719</v>
      </c>
      <c r="D70" s="295" t="s">
        <v>474</v>
      </c>
      <c r="E70" s="418">
        <v>39</v>
      </c>
      <c r="F70" s="418" t="s">
        <v>397</v>
      </c>
      <c r="G70" s="290">
        <v>220</v>
      </c>
      <c r="H70" s="290">
        <v>8580</v>
      </c>
      <c r="I70" s="290" t="s">
        <v>397</v>
      </c>
      <c r="J70" s="418" t="s">
        <v>397</v>
      </c>
      <c r="K70" s="418" t="s">
        <v>397</v>
      </c>
      <c r="L70" s="290" t="s">
        <v>397</v>
      </c>
      <c r="M70" s="290">
        <v>8580</v>
      </c>
      <c r="N70" s="290" t="s">
        <v>397</v>
      </c>
      <c r="O70" s="289" t="s">
        <v>397</v>
      </c>
    </row>
    <row r="71" spans="1:15" ht="16.5" customHeight="1">
      <c r="A71" s="291" t="s">
        <v>397</v>
      </c>
      <c r="B71" s="295" t="s">
        <v>718</v>
      </c>
      <c r="C71" s="297" t="s">
        <v>717</v>
      </c>
      <c r="D71" s="295" t="s">
        <v>397</v>
      </c>
      <c r="E71" s="418" t="s">
        <v>397</v>
      </c>
      <c r="F71" s="418" t="s">
        <v>397</v>
      </c>
      <c r="G71" s="290" t="s">
        <v>397</v>
      </c>
      <c r="H71" s="290">
        <v>2264.87</v>
      </c>
      <c r="I71" s="290">
        <v>2264.87</v>
      </c>
      <c r="J71" s="418" t="s">
        <v>397</v>
      </c>
      <c r="K71" s="418" t="s">
        <v>397</v>
      </c>
      <c r="L71" s="290" t="s">
        <v>397</v>
      </c>
      <c r="M71" s="290">
        <v>510</v>
      </c>
      <c r="N71" s="290" t="s">
        <v>397</v>
      </c>
      <c r="O71" s="289">
        <v>26.411999999999999</v>
      </c>
    </row>
    <row r="72" spans="1:15" ht="18" customHeight="1" thickBot="1">
      <c r="A72" s="288">
        <v>1</v>
      </c>
      <c r="B72" s="299" t="s">
        <v>716</v>
      </c>
      <c r="C72" s="300" t="s">
        <v>715</v>
      </c>
      <c r="D72" s="299" t="s">
        <v>597</v>
      </c>
      <c r="E72" s="419">
        <v>0.4</v>
      </c>
      <c r="F72" s="419" t="s">
        <v>397</v>
      </c>
      <c r="G72" s="287">
        <v>3327.1</v>
      </c>
      <c r="H72" s="287">
        <v>1330.84</v>
      </c>
      <c r="I72" s="287">
        <v>1330.84</v>
      </c>
      <c r="J72" s="419" t="s">
        <v>397</v>
      </c>
      <c r="K72" s="419" t="s">
        <v>397</v>
      </c>
      <c r="L72" s="287" t="s">
        <v>397</v>
      </c>
      <c r="M72" s="287">
        <v>340</v>
      </c>
      <c r="N72" s="287" t="s">
        <v>397</v>
      </c>
      <c r="O72" s="286">
        <v>15.52</v>
      </c>
    </row>
    <row r="73" spans="1:15" ht="16.5" customHeight="1">
      <c r="A73" s="412" t="s">
        <v>400</v>
      </c>
      <c r="B73" s="412" t="s">
        <v>397</v>
      </c>
      <c r="C73" s="412" t="s">
        <v>397</v>
      </c>
      <c r="D73" s="412" t="s">
        <v>397</v>
      </c>
      <c r="E73" s="412" t="s">
        <v>397</v>
      </c>
      <c r="F73" s="404" t="s">
        <v>399</v>
      </c>
      <c r="G73" s="404" t="s">
        <v>397</v>
      </c>
      <c r="H73" s="404" t="s">
        <v>397</v>
      </c>
      <c r="I73" s="404" t="s">
        <v>397</v>
      </c>
      <c r="J73" s="404" t="s">
        <v>397</v>
      </c>
      <c r="K73" s="405" t="s">
        <v>398</v>
      </c>
      <c r="L73" s="405" t="s">
        <v>397</v>
      </c>
      <c r="M73" s="405" t="s">
        <v>397</v>
      </c>
      <c r="N73" s="405" t="s">
        <v>397</v>
      </c>
      <c r="O73" s="405" t="s">
        <v>397</v>
      </c>
    </row>
    <row r="74" spans="1:15" ht="14.25" customHeight="1">
      <c r="A74" s="405" t="s">
        <v>397</v>
      </c>
      <c r="B74" s="405" t="s">
        <v>397</v>
      </c>
      <c r="C74" s="405" t="s">
        <v>397</v>
      </c>
      <c r="D74" s="405" t="s">
        <v>397</v>
      </c>
      <c r="E74" s="405" t="s">
        <v>397</v>
      </c>
      <c r="F74" s="405" t="s">
        <v>397</v>
      </c>
      <c r="G74" s="405" t="s">
        <v>397</v>
      </c>
      <c r="H74" s="405" t="s">
        <v>397</v>
      </c>
      <c r="I74" s="405" t="s">
        <v>397</v>
      </c>
      <c r="J74" s="405" t="s">
        <v>397</v>
      </c>
      <c r="K74" s="405" t="s">
        <v>397</v>
      </c>
      <c r="L74" s="405" t="s">
        <v>397</v>
      </c>
      <c r="M74" s="405" t="s">
        <v>397</v>
      </c>
      <c r="N74" s="405" t="s">
        <v>397</v>
      </c>
      <c r="O74" s="405" t="s">
        <v>397</v>
      </c>
    </row>
    <row r="75" spans="1:15" ht="32.25" customHeight="1">
      <c r="A75" s="411" t="s">
        <v>509</v>
      </c>
      <c r="B75" s="411" t="s">
        <v>397</v>
      </c>
      <c r="C75" s="411" t="s">
        <v>397</v>
      </c>
      <c r="D75" s="411" t="s">
        <v>397</v>
      </c>
      <c r="E75" s="411" t="s">
        <v>397</v>
      </c>
      <c r="F75" s="411" t="s">
        <v>397</v>
      </c>
      <c r="G75" s="411" t="s">
        <v>397</v>
      </c>
      <c r="H75" s="411" t="s">
        <v>397</v>
      </c>
      <c r="I75" s="411" t="s">
        <v>397</v>
      </c>
      <c r="J75" s="411" t="s">
        <v>397</v>
      </c>
      <c r="K75" s="411" t="s">
        <v>397</v>
      </c>
      <c r="L75" s="411" t="s">
        <v>397</v>
      </c>
      <c r="M75" s="411" t="s">
        <v>397</v>
      </c>
      <c r="N75" s="411" t="s">
        <v>397</v>
      </c>
      <c r="O75" s="411" t="s">
        <v>397</v>
      </c>
    </row>
    <row r="76" spans="1:15" ht="23.25" customHeight="1" thickBot="1">
      <c r="A76" s="412" t="s">
        <v>660</v>
      </c>
      <c r="B76" s="412" t="s">
        <v>397</v>
      </c>
      <c r="C76" s="412" t="s">
        <v>397</v>
      </c>
      <c r="D76" s="412" t="s">
        <v>397</v>
      </c>
      <c r="E76" s="412" t="s">
        <v>397</v>
      </c>
      <c r="F76" s="412" t="s">
        <v>397</v>
      </c>
      <c r="G76" s="412" t="s">
        <v>397</v>
      </c>
      <c r="H76" s="412" t="s">
        <v>397</v>
      </c>
      <c r="I76" s="412" t="s">
        <v>397</v>
      </c>
      <c r="J76" s="412" t="s">
        <v>397</v>
      </c>
      <c r="K76" s="405" t="s">
        <v>714</v>
      </c>
      <c r="L76" s="405" t="s">
        <v>397</v>
      </c>
      <c r="M76" s="405" t="s">
        <v>397</v>
      </c>
      <c r="N76" s="405" t="s">
        <v>397</v>
      </c>
      <c r="O76" s="405" t="s">
        <v>397</v>
      </c>
    </row>
    <row r="77" spans="1:15" ht="19.5" customHeight="1">
      <c r="A77" s="413" t="s">
        <v>42</v>
      </c>
      <c r="B77" s="407" t="s">
        <v>507</v>
      </c>
      <c r="C77" s="407" t="s">
        <v>506</v>
      </c>
      <c r="D77" s="407" t="s">
        <v>505</v>
      </c>
      <c r="E77" s="407" t="s">
        <v>397</v>
      </c>
      <c r="F77" s="407" t="s">
        <v>397</v>
      </c>
      <c r="G77" s="407" t="s">
        <v>504</v>
      </c>
      <c r="H77" s="407" t="s">
        <v>397</v>
      </c>
      <c r="I77" s="407" t="s">
        <v>503</v>
      </c>
      <c r="J77" s="407" t="s">
        <v>397</v>
      </c>
      <c r="K77" s="407" t="s">
        <v>397</v>
      </c>
      <c r="L77" s="407" t="s">
        <v>397</v>
      </c>
      <c r="M77" s="407" t="s">
        <v>397</v>
      </c>
      <c r="N77" s="407" t="s">
        <v>397</v>
      </c>
      <c r="O77" s="416" t="s">
        <v>502</v>
      </c>
    </row>
    <row r="78" spans="1:15" ht="18" customHeight="1">
      <c r="A78" s="414" t="s">
        <v>397</v>
      </c>
      <c r="B78" s="415" t="s">
        <v>397</v>
      </c>
      <c r="C78" s="415" t="s">
        <v>397</v>
      </c>
      <c r="D78" s="298" t="s">
        <v>384</v>
      </c>
      <c r="E78" s="415" t="s">
        <v>383</v>
      </c>
      <c r="F78" s="415" t="s">
        <v>397</v>
      </c>
      <c r="G78" s="298" t="s">
        <v>382</v>
      </c>
      <c r="H78" s="298" t="s">
        <v>381</v>
      </c>
      <c r="I78" s="298" t="s">
        <v>501</v>
      </c>
      <c r="J78" s="415" t="s">
        <v>500</v>
      </c>
      <c r="K78" s="415" t="s">
        <v>397</v>
      </c>
      <c r="L78" s="298" t="s">
        <v>499</v>
      </c>
      <c r="M78" s="298" t="s">
        <v>498</v>
      </c>
      <c r="N78" s="298" t="s">
        <v>497</v>
      </c>
      <c r="O78" s="417" t="s">
        <v>397</v>
      </c>
    </row>
    <row r="79" spans="1:15" ht="19.5" customHeight="1">
      <c r="A79" s="291" t="s">
        <v>397</v>
      </c>
      <c r="B79" s="295" t="s">
        <v>397</v>
      </c>
      <c r="C79" s="296" t="s">
        <v>713</v>
      </c>
      <c r="D79" s="295" t="s">
        <v>397</v>
      </c>
      <c r="E79" s="418" t="s">
        <v>397</v>
      </c>
      <c r="F79" s="418" t="s">
        <v>397</v>
      </c>
      <c r="G79" s="290" t="s">
        <v>397</v>
      </c>
      <c r="H79" s="290" t="s">
        <v>397</v>
      </c>
      <c r="I79" s="290" t="s">
        <v>397</v>
      </c>
      <c r="J79" s="418" t="s">
        <v>397</v>
      </c>
      <c r="K79" s="418" t="s">
        <v>397</v>
      </c>
      <c r="L79" s="290" t="s">
        <v>397</v>
      </c>
      <c r="M79" s="290" t="s">
        <v>397</v>
      </c>
      <c r="N79" s="290" t="s">
        <v>397</v>
      </c>
      <c r="O79" s="289" t="s">
        <v>397</v>
      </c>
    </row>
    <row r="80" spans="1:15" ht="18" customHeight="1">
      <c r="A80" s="291" t="s">
        <v>397</v>
      </c>
      <c r="B80" s="295" t="s">
        <v>483</v>
      </c>
      <c r="C80" s="296" t="s">
        <v>710</v>
      </c>
      <c r="D80" s="295" t="s">
        <v>474</v>
      </c>
      <c r="E80" s="418">
        <v>0.4</v>
      </c>
      <c r="F80" s="418" t="s">
        <v>397</v>
      </c>
      <c r="G80" s="290">
        <v>850</v>
      </c>
      <c r="H80" s="290">
        <v>340</v>
      </c>
      <c r="I80" s="290" t="s">
        <v>397</v>
      </c>
      <c r="J80" s="418" t="s">
        <v>397</v>
      </c>
      <c r="K80" s="418" t="s">
        <v>397</v>
      </c>
      <c r="L80" s="290" t="s">
        <v>397</v>
      </c>
      <c r="M80" s="290">
        <v>340</v>
      </c>
      <c r="N80" s="290" t="s">
        <v>397</v>
      </c>
      <c r="O80" s="289" t="s">
        <v>397</v>
      </c>
    </row>
    <row r="81" spans="1:15" ht="29.25" customHeight="1">
      <c r="A81" s="291">
        <v>2</v>
      </c>
      <c r="B81" s="295" t="s">
        <v>712</v>
      </c>
      <c r="C81" s="296" t="s">
        <v>711</v>
      </c>
      <c r="D81" s="295" t="s">
        <v>597</v>
      </c>
      <c r="E81" s="418">
        <v>0.2</v>
      </c>
      <c r="F81" s="418" t="s">
        <v>397</v>
      </c>
      <c r="G81" s="290">
        <v>4670.1400000000003</v>
      </c>
      <c r="H81" s="290">
        <v>934.03</v>
      </c>
      <c r="I81" s="290">
        <v>934.03</v>
      </c>
      <c r="J81" s="418" t="s">
        <v>397</v>
      </c>
      <c r="K81" s="418" t="s">
        <v>397</v>
      </c>
      <c r="L81" s="290" t="s">
        <v>397</v>
      </c>
      <c r="M81" s="290">
        <v>170</v>
      </c>
      <c r="N81" s="290" t="s">
        <v>397</v>
      </c>
      <c r="O81" s="289">
        <v>10.891999999999999</v>
      </c>
    </row>
    <row r="82" spans="1:15" ht="18" customHeight="1">
      <c r="A82" s="291" t="s">
        <v>397</v>
      </c>
      <c r="B82" s="295" t="s">
        <v>483</v>
      </c>
      <c r="C82" s="296" t="s">
        <v>710</v>
      </c>
      <c r="D82" s="295" t="s">
        <v>474</v>
      </c>
      <c r="E82" s="418">
        <v>0.2</v>
      </c>
      <c r="F82" s="418" t="s">
        <v>397</v>
      </c>
      <c r="G82" s="290">
        <v>850</v>
      </c>
      <c r="H82" s="290">
        <v>170</v>
      </c>
      <c r="I82" s="290" t="s">
        <v>397</v>
      </c>
      <c r="J82" s="418" t="s">
        <v>397</v>
      </c>
      <c r="K82" s="418" t="s">
        <v>397</v>
      </c>
      <c r="L82" s="290" t="s">
        <v>397</v>
      </c>
      <c r="M82" s="290">
        <v>170</v>
      </c>
      <c r="N82" s="290" t="s">
        <v>397</v>
      </c>
      <c r="O82" s="289" t="s">
        <v>397</v>
      </c>
    </row>
    <row r="83" spans="1:15" ht="16.5" customHeight="1">
      <c r="A83" s="291" t="s">
        <v>397</v>
      </c>
      <c r="B83" s="295" t="s">
        <v>652</v>
      </c>
      <c r="C83" s="297" t="s">
        <v>643</v>
      </c>
      <c r="D83" s="295" t="s">
        <v>397</v>
      </c>
      <c r="E83" s="418" t="s">
        <v>397</v>
      </c>
      <c r="F83" s="418" t="s">
        <v>397</v>
      </c>
      <c r="G83" s="290" t="s">
        <v>397</v>
      </c>
      <c r="H83" s="290">
        <v>594.98</v>
      </c>
      <c r="I83" s="290">
        <v>408.43</v>
      </c>
      <c r="J83" s="418">
        <v>44.78</v>
      </c>
      <c r="K83" s="418" t="s">
        <v>397</v>
      </c>
      <c r="L83" s="290">
        <v>141.77000000000001</v>
      </c>
      <c r="M83" s="290">
        <v>6660</v>
      </c>
      <c r="N83" s="290" t="s">
        <v>397</v>
      </c>
      <c r="O83" s="289">
        <v>4.9569999999999999</v>
      </c>
    </row>
    <row r="84" spans="1:15" ht="29.25" customHeight="1">
      <c r="A84" s="291">
        <v>1</v>
      </c>
      <c r="B84" s="295" t="s">
        <v>709</v>
      </c>
      <c r="C84" s="296" t="s">
        <v>708</v>
      </c>
      <c r="D84" s="295" t="s">
        <v>474</v>
      </c>
      <c r="E84" s="418">
        <v>1</v>
      </c>
      <c r="F84" s="418" t="s">
        <v>397</v>
      </c>
      <c r="G84" s="290">
        <v>96.72</v>
      </c>
      <c r="H84" s="290">
        <v>96.72</v>
      </c>
      <c r="I84" s="290">
        <v>74.739999999999995</v>
      </c>
      <c r="J84" s="418">
        <v>10.24</v>
      </c>
      <c r="K84" s="418" t="s">
        <v>397</v>
      </c>
      <c r="L84" s="290">
        <v>11.74</v>
      </c>
      <c r="M84" s="290">
        <v>1850</v>
      </c>
      <c r="N84" s="290" t="s">
        <v>397</v>
      </c>
      <c r="O84" s="289">
        <v>0.90700000000000003</v>
      </c>
    </row>
    <row r="85" spans="1:15" ht="18" customHeight="1">
      <c r="A85" s="291" t="s">
        <v>397</v>
      </c>
      <c r="B85" s="295" t="s">
        <v>483</v>
      </c>
      <c r="C85" s="296" t="s">
        <v>703</v>
      </c>
      <c r="D85" s="295" t="s">
        <v>474</v>
      </c>
      <c r="E85" s="418">
        <v>1</v>
      </c>
      <c r="F85" s="418" t="s">
        <v>397</v>
      </c>
      <c r="G85" s="290">
        <v>1850</v>
      </c>
      <c r="H85" s="290">
        <v>1850</v>
      </c>
      <c r="I85" s="290" t="s">
        <v>397</v>
      </c>
      <c r="J85" s="418" t="s">
        <v>397</v>
      </c>
      <c r="K85" s="418" t="s">
        <v>397</v>
      </c>
      <c r="L85" s="290" t="s">
        <v>397</v>
      </c>
      <c r="M85" s="290">
        <v>1850</v>
      </c>
      <c r="N85" s="290" t="s">
        <v>397</v>
      </c>
      <c r="O85" s="289" t="s">
        <v>397</v>
      </c>
    </row>
    <row r="86" spans="1:15" ht="29.25" customHeight="1">
      <c r="A86" s="291">
        <v>2</v>
      </c>
      <c r="B86" s="295" t="s">
        <v>707</v>
      </c>
      <c r="C86" s="296" t="s">
        <v>706</v>
      </c>
      <c r="D86" s="295" t="s">
        <v>474</v>
      </c>
      <c r="E86" s="418">
        <v>1</v>
      </c>
      <c r="F86" s="418" t="s">
        <v>397</v>
      </c>
      <c r="G86" s="290">
        <v>208.29</v>
      </c>
      <c r="H86" s="290">
        <v>208.29</v>
      </c>
      <c r="I86" s="290">
        <v>134.4</v>
      </c>
      <c r="J86" s="418">
        <v>15.18</v>
      </c>
      <c r="K86" s="418" t="s">
        <v>397</v>
      </c>
      <c r="L86" s="290">
        <v>58.71</v>
      </c>
      <c r="M86" s="290">
        <v>2250</v>
      </c>
      <c r="N86" s="290" t="s">
        <v>397</v>
      </c>
      <c r="O86" s="289">
        <v>1.631</v>
      </c>
    </row>
    <row r="87" spans="1:15" ht="18" customHeight="1">
      <c r="A87" s="291" t="s">
        <v>397</v>
      </c>
      <c r="B87" s="295" t="s">
        <v>483</v>
      </c>
      <c r="C87" s="296" t="s">
        <v>703</v>
      </c>
      <c r="D87" s="295" t="s">
        <v>474</v>
      </c>
      <c r="E87" s="418">
        <v>1</v>
      </c>
      <c r="F87" s="418" t="s">
        <v>397</v>
      </c>
      <c r="G87" s="290">
        <v>2250</v>
      </c>
      <c r="H87" s="290">
        <v>2250</v>
      </c>
      <c r="I87" s="290" t="s">
        <v>397</v>
      </c>
      <c r="J87" s="418" t="s">
        <v>397</v>
      </c>
      <c r="K87" s="418" t="s">
        <v>397</v>
      </c>
      <c r="L87" s="290" t="s">
        <v>397</v>
      </c>
      <c r="M87" s="290">
        <v>2250</v>
      </c>
      <c r="N87" s="290" t="s">
        <v>397</v>
      </c>
      <c r="O87" s="289" t="s">
        <v>397</v>
      </c>
    </row>
    <row r="88" spans="1:15" ht="29.25" customHeight="1">
      <c r="A88" s="291">
        <v>3</v>
      </c>
      <c r="B88" s="295" t="s">
        <v>705</v>
      </c>
      <c r="C88" s="296" t="s">
        <v>704</v>
      </c>
      <c r="D88" s="295" t="s">
        <v>474</v>
      </c>
      <c r="E88" s="418">
        <v>1</v>
      </c>
      <c r="F88" s="418" t="s">
        <v>397</v>
      </c>
      <c r="G88" s="290">
        <v>289.97000000000003</v>
      </c>
      <c r="H88" s="290">
        <v>289.97000000000003</v>
      </c>
      <c r="I88" s="290">
        <v>199.29</v>
      </c>
      <c r="J88" s="418">
        <v>19.36</v>
      </c>
      <c r="K88" s="418" t="s">
        <v>397</v>
      </c>
      <c r="L88" s="290">
        <v>71.319999999999993</v>
      </c>
      <c r="M88" s="290">
        <v>2560</v>
      </c>
      <c r="N88" s="290" t="s">
        <v>397</v>
      </c>
      <c r="O88" s="289">
        <v>2.419</v>
      </c>
    </row>
    <row r="89" spans="1:15" ht="18" customHeight="1">
      <c r="A89" s="291" t="s">
        <v>397</v>
      </c>
      <c r="B89" s="295" t="s">
        <v>483</v>
      </c>
      <c r="C89" s="296" t="s">
        <v>703</v>
      </c>
      <c r="D89" s="295" t="s">
        <v>474</v>
      </c>
      <c r="E89" s="418">
        <v>1</v>
      </c>
      <c r="F89" s="418" t="s">
        <v>397</v>
      </c>
      <c r="G89" s="290">
        <v>2560</v>
      </c>
      <c r="H89" s="290">
        <v>2560</v>
      </c>
      <c r="I89" s="290" t="s">
        <v>397</v>
      </c>
      <c r="J89" s="418" t="s">
        <v>397</v>
      </c>
      <c r="K89" s="418" t="s">
        <v>397</v>
      </c>
      <c r="L89" s="290" t="s">
        <v>397</v>
      </c>
      <c r="M89" s="290">
        <v>2560</v>
      </c>
      <c r="N89" s="290" t="s">
        <v>397</v>
      </c>
      <c r="O89" s="289" t="s">
        <v>397</v>
      </c>
    </row>
    <row r="90" spans="1:15" ht="16.5" customHeight="1">
      <c r="A90" s="291" t="s">
        <v>397</v>
      </c>
      <c r="B90" s="295" t="s">
        <v>702</v>
      </c>
      <c r="C90" s="297" t="s">
        <v>701</v>
      </c>
      <c r="D90" s="295" t="s">
        <v>397</v>
      </c>
      <c r="E90" s="418" t="s">
        <v>397</v>
      </c>
      <c r="F90" s="418" t="s">
        <v>397</v>
      </c>
      <c r="G90" s="290" t="s">
        <v>397</v>
      </c>
      <c r="H90" s="290">
        <v>148701.04999999999</v>
      </c>
      <c r="I90" s="290">
        <v>103415.74</v>
      </c>
      <c r="J90" s="418">
        <v>14170.38</v>
      </c>
      <c r="K90" s="418" t="s">
        <v>397</v>
      </c>
      <c r="L90" s="290">
        <v>31114.93</v>
      </c>
      <c r="M90" s="290">
        <v>170933.61</v>
      </c>
      <c r="N90" s="290" t="s">
        <v>397</v>
      </c>
      <c r="O90" s="289">
        <v>1254.9369999999999</v>
      </c>
    </row>
    <row r="91" spans="1:15" ht="29.25" customHeight="1">
      <c r="A91" s="291">
        <v>1</v>
      </c>
      <c r="B91" s="295" t="s">
        <v>699</v>
      </c>
      <c r="C91" s="296" t="s">
        <v>700</v>
      </c>
      <c r="D91" s="295" t="s">
        <v>530</v>
      </c>
      <c r="E91" s="418">
        <v>24</v>
      </c>
      <c r="F91" s="418" t="s">
        <v>397</v>
      </c>
      <c r="G91" s="290">
        <v>158.15</v>
      </c>
      <c r="H91" s="290">
        <v>3795.6</v>
      </c>
      <c r="I91" s="290">
        <v>3356.88</v>
      </c>
      <c r="J91" s="418">
        <v>332.4</v>
      </c>
      <c r="K91" s="418" t="s">
        <v>397</v>
      </c>
      <c r="L91" s="290">
        <v>106.32</v>
      </c>
      <c r="M91" s="290">
        <v>4847.04</v>
      </c>
      <c r="N91" s="290" t="s">
        <v>397</v>
      </c>
      <c r="O91" s="289">
        <v>40.728000000000002</v>
      </c>
    </row>
    <row r="92" spans="1:15" ht="18" customHeight="1">
      <c r="A92" s="291" t="s">
        <v>397</v>
      </c>
      <c r="B92" s="295" t="s">
        <v>483</v>
      </c>
      <c r="C92" s="296" t="s">
        <v>675</v>
      </c>
      <c r="D92" s="295" t="s">
        <v>528</v>
      </c>
      <c r="E92" s="418">
        <v>244.8</v>
      </c>
      <c r="F92" s="418" t="s">
        <v>397</v>
      </c>
      <c r="G92" s="290">
        <v>19.8</v>
      </c>
      <c r="H92" s="290">
        <v>4847.04</v>
      </c>
      <c r="I92" s="290" t="s">
        <v>397</v>
      </c>
      <c r="J92" s="418" t="s">
        <v>397</v>
      </c>
      <c r="K92" s="418" t="s">
        <v>397</v>
      </c>
      <c r="L92" s="290" t="s">
        <v>397</v>
      </c>
      <c r="M92" s="290">
        <v>4847.04</v>
      </c>
      <c r="N92" s="290" t="s">
        <v>397</v>
      </c>
      <c r="O92" s="289" t="s">
        <v>397</v>
      </c>
    </row>
    <row r="93" spans="1:15" ht="29.25" customHeight="1">
      <c r="A93" s="291">
        <v>2</v>
      </c>
      <c r="B93" s="295" t="s">
        <v>699</v>
      </c>
      <c r="C93" s="296" t="s">
        <v>698</v>
      </c>
      <c r="D93" s="295" t="s">
        <v>530</v>
      </c>
      <c r="E93" s="418">
        <v>260</v>
      </c>
      <c r="F93" s="418" t="s">
        <v>397</v>
      </c>
      <c r="G93" s="290">
        <v>158.15</v>
      </c>
      <c r="H93" s="290">
        <v>41119</v>
      </c>
      <c r="I93" s="290">
        <v>36366.199999999997</v>
      </c>
      <c r="J93" s="418">
        <v>3601</v>
      </c>
      <c r="K93" s="418" t="s">
        <v>397</v>
      </c>
      <c r="L93" s="290">
        <v>1151.8</v>
      </c>
      <c r="M93" s="290">
        <v>39780</v>
      </c>
      <c r="N93" s="290" t="s">
        <v>397</v>
      </c>
      <c r="O93" s="289">
        <v>441.22</v>
      </c>
    </row>
    <row r="94" spans="1:15" ht="18" customHeight="1">
      <c r="A94" s="291" t="s">
        <v>397</v>
      </c>
      <c r="B94" s="295" t="s">
        <v>483</v>
      </c>
      <c r="C94" s="296" t="s">
        <v>675</v>
      </c>
      <c r="D94" s="295" t="s">
        <v>528</v>
      </c>
      <c r="E94" s="418">
        <v>2652</v>
      </c>
      <c r="F94" s="418" t="s">
        <v>397</v>
      </c>
      <c r="G94" s="290">
        <v>15</v>
      </c>
      <c r="H94" s="290">
        <v>39780</v>
      </c>
      <c r="I94" s="290" t="s">
        <v>397</v>
      </c>
      <c r="J94" s="418" t="s">
        <v>397</v>
      </c>
      <c r="K94" s="418" t="s">
        <v>397</v>
      </c>
      <c r="L94" s="290" t="s">
        <v>397</v>
      </c>
      <c r="M94" s="290">
        <v>39780</v>
      </c>
      <c r="N94" s="290" t="s">
        <v>397</v>
      </c>
      <c r="O94" s="289" t="s">
        <v>397</v>
      </c>
    </row>
    <row r="95" spans="1:15" ht="29.25" customHeight="1" thickBot="1">
      <c r="A95" s="288">
        <v>3</v>
      </c>
      <c r="B95" s="299" t="s">
        <v>697</v>
      </c>
      <c r="C95" s="300" t="s">
        <v>696</v>
      </c>
      <c r="D95" s="299" t="s">
        <v>530</v>
      </c>
      <c r="E95" s="419">
        <v>30</v>
      </c>
      <c r="F95" s="419" t="s">
        <v>397</v>
      </c>
      <c r="G95" s="287">
        <v>168.46</v>
      </c>
      <c r="H95" s="287">
        <v>5053.8</v>
      </c>
      <c r="I95" s="287">
        <v>4340.1000000000004</v>
      </c>
      <c r="J95" s="419">
        <v>522.29999999999995</v>
      </c>
      <c r="K95" s="419" t="s">
        <v>397</v>
      </c>
      <c r="L95" s="287">
        <v>191.4</v>
      </c>
      <c r="M95" s="287">
        <v>7650</v>
      </c>
      <c r="N95" s="287" t="s">
        <v>397</v>
      </c>
      <c r="O95" s="286">
        <v>52.68</v>
      </c>
    </row>
    <row r="96" spans="1:15" ht="16.5" customHeight="1">
      <c r="A96" s="412" t="s">
        <v>400</v>
      </c>
      <c r="B96" s="412" t="s">
        <v>397</v>
      </c>
      <c r="C96" s="412" t="s">
        <v>397</v>
      </c>
      <c r="D96" s="412" t="s">
        <v>397</v>
      </c>
      <c r="E96" s="412" t="s">
        <v>397</v>
      </c>
      <c r="F96" s="404" t="s">
        <v>399</v>
      </c>
      <c r="G96" s="404" t="s">
        <v>397</v>
      </c>
      <c r="H96" s="404" t="s">
        <v>397</v>
      </c>
      <c r="I96" s="404" t="s">
        <v>397</v>
      </c>
      <c r="J96" s="404" t="s">
        <v>397</v>
      </c>
      <c r="K96" s="405" t="s">
        <v>398</v>
      </c>
      <c r="L96" s="405" t="s">
        <v>397</v>
      </c>
      <c r="M96" s="405" t="s">
        <v>397</v>
      </c>
      <c r="N96" s="405" t="s">
        <v>397</v>
      </c>
      <c r="O96" s="405" t="s">
        <v>397</v>
      </c>
    </row>
    <row r="97" spans="1:15" ht="14.25" customHeight="1">
      <c r="A97" s="405" t="s">
        <v>397</v>
      </c>
      <c r="B97" s="405" t="s">
        <v>397</v>
      </c>
      <c r="C97" s="405" t="s">
        <v>397</v>
      </c>
      <c r="D97" s="405" t="s">
        <v>397</v>
      </c>
      <c r="E97" s="405" t="s">
        <v>397</v>
      </c>
      <c r="F97" s="405" t="s">
        <v>397</v>
      </c>
      <c r="G97" s="405" t="s">
        <v>397</v>
      </c>
      <c r="H97" s="405" t="s">
        <v>397</v>
      </c>
      <c r="I97" s="405" t="s">
        <v>397</v>
      </c>
      <c r="J97" s="405" t="s">
        <v>397</v>
      </c>
      <c r="K97" s="405" t="s">
        <v>397</v>
      </c>
      <c r="L97" s="405" t="s">
        <v>397</v>
      </c>
      <c r="M97" s="405" t="s">
        <v>397</v>
      </c>
      <c r="N97" s="405" t="s">
        <v>397</v>
      </c>
      <c r="O97" s="405" t="s">
        <v>397</v>
      </c>
    </row>
    <row r="98" spans="1:15" ht="32.25" customHeight="1">
      <c r="A98" s="411" t="s">
        <v>509</v>
      </c>
      <c r="B98" s="411" t="s">
        <v>397</v>
      </c>
      <c r="C98" s="411" t="s">
        <v>397</v>
      </c>
      <c r="D98" s="411" t="s">
        <v>397</v>
      </c>
      <c r="E98" s="411" t="s">
        <v>397</v>
      </c>
      <c r="F98" s="411" t="s">
        <v>397</v>
      </c>
      <c r="G98" s="411" t="s">
        <v>397</v>
      </c>
      <c r="H98" s="411" t="s">
        <v>397</v>
      </c>
      <c r="I98" s="411" t="s">
        <v>397</v>
      </c>
      <c r="J98" s="411" t="s">
        <v>397</v>
      </c>
      <c r="K98" s="411" t="s">
        <v>397</v>
      </c>
      <c r="L98" s="411" t="s">
        <v>397</v>
      </c>
      <c r="M98" s="411" t="s">
        <v>397</v>
      </c>
      <c r="N98" s="411" t="s">
        <v>397</v>
      </c>
      <c r="O98" s="411" t="s">
        <v>397</v>
      </c>
    </row>
    <row r="99" spans="1:15" ht="23.25" customHeight="1" thickBot="1">
      <c r="A99" s="412" t="s">
        <v>660</v>
      </c>
      <c r="B99" s="412" t="s">
        <v>397</v>
      </c>
      <c r="C99" s="412" t="s">
        <v>397</v>
      </c>
      <c r="D99" s="412" t="s">
        <v>397</v>
      </c>
      <c r="E99" s="412" t="s">
        <v>397</v>
      </c>
      <c r="F99" s="412" t="s">
        <v>397</v>
      </c>
      <c r="G99" s="412" t="s">
        <v>397</v>
      </c>
      <c r="H99" s="412" t="s">
        <v>397</v>
      </c>
      <c r="I99" s="412" t="s">
        <v>397</v>
      </c>
      <c r="J99" s="412" t="s">
        <v>397</v>
      </c>
      <c r="K99" s="405" t="s">
        <v>695</v>
      </c>
      <c r="L99" s="405" t="s">
        <v>397</v>
      </c>
      <c r="M99" s="405" t="s">
        <v>397</v>
      </c>
      <c r="N99" s="405" t="s">
        <v>397</v>
      </c>
      <c r="O99" s="405" t="s">
        <v>397</v>
      </c>
    </row>
    <row r="100" spans="1:15" ht="19.5" customHeight="1">
      <c r="A100" s="413" t="s">
        <v>42</v>
      </c>
      <c r="B100" s="407" t="s">
        <v>507</v>
      </c>
      <c r="C100" s="407" t="s">
        <v>506</v>
      </c>
      <c r="D100" s="407" t="s">
        <v>505</v>
      </c>
      <c r="E100" s="407" t="s">
        <v>397</v>
      </c>
      <c r="F100" s="407" t="s">
        <v>397</v>
      </c>
      <c r="G100" s="407" t="s">
        <v>504</v>
      </c>
      <c r="H100" s="407" t="s">
        <v>397</v>
      </c>
      <c r="I100" s="407" t="s">
        <v>503</v>
      </c>
      <c r="J100" s="407" t="s">
        <v>397</v>
      </c>
      <c r="K100" s="407" t="s">
        <v>397</v>
      </c>
      <c r="L100" s="407" t="s">
        <v>397</v>
      </c>
      <c r="M100" s="407" t="s">
        <v>397</v>
      </c>
      <c r="N100" s="407" t="s">
        <v>397</v>
      </c>
      <c r="O100" s="416" t="s">
        <v>502</v>
      </c>
    </row>
    <row r="101" spans="1:15" ht="18" customHeight="1">
      <c r="A101" s="414" t="s">
        <v>397</v>
      </c>
      <c r="B101" s="415" t="s">
        <v>397</v>
      </c>
      <c r="C101" s="415" t="s">
        <v>397</v>
      </c>
      <c r="D101" s="298" t="s">
        <v>384</v>
      </c>
      <c r="E101" s="415" t="s">
        <v>383</v>
      </c>
      <c r="F101" s="415" t="s">
        <v>397</v>
      </c>
      <c r="G101" s="298" t="s">
        <v>382</v>
      </c>
      <c r="H101" s="298" t="s">
        <v>381</v>
      </c>
      <c r="I101" s="298" t="s">
        <v>501</v>
      </c>
      <c r="J101" s="415" t="s">
        <v>500</v>
      </c>
      <c r="K101" s="415" t="s">
        <v>397</v>
      </c>
      <c r="L101" s="298" t="s">
        <v>499</v>
      </c>
      <c r="M101" s="298" t="s">
        <v>498</v>
      </c>
      <c r="N101" s="298" t="s">
        <v>497</v>
      </c>
      <c r="O101" s="417" t="s">
        <v>397</v>
      </c>
    </row>
    <row r="102" spans="1:15" ht="18" customHeight="1">
      <c r="A102" s="291" t="s">
        <v>397</v>
      </c>
      <c r="B102" s="295" t="s">
        <v>483</v>
      </c>
      <c r="C102" s="296" t="s">
        <v>675</v>
      </c>
      <c r="D102" s="295" t="s">
        <v>528</v>
      </c>
      <c r="E102" s="418">
        <v>306</v>
      </c>
      <c r="F102" s="418" t="s">
        <v>397</v>
      </c>
      <c r="G102" s="290">
        <v>25</v>
      </c>
      <c r="H102" s="290">
        <v>7650</v>
      </c>
      <c r="I102" s="290" t="s">
        <v>397</v>
      </c>
      <c r="J102" s="418" t="s">
        <v>397</v>
      </c>
      <c r="K102" s="418" t="s">
        <v>397</v>
      </c>
      <c r="L102" s="290" t="s">
        <v>397</v>
      </c>
      <c r="M102" s="290">
        <v>7650</v>
      </c>
      <c r="N102" s="290" t="s">
        <v>397</v>
      </c>
      <c r="O102" s="289" t="s">
        <v>397</v>
      </c>
    </row>
    <row r="103" spans="1:15" ht="29.25" customHeight="1">
      <c r="A103" s="291">
        <v>4</v>
      </c>
      <c r="B103" s="295" t="s">
        <v>694</v>
      </c>
      <c r="C103" s="296" t="s">
        <v>693</v>
      </c>
      <c r="D103" s="295" t="s">
        <v>530</v>
      </c>
      <c r="E103" s="418">
        <v>30</v>
      </c>
      <c r="F103" s="418" t="s">
        <v>397</v>
      </c>
      <c r="G103" s="290">
        <v>205.99</v>
      </c>
      <c r="H103" s="290">
        <v>6179.7</v>
      </c>
      <c r="I103" s="290">
        <v>5011.5</v>
      </c>
      <c r="J103" s="418">
        <v>871.8</v>
      </c>
      <c r="K103" s="418" t="s">
        <v>397</v>
      </c>
      <c r="L103" s="290">
        <v>296.39999999999998</v>
      </c>
      <c r="M103" s="290">
        <v>9486</v>
      </c>
      <c r="N103" s="290" t="s">
        <v>397</v>
      </c>
      <c r="O103" s="289">
        <v>60.81</v>
      </c>
    </row>
    <row r="104" spans="1:15" ht="18" customHeight="1">
      <c r="A104" s="291" t="s">
        <v>397</v>
      </c>
      <c r="B104" s="295" t="s">
        <v>483</v>
      </c>
      <c r="C104" s="296" t="s">
        <v>675</v>
      </c>
      <c r="D104" s="295" t="s">
        <v>528</v>
      </c>
      <c r="E104" s="418">
        <v>306</v>
      </c>
      <c r="F104" s="418" t="s">
        <v>397</v>
      </c>
      <c r="G104" s="290">
        <v>31</v>
      </c>
      <c r="H104" s="290">
        <v>9486</v>
      </c>
      <c r="I104" s="290" t="s">
        <v>397</v>
      </c>
      <c r="J104" s="418" t="s">
        <v>397</v>
      </c>
      <c r="K104" s="418" t="s">
        <v>397</v>
      </c>
      <c r="L104" s="290" t="s">
        <v>397</v>
      </c>
      <c r="M104" s="290">
        <v>9486</v>
      </c>
      <c r="N104" s="290" t="s">
        <v>397</v>
      </c>
      <c r="O104" s="289" t="s">
        <v>397</v>
      </c>
    </row>
    <row r="105" spans="1:15" ht="29.25" customHeight="1">
      <c r="A105" s="291">
        <v>5</v>
      </c>
      <c r="B105" s="295" t="s">
        <v>692</v>
      </c>
      <c r="C105" s="296" t="s">
        <v>691</v>
      </c>
      <c r="D105" s="295" t="s">
        <v>530</v>
      </c>
      <c r="E105" s="418">
        <v>50</v>
      </c>
      <c r="F105" s="418" t="s">
        <v>397</v>
      </c>
      <c r="G105" s="290">
        <v>208.48</v>
      </c>
      <c r="H105" s="290">
        <v>10424</v>
      </c>
      <c r="I105" s="290">
        <v>8592.5</v>
      </c>
      <c r="J105" s="418">
        <v>1402</v>
      </c>
      <c r="K105" s="418" t="s">
        <v>397</v>
      </c>
      <c r="L105" s="290">
        <v>429.5</v>
      </c>
      <c r="M105" s="290">
        <v>20910</v>
      </c>
      <c r="N105" s="290" t="s">
        <v>397</v>
      </c>
      <c r="O105" s="289">
        <v>104.3</v>
      </c>
    </row>
    <row r="106" spans="1:15" ht="18" customHeight="1">
      <c r="A106" s="291" t="s">
        <v>397</v>
      </c>
      <c r="B106" s="295" t="s">
        <v>483</v>
      </c>
      <c r="C106" s="296" t="s">
        <v>675</v>
      </c>
      <c r="D106" s="295" t="s">
        <v>528</v>
      </c>
      <c r="E106" s="418">
        <v>510</v>
      </c>
      <c r="F106" s="418" t="s">
        <v>397</v>
      </c>
      <c r="G106" s="290">
        <v>41</v>
      </c>
      <c r="H106" s="290">
        <v>20910</v>
      </c>
      <c r="I106" s="290" t="s">
        <v>397</v>
      </c>
      <c r="J106" s="418" t="s">
        <v>397</v>
      </c>
      <c r="K106" s="418" t="s">
        <v>397</v>
      </c>
      <c r="L106" s="290" t="s">
        <v>397</v>
      </c>
      <c r="M106" s="290">
        <v>20910</v>
      </c>
      <c r="N106" s="290" t="s">
        <v>397</v>
      </c>
      <c r="O106" s="289" t="s">
        <v>397</v>
      </c>
    </row>
    <row r="107" spans="1:15" ht="29.25" customHeight="1">
      <c r="A107" s="291">
        <v>6</v>
      </c>
      <c r="B107" s="295" t="s">
        <v>690</v>
      </c>
      <c r="C107" s="296" t="s">
        <v>689</v>
      </c>
      <c r="D107" s="295" t="s">
        <v>530</v>
      </c>
      <c r="E107" s="418">
        <v>24</v>
      </c>
      <c r="F107" s="418" t="s">
        <v>397</v>
      </c>
      <c r="G107" s="290">
        <v>757.64</v>
      </c>
      <c r="H107" s="290">
        <v>18183.36</v>
      </c>
      <c r="I107" s="290">
        <v>11345.52</v>
      </c>
      <c r="J107" s="418">
        <v>1163.04</v>
      </c>
      <c r="K107" s="418" t="s">
        <v>397</v>
      </c>
      <c r="L107" s="290">
        <v>5674.8</v>
      </c>
      <c r="M107" s="290">
        <v>13184.64</v>
      </c>
      <c r="N107" s="290" t="s">
        <v>397</v>
      </c>
      <c r="O107" s="289">
        <v>137.68799999999999</v>
      </c>
    </row>
    <row r="108" spans="1:15" ht="18" customHeight="1">
      <c r="A108" s="291" t="s">
        <v>397</v>
      </c>
      <c r="B108" s="295" t="s">
        <v>483</v>
      </c>
      <c r="C108" s="296" t="s">
        <v>675</v>
      </c>
      <c r="D108" s="295" t="s">
        <v>528</v>
      </c>
      <c r="E108" s="418">
        <v>235.44</v>
      </c>
      <c r="F108" s="418" t="s">
        <v>397</v>
      </c>
      <c r="G108" s="290">
        <v>56</v>
      </c>
      <c r="H108" s="290">
        <v>13184.64</v>
      </c>
      <c r="I108" s="290" t="s">
        <v>397</v>
      </c>
      <c r="J108" s="418" t="s">
        <v>397</v>
      </c>
      <c r="K108" s="418" t="s">
        <v>397</v>
      </c>
      <c r="L108" s="290" t="s">
        <v>397</v>
      </c>
      <c r="M108" s="290">
        <v>13184.64</v>
      </c>
      <c r="N108" s="290" t="s">
        <v>397</v>
      </c>
      <c r="O108" s="289" t="s">
        <v>397</v>
      </c>
    </row>
    <row r="109" spans="1:15" ht="29.25" customHeight="1">
      <c r="A109" s="291">
        <v>7</v>
      </c>
      <c r="B109" s="295" t="s">
        <v>688</v>
      </c>
      <c r="C109" s="296" t="s">
        <v>687</v>
      </c>
      <c r="D109" s="295" t="s">
        <v>530</v>
      </c>
      <c r="E109" s="418">
        <v>24</v>
      </c>
      <c r="F109" s="418" t="s">
        <v>397</v>
      </c>
      <c r="G109" s="290">
        <v>786.57</v>
      </c>
      <c r="H109" s="290">
        <v>18877.68</v>
      </c>
      <c r="I109" s="290">
        <v>11402.64</v>
      </c>
      <c r="J109" s="418">
        <v>1465.92</v>
      </c>
      <c r="K109" s="418" t="s">
        <v>397</v>
      </c>
      <c r="L109" s="290">
        <v>6009.12</v>
      </c>
      <c r="M109" s="290">
        <v>15539.04</v>
      </c>
      <c r="N109" s="290" t="s">
        <v>397</v>
      </c>
      <c r="O109" s="289">
        <v>138.38399999999999</v>
      </c>
    </row>
    <row r="110" spans="1:15" ht="18" customHeight="1">
      <c r="A110" s="291" t="s">
        <v>397</v>
      </c>
      <c r="B110" s="295" t="s">
        <v>483</v>
      </c>
      <c r="C110" s="296" t="s">
        <v>675</v>
      </c>
      <c r="D110" s="295" t="s">
        <v>528</v>
      </c>
      <c r="E110" s="418">
        <v>235.44</v>
      </c>
      <c r="F110" s="418" t="s">
        <v>397</v>
      </c>
      <c r="G110" s="290">
        <v>66</v>
      </c>
      <c r="H110" s="290">
        <v>15539.04</v>
      </c>
      <c r="I110" s="290" t="s">
        <v>397</v>
      </c>
      <c r="J110" s="418" t="s">
        <v>397</v>
      </c>
      <c r="K110" s="418" t="s">
        <v>397</v>
      </c>
      <c r="L110" s="290" t="s">
        <v>397</v>
      </c>
      <c r="M110" s="290">
        <v>15539.04</v>
      </c>
      <c r="N110" s="290" t="s">
        <v>397</v>
      </c>
      <c r="O110" s="289" t="s">
        <v>397</v>
      </c>
    </row>
    <row r="111" spans="1:15" ht="29.25" customHeight="1">
      <c r="A111" s="291">
        <v>8</v>
      </c>
      <c r="B111" s="295" t="s">
        <v>686</v>
      </c>
      <c r="C111" s="296" t="s">
        <v>685</v>
      </c>
      <c r="D111" s="295" t="s">
        <v>530</v>
      </c>
      <c r="E111" s="418">
        <v>3</v>
      </c>
      <c r="F111" s="418" t="s">
        <v>397</v>
      </c>
      <c r="G111" s="290">
        <v>812.5</v>
      </c>
      <c r="H111" s="290">
        <v>2437.5</v>
      </c>
      <c r="I111" s="290">
        <v>1435.8</v>
      </c>
      <c r="J111" s="418">
        <v>284.31</v>
      </c>
      <c r="K111" s="418" t="s">
        <v>397</v>
      </c>
      <c r="L111" s="290">
        <v>717.39</v>
      </c>
      <c r="M111" s="290">
        <v>2707.56</v>
      </c>
      <c r="N111" s="290" t="s">
        <v>397</v>
      </c>
      <c r="O111" s="289">
        <v>17.420999999999999</v>
      </c>
    </row>
    <row r="112" spans="1:15" ht="18" customHeight="1">
      <c r="A112" s="291" t="s">
        <v>397</v>
      </c>
      <c r="B112" s="295" t="s">
        <v>483</v>
      </c>
      <c r="C112" s="296" t="s">
        <v>675</v>
      </c>
      <c r="D112" s="295" t="s">
        <v>528</v>
      </c>
      <c r="E112" s="418">
        <v>29.43</v>
      </c>
      <c r="F112" s="418" t="s">
        <v>397</v>
      </c>
      <c r="G112" s="290">
        <v>92</v>
      </c>
      <c r="H112" s="290">
        <v>2707.56</v>
      </c>
      <c r="I112" s="290" t="s">
        <v>397</v>
      </c>
      <c r="J112" s="418" t="s">
        <v>397</v>
      </c>
      <c r="K112" s="418" t="s">
        <v>397</v>
      </c>
      <c r="L112" s="290" t="s">
        <v>397</v>
      </c>
      <c r="M112" s="290">
        <v>2707.56</v>
      </c>
      <c r="N112" s="290" t="s">
        <v>397</v>
      </c>
      <c r="O112" s="289" t="s">
        <v>397</v>
      </c>
    </row>
    <row r="113" spans="1:15" ht="29.25" customHeight="1">
      <c r="A113" s="291">
        <v>9</v>
      </c>
      <c r="B113" s="295" t="s">
        <v>684</v>
      </c>
      <c r="C113" s="296" t="s">
        <v>683</v>
      </c>
      <c r="D113" s="295" t="s">
        <v>530</v>
      </c>
      <c r="E113" s="418">
        <v>5</v>
      </c>
      <c r="F113" s="418" t="s">
        <v>397</v>
      </c>
      <c r="G113" s="290">
        <v>931.36</v>
      </c>
      <c r="H113" s="290">
        <v>4656.8</v>
      </c>
      <c r="I113" s="290">
        <v>2753.4</v>
      </c>
      <c r="J113" s="418">
        <v>464.8</v>
      </c>
      <c r="K113" s="418" t="s">
        <v>397</v>
      </c>
      <c r="L113" s="290">
        <v>1438.6</v>
      </c>
      <c r="M113" s="290">
        <v>6033.15</v>
      </c>
      <c r="N113" s="290" t="s">
        <v>397</v>
      </c>
      <c r="O113" s="289">
        <v>33.414999999999999</v>
      </c>
    </row>
    <row r="114" spans="1:15" ht="18" customHeight="1">
      <c r="A114" s="291" t="s">
        <v>397</v>
      </c>
      <c r="B114" s="295" t="s">
        <v>483</v>
      </c>
      <c r="C114" s="296" t="s">
        <v>675</v>
      </c>
      <c r="D114" s="295" t="s">
        <v>528</v>
      </c>
      <c r="E114" s="418">
        <v>49.05</v>
      </c>
      <c r="F114" s="418" t="s">
        <v>397</v>
      </c>
      <c r="G114" s="290">
        <v>123</v>
      </c>
      <c r="H114" s="290">
        <v>6033.15</v>
      </c>
      <c r="I114" s="290" t="s">
        <v>397</v>
      </c>
      <c r="J114" s="418" t="s">
        <v>397</v>
      </c>
      <c r="K114" s="418" t="s">
        <v>397</v>
      </c>
      <c r="L114" s="290" t="s">
        <v>397</v>
      </c>
      <c r="M114" s="290">
        <v>6033.15</v>
      </c>
      <c r="N114" s="290" t="s">
        <v>397</v>
      </c>
      <c r="O114" s="289" t="s">
        <v>397</v>
      </c>
    </row>
    <row r="115" spans="1:15" ht="29.25" customHeight="1">
      <c r="A115" s="291">
        <v>10</v>
      </c>
      <c r="B115" s="295" t="s">
        <v>682</v>
      </c>
      <c r="C115" s="296" t="s">
        <v>681</v>
      </c>
      <c r="D115" s="295" t="s">
        <v>530</v>
      </c>
      <c r="E115" s="418">
        <v>6</v>
      </c>
      <c r="F115" s="418" t="s">
        <v>397</v>
      </c>
      <c r="G115" s="290">
        <v>1029.05</v>
      </c>
      <c r="H115" s="290">
        <v>6174.3</v>
      </c>
      <c r="I115" s="290">
        <v>3513.72</v>
      </c>
      <c r="J115" s="418">
        <v>641.82000000000005</v>
      </c>
      <c r="K115" s="418" t="s">
        <v>397</v>
      </c>
      <c r="L115" s="290">
        <v>2018.76</v>
      </c>
      <c r="M115" s="290">
        <v>8593.56</v>
      </c>
      <c r="N115" s="290" t="s">
        <v>397</v>
      </c>
      <c r="O115" s="289">
        <v>42.642000000000003</v>
      </c>
    </row>
    <row r="116" spans="1:15" ht="18" customHeight="1">
      <c r="A116" s="291" t="s">
        <v>397</v>
      </c>
      <c r="B116" s="295" t="s">
        <v>483</v>
      </c>
      <c r="C116" s="296" t="s">
        <v>675</v>
      </c>
      <c r="D116" s="295" t="s">
        <v>528</v>
      </c>
      <c r="E116" s="418">
        <v>58.86</v>
      </c>
      <c r="F116" s="418" t="s">
        <v>397</v>
      </c>
      <c r="G116" s="290">
        <v>146</v>
      </c>
      <c r="H116" s="290">
        <v>8593.56</v>
      </c>
      <c r="I116" s="290" t="s">
        <v>397</v>
      </c>
      <c r="J116" s="418" t="s">
        <v>397</v>
      </c>
      <c r="K116" s="418" t="s">
        <v>397</v>
      </c>
      <c r="L116" s="290" t="s">
        <v>397</v>
      </c>
      <c r="M116" s="290">
        <v>8593.56</v>
      </c>
      <c r="N116" s="290" t="s">
        <v>397</v>
      </c>
      <c r="O116" s="289" t="s">
        <v>397</v>
      </c>
    </row>
    <row r="117" spans="1:15" ht="29.25" customHeight="1" thickBot="1">
      <c r="A117" s="288">
        <v>11</v>
      </c>
      <c r="B117" s="299" t="s">
        <v>680</v>
      </c>
      <c r="C117" s="300" t="s">
        <v>679</v>
      </c>
      <c r="D117" s="299" t="s">
        <v>530</v>
      </c>
      <c r="E117" s="419">
        <v>6</v>
      </c>
      <c r="F117" s="419" t="s">
        <v>397</v>
      </c>
      <c r="G117" s="287">
        <v>1357.41</v>
      </c>
      <c r="H117" s="287">
        <v>8144.46</v>
      </c>
      <c r="I117" s="287">
        <v>4243.9799999999996</v>
      </c>
      <c r="J117" s="419">
        <v>830.04</v>
      </c>
      <c r="K117" s="419" t="s">
        <v>397</v>
      </c>
      <c r="L117" s="287">
        <v>3070.44</v>
      </c>
      <c r="M117" s="287">
        <v>11301.12</v>
      </c>
      <c r="N117" s="287" t="s">
        <v>397</v>
      </c>
      <c r="O117" s="286">
        <v>51.503999999999998</v>
      </c>
    </row>
    <row r="118" spans="1:15" ht="16.5" customHeight="1">
      <c r="A118" s="412" t="s">
        <v>400</v>
      </c>
      <c r="B118" s="412" t="s">
        <v>397</v>
      </c>
      <c r="C118" s="412" t="s">
        <v>397</v>
      </c>
      <c r="D118" s="412" t="s">
        <v>397</v>
      </c>
      <c r="E118" s="412" t="s">
        <v>397</v>
      </c>
      <c r="F118" s="404" t="s">
        <v>399</v>
      </c>
      <c r="G118" s="404" t="s">
        <v>397</v>
      </c>
      <c r="H118" s="404" t="s">
        <v>397</v>
      </c>
      <c r="I118" s="404" t="s">
        <v>397</v>
      </c>
      <c r="J118" s="404" t="s">
        <v>397</v>
      </c>
      <c r="K118" s="405" t="s">
        <v>398</v>
      </c>
      <c r="L118" s="405" t="s">
        <v>397</v>
      </c>
      <c r="M118" s="405" t="s">
        <v>397</v>
      </c>
      <c r="N118" s="405" t="s">
        <v>397</v>
      </c>
      <c r="O118" s="405" t="s">
        <v>397</v>
      </c>
    </row>
    <row r="119" spans="1:15" ht="14.25" customHeight="1">
      <c r="A119" s="405" t="s">
        <v>397</v>
      </c>
      <c r="B119" s="405" t="s">
        <v>397</v>
      </c>
      <c r="C119" s="405" t="s">
        <v>397</v>
      </c>
      <c r="D119" s="405" t="s">
        <v>397</v>
      </c>
      <c r="E119" s="405" t="s">
        <v>397</v>
      </c>
      <c r="F119" s="405" t="s">
        <v>397</v>
      </c>
      <c r="G119" s="405" t="s">
        <v>397</v>
      </c>
      <c r="H119" s="405" t="s">
        <v>397</v>
      </c>
      <c r="I119" s="405" t="s">
        <v>397</v>
      </c>
      <c r="J119" s="405" t="s">
        <v>397</v>
      </c>
      <c r="K119" s="405" t="s">
        <v>397</v>
      </c>
      <c r="L119" s="405" t="s">
        <v>397</v>
      </c>
      <c r="M119" s="405" t="s">
        <v>397</v>
      </c>
      <c r="N119" s="405" t="s">
        <v>397</v>
      </c>
      <c r="O119" s="405" t="s">
        <v>397</v>
      </c>
    </row>
    <row r="120" spans="1:15" ht="32.25" customHeight="1">
      <c r="A120" s="411" t="s">
        <v>509</v>
      </c>
      <c r="B120" s="411" t="s">
        <v>397</v>
      </c>
      <c r="C120" s="411" t="s">
        <v>397</v>
      </c>
      <c r="D120" s="411" t="s">
        <v>397</v>
      </c>
      <c r="E120" s="411" t="s">
        <v>397</v>
      </c>
      <c r="F120" s="411" t="s">
        <v>397</v>
      </c>
      <c r="G120" s="411" t="s">
        <v>397</v>
      </c>
      <c r="H120" s="411" t="s">
        <v>397</v>
      </c>
      <c r="I120" s="411" t="s">
        <v>397</v>
      </c>
      <c r="J120" s="411" t="s">
        <v>397</v>
      </c>
      <c r="K120" s="411" t="s">
        <v>397</v>
      </c>
      <c r="L120" s="411" t="s">
        <v>397</v>
      </c>
      <c r="M120" s="411" t="s">
        <v>397</v>
      </c>
      <c r="N120" s="411" t="s">
        <v>397</v>
      </c>
      <c r="O120" s="411" t="s">
        <v>397</v>
      </c>
    </row>
    <row r="121" spans="1:15" ht="23.25" customHeight="1" thickBot="1">
      <c r="A121" s="412" t="s">
        <v>660</v>
      </c>
      <c r="B121" s="412" t="s">
        <v>397</v>
      </c>
      <c r="C121" s="412" t="s">
        <v>397</v>
      </c>
      <c r="D121" s="412" t="s">
        <v>397</v>
      </c>
      <c r="E121" s="412" t="s">
        <v>397</v>
      </c>
      <c r="F121" s="412" t="s">
        <v>397</v>
      </c>
      <c r="G121" s="412" t="s">
        <v>397</v>
      </c>
      <c r="H121" s="412" t="s">
        <v>397</v>
      </c>
      <c r="I121" s="412" t="s">
        <v>397</v>
      </c>
      <c r="J121" s="412" t="s">
        <v>397</v>
      </c>
      <c r="K121" s="405" t="s">
        <v>678</v>
      </c>
      <c r="L121" s="405" t="s">
        <v>397</v>
      </c>
      <c r="M121" s="405" t="s">
        <v>397</v>
      </c>
      <c r="N121" s="405" t="s">
        <v>397</v>
      </c>
      <c r="O121" s="405" t="s">
        <v>397</v>
      </c>
    </row>
    <row r="122" spans="1:15" ht="19.5" customHeight="1">
      <c r="A122" s="413" t="s">
        <v>42</v>
      </c>
      <c r="B122" s="407" t="s">
        <v>507</v>
      </c>
      <c r="C122" s="407" t="s">
        <v>506</v>
      </c>
      <c r="D122" s="407" t="s">
        <v>505</v>
      </c>
      <c r="E122" s="407" t="s">
        <v>397</v>
      </c>
      <c r="F122" s="407" t="s">
        <v>397</v>
      </c>
      <c r="G122" s="407" t="s">
        <v>504</v>
      </c>
      <c r="H122" s="407" t="s">
        <v>397</v>
      </c>
      <c r="I122" s="407" t="s">
        <v>503</v>
      </c>
      <c r="J122" s="407" t="s">
        <v>397</v>
      </c>
      <c r="K122" s="407" t="s">
        <v>397</v>
      </c>
      <c r="L122" s="407" t="s">
        <v>397</v>
      </c>
      <c r="M122" s="407" t="s">
        <v>397</v>
      </c>
      <c r="N122" s="407" t="s">
        <v>397</v>
      </c>
      <c r="O122" s="416" t="s">
        <v>502</v>
      </c>
    </row>
    <row r="123" spans="1:15" ht="18" customHeight="1">
      <c r="A123" s="414" t="s">
        <v>397</v>
      </c>
      <c r="B123" s="415" t="s">
        <v>397</v>
      </c>
      <c r="C123" s="415" t="s">
        <v>397</v>
      </c>
      <c r="D123" s="298" t="s">
        <v>384</v>
      </c>
      <c r="E123" s="415" t="s">
        <v>383</v>
      </c>
      <c r="F123" s="415" t="s">
        <v>397</v>
      </c>
      <c r="G123" s="298" t="s">
        <v>382</v>
      </c>
      <c r="H123" s="298" t="s">
        <v>381</v>
      </c>
      <c r="I123" s="298" t="s">
        <v>501</v>
      </c>
      <c r="J123" s="415" t="s">
        <v>500</v>
      </c>
      <c r="K123" s="415" t="s">
        <v>397</v>
      </c>
      <c r="L123" s="298" t="s">
        <v>499</v>
      </c>
      <c r="M123" s="298" t="s">
        <v>498</v>
      </c>
      <c r="N123" s="298" t="s">
        <v>497</v>
      </c>
      <c r="O123" s="417" t="s">
        <v>397</v>
      </c>
    </row>
    <row r="124" spans="1:15" ht="18" customHeight="1">
      <c r="A124" s="291" t="s">
        <v>397</v>
      </c>
      <c r="B124" s="295" t="s">
        <v>483</v>
      </c>
      <c r="C124" s="296" t="s">
        <v>675</v>
      </c>
      <c r="D124" s="295" t="s">
        <v>528</v>
      </c>
      <c r="E124" s="418">
        <v>58.86</v>
      </c>
      <c r="F124" s="418" t="s">
        <v>397</v>
      </c>
      <c r="G124" s="290">
        <v>192</v>
      </c>
      <c r="H124" s="290">
        <v>11301.12</v>
      </c>
      <c r="I124" s="290" t="s">
        <v>397</v>
      </c>
      <c r="J124" s="418" t="s">
        <v>397</v>
      </c>
      <c r="K124" s="418" t="s">
        <v>397</v>
      </c>
      <c r="L124" s="290" t="s">
        <v>397</v>
      </c>
      <c r="M124" s="290">
        <v>11301.12</v>
      </c>
      <c r="N124" s="290" t="s">
        <v>397</v>
      </c>
      <c r="O124" s="289" t="s">
        <v>397</v>
      </c>
    </row>
    <row r="125" spans="1:15" ht="29.25" customHeight="1">
      <c r="A125" s="291">
        <v>12</v>
      </c>
      <c r="B125" s="295" t="s">
        <v>677</v>
      </c>
      <c r="C125" s="296" t="s">
        <v>676</v>
      </c>
      <c r="D125" s="295" t="s">
        <v>530</v>
      </c>
      <c r="E125" s="418">
        <v>15</v>
      </c>
      <c r="F125" s="418" t="s">
        <v>397</v>
      </c>
      <c r="G125" s="290">
        <v>1576.99</v>
      </c>
      <c r="H125" s="290">
        <v>23654.85</v>
      </c>
      <c r="I125" s="290">
        <v>11053.5</v>
      </c>
      <c r="J125" s="418">
        <v>2590.9499999999998</v>
      </c>
      <c r="K125" s="418" t="s">
        <v>397</v>
      </c>
      <c r="L125" s="290">
        <v>10010.4</v>
      </c>
      <c r="M125" s="290">
        <v>30901.5</v>
      </c>
      <c r="N125" s="290" t="s">
        <v>397</v>
      </c>
      <c r="O125" s="289">
        <v>134.14500000000001</v>
      </c>
    </row>
    <row r="126" spans="1:15" ht="18" customHeight="1">
      <c r="A126" s="291" t="s">
        <v>397</v>
      </c>
      <c r="B126" s="295" t="s">
        <v>483</v>
      </c>
      <c r="C126" s="296" t="s">
        <v>675</v>
      </c>
      <c r="D126" s="295" t="s">
        <v>528</v>
      </c>
      <c r="E126" s="418">
        <v>147.15</v>
      </c>
      <c r="F126" s="418" t="s">
        <v>397</v>
      </c>
      <c r="G126" s="290">
        <v>210</v>
      </c>
      <c r="H126" s="290">
        <v>30901.5</v>
      </c>
      <c r="I126" s="290" t="s">
        <v>397</v>
      </c>
      <c r="J126" s="418" t="s">
        <v>397</v>
      </c>
      <c r="K126" s="418" t="s">
        <v>397</v>
      </c>
      <c r="L126" s="290" t="s">
        <v>397</v>
      </c>
      <c r="M126" s="290">
        <v>30901.5</v>
      </c>
      <c r="N126" s="290" t="s">
        <v>397</v>
      </c>
      <c r="O126" s="289" t="s">
        <v>397</v>
      </c>
    </row>
    <row r="127" spans="1:15" ht="16.5" customHeight="1">
      <c r="A127" s="291" t="s">
        <v>397</v>
      </c>
      <c r="B127" s="295" t="s">
        <v>674</v>
      </c>
      <c r="C127" s="297" t="s">
        <v>673</v>
      </c>
      <c r="D127" s="295" t="s">
        <v>397</v>
      </c>
      <c r="E127" s="418" t="s">
        <v>397</v>
      </c>
      <c r="F127" s="418" t="s">
        <v>397</v>
      </c>
      <c r="G127" s="290" t="s">
        <v>397</v>
      </c>
      <c r="H127" s="290">
        <v>167890.65</v>
      </c>
      <c r="I127" s="290">
        <v>70384.149999999994</v>
      </c>
      <c r="J127" s="418">
        <v>83830.3</v>
      </c>
      <c r="K127" s="418" t="s">
        <v>397</v>
      </c>
      <c r="L127" s="290">
        <v>13676.2</v>
      </c>
      <c r="M127" s="290">
        <v>1058800</v>
      </c>
      <c r="N127" s="290" t="s">
        <v>397</v>
      </c>
      <c r="O127" s="289">
        <v>853.9</v>
      </c>
    </row>
    <row r="128" spans="1:15" ht="18" customHeight="1">
      <c r="A128" s="291">
        <v>1</v>
      </c>
      <c r="B128" s="295" t="s">
        <v>672</v>
      </c>
      <c r="C128" s="296" t="s">
        <v>671</v>
      </c>
      <c r="D128" s="295" t="s">
        <v>474</v>
      </c>
      <c r="E128" s="418">
        <v>305</v>
      </c>
      <c r="F128" s="418" t="s">
        <v>397</v>
      </c>
      <c r="G128" s="290">
        <v>190.41</v>
      </c>
      <c r="H128" s="290">
        <v>58075.05</v>
      </c>
      <c r="I128" s="290">
        <v>16238.2</v>
      </c>
      <c r="J128" s="418">
        <v>34998.75</v>
      </c>
      <c r="K128" s="418" t="s">
        <v>397</v>
      </c>
      <c r="L128" s="290">
        <v>6838.1</v>
      </c>
      <c r="M128" s="290">
        <v>457500</v>
      </c>
      <c r="N128" s="290" t="s">
        <v>397</v>
      </c>
      <c r="O128" s="289">
        <v>197.03</v>
      </c>
    </row>
    <row r="129" spans="1:15" ht="18" customHeight="1">
      <c r="A129" s="291" t="s">
        <v>397</v>
      </c>
      <c r="B129" s="295" t="s">
        <v>483</v>
      </c>
      <c r="C129" s="296" t="s">
        <v>671</v>
      </c>
      <c r="D129" s="295" t="s">
        <v>474</v>
      </c>
      <c r="E129" s="418">
        <v>305</v>
      </c>
      <c r="F129" s="418" t="s">
        <v>397</v>
      </c>
      <c r="G129" s="290">
        <v>1500</v>
      </c>
      <c r="H129" s="290">
        <v>457500</v>
      </c>
      <c r="I129" s="290" t="s">
        <v>397</v>
      </c>
      <c r="J129" s="418" t="s">
        <v>397</v>
      </c>
      <c r="K129" s="418" t="s">
        <v>397</v>
      </c>
      <c r="L129" s="290" t="s">
        <v>397</v>
      </c>
      <c r="M129" s="290">
        <v>457500</v>
      </c>
      <c r="N129" s="290" t="s">
        <v>397</v>
      </c>
      <c r="O129" s="289" t="s">
        <v>397</v>
      </c>
    </row>
    <row r="130" spans="1:15" ht="18" customHeight="1">
      <c r="A130" s="291">
        <v>2</v>
      </c>
      <c r="B130" s="295" t="s">
        <v>670</v>
      </c>
      <c r="C130" s="296" t="s">
        <v>669</v>
      </c>
      <c r="D130" s="295" t="s">
        <v>474</v>
      </c>
      <c r="E130" s="418">
        <v>510</v>
      </c>
      <c r="F130" s="418" t="s">
        <v>397</v>
      </c>
      <c r="G130" s="290">
        <v>92.93</v>
      </c>
      <c r="H130" s="290">
        <v>47394.3</v>
      </c>
      <c r="I130" s="290">
        <v>33384.6</v>
      </c>
      <c r="J130" s="418">
        <v>14009.7</v>
      </c>
      <c r="K130" s="418" t="s">
        <v>397</v>
      </c>
      <c r="L130" s="290" t="s">
        <v>397</v>
      </c>
      <c r="M130" s="290">
        <v>448800</v>
      </c>
      <c r="N130" s="290" t="s">
        <v>397</v>
      </c>
      <c r="O130" s="289">
        <v>404.94</v>
      </c>
    </row>
    <row r="131" spans="1:15" ht="18" customHeight="1">
      <c r="A131" s="291" t="s">
        <v>397</v>
      </c>
      <c r="B131" s="295" t="s">
        <v>483</v>
      </c>
      <c r="C131" s="296" t="s">
        <v>669</v>
      </c>
      <c r="D131" s="295" t="s">
        <v>474</v>
      </c>
      <c r="E131" s="418">
        <v>510</v>
      </c>
      <c r="F131" s="418" t="s">
        <v>397</v>
      </c>
      <c r="G131" s="290">
        <v>880</v>
      </c>
      <c r="H131" s="290">
        <v>448800</v>
      </c>
      <c r="I131" s="290" t="s">
        <v>397</v>
      </c>
      <c r="J131" s="418" t="s">
        <v>397</v>
      </c>
      <c r="K131" s="418" t="s">
        <v>397</v>
      </c>
      <c r="L131" s="290" t="s">
        <v>397</v>
      </c>
      <c r="M131" s="290">
        <v>448800</v>
      </c>
      <c r="N131" s="290" t="s">
        <v>397</v>
      </c>
      <c r="O131" s="289" t="s">
        <v>397</v>
      </c>
    </row>
    <row r="132" spans="1:15" ht="29.25" customHeight="1">
      <c r="A132" s="291">
        <v>3</v>
      </c>
      <c r="B132" s="295" t="s">
        <v>668</v>
      </c>
      <c r="C132" s="296" t="s">
        <v>667</v>
      </c>
      <c r="D132" s="295" t="s">
        <v>474</v>
      </c>
      <c r="E132" s="418">
        <v>305</v>
      </c>
      <c r="F132" s="418" t="s">
        <v>397</v>
      </c>
      <c r="G132" s="290">
        <v>204.66</v>
      </c>
      <c r="H132" s="290">
        <v>62421.3</v>
      </c>
      <c r="I132" s="290">
        <v>20761.349999999999</v>
      </c>
      <c r="J132" s="418">
        <v>34821.85</v>
      </c>
      <c r="K132" s="418" t="s">
        <v>397</v>
      </c>
      <c r="L132" s="290">
        <v>6838.1</v>
      </c>
      <c r="M132" s="290">
        <v>152500</v>
      </c>
      <c r="N132" s="290" t="s">
        <v>397</v>
      </c>
      <c r="O132" s="289">
        <v>251.93</v>
      </c>
    </row>
    <row r="133" spans="1:15" ht="18" customHeight="1">
      <c r="A133" s="291" t="s">
        <v>397</v>
      </c>
      <c r="B133" s="295" t="s">
        <v>483</v>
      </c>
      <c r="C133" s="296" t="s">
        <v>666</v>
      </c>
      <c r="D133" s="295" t="s">
        <v>474</v>
      </c>
      <c r="E133" s="418">
        <v>305</v>
      </c>
      <c r="F133" s="418" t="s">
        <v>397</v>
      </c>
      <c r="G133" s="290">
        <v>500</v>
      </c>
      <c r="H133" s="290">
        <v>152500</v>
      </c>
      <c r="I133" s="290" t="s">
        <v>397</v>
      </c>
      <c r="J133" s="418" t="s">
        <v>397</v>
      </c>
      <c r="K133" s="418" t="s">
        <v>397</v>
      </c>
      <c r="L133" s="290" t="s">
        <v>397</v>
      </c>
      <c r="M133" s="290">
        <v>152500</v>
      </c>
      <c r="N133" s="290" t="s">
        <v>397</v>
      </c>
      <c r="O133" s="289" t="s">
        <v>397</v>
      </c>
    </row>
    <row r="134" spans="1:15" ht="16.5" customHeight="1">
      <c r="A134" s="291" t="s">
        <v>397</v>
      </c>
      <c r="B134" s="295" t="s">
        <v>527</v>
      </c>
      <c r="C134" s="297" t="s">
        <v>526</v>
      </c>
      <c r="D134" s="295" t="s">
        <v>397</v>
      </c>
      <c r="E134" s="418" t="s">
        <v>397</v>
      </c>
      <c r="F134" s="418" t="s">
        <v>397</v>
      </c>
      <c r="G134" s="290" t="s">
        <v>397</v>
      </c>
      <c r="H134" s="290">
        <v>260.52</v>
      </c>
      <c r="I134" s="290">
        <v>185.32</v>
      </c>
      <c r="J134" s="418">
        <v>1.48</v>
      </c>
      <c r="K134" s="418" t="s">
        <v>397</v>
      </c>
      <c r="L134" s="290">
        <v>73.72</v>
      </c>
      <c r="M134" s="290">
        <v>5000</v>
      </c>
      <c r="N134" s="290" t="s">
        <v>397</v>
      </c>
      <c r="O134" s="289">
        <v>2.25</v>
      </c>
    </row>
    <row r="135" spans="1:15" ht="18" customHeight="1">
      <c r="A135" s="291">
        <v>1</v>
      </c>
      <c r="B135" s="295" t="s">
        <v>663</v>
      </c>
      <c r="C135" s="296" t="s">
        <v>665</v>
      </c>
      <c r="D135" s="295" t="s">
        <v>474</v>
      </c>
      <c r="E135" s="418">
        <v>1</v>
      </c>
      <c r="F135" s="418" t="s">
        <v>397</v>
      </c>
      <c r="G135" s="290">
        <v>130.26</v>
      </c>
      <c r="H135" s="290">
        <v>130.26</v>
      </c>
      <c r="I135" s="290">
        <v>92.66</v>
      </c>
      <c r="J135" s="418">
        <v>0.74</v>
      </c>
      <c r="K135" s="418" t="s">
        <v>397</v>
      </c>
      <c r="L135" s="290">
        <v>36.86</v>
      </c>
      <c r="M135" s="290">
        <v>2500</v>
      </c>
      <c r="N135" s="290" t="s">
        <v>397</v>
      </c>
      <c r="O135" s="289">
        <v>1.125</v>
      </c>
    </row>
    <row r="136" spans="1:15" ht="18" customHeight="1">
      <c r="A136" s="291" t="s">
        <v>397</v>
      </c>
      <c r="B136" s="295" t="s">
        <v>483</v>
      </c>
      <c r="C136" s="296" t="s">
        <v>664</v>
      </c>
      <c r="D136" s="295" t="s">
        <v>474</v>
      </c>
      <c r="E136" s="418">
        <v>1</v>
      </c>
      <c r="F136" s="418" t="s">
        <v>397</v>
      </c>
      <c r="G136" s="290">
        <v>2500</v>
      </c>
      <c r="H136" s="290">
        <v>2500</v>
      </c>
      <c r="I136" s="290" t="s">
        <v>397</v>
      </c>
      <c r="J136" s="418" t="s">
        <v>397</v>
      </c>
      <c r="K136" s="418" t="s">
        <v>397</v>
      </c>
      <c r="L136" s="290" t="s">
        <v>397</v>
      </c>
      <c r="M136" s="290">
        <v>2500</v>
      </c>
      <c r="N136" s="290" t="s">
        <v>397</v>
      </c>
      <c r="O136" s="289" t="s">
        <v>397</v>
      </c>
    </row>
    <row r="137" spans="1:15" ht="18" customHeight="1">
      <c r="A137" s="291">
        <v>2</v>
      </c>
      <c r="B137" s="295" t="s">
        <v>663</v>
      </c>
      <c r="C137" s="296" t="s">
        <v>662</v>
      </c>
      <c r="D137" s="295" t="s">
        <v>474</v>
      </c>
      <c r="E137" s="418">
        <v>1</v>
      </c>
      <c r="F137" s="418" t="s">
        <v>397</v>
      </c>
      <c r="G137" s="290">
        <v>130.26</v>
      </c>
      <c r="H137" s="290">
        <v>130.26</v>
      </c>
      <c r="I137" s="290">
        <v>92.66</v>
      </c>
      <c r="J137" s="418">
        <v>0.74</v>
      </c>
      <c r="K137" s="418" t="s">
        <v>397</v>
      </c>
      <c r="L137" s="290">
        <v>36.86</v>
      </c>
      <c r="M137" s="290">
        <v>2500</v>
      </c>
      <c r="N137" s="290" t="s">
        <v>397</v>
      </c>
      <c r="O137" s="289">
        <v>1.125</v>
      </c>
    </row>
    <row r="138" spans="1:15" ht="18" customHeight="1">
      <c r="A138" s="291" t="s">
        <v>397</v>
      </c>
      <c r="B138" s="295" t="s">
        <v>483</v>
      </c>
      <c r="C138" s="296" t="s">
        <v>661</v>
      </c>
      <c r="D138" s="295" t="s">
        <v>474</v>
      </c>
      <c r="E138" s="418">
        <v>1</v>
      </c>
      <c r="F138" s="418" t="s">
        <v>397</v>
      </c>
      <c r="G138" s="290">
        <v>2500</v>
      </c>
      <c r="H138" s="290">
        <v>2500</v>
      </c>
      <c r="I138" s="290" t="s">
        <v>397</v>
      </c>
      <c r="J138" s="418" t="s">
        <v>397</v>
      </c>
      <c r="K138" s="418" t="s">
        <v>397</v>
      </c>
      <c r="L138" s="290" t="s">
        <v>397</v>
      </c>
      <c r="M138" s="290">
        <v>2500</v>
      </c>
      <c r="N138" s="290" t="s">
        <v>397</v>
      </c>
      <c r="O138" s="289" t="s">
        <v>397</v>
      </c>
    </row>
    <row r="139" spans="1:15" ht="18" customHeight="1">
      <c r="A139" s="291" t="s">
        <v>397</v>
      </c>
      <c r="B139" s="295" t="s">
        <v>397</v>
      </c>
      <c r="C139" s="296" t="s">
        <v>397</v>
      </c>
      <c r="D139" s="295" t="s">
        <v>397</v>
      </c>
      <c r="E139" s="418" t="s">
        <v>397</v>
      </c>
      <c r="F139" s="418" t="s">
        <v>397</v>
      </c>
      <c r="G139" s="290" t="s">
        <v>397</v>
      </c>
      <c r="H139" s="290" t="s">
        <v>397</v>
      </c>
      <c r="I139" s="290" t="s">
        <v>397</v>
      </c>
      <c r="J139" s="418" t="s">
        <v>397</v>
      </c>
      <c r="K139" s="418" t="s">
        <v>397</v>
      </c>
      <c r="L139" s="290" t="s">
        <v>397</v>
      </c>
      <c r="M139" s="290" t="s">
        <v>397</v>
      </c>
      <c r="N139" s="290" t="s">
        <v>397</v>
      </c>
      <c r="O139" s="289" t="s">
        <v>397</v>
      </c>
    </row>
    <row r="140" spans="1:15" ht="18" customHeight="1">
      <c r="A140" s="291" t="s">
        <v>397</v>
      </c>
      <c r="B140" s="295" t="s">
        <v>397</v>
      </c>
      <c r="C140" s="296" t="s">
        <v>397</v>
      </c>
      <c r="D140" s="295" t="s">
        <v>397</v>
      </c>
      <c r="E140" s="418" t="s">
        <v>397</v>
      </c>
      <c r="F140" s="418" t="s">
        <v>397</v>
      </c>
      <c r="G140" s="290" t="s">
        <v>397</v>
      </c>
      <c r="H140" s="290" t="s">
        <v>397</v>
      </c>
      <c r="I140" s="290" t="s">
        <v>397</v>
      </c>
      <c r="J140" s="418" t="s">
        <v>397</v>
      </c>
      <c r="K140" s="418" t="s">
        <v>397</v>
      </c>
      <c r="L140" s="290" t="s">
        <v>397</v>
      </c>
      <c r="M140" s="290" t="s">
        <v>397</v>
      </c>
      <c r="N140" s="290" t="s">
        <v>397</v>
      </c>
      <c r="O140" s="289" t="s">
        <v>397</v>
      </c>
    </row>
    <row r="141" spans="1:15" ht="18" customHeight="1">
      <c r="A141" s="291" t="s">
        <v>397</v>
      </c>
      <c r="B141" s="295" t="s">
        <v>397</v>
      </c>
      <c r="C141" s="296" t="s">
        <v>397</v>
      </c>
      <c r="D141" s="295" t="s">
        <v>397</v>
      </c>
      <c r="E141" s="418" t="s">
        <v>397</v>
      </c>
      <c r="F141" s="418" t="s">
        <v>397</v>
      </c>
      <c r="G141" s="290" t="s">
        <v>397</v>
      </c>
      <c r="H141" s="290" t="s">
        <v>397</v>
      </c>
      <c r="I141" s="290" t="s">
        <v>397</v>
      </c>
      <c r="J141" s="418" t="s">
        <v>397</v>
      </c>
      <c r="K141" s="418" t="s">
        <v>397</v>
      </c>
      <c r="L141" s="290" t="s">
        <v>397</v>
      </c>
      <c r="M141" s="290" t="s">
        <v>397</v>
      </c>
      <c r="N141" s="290" t="s">
        <v>397</v>
      </c>
      <c r="O141" s="289" t="s">
        <v>397</v>
      </c>
    </row>
    <row r="142" spans="1:15" ht="29.25" customHeight="1" thickBot="1">
      <c r="A142" s="420" t="s">
        <v>473</v>
      </c>
      <c r="B142" s="421" t="s">
        <v>397</v>
      </c>
      <c r="C142" s="421" t="s">
        <v>397</v>
      </c>
      <c r="D142" s="421" t="s">
        <v>397</v>
      </c>
      <c r="E142" s="421" t="s">
        <v>397</v>
      </c>
      <c r="F142" s="421" t="s">
        <v>397</v>
      </c>
      <c r="G142" s="421" t="s">
        <v>397</v>
      </c>
      <c r="H142" s="287">
        <v>2230017.62</v>
      </c>
      <c r="I142" s="287">
        <v>427991.63</v>
      </c>
      <c r="J142" s="419">
        <v>241775.43</v>
      </c>
      <c r="K142" s="419" t="s">
        <v>397</v>
      </c>
      <c r="L142" s="287">
        <v>61513.95</v>
      </c>
      <c r="M142" s="287">
        <v>1498736.61</v>
      </c>
      <c r="N142" s="287" t="s">
        <v>397</v>
      </c>
      <c r="O142" s="286">
        <v>5053.8159999999998</v>
      </c>
    </row>
    <row r="143" spans="1:15" ht="16.5" customHeight="1">
      <c r="A143" s="412" t="s">
        <v>400</v>
      </c>
      <c r="B143" s="412" t="s">
        <v>397</v>
      </c>
      <c r="C143" s="412" t="s">
        <v>397</v>
      </c>
      <c r="D143" s="412" t="s">
        <v>397</v>
      </c>
      <c r="E143" s="412" t="s">
        <v>397</v>
      </c>
      <c r="F143" s="404" t="s">
        <v>399</v>
      </c>
      <c r="G143" s="404" t="s">
        <v>397</v>
      </c>
      <c r="H143" s="404" t="s">
        <v>397</v>
      </c>
      <c r="I143" s="404" t="s">
        <v>397</v>
      </c>
      <c r="J143" s="404" t="s">
        <v>397</v>
      </c>
      <c r="K143" s="405" t="s">
        <v>398</v>
      </c>
      <c r="L143" s="405" t="s">
        <v>397</v>
      </c>
      <c r="M143" s="405" t="s">
        <v>397</v>
      </c>
      <c r="N143" s="405" t="s">
        <v>397</v>
      </c>
      <c r="O143" s="405" t="s">
        <v>397</v>
      </c>
    </row>
  </sheetData>
  <mergeCells count="322">
    <mergeCell ref="E139:F139"/>
    <mergeCell ref="J139:K139"/>
    <mergeCell ref="E140:F140"/>
    <mergeCell ref="J140:K140"/>
    <mergeCell ref="E141:F141"/>
    <mergeCell ref="J141:K141"/>
    <mergeCell ref="A142:G142"/>
    <mergeCell ref="J142:K142"/>
    <mergeCell ref="A143:E143"/>
    <mergeCell ref="F143:J143"/>
    <mergeCell ref="K143:O143"/>
    <mergeCell ref="E134:F134"/>
    <mergeCell ref="J134:K134"/>
    <mergeCell ref="E135:F135"/>
    <mergeCell ref="J135:K135"/>
    <mergeCell ref="E136:F136"/>
    <mergeCell ref="J136:K136"/>
    <mergeCell ref="E137:F137"/>
    <mergeCell ref="J137:K137"/>
    <mergeCell ref="E138:F138"/>
    <mergeCell ref="J138:K138"/>
    <mergeCell ref="E129:F129"/>
    <mergeCell ref="J129:K129"/>
    <mergeCell ref="E130:F130"/>
    <mergeCell ref="J130:K130"/>
    <mergeCell ref="E131:F131"/>
    <mergeCell ref="J131:K131"/>
    <mergeCell ref="E132:F132"/>
    <mergeCell ref="J132:K132"/>
    <mergeCell ref="E133:F133"/>
    <mergeCell ref="J133:K133"/>
    <mergeCell ref="E124:F124"/>
    <mergeCell ref="J124:K124"/>
    <mergeCell ref="E125:F125"/>
    <mergeCell ref="J125:K125"/>
    <mergeCell ref="E126:F126"/>
    <mergeCell ref="J126:K126"/>
    <mergeCell ref="E127:F127"/>
    <mergeCell ref="J127:K127"/>
    <mergeCell ref="E128:F128"/>
    <mergeCell ref="J128:K128"/>
    <mergeCell ref="A121:J121"/>
    <mergeCell ref="K121:O121"/>
    <mergeCell ref="A122:A123"/>
    <mergeCell ref="B122:B123"/>
    <mergeCell ref="C122:C123"/>
    <mergeCell ref="D122:F122"/>
    <mergeCell ref="G122:H122"/>
    <mergeCell ref="I122:N122"/>
    <mergeCell ref="O122:O123"/>
    <mergeCell ref="E123:F123"/>
    <mergeCell ref="J123:K123"/>
    <mergeCell ref="E117:F117"/>
    <mergeCell ref="J117:K117"/>
    <mergeCell ref="A118:E118"/>
    <mergeCell ref="F118:J118"/>
    <mergeCell ref="K118:O118"/>
    <mergeCell ref="A119:E119"/>
    <mergeCell ref="F119:J119"/>
    <mergeCell ref="K119:O119"/>
    <mergeCell ref="A120:O120"/>
    <mergeCell ref="E112:F112"/>
    <mergeCell ref="J112:K112"/>
    <mergeCell ref="E113:F113"/>
    <mergeCell ref="J113:K113"/>
    <mergeCell ref="E114:F114"/>
    <mergeCell ref="J114:K114"/>
    <mergeCell ref="E115:F115"/>
    <mergeCell ref="J115:K115"/>
    <mergeCell ref="E116:F116"/>
    <mergeCell ref="J116:K116"/>
    <mergeCell ref="E107:F107"/>
    <mergeCell ref="J107:K107"/>
    <mergeCell ref="E108:F108"/>
    <mergeCell ref="J108:K108"/>
    <mergeCell ref="E109:F109"/>
    <mergeCell ref="J109:K109"/>
    <mergeCell ref="E110:F110"/>
    <mergeCell ref="J110:K110"/>
    <mergeCell ref="E111:F111"/>
    <mergeCell ref="J111:K111"/>
    <mergeCell ref="E102:F102"/>
    <mergeCell ref="J102:K102"/>
    <mergeCell ref="E103:F103"/>
    <mergeCell ref="J103:K103"/>
    <mergeCell ref="E104:F104"/>
    <mergeCell ref="J104:K104"/>
    <mergeCell ref="E105:F105"/>
    <mergeCell ref="J105:K105"/>
    <mergeCell ref="E106:F106"/>
    <mergeCell ref="J106:K106"/>
    <mergeCell ref="A98:O98"/>
    <mergeCell ref="A99:J99"/>
    <mergeCell ref="K99:O99"/>
    <mergeCell ref="A100:A101"/>
    <mergeCell ref="B100:B101"/>
    <mergeCell ref="C100:C101"/>
    <mergeCell ref="D100:F100"/>
    <mergeCell ref="G100:H100"/>
    <mergeCell ref="I100:N100"/>
    <mergeCell ref="O100:O101"/>
    <mergeCell ref="E101:F101"/>
    <mergeCell ref="J101:K101"/>
    <mergeCell ref="E94:F94"/>
    <mergeCell ref="J94:K94"/>
    <mergeCell ref="E95:F95"/>
    <mergeCell ref="J95:K95"/>
    <mergeCell ref="A96:E96"/>
    <mergeCell ref="F96:J96"/>
    <mergeCell ref="K96:O96"/>
    <mergeCell ref="A97:E97"/>
    <mergeCell ref="F97:J97"/>
    <mergeCell ref="K97:O97"/>
    <mergeCell ref="E89:F89"/>
    <mergeCell ref="J89:K89"/>
    <mergeCell ref="E90:F90"/>
    <mergeCell ref="J90:K90"/>
    <mergeCell ref="E91:F91"/>
    <mergeCell ref="J91:K91"/>
    <mergeCell ref="E92:F92"/>
    <mergeCell ref="J92:K92"/>
    <mergeCell ref="E93:F93"/>
    <mergeCell ref="J93:K93"/>
    <mergeCell ref="E84:F84"/>
    <mergeCell ref="J84:K84"/>
    <mergeCell ref="E85:F85"/>
    <mergeCell ref="J85:K85"/>
    <mergeCell ref="E86:F86"/>
    <mergeCell ref="J86:K86"/>
    <mergeCell ref="E87:F87"/>
    <mergeCell ref="J87:K87"/>
    <mergeCell ref="E88:F88"/>
    <mergeCell ref="J88:K88"/>
    <mergeCell ref="E79:F79"/>
    <mergeCell ref="J79:K79"/>
    <mergeCell ref="E80:F80"/>
    <mergeCell ref="J80:K80"/>
    <mergeCell ref="E81:F81"/>
    <mergeCell ref="J81:K81"/>
    <mergeCell ref="E82:F82"/>
    <mergeCell ref="J82:K82"/>
    <mergeCell ref="E83:F83"/>
    <mergeCell ref="J83:K83"/>
    <mergeCell ref="A75:O75"/>
    <mergeCell ref="A76:J76"/>
    <mergeCell ref="K76:O76"/>
    <mergeCell ref="A77:A78"/>
    <mergeCell ref="B77:B78"/>
    <mergeCell ref="C77:C78"/>
    <mergeCell ref="D77:F77"/>
    <mergeCell ref="G77:H77"/>
    <mergeCell ref="I77:N77"/>
    <mergeCell ref="O77:O78"/>
    <mergeCell ref="E78:F78"/>
    <mergeCell ref="J78:K78"/>
    <mergeCell ref="E71:F71"/>
    <mergeCell ref="J71:K71"/>
    <mergeCell ref="E72:F72"/>
    <mergeCell ref="J72:K72"/>
    <mergeCell ref="A73:E73"/>
    <mergeCell ref="F73:J73"/>
    <mergeCell ref="K73:O73"/>
    <mergeCell ref="A74:E74"/>
    <mergeCell ref="F74:J74"/>
    <mergeCell ref="K74:O74"/>
    <mergeCell ref="E66:F66"/>
    <mergeCell ref="J66:K66"/>
    <mergeCell ref="E67:F67"/>
    <mergeCell ref="J67:K67"/>
    <mergeCell ref="E68:F68"/>
    <mergeCell ref="J68:K68"/>
    <mergeCell ref="E69:F69"/>
    <mergeCell ref="J69:K69"/>
    <mergeCell ref="E70:F70"/>
    <mergeCell ref="J70:K70"/>
    <mergeCell ref="E61:F61"/>
    <mergeCell ref="J61:K61"/>
    <mergeCell ref="E62:F62"/>
    <mergeCell ref="J62:K62"/>
    <mergeCell ref="E63:F63"/>
    <mergeCell ref="J63:K63"/>
    <mergeCell ref="E64:F64"/>
    <mergeCell ref="J64:K64"/>
    <mergeCell ref="E65:F65"/>
    <mergeCell ref="J65:K65"/>
    <mergeCell ref="E56:F56"/>
    <mergeCell ref="J56:K56"/>
    <mergeCell ref="E57:F57"/>
    <mergeCell ref="J57:K57"/>
    <mergeCell ref="E58:F58"/>
    <mergeCell ref="J58:K58"/>
    <mergeCell ref="E59:F59"/>
    <mergeCell ref="J59:K59"/>
    <mergeCell ref="E60:F60"/>
    <mergeCell ref="J60:K60"/>
    <mergeCell ref="A53:J53"/>
    <mergeCell ref="K53:O53"/>
    <mergeCell ref="A54:A55"/>
    <mergeCell ref="B54:B55"/>
    <mergeCell ref="C54:C55"/>
    <mergeCell ref="D54:F54"/>
    <mergeCell ref="G54:H54"/>
    <mergeCell ref="I54:N54"/>
    <mergeCell ref="O54:O55"/>
    <mergeCell ref="E55:F55"/>
    <mergeCell ref="J55:K55"/>
    <mergeCell ref="E49:F49"/>
    <mergeCell ref="J49:K49"/>
    <mergeCell ref="A50:E50"/>
    <mergeCell ref="F50:J50"/>
    <mergeCell ref="K50:O50"/>
    <mergeCell ref="A51:E51"/>
    <mergeCell ref="F51:J51"/>
    <mergeCell ref="K51:O51"/>
    <mergeCell ref="A52:O52"/>
    <mergeCell ref="E44:F44"/>
    <mergeCell ref="J44:K44"/>
    <mergeCell ref="E45:F45"/>
    <mergeCell ref="J45:K45"/>
    <mergeCell ref="E46:F46"/>
    <mergeCell ref="J46:K46"/>
    <mergeCell ref="E47:F47"/>
    <mergeCell ref="J47:K47"/>
    <mergeCell ref="E48:F48"/>
    <mergeCell ref="J48:K48"/>
    <mergeCell ref="E39:F39"/>
    <mergeCell ref="J39:K39"/>
    <mergeCell ref="E40:F40"/>
    <mergeCell ref="J40:K40"/>
    <mergeCell ref="E41:F41"/>
    <mergeCell ref="J41:K41"/>
    <mergeCell ref="E42:F42"/>
    <mergeCell ref="J42:K42"/>
    <mergeCell ref="E43:F43"/>
    <mergeCell ref="J43:K43"/>
    <mergeCell ref="E34:F34"/>
    <mergeCell ref="J34:K34"/>
    <mergeCell ref="E35:F35"/>
    <mergeCell ref="J35:K35"/>
    <mergeCell ref="E36:F36"/>
    <mergeCell ref="J36:K36"/>
    <mergeCell ref="E37:F37"/>
    <mergeCell ref="J37:K37"/>
    <mergeCell ref="E38:F38"/>
    <mergeCell ref="J38:K38"/>
    <mergeCell ref="E29:F29"/>
    <mergeCell ref="J29:K29"/>
    <mergeCell ref="E30:F30"/>
    <mergeCell ref="J30:K30"/>
    <mergeCell ref="E31:F31"/>
    <mergeCell ref="J31:K31"/>
    <mergeCell ref="E32:F32"/>
    <mergeCell ref="J32:K32"/>
    <mergeCell ref="E33:F33"/>
    <mergeCell ref="J33:K33"/>
    <mergeCell ref="A25:O25"/>
    <mergeCell ref="A26:J26"/>
    <mergeCell ref="K26:O26"/>
    <mergeCell ref="A27:A28"/>
    <mergeCell ref="B27:B28"/>
    <mergeCell ref="C27:C28"/>
    <mergeCell ref="D27:F27"/>
    <mergeCell ref="G27:H27"/>
    <mergeCell ref="I27:N27"/>
    <mergeCell ref="O27:O28"/>
    <mergeCell ref="E28:F28"/>
    <mergeCell ref="J28:K28"/>
    <mergeCell ref="E21:F21"/>
    <mergeCell ref="J21:K21"/>
    <mergeCell ref="E22:F22"/>
    <mergeCell ref="J22:K22"/>
    <mergeCell ref="A23:E23"/>
    <mergeCell ref="F23:J23"/>
    <mergeCell ref="K23:O23"/>
    <mergeCell ref="A24:E24"/>
    <mergeCell ref="F24:J24"/>
    <mergeCell ref="K24:O24"/>
    <mergeCell ref="E16:F16"/>
    <mergeCell ref="J16:K16"/>
    <mergeCell ref="E17:F17"/>
    <mergeCell ref="J17:K17"/>
    <mergeCell ref="E18:F18"/>
    <mergeCell ref="J18:K18"/>
    <mergeCell ref="E19:F19"/>
    <mergeCell ref="J19:K19"/>
    <mergeCell ref="E20:F20"/>
    <mergeCell ref="J20:K20"/>
    <mergeCell ref="E11:F11"/>
    <mergeCell ref="J11:K11"/>
    <mergeCell ref="E12:F12"/>
    <mergeCell ref="J12:K12"/>
    <mergeCell ref="E13:F13"/>
    <mergeCell ref="J13:K13"/>
    <mergeCell ref="E14:F14"/>
    <mergeCell ref="J14:K14"/>
    <mergeCell ref="E15:F15"/>
    <mergeCell ref="J15:K15"/>
    <mergeCell ref="E6:F6"/>
    <mergeCell ref="J6:K6"/>
    <mergeCell ref="E7:F7"/>
    <mergeCell ref="J7:K7"/>
    <mergeCell ref="E8:F8"/>
    <mergeCell ref="J8:K8"/>
    <mergeCell ref="E9:F9"/>
    <mergeCell ref="J9:K9"/>
    <mergeCell ref="E10:F10"/>
    <mergeCell ref="J10:K10"/>
    <mergeCell ref="A1:E1"/>
    <mergeCell ref="F1:J1"/>
    <mergeCell ref="K1:O1"/>
    <mergeCell ref="A2:O2"/>
    <mergeCell ref="A3:J3"/>
    <mergeCell ref="K3:O3"/>
    <mergeCell ref="A4:A5"/>
    <mergeCell ref="B4:B5"/>
    <mergeCell ref="C4:C5"/>
    <mergeCell ref="D4:F4"/>
    <mergeCell ref="G4:H4"/>
    <mergeCell ref="I4:N4"/>
    <mergeCell ref="O4:O5"/>
    <mergeCell ref="E5:F5"/>
    <mergeCell ref="J5:K5"/>
  </mergeCells>
  <phoneticPr fontId="34" type="noConversion"/>
  <pageMargins left="0.51181102362204722" right="0.51181102362204722" top="0.59055118110236227" bottom="0.59055118110236227" header="0.59055118110236227" footer="0.59055118110236227"/>
  <pageSetup paperSize="9" scale="97" orientation="landscape" r:id="rId1"/>
  <headerFooter alignWithMargins="0"/>
  <rowBreaks count="5" manualBreakCount="5">
    <brk id="23" min="1" max="256" man="1"/>
    <brk id="50" min="1" max="256" man="1"/>
    <brk id="73" min="1" max="256" man="1"/>
    <brk id="96" min="1" max="256" man="1"/>
    <brk id="118" min="1" max="256" man="1"/>
  </rowBreaks>
</worksheet>
</file>

<file path=xl/worksheets/sheet15.xml><?xml version="1.0" encoding="utf-8"?>
<worksheet xmlns="http://schemas.openxmlformats.org/spreadsheetml/2006/main" xmlns:r="http://schemas.openxmlformats.org/officeDocument/2006/relationships">
  <dimension ref="A1:G37"/>
  <sheetViews>
    <sheetView topLeftCell="A19" workbookViewId="0">
      <selection activeCell="A2" sqref="A2:U2"/>
    </sheetView>
  </sheetViews>
  <sheetFormatPr defaultColWidth="8" defaultRowHeight="14.25"/>
  <cols>
    <col min="1" max="1" width="7.25" style="303" customWidth="1"/>
    <col min="2" max="2" width="19.5" style="303" customWidth="1"/>
    <col min="3" max="3" width="3" style="303" customWidth="1"/>
    <col min="4" max="4" width="28.375" style="303" customWidth="1"/>
    <col min="5" max="5" width="1.375" style="303" customWidth="1"/>
    <col min="6" max="6" width="8.875" style="303" customWidth="1"/>
    <col min="7" max="7" width="16.5" style="303" customWidth="1"/>
    <col min="8" max="16384" width="8" style="303"/>
  </cols>
  <sheetData>
    <row r="1" spans="1:7" ht="16.5" customHeight="1">
      <c r="A1" s="387" t="s">
        <v>397</v>
      </c>
      <c r="B1" s="387" t="s">
        <v>397</v>
      </c>
      <c r="C1" s="388" t="s">
        <v>397</v>
      </c>
      <c r="D1" s="388" t="s">
        <v>397</v>
      </c>
      <c r="E1" s="389" t="s">
        <v>397</v>
      </c>
      <c r="F1" s="389" t="s">
        <v>397</v>
      </c>
      <c r="G1" s="389" t="s">
        <v>397</v>
      </c>
    </row>
    <row r="2" spans="1:7" ht="33.75" customHeight="1">
      <c r="A2" s="390" t="s">
        <v>472</v>
      </c>
      <c r="B2" s="390" t="s">
        <v>397</v>
      </c>
      <c r="C2" s="390" t="s">
        <v>397</v>
      </c>
      <c r="D2" s="390" t="s">
        <v>397</v>
      </c>
      <c r="E2" s="390" t="s">
        <v>397</v>
      </c>
      <c r="F2" s="390" t="s">
        <v>397</v>
      </c>
      <c r="G2" s="390" t="s">
        <v>397</v>
      </c>
    </row>
    <row r="3" spans="1:7" ht="23.25" customHeight="1" thickBot="1">
      <c r="A3" s="387" t="s">
        <v>797</v>
      </c>
      <c r="B3" s="387" t="s">
        <v>397</v>
      </c>
      <c r="C3" s="387" t="s">
        <v>397</v>
      </c>
      <c r="D3" s="387" t="s">
        <v>397</v>
      </c>
      <c r="E3" s="389" t="s">
        <v>470</v>
      </c>
      <c r="F3" s="389" t="s">
        <v>397</v>
      </c>
      <c r="G3" s="389" t="s">
        <v>397</v>
      </c>
    </row>
    <row r="4" spans="1:7" ht="18" customHeight="1">
      <c r="A4" s="332" t="s">
        <v>42</v>
      </c>
      <c r="B4" s="391" t="s">
        <v>469</v>
      </c>
      <c r="C4" s="391" t="s">
        <v>397</v>
      </c>
      <c r="D4" s="391" t="s">
        <v>468</v>
      </c>
      <c r="E4" s="391" t="s">
        <v>397</v>
      </c>
      <c r="F4" s="329" t="s">
        <v>467</v>
      </c>
      <c r="G4" s="334" t="s">
        <v>466</v>
      </c>
    </row>
    <row r="5" spans="1:7" ht="16.5" customHeight="1">
      <c r="A5" s="307" t="s">
        <v>462</v>
      </c>
      <c r="B5" s="392" t="s">
        <v>465</v>
      </c>
      <c r="C5" s="392" t="s">
        <v>397</v>
      </c>
      <c r="D5" s="392" t="s">
        <v>465</v>
      </c>
      <c r="E5" s="392" t="s">
        <v>397</v>
      </c>
      <c r="F5" s="331" t="s">
        <v>397</v>
      </c>
      <c r="G5" s="309">
        <v>2749590.73</v>
      </c>
    </row>
    <row r="6" spans="1:7" ht="29.25" customHeight="1">
      <c r="A6" s="307" t="s">
        <v>51</v>
      </c>
      <c r="B6" s="392" t="s">
        <v>464</v>
      </c>
      <c r="C6" s="392" t="s">
        <v>397</v>
      </c>
      <c r="D6" s="392" t="s">
        <v>463</v>
      </c>
      <c r="E6" s="392" t="s">
        <v>397</v>
      </c>
      <c r="F6" s="331" t="s">
        <v>397</v>
      </c>
      <c r="G6" s="309">
        <v>2495945.4500000002</v>
      </c>
    </row>
    <row r="7" spans="1:7" ht="16.5" customHeight="1">
      <c r="A7" s="307" t="s">
        <v>462</v>
      </c>
      <c r="B7" s="392" t="s">
        <v>450</v>
      </c>
      <c r="C7" s="392" t="s">
        <v>397</v>
      </c>
      <c r="D7" s="392" t="s">
        <v>450</v>
      </c>
      <c r="E7" s="392" t="s">
        <v>397</v>
      </c>
      <c r="F7" s="331" t="s">
        <v>397</v>
      </c>
      <c r="G7" s="309">
        <v>263918.57</v>
      </c>
    </row>
    <row r="8" spans="1:7" ht="16.5" customHeight="1">
      <c r="A8" s="307" t="s">
        <v>403</v>
      </c>
      <c r="B8" s="392" t="s">
        <v>447</v>
      </c>
      <c r="C8" s="392" t="s">
        <v>397</v>
      </c>
      <c r="D8" s="392" t="s">
        <v>447</v>
      </c>
      <c r="E8" s="392" t="s">
        <v>397</v>
      </c>
      <c r="F8" s="331" t="s">
        <v>397</v>
      </c>
      <c r="G8" s="309">
        <v>64858.61</v>
      </c>
    </row>
    <row r="9" spans="1:7" ht="16.5" customHeight="1">
      <c r="A9" s="307" t="s">
        <v>461</v>
      </c>
      <c r="B9" s="392" t="s">
        <v>460</v>
      </c>
      <c r="C9" s="392" t="s">
        <v>397</v>
      </c>
      <c r="D9" s="392" t="s">
        <v>459</v>
      </c>
      <c r="E9" s="392" t="s">
        <v>397</v>
      </c>
      <c r="F9" s="331" t="s">
        <v>397</v>
      </c>
      <c r="G9" s="309">
        <v>2015394.95</v>
      </c>
    </row>
    <row r="10" spans="1:7" ht="16.5" customHeight="1">
      <c r="A10" s="307" t="s">
        <v>458</v>
      </c>
      <c r="B10" s="392" t="s">
        <v>444</v>
      </c>
      <c r="C10" s="392" t="s">
        <v>397</v>
      </c>
      <c r="D10" s="392" t="s">
        <v>457</v>
      </c>
      <c r="E10" s="392" t="s">
        <v>397</v>
      </c>
      <c r="F10" s="331" t="s">
        <v>397</v>
      </c>
      <c r="G10" s="309">
        <v>32918.769999999997</v>
      </c>
    </row>
    <row r="11" spans="1:7" ht="16.5" customHeight="1">
      <c r="A11" s="307" t="s">
        <v>365</v>
      </c>
      <c r="B11" s="392" t="s">
        <v>456</v>
      </c>
      <c r="C11" s="392" t="s">
        <v>397</v>
      </c>
      <c r="D11" s="392" t="s">
        <v>455</v>
      </c>
      <c r="E11" s="392" t="s">
        <v>397</v>
      </c>
      <c r="F11" s="331" t="s">
        <v>397</v>
      </c>
      <c r="G11" s="309">
        <v>28793.22</v>
      </c>
    </row>
    <row r="12" spans="1:7" ht="16.5" customHeight="1">
      <c r="A12" s="307" t="s">
        <v>454</v>
      </c>
      <c r="B12" s="392" t="s">
        <v>453</v>
      </c>
      <c r="C12" s="392" t="s">
        <v>397</v>
      </c>
      <c r="D12" s="392" t="s">
        <v>452</v>
      </c>
      <c r="E12" s="392" t="s">
        <v>397</v>
      </c>
      <c r="F12" s="331" t="s">
        <v>397</v>
      </c>
      <c r="G12" s="309" t="s">
        <v>397</v>
      </c>
    </row>
    <row r="13" spans="1:7" ht="16.5" customHeight="1">
      <c r="A13" s="307" t="s">
        <v>451</v>
      </c>
      <c r="B13" s="392" t="s">
        <v>450</v>
      </c>
      <c r="C13" s="392" t="s">
        <v>397</v>
      </c>
      <c r="D13" s="392" t="s">
        <v>449</v>
      </c>
      <c r="E13" s="392" t="s">
        <v>397</v>
      </c>
      <c r="F13" s="331" t="s">
        <v>397</v>
      </c>
      <c r="G13" s="309" t="s">
        <v>397</v>
      </c>
    </row>
    <row r="14" spans="1:7" ht="16.5" customHeight="1">
      <c r="A14" s="307" t="s">
        <v>448</v>
      </c>
      <c r="B14" s="392" t="s">
        <v>447</v>
      </c>
      <c r="C14" s="392" t="s">
        <v>397</v>
      </c>
      <c r="D14" s="392" t="s">
        <v>446</v>
      </c>
      <c r="E14" s="392" t="s">
        <v>397</v>
      </c>
      <c r="F14" s="331" t="s">
        <v>397</v>
      </c>
      <c r="G14" s="309" t="s">
        <v>397</v>
      </c>
    </row>
    <row r="15" spans="1:7" ht="16.5" customHeight="1">
      <c r="A15" s="307" t="s">
        <v>445</v>
      </c>
      <c r="B15" s="392" t="s">
        <v>444</v>
      </c>
      <c r="C15" s="392" t="s">
        <v>397</v>
      </c>
      <c r="D15" s="392" t="s">
        <v>443</v>
      </c>
      <c r="E15" s="392" t="s">
        <v>397</v>
      </c>
      <c r="F15" s="331" t="s">
        <v>397</v>
      </c>
      <c r="G15" s="309" t="s">
        <v>397</v>
      </c>
    </row>
    <row r="16" spans="1:7" ht="16.5" customHeight="1">
      <c r="A16" s="307" t="s">
        <v>442</v>
      </c>
      <c r="B16" s="392" t="s">
        <v>441</v>
      </c>
      <c r="C16" s="392" t="s">
        <v>397</v>
      </c>
      <c r="D16" s="392" t="s">
        <v>440</v>
      </c>
      <c r="E16" s="392" t="s">
        <v>397</v>
      </c>
      <c r="F16" s="331" t="s">
        <v>397</v>
      </c>
      <c r="G16" s="309">
        <v>28793.22</v>
      </c>
    </row>
    <row r="17" spans="1:7" ht="29.25" customHeight="1">
      <c r="A17" s="307" t="s">
        <v>439</v>
      </c>
      <c r="B17" s="392" t="s">
        <v>438</v>
      </c>
      <c r="C17" s="392" t="s">
        <v>397</v>
      </c>
      <c r="D17" s="392" t="s">
        <v>425</v>
      </c>
      <c r="E17" s="392" t="s">
        <v>397</v>
      </c>
      <c r="F17" s="331" t="s">
        <v>437</v>
      </c>
      <c r="G17" s="309">
        <v>26863.78</v>
      </c>
    </row>
    <row r="18" spans="1:7" ht="29.25" customHeight="1">
      <c r="A18" s="307" t="s">
        <v>436</v>
      </c>
      <c r="B18" s="392" t="s">
        <v>435</v>
      </c>
      <c r="C18" s="392" t="s">
        <v>397</v>
      </c>
      <c r="D18" s="392" t="s">
        <v>425</v>
      </c>
      <c r="E18" s="392" t="s">
        <v>397</v>
      </c>
      <c r="F18" s="331" t="s">
        <v>434</v>
      </c>
      <c r="G18" s="309">
        <v>1929.44</v>
      </c>
    </row>
    <row r="19" spans="1:7" ht="16.5" customHeight="1">
      <c r="A19" s="307" t="s">
        <v>316</v>
      </c>
      <c r="B19" s="392" t="s">
        <v>433</v>
      </c>
      <c r="C19" s="392" t="s">
        <v>397</v>
      </c>
      <c r="D19" s="392" t="s">
        <v>397</v>
      </c>
      <c r="E19" s="392" t="s">
        <v>397</v>
      </c>
      <c r="F19" s="331" t="s">
        <v>397</v>
      </c>
      <c r="G19" s="309" t="s">
        <v>397</v>
      </c>
    </row>
    <row r="20" spans="1:7" ht="29.25" customHeight="1">
      <c r="A20" s="307" t="s">
        <v>393</v>
      </c>
      <c r="B20" s="392" t="s">
        <v>432</v>
      </c>
      <c r="C20" s="392" t="s">
        <v>397</v>
      </c>
      <c r="D20" s="392" t="s">
        <v>425</v>
      </c>
      <c r="E20" s="392" t="s">
        <v>397</v>
      </c>
      <c r="F20" s="331" t="s">
        <v>431</v>
      </c>
      <c r="G20" s="309">
        <v>51946.53</v>
      </c>
    </row>
    <row r="21" spans="1:7" ht="29.25" customHeight="1">
      <c r="A21" s="307" t="s">
        <v>430</v>
      </c>
      <c r="B21" s="392" t="s">
        <v>429</v>
      </c>
      <c r="C21" s="392" t="s">
        <v>397</v>
      </c>
      <c r="D21" s="392" t="s">
        <v>425</v>
      </c>
      <c r="E21" s="392" t="s">
        <v>397</v>
      </c>
      <c r="F21" s="331" t="s">
        <v>428</v>
      </c>
      <c r="G21" s="309">
        <v>44258.45</v>
      </c>
    </row>
    <row r="22" spans="1:7" ht="29.25" customHeight="1">
      <c r="A22" s="307" t="s">
        <v>427</v>
      </c>
      <c r="B22" s="392" t="s">
        <v>426</v>
      </c>
      <c r="C22" s="392" t="s">
        <v>397</v>
      </c>
      <c r="D22" s="392" t="s">
        <v>425</v>
      </c>
      <c r="E22" s="392" t="s">
        <v>397</v>
      </c>
      <c r="F22" s="331" t="s">
        <v>424</v>
      </c>
      <c r="G22" s="309">
        <v>34611.230000000003</v>
      </c>
    </row>
    <row r="23" spans="1:7" ht="16.5" customHeight="1">
      <c r="A23" s="307" t="s">
        <v>423</v>
      </c>
      <c r="B23" s="392" t="s">
        <v>422</v>
      </c>
      <c r="C23" s="392" t="s">
        <v>397</v>
      </c>
      <c r="D23" s="392" t="s">
        <v>397</v>
      </c>
      <c r="E23" s="392" t="s">
        <v>397</v>
      </c>
      <c r="F23" s="331" t="s">
        <v>397</v>
      </c>
      <c r="G23" s="309" t="s">
        <v>397</v>
      </c>
    </row>
    <row r="24" spans="1:7" ht="42" customHeight="1">
      <c r="A24" s="307" t="s">
        <v>421</v>
      </c>
      <c r="B24" s="392" t="s">
        <v>420</v>
      </c>
      <c r="C24" s="392" t="s">
        <v>397</v>
      </c>
      <c r="D24" s="392" t="s">
        <v>419</v>
      </c>
      <c r="E24" s="392" t="s">
        <v>397</v>
      </c>
      <c r="F24" s="331" t="s">
        <v>397</v>
      </c>
      <c r="G24" s="309">
        <v>2655554.88</v>
      </c>
    </row>
    <row r="25" spans="1:7" ht="16.5" customHeight="1">
      <c r="A25" s="307" t="s">
        <v>418</v>
      </c>
      <c r="B25" s="392" t="s">
        <v>417</v>
      </c>
      <c r="C25" s="392" t="s">
        <v>397</v>
      </c>
      <c r="D25" s="392" t="s">
        <v>416</v>
      </c>
      <c r="E25" s="392" t="s">
        <v>397</v>
      </c>
      <c r="F25" s="331" t="s">
        <v>397</v>
      </c>
      <c r="G25" s="309" t="s">
        <v>397</v>
      </c>
    </row>
    <row r="26" spans="1:7" ht="16.5" customHeight="1">
      <c r="A26" s="307" t="s">
        <v>415</v>
      </c>
      <c r="B26" s="392" t="s">
        <v>414</v>
      </c>
      <c r="C26" s="392" t="s">
        <v>397</v>
      </c>
      <c r="D26" s="392" t="s">
        <v>413</v>
      </c>
      <c r="E26" s="392" t="s">
        <v>397</v>
      </c>
      <c r="F26" s="331" t="s">
        <v>412</v>
      </c>
      <c r="G26" s="309">
        <v>94035.85</v>
      </c>
    </row>
    <row r="27" spans="1:7" ht="16.5" customHeight="1">
      <c r="A27" s="307" t="s">
        <v>411</v>
      </c>
      <c r="B27" s="392" t="s">
        <v>410</v>
      </c>
      <c r="C27" s="392" t="s">
        <v>397</v>
      </c>
      <c r="D27" s="392" t="s">
        <v>409</v>
      </c>
      <c r="E27" s="392" t="s">
        <v>397</v>
      </c>
      <c r="F27" s="331" t="s">
        <v>397</v>
      </c>
      <c r="G27" s="309" t="s">
        <v>397</v>
      </c>
    </row>
    <row r="28" spans="1:7" ht="16.5" customHeight="1">
      <c r="A28" s="307" t="s">
        <v>408</v>
      </c>
      <c r="B28" s="392" t="s">
        <v>407</v>
      </c>
      <c r="C28" s="392" t="s">
        <v>397</v>
      </c>
      <c r="D28" s="392" t="s">
        <v>407</v>
      </c>
      <c r="E28" s="392" t="s">
        <v>397</v>
      </c>
      <c r="F28" s="331" t="s">
        <v>397</v>
      </c>
      <c r="G28" s="309" t="s">
        <v>397</v>
      </c>
    </row>
    <row r="29" spans="1:7" ht="29.25" customHeight="1">
      <c r="A29" s="307" t="s">
        <v>406</v>
      </c>
      <c r="B29" s="392" t="s">
        <v>405</v>
      </c>
      <c r="C29" s="392" t="s">
        <v>397</v>
      </c>
      <c r="D29" s="392" t="s">
        <v>404</v>
      </c>
      <c r="E29" s="392" t="s">
        <v>397</v>
      </c>
      <c r="F29" s="331" t="s">
        <v>397</v>
      </c>
      <c r="G29" s="309">
        <v>2749590.73</v>
      </c>
    </row>
    <row r="30" spans="1:7" ht="16.5" customHeight="1">
      <c r="A30" s="307" t="s">
        <v>397</v>
      </c>
      <c r="B30" s="392" t="s">
        <v>397</v>
      </c>
      <c r="C30" s="392" t="s">
        <v>397</v>
      </c>
      <c r="D30" s="393" t="s">
        <v>397</v>
      </c>
      <c r="E30" s="393" t="s">
        <v>397</v>
      </c>
      <c r="F30" s="331" t="s">
        <v>397</v>
      </c>
      <c r="G30" s="309" t="s">
        <v>397</v>
      </c>
    </row>
    <row r="31" spans="1:7" ht="16.5" customHeight="1">
      <c r="A31" s="307" t="s">
        <v>403</v>
      </c>
      <c r="B31" s="392" t="s">
        <v>402</v>
      </c>
      <c r="C31" s="392" t="s">
        <v>397</v>
      </c>
      <c r="D31" s="392" t="s">
        <v>401</v>
      </c>
      <c r="E31" s="392" t="s">
        <v>397</v>
      </c>
      <c r="F31" s="331" t="s">
        <v>397</v>
      </c>
      <c r="G31" s="309">
        <v>2749590.73</v>
      </c>
    </row>
    <row r="32" spans="1:7" ht="16.5" customHeight="1">
      <c r="A32" s="307" t="s">
        <v>397</v>
      </c>
      <c r="B32" s="392" t="s">
        <v>397</v>
      </c>
      <c r="C32" s="392" t="s">
        <v>397</v>
      </c>
      <c r="D32" s="392" t="s">
        <v>397</v>
      </c>
      <c r="E32" s="392" t="s">
        <v>397</v>
      </c>
      <c r="F32" s="331" t="s">
        <v>397</v>
      </c>
      <c r="G32" s="309" t="s">
        <v>397</v>
      </c>
    </row>
    <row r="33" spans="1:7" ht="16.5" customHeight="1">
      <c r="A33" s="307" t="s">
        <v>397</v>
      </c>
      <c r="B33" s="392" t="s">
        <v>397</v>
      </c>
      <c r="C33" s="392" t="s">
        <v>397</v>
      </c>
      <c r="D33" s="392" t="s">
        <v>397</v>
      </c>
      <c r="E33" s="392" t="s">
        <v>397</v>
      </c>
      <c r="F33" s="331" t="s">
        <v>397</v>
      </c>
      <c r="G33" s="309" t="s">
        <v>397</v>
      </c>
    </row>
    <row r="34" spans="1:7" ht="16.5" customHeight="1">
      <c r="A34" s="307" t="s">
        <v>397</v>
      </c>
      <c r="B34" s="392" t="s">
        <v>397</v>
      </c>
      <c r="C34" s="392" t="s">
        <v>397</v>
      </c>
      <c r="D34" s="392" t="s">
        <v>397</v>
      </c>
      <c r="E34" s="392" t="s">
        <v>397</v>
      </c>
      <c r="F34" s="331" t="s">
        <v>397</v>
      </c>
      <c r="G34" s="309" t="s">
        <v>397</v>
      </c>
    </row>
    <row r="35" spans="1:7" ht="16.5" customHeight="1">
      <c r="A35" s="307" t="s">
        <v>397</v>
      </c>
      <c r="B35" s="392" t="s">
        <v>397</v>
      </c>
      <c r="C35" s="392" t="s">
        <v>397</v>
      </c>
      <c r="D35" s="392" t="s">
        <v>397</v>
      </c>
      <c r="E35" s="392" t="s">
        <v>397</v>
      </c>
      <c r="F35" s="331" t="s">
        <v>397</v>
      </c>
      <c r="G35" s="309" t="s">
        <v>397</v>
      </c>
    </row>
    <row r="36" spans="1:7" ht="16.5" customHeight="1" thickBot="1">
      <c r="A36" s="336" t="s">
        <v>397</v>
      </c>
      <c r="B36" s="394" t="s">
        <v>397</v>
      </c>
      <c r="C36" s="394" t="s">
        <v>397</v>
      </c>
      <c r="D36" s="394" t="s">
        <v>397</v>
      </c>
      <c r="E36" s="394" t="s">
        <v>397</v>
      </c>
      <c r="F36" s="330" t="s">
        <v>397</v>
      </c>
      <c r="G36" s="312" t="s">
        <v>397</v>
      </c>
    </row>
    <row r="37" spans="1:7" ht="16.5" customHeight="1">
      <c r="A37" s="387" t="s">
        <v>400</v>
      </c>
      <c r="B37" s="387" t="s">
        <v>397</v>
      </c>
      <c r="C37" s="388" t="s">
        <v>399</v>
      </c>
      <c r="D37" s="388" t="s">
        <v>397</v>
      </c>
      <c r="E37" s="389" t="s">
        <v>398</v>
      </c>
      <c r="F37" s="389" t="s">
        <v>397</v>
      </c>
      <c r="G37" s="389" t="s">
        <v>397</v>
      </c>
    </row>
  </sheetData>
  <mergeCells count="75">
    <mergeCell ref="A37:B37"/>
    <mergeCell ref="C37:D37"/>
    <mergeCell ref="E37:G37"/>
    <mergeCell ref="B34:C34"/>
    <mergeCell ref="D34:E34"/>
    <mergeCell ref="B35:C35"/>
    <mergeCell ref="D35:E35"/>
    <mergeCell ref="B36:C36"/>
    <mergeCell ref="D36:E36"/>
    <mergeCell ref="B31:C31"/>
    <mergeCell ref="D31:E31"/>
    <mergeCell ref="B32:C32"/>
    <mergeCell ref="D32:E32"/>
    <mergeCell ref="B33:C33"/>
    <mergeCell ref="D33:E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10:C10"/>
    <mergeCell ref="D10:E10"/>
    <mergeCell ref="B11:C11"/>
    <mergeCell ref="D11:E11"/>
    <mergeCell ref="B12:C12"/>
    <mergeCell ref="D12:E12"/>
    <mergeCell ref="B7:C7"/>
    <mergeCell ref="D7:E7"/>
    <mergeCell ref="B8:C8"/>
    <mergeCell ref="D8:E8"/>
    <mergeCell ref="B9:C9"/>
    <mergeCell ref="D9:E9"/>
    <mergeCell ref="B4:C4"/>
    <mergeCell ref="D4:E4"/>
    <mergeCell ref="B5:C5"/>
    <mergeCell ref="D5:E5"/>
    <mergeCell ref="B6:C6"/>
    <mergeCell ref="D6:E6"/>
    <mergeCell ref="A1:B1"/>
    <mergeCell ref="C1:D1"/>
    <mergeCell ref="E1:G1"/>
    <mergeCell ref="A2:G2"/>
    <mergeCell ref="A3:D3"/>
    <mergeCell ref="E3:G3"/>
  </mergeCells>
  <phoneticPr fontId="34" type="noConversion"/>
  <pageMargins left="0.51181102362204722" right="0.51181102362204722" top="0.59055118110236227" bottom="0.59055118110236227" header="0.59055118110236227" footer="0.59055118110236227"/>
  <pageSetup paperSize="9" scale="96" orientation="portrait" r:id="rId1"/>
  <headerFooter alignWithMargins="0"/>
</worksheet>
</file>

<file path=xl/worksheets/sheet16.xml><?xml version="1.0" encoding="utf-8"?>
<worksheet xmlns="http://schemas.openxmlformats.org/spreadsheetml/2006/main" xmlns:r="http://schemas.openxmlformats.org/officeDocument/2006/relationships">
  <dimension ref="A1:O162"/>
  <sheetViews>
    <sheetView workbookViewId="0">
      <selection activeCell="A2" sqref="A2:U2"/>
    </sheetView>
  </sheetViews>
  <sheetFormatPr defaultColWidth="8" defaultRowHeight="14.25"/>
  <cols>
    <col min="1" max="1" width="5.25" style="303" customWidth="1"/>
    <col min="2" max="2" width="8.625" style="303" customWidth="1"/>
    <col min="3" max="3" width="19.5" style="303" customWidth="1"/>
    <col min="4" max="4" width="6.25" style="303" customWidth="1"/>
    <col min="5" max="5" width="3.125" style="303" customWidth="1"/>
    <col min="6" max="6" width="6.125" style="303" customWidth="1"/>
    <col min="7" max="7" width="8.375" style="303" customWidth="1"/>
    <col min="8" max="8" width="8.875" style="303" customWidth="1"/>
    <col min="9" max="9" width="9.875" style="303" customWidth="1"/>
    <col min="10" max="10" width="8.375" style="303" customWidth="1"/>
    <col min="11" max="11" width="0.875" style="303" customWidth="1"/>
    <col min="12" max="12" width="9" style="303" customWidth="1"/>
    <col min="13" max="13" width="9.625" style="303" customWidth="1"/>
    <col min="14" max="14" width="11" style="303" customWidth="1"/>
    <col min="15" max="15" width="11.125" style="303" customWidth="1"/>
    <col min="16" max="16384" width="8" style="303"/>
  </cols>
  <sheetData>
    <row r="1" spans="1:15" ht="14.25" customHeight="1">
      <c r="A1" s="389" t="s">
        <v>397</v>
      </c>
      <c r="B1" s="389" t="s">
        <v>397</v>
      </c>
      <c r="C1" s="389" t="s">
        <v>397</v>
      </c>
      <c r="D1" s="389" t="s">
        <v>397</v>
      </c>
      <c r="E1" s="389" t="s">
        <v>397</v>
      </c>
      <c r="F1" s="389" t="s">
        <v>397</v>
      </c>
      <c r="G1" s="389" t="s">
        <v>397</v>
      </c>
      <c r="H1" s="389" t="s">
        <v>397</v>
      </c>
      <c r="I1" s="389" t="s">
        <v>397</v>
      </c>
      <c r="J1" s="389" t="s">
        <v>397</v>
      </c>
      <c r="K1" s="389" t="s">
        <v>397</v>
      </c>
      <c r="L1" s="389" t="s">
        <v>397</v>
      </c>
      <c r="M1" s="389" t="s">
        <v>397</v>
      </c>
      <c r="N1" s="389" t="s">
        <v>397</v>
      </c>
      <c r="O1" s="389" t="s">
        <v>397</v>
      </c>
    </row>
    <row r="2" spans="1:15" ht="32.25" customHeight="1">
      <c r="A2" s="422" t="s">
        <v>509</v>
      </c>
      <c r="B2" s="422" t="s">
        <v>397</v>
      </c>
      <c r="C2" s="422" t="s">
        <v>397</v>
      </c>
      <c r="D2" s="422" t="s">
        <v>397</v>
      </c>
      <c r="E2" s="422" t="s">
        <v>397</v>
      </c>
      <c r="F2" s="422" t="s">
        <v>397</v>
      </c>
      <c r="G2" s="422" t="s">
        <v>397</v>
      </c>
      <c r="H2" s="422" t="s">
        <v>397</v>
      </c>
      <c r="I2" s="422" t="s">
        <v>397</v>
      </c>
      <c r="J2" s="422" t="s">
        <v>397</v>
      </c>
      <c r="K2" s="422" t="s">
        <v>397</v>
      </c>
      <c r="L2" s="422" t="s">
        <v>397</v>
      </c>
      <c r="M2" s="422" t="s">
        <v>397</v>
      </c>
      <c r="N2" s="422" t="s">
        <v>397</v>
      </c>
      <c r="O2" s="422" t="s">
        <v>397</v>
      </c>
    </row>
    <row r="3" spans="1:15" ht="23.25" customHeight="1" thickBot="1">
      <c r="A3" s="423" t="s">
        <v>797</v>
      </c>
      <c r="B3" s="423" t="s">
        <v>397</v>
      </c>
      <c r="C3" s="423" t="s">
        <v>397</v>
      </c>
      <c r="D3" s="423" t="s">
        <v>397</v>
      </c>
      <c r="E3" s="423" t="s">
        <v>397</v>
      </c>
      <c r="F3" s="423" t="s">
        <v>397</v>
      </c>
      <c r="G3" s="423" t="s">
        <v>397</v>
      </c>
      <c r="H3" s="423" t="s">
        <v>397</v>
      </c>
      <c r="I3" s="423" t="s">
        <v>397</v>
      </c>
      <c r="J3" s="423" t="s">
        <v>397</v>
      </c>
      <c r="K3" s="389" t="s">
        <v>944</v>
      </c>
      <c r="L3" s="389" t="s">
        <v>397</v>
      </c>
      <c r="M3" s="389" t="s">
        <v>397</v>
      </c>
      <c r="N3" s="389" t="s">
        <v>397</v>
      </c>
      <c r="O3" s="389" t="s">
        <v>397</v>
      </c>
    </row>
    <row r="4" spans="1:15" ht="19.5" customHeight="1">
      <c r="A4" s="395" t="s">
        <v>42</v>
      </c>
      <c r="B4" s="391" t="s">
        <v>507</v>
      </c>
      <c r="C4" s="391" t="s">
        <v>506</v>
      </c>
      <c r="D4" s="391" t="s">
        <v>505</v>
      </c>
      <c r="E4" s="391" t="s">
        <v>397</v>
      </c>
      <c r="F4" s="391" t="s">
        <v>397</v>
      </c>
      <c r="G4" s="391" t="s">
        <v>504</v>
      </c>
      <c r="H4" s="391" t="s">
        <v>397</v>
      </c>
      <c r="I4" s="391" t="s">
        <v>503</v>
      </c>
      <c r="J4" s="391" t="s">
        <v>397</v>
      </c>
      <c r="K4" s="391" t="s">
        <v>397</v>
      </c>
      <c r="L4" s="391" t="s">
        <v>397</v>
      </c>
      <c r="M4" s="391" t="s">
        <v>397</v>
      </c>
      <c r="N4" s="391" t="s">
        <v>397</v>
      </c>
      <c r="O4" s="398" t="s">
        <v>502</v>
      </c>
    </row>
    <row r="5" spans="1:15" ht="18" customHeight="1">
      <c r="A5" s="396" t="s">
        <v>397</v>
      </c>
      <c r="B5" s="397" t="s">
        <v>397</v>
      </c>
      <c r="C5" s="397" t="s">
        <v>397</v>
      </c>
      <c r="D5" s="333" t="s">
        <v>384</v>
      </c>
      <c r="E5" s="397" t="s">
        <v>383</v>
      </c>
      <c r="F5" s="397" t="s">
        <v>397</v>
      </c>
      <c r="G5" s="333" t="s">
        <v>382</v>
      </c>
      <c r="H5" s="333" t="s">
        <v>381</v>
      </c>
      <c r="I5" s="333" t="s">
        <v>501</v>
      </c>
      <c r="J5" s="397" t="s">
        <v>500</v>
      </c>
      <c r="K5" s="397" t="s">
        <v>397</v>
      </c>
      <c r="L5" s="333" t="s">
        <v>499</v>
      </c>
      <c r="M5" s="333" t="s">
        <v>498</v>
      </c>
      <c r="N5" s="333" t="s">
        <v>497</v>
      </c>
      <c r="O5" s="424" t="s">
        <v>397</v>
      </c>
    </row>
    <row r="6" spans="1:15" ht="16.5" customHeight="1">
      <c r="A6" s="307" t="s">
        <v>397</v>
      </c>
      <c r="B6" s="328" t="s">
        <v>943</v>
      </c>
      <c r="C6" s="315" t="s">
        <v>942</v>
      </c>
      <c r="D6" s="328" t="s">
        <v>397</v>
      </c>
      <c r="E6" s="399" t="s">
        <v>397</v>
      </c>
      <c r="F6" s="399" t="s">
        <v>397</v>
      </c>
      <c r="G6" s="331" t="s">
        <v>397</v>
      </c>
      <c r="H6" s="331">
        <v>2513.2800000000002</v>
      </c>
      <c r="I6" s="331">
        <v>1905</v>
      </c>
      <c r="J6" s="399">
        <v>293.32</v>
      </c>
      <c r="K6" s="399" t="s">
        <v>397</v>
      </c>
      <c r="L6" s="331">
        <v>314.95999999999998</v>
      </c>
      <c r="M6" s="331" t="s">
        <v>397</v>
      </c>
      <c r="N6" s="331" t="s">
        <v>397</v>
      </c>
      <c r="O6" s="309">
        <v>21.22</v>
      </c>
    </row>
    <row r="7" spans="1:15" ht="29.25" customHeight="1">
      <c r="A7" s="307">
        <v>1</v>
      </c>
      <c r="B7" s="328" t="s">
        <v>941</v>
      </c>
      <c r="C7" s="327" t="s">
        <v>940</v>
      </c>
      <c r="D7" s="328" t="s">
        <v>309</v>
      </c>
      <c r="E7" s="399">
        <v>2</v>
      </c>
      <c r="F7" s="399" t="s">
        <v>397</v>
      </c>
      <c r="G7" s="331">
        <v>1256.6400000000001</v>
      </c>
      <c r="H7" s="331">
        <v>2513.2800000000002</v>
      </c>
      <c r="I7" s="331">
        <v>1905</v>
      </c>
      <c r="J7" s="399">
        <v>293.32</v>
      </c>
      <c r="K7" s="399" t="s">
        <v>397</v>
      </c>
      <c r="L7" s="331">
        <v>314.95999999999998</v>
      </c>
      <c r="M7" s="331" t="s">
        <v>397</v>
      </c>
      <c r="N7" s="331" t="s">
        <v>397</v>
      </c>
      <c r="O7" s="309">
        <v>21.22</v>
      </c>
    </row>
    <row r="8" spans="1:15" ht="16.5" customHeight="1">
      <c r="A8" s="307" t="s">
        <v>397</v>
      </c>
      <c r="B8" s="328" t="s">
        <v>939</v>
      </c>
      <c r="C8" s="315" t="s">
        <v>938</v>
      </c>
      <c r="D8" s="328" t="s">
        <v>397</v>
      </c>
      <c r="E8" s="399" t="s">
        <v>397</v>
      </c>
      <c r="F8" s="399" t="s">
        <v>397</v>
      </c>
      <c r="G8" s="331" t="s">
        <v>397</v>
      </c>
      <c r="H8" s="331">
        <v>3052.88</v>
      </c>
      <c r="I8" s="331">
        <v>2433.04</v>
      </c>
      <c r="J8" s="399">
        <v>207.12</v>
      </c>
      <c r="K8" s="399" t="s">
        <v>397</v>
      </c>
      <c r="L8" s="331">
        <v>412.72</v>
      </c>
      <c r="M8" s="331" t="s">
        <v>397</v>
      </c>
      <c r="N8" s="331" t="s">
        <v>397</v>
      </c>
      <c r="O8" s="309">
        <v>27.108000000000001</v>
      </c>
    </row>
    <row r="9" spans="1:15" ht="18" customHeight="1">
      <c r="A9" s="307">
        <v>1</v>
      </c>
      <c r="B9" s="328" t="s">
        <v>937</v>
      </c>
      <c r="C9" s="327" t="s">
        <v>936</v>
      </c>
      <c r="D9" s="328" t="s">
        <v>309</v>
      </c>
      <c r="E9" s="399">
        <v>4</v>
      </c>
      <c r="F9" s="399" t="s">
        <v>397</v>
      </c>
      <c r="G9" s="331">
        <v>763.22</v>
      </c>
      <c r="H9" s="331">
        <v>3052.88</v>
      </c>
      <c r="I9" s="331">
        <v>2433.04</v>
      </c>
      <c r="J9" s="399">
        <v>207.12</v>
      </c>
      <c r="K9" s="399" t="s">
        <v>397</v>
      </c>
      <c r="L9" s="331">
        <v>412.72</v>
      </c>
      <c r="M9" s="331" t="s">
        <v>397</v>
      </c>
      <c r="N9" s="331" t="s">
        <v>397</v>
      </c>
      <c r="O9" s="309">
        <v>27.108000000000001</v>
      </c>
    </row>
    <row r="10" spans="1:15" ht="29.25" customHeight="1">
      <c r="A10" s="307" t="s">
        <v>397</v>
      </c>
      <c r="B10" s="328" t="s">
        <v>935</v>
      </c>
      <c r="C10" s="315" t="s">
        <v>934</v>
      </c>
      <c r="D10" s="328" t="s">
        <v>397</v>
      </c>
      <c r="E10" s="399" t="s">
        <v>397</v>
      </c>
      <c r="F10" s="399" t="s">
        <v>397</v>
      </c>
      <c r="G10" s="331" t="s">
        <v>397</v>
      </c>
      <c r="H10" s="331">
        <v>4101.3</v>
      </c>
      <c r="I10" s="331">
        <v>2910.96</v>
      </c>
      <c r="J10" s="399">
        <v>486.36</v>
      </c>
      <c r="K10" s="399" t="s">
        <v>397</v>
      </c>
      <c r="L10" s="331">
        <v>703.98</v>
      </c>
      <c r="M10" s="331" t="s">
        <v>397</v>
      </c>
      <c r="N10" s="331" t="s">
        <v>397</v>
      </c>
      <c r="O10" s="309">
        <v>34.020000000000003</v>
      </c>
    </row>
    <row r="11" spans="1:15" ht="18" customHeight="1">
      <c r="A11" s="307">
        <v>1</v>
      </c>
      <c r="B11" s="328" t="s">
        <v>933</v>
      </c>
      <c r="C11" s="327" t="s">
        <v>932</v>
      </c>
      <c r="D11" s="328" t="s">
        <v>309</v>
      </c>
      <c r="E11" s="399">
        <v>9</v>
      </c>
      <c r="F11" s="399" t="s">
        <v>397</v>
      </c>
      <c r="G11" s="331">
        <v>455.7</v>
      </c>
      <c r="H11" s="331">
        <v>4101.3</v>
      </c>
      <c r="I11" s="331">
        <v>2910.96</v>
      </c>
      <c r="J11" s="399">
        <v>486.36</v>
      </c>
      <c r="K11" s="399" t="s">
        <v>397</v>
      </c>
      <c r="L11" s="331">
        <v>703.98</v>
      </c>
      <c r="M11" s="331" t="s">
        <v>397</v>
      </c>
      <c r="N11" s="331" t="s">
        <v>397</v>
      </c>
      <c r="O11" s="309">
        <v>34.020000000000003</v>
      </c>
    </row>
    <row r="12" spans="1:15" ht="16.5" customHeight="1">
      <c r="A12" s="307" t="s">
        <v>397</v>
      </c>
      <c r="B12" s="328" t="s">
        <v>931</v>
      </c>
      <c r="C12" s="315" t="s">
        <v>930</v>
      </c>
      <c r="D12" s="328" t="s">
        <v>397</v>
      </c>
      <c r="E12" s="399" t="s">
        <v>397</v>
      </c>
      <c r="F12" s="399" t="s">
        <v>397</v>
      </c>
      <c r="G12" s="331" t="s">
        <v>397</v>
      </c>
      <c r="H12" s="331">
        <v>19072.259999999998</v>
      </c>
      <c r="I12" s="331">
        <v>15530.94</v>
      </c>
      <c r="J12" s="399">
        <v>2978.37</v>
      </c>
      <c r="K12" s="399" t="s">
        <v>397</v>
      </c>
      <c r="L12" s="331">
        <v>562.95000000000005</v>
      </c>
      <c r="M12" s="331">
        <v>162000</v>
      </c>
      <c r="N12" s="331" t="s">
        <v>397</v>
      </c>
      <c r="O12" s="309">
        <v>181.44</v>
      </c>
    </row>
    <row r="13" spans="1:15" ht="18" customHeight="1">
      <c r="A13" s="307">
        <v>1</v>
      </c>
      <c r="B13" s="328" t="s">
        <v>923</v>
      </c>
      <c r="C13" s="327" t="s">
        <v>929</v>
      </c>
      <c r="D13" s="328" t="s">
        <v>309</v>
      </c>
      <c r="E13" s="399">
        <v>25</v>
      </c>
      <c r="F13" s="399" t="s">
        <v>397</v>
      </c>
      <c r="G13" s="331">
        <v>235.46</v>
      </c>
      <c r="H13" s="331">
        <v>5886.5</v>
      </c>
      <c r="I13" s="331">
        <v>4793.5</v>
      </c>
      <c r="J13" s="399">
        <v>919.25</v>
      </c>
      <c r="K13" s="399" t="s">
        <v>397</v>
      </c>
      <c r="L13" s="331">
        <v>173.75</v>
      </c>
      <c r="M13" s="331">
        <v>50000</v>
      </c>
      <c r="N13" s="331" t="s">
        <v>397</v>
      </c>
      <c r="O13" s="309">
        <v>56</v>
      </c>
    </row>
    <row r="14" spans="1:15" ht="18" customHeight="1">
      <c r="A14" s="307" t="s">
        <v>397</v>
      </c>
      <c r="B14" s="328" t="s">
        <v>483</v>
      </c>
      <c r="C14" s="327" t="s">
        <v>928</v>
      </c>
      <c r="D14" s="328" t="s">
        <v>309</v>
      </c>
      <c r="E14" s="399">
        <v>25</v>
      </c>
      <c r="F14" s="399" t="s">
        <v>397</v>
      </c>
      <c r="G14" s="331">
        <v>2000</v>
      </c>
      <c r="H14" s="331">
        <v>50000</v>
      </c>
      <c r="I14" s="331" t="s">
        <v>397</v>
      </c>
      <c r="J14" s="399" t="s">
        <v>397</v>
      </c>
      <c r="K14" s="399" t="s">
        <v>397</v>
      </c>
      <c r="L14" s="331" t="s">
        <v>397</v>
      </c>
      <c r="M14" s="331">
        <v>50000</v>
      </c>
      <c r="N14" s="331" t="s">
        <v>397</v>
      </c>
      <c r="O14" s="309" t="s">
        <v>397</v>
      </c>
    </row>
    <row r="15" spans="1:15" ht="18" customHeight="1">
      <c r="A15" s="307">
        <v>2</v>
      </c>
      <c r="B15" s="328" t="s">
        <v>923</v>
      </c>
      <c r="C15" s="327" t="s">
        <v>927</v>
      </c>
      <c r="D15" s="328" t="s">
        <v>309</v>
      </c>
      <c r="E15" s="399">
        <v>33</v>
      </c>
      <c r="F15" s="399" t="s">
        <v>397</v>
      </c>
      <c r="G15" s="331">
        <v>235.46</v>
      </c>
      <c r="H15" s="331">
        <v>7770.18</v>
      </c>
      <c r="I15" s="331">
        <v>6327.42</v>
      </c>
      <c r="J15" s="399">
        <v>1213.4100000000001</v>
      </c>
      <c r="K15" s="399" t="s">
        <v>397</v>
      </c>
      <c r="L15" s="331">
        <v>229.35</v>
      </c>
      <c r="M15" s="331">
        <v>66000</v>
      </c>
      <c r="N15" s="331" t="s">
        <v>397</v>
      </c>
      <c r="O15" s="309">
        <v>73.92</v>
      </c>
    </row>
    <row r="16" spans="1:15" ht="18" customHeight="1">
      <c r="A16" s="307" t="s">
        <v>397</v>
      </c>
      <c r="B16" s="328" t="s">
        <v>483</v>
      </c>
      <c r="C16" s="327" t="s">
        <v>926</v>
      </c>
      <c r="D16" s="328" t="s">
        <v>309</v>
      </c>
      <c r="E16" s="399">
        <v>33</v>
      </c>
      <c r="F16" s="399" t="s">
        <v>397</v>
      </c>
      <c r="G16" s="331">
        <v>2000</v>
      </c>
      <c r="H16" s="331">
        <v>66000</v>
      </c>
      <c r="I16" s="331" t="s">
        <v>397</v>
      </c>
      <c r="J16" s="399" t="s">
        <v>397</v>
      </c>
      <c r="K16" s="399" t="s">
        <v>397</v>
      </c>
      <c r="L16" s="331" t="s">
        <v>397</v>
      </c>
      <c r="M16" s="331">
        <v>66000</v>
      </c>
      <c r="N16" s="331" t="s">
        <v>397</v>
      </c>
      <c r="O16" s="309" t="s">
        <v>397</v>
      </c>
    </row>
    <row r="17" spans="1:15" ht="18" customHeight="1">
      <c r="A17" s="307">
        <v>3</v>
      </c>
      <c r="B17" s="328" t="s">
        <v>923</v>
      </c>
      <c r="C17" s="327" t="s">
        <v>925</v>
      </c>
      <c r="D17" s="328" t="s">
        <v>309</v>
      </c>
      <c r="E17" s="399">
        <v>13</v>
      </c>
      <c r="F17" s="399" t="s">
        <v>397</v>
      </c>
      <c r="G17" s="331">
        <v>235.46</v>
      </c>
      <c r="H17" s="331">
        <v>3060.98</v>
      </c>
      <c r="I17" s="331">
        <v>2492.62</v>
      </c>
      <c r="J17" s="399">
        <v>478.01</v>
      </c>
      <c r="K17" s="399" t="s">
        <v>397</v>
      </c>
      <c r="L17" s="331">
        <v>90.35</v>
      </c>
      <c r="M17" s="331">
        <v>26000</v>
      </c>
      <c r="N17" s="331" t="s">
        <v>397</v>
      </c>
      <c r="O17" s="309">
        <v>29.12</v>
      </c>
    </row>
    <row r="18" spans="1:15" ht="18" customHeight="1">
      <c r="A18" s="307" t="s">
        <v>397</v>
      </c>
      <c r="B18" s="328" t="s">
        <v>483</v>
      </c>
      <c r="C18" s="327" t="s">
        <v>924</v>
      </c>
      <c r="D18" s="328" t="s">
        <v>309</v>
      </c>
      <c r="E18" s="399">
        <v>13</v>
      </c>
      <c r="F18" s="399" t="s">
        <v>397</v>
      </c>
      <c r="G18" s="331">
        <v>2000</v>
      </c>
      <c r="H18" s="331">
        <v>26000</v>
      </c>
      <c r="I18" s="331" t="s">
        <v>397</v>
      </c>
      <c r="J18" s="399" t="s">
        <v>397</v>
      </c>
      <c r="K18" s="399" t="s">
        <v>397</v>
      </c>
      <c r="L18" s="331" t="s">
        <v>397</v>
      </c>
      <c r="M18" s="331">
        <v>26000</v>
      </c>
      <c r="N18" s="331" t="s">
        <v>397</v>
      </c>
      <c r="O18" s="309" t="s">
        <v>397</v>
      </c>
    </row>
    <row r="19" spans="1:15" ht="18" customHeight="1">
      <c r="A19" s="307">
        <v>4</v>
      </c>
      <c r="B19" s="328" t="s">
        <v>923</v>
      </c>
      <c r="C19" s="327" t="s">
        <v>922</v>
      </c>
      <c r="D19" s="328" t="s">
        <v>309</v>
      </c>
      <c r="E19" s="399">
        <v>10</v>
      </c>
      <c r="F19" s="399" t="s">
        <v>397</v>
      </c>
      <c r="G19" s="331">
        <v>235.46</v>
      </c>
      <c r="H19" s="331">
        <v>2354.6</v>
      </c>
      <c r="I19" s="331">
        <v>1917.4</v>
      </c>
      <c r="J19" s="399">
        <v>367.7</v>
      </c>
      <c r="K19" s="399" t="s">
        <v>397</v>
      </c>
      <c r="L19" s="331">
        <v>69.5</v>
      </c>
      <c r="M19" s="331">
        <v>20000</v>
      </c>
      <c r="N19" s="331" t="s">
        <v>397</v>
      </c>
      <c r="O19" s="309">
        <v>22.4</v>
      </c>
    </row>
    <row r="20" spans="1:15" ht="18" customHeight="1">
      <c r="A20" s="307" t="s">
        <v>397</v>
      </c>
      <c r="B20" s="328" t="s">
        <v>483</v>
      </c>
      <c r="C20" s="327" t="s">
        <v>921</v>
      </c>
      <c r="D20" s="328" t="s">
        <v>309</v>
      </c>
      <c r="E20" s="399">
        <v>10</v>
      </c>
      <c r="F20" s="399" t="s">
        <v>397</v>
      </c>
      <c r="G20" s="331">
        <v>2000</v>
      </c>
      <c r="H20" s="331">
        <v>20000</v>
      </c>
      <c r="I20" s="331" t="s">
        <v>397</v>
      </c>
      <c r="J20" s="399" t="s">
        <v>397</v>
      </c>
      <c r="K20" s="399" t="s">
        <v>397</v>
      </c>
      <c r="L20" s="331" t="s">
        <v>397</v>
      </c>
      <c r="M20" s="331">
        <v>20000</v>
      </c>
      <c r="N20" s="331" t="s">
        <v>397</v>
      </c>
      <c r="O20" s="309" t="s">
        <v>397</v>
      </c>
    </row>
    <row r="21" spans="1:15" ht="16.5" customHeight="1">
      <c r="A21" s="307" t="s">
        <v>397</v>
      </c>
      <c r="B21" s="328" t="s">
        <v>920</v>
      </c>
      <c r="C21" s="315" t="s">
        <v>919</v>
      </c>
      <c r="D21" s="328" t="s">
        <v>397</v>
      </c>
      <c r="E21" s="399" t="s">
        <v>397</v>
      </c>
      <c r="F21" s="399" t="s">
        <v>397</v>
      </c>
      <c r="G21" s="331" t="s">
        <v>397</v>
      </c>
      <c r="H21" s="331">
        <v>1132.74</v>
      </c>
      <c r="I21" s="331">
        <v>855.12</v>
      </c>
      <c r="J21" s="399">
        <v>223.44</v>
      </c>
      <c r="K21" s="399" t="s">
        <v>397</v>
      </c>
      <c r="L21" s="331">
        <v>54.18</v>
      </c>
      <c r="M21" s="331">
        <v>15000</v>
      </c>
      <c r="N21" s="331" t="s">
        <v>397</v>
      </c>
      <c r="O21" s="309">
        <v>9.99</v>
      </c>
    </row>
    <row r="22" spans="1:15" ht="18" customHeight="1">
      <c r="A22" s="307">
        <v>1</v>
      </c>
      <c r="B22" s="328" t="s">
        <v>918</v>
      </c>
      <c r="C22" s="327" t="s">
        <v>917</v>
      </c>
      <c r="D22" s="328" t="s">
        <v>309</v>
      </c>
      <c r="E22" s="399">
        <v>6</v>
      </c>
      <c r="F22" s="399" t="s">
        <v>397</v>
      </c>
      <c r="G22" s="331">
        <v>188.79</v>
      </c>
      <c r="H22" s="331">
        <v>1132.74</v>
      </c>
      <c r="I22" s="331">
        <v>855.12</v>
      </c>
      <c r="J22" s="399">
        <v>223.44</v>
      </c>
      <c r="K22" s="399" t="s">
        <v>397</v>
      </c>
      <c r="L22" s="331">
        <v>54.18</v>
      </c>
      <c r="M22" s="331">
        <v>15000</v>
      </c>
      <c r="N22" s="331" t="s">
        <v>397</v>
      </c>
      <c r="O22" s="309">
        <v>9.99</v>
      </c>
    </row>
    <row r="23" spans="1:15" ht="18" customHeight="1">
      <c r="A23" s="307" t="s">
        <v>397</v>
      </c>
      <c r="B23" s="328" t="s">
        <v>483</v>
      </c>
      <c r="C23" s="327" t="s">
        <v>916</v>
      </c>
      <c r="D23" s="328" t="s">
        <v>309</v>
      </c>
      <c r="E23" s="399">
        <v>6</v>
      </c>
      <c r="F23" s="399" t="s">
        <v>397</v>
      </c>
      <c r="G23" s="331">
        <v>2500</v>
      </c>
      <c r="H23" s="331">
        <v>15000</v>
      </c>
      <c r="I23" s="331" t="s">
        <v>397</v>
      </c>
      <c r="J23" s="399" t="s">
        <v>397</v>
      </c>
      <c r="K23" s="399" t="s">
        <v>397</v>
      </c>
      <c r="L23" s="331" t="s">
        <v>397</v>
      </c>
      <c r="M23" s="331">
        <v>15000</v>
      </c>
      <c r="N23" s="331" t="s">
        <v>397</v>
      </c>
      <c r="O23" s="309" t="s">
        <v>397</v>
      </c>
    </row>
    <row r="24" spans="1:15" ht="16.5" customHeight="1">
      <c r="A24" s="307" t="s">
        <v>397</v>
      </c>
      <c r="B24" s="328" t="s">
        <v>915</v>
      </c>
      <c r="C24" s="315" t="s">
        <v>914</v>
      </c>
      <c r="D24" s="328" t="s">
        <v>397</v>
      </c>
      <c r="E24" s="399" t="s">
        <v>397</v>
      </c>
      <c r="F24" s="399" t="s">
        <v>397</v>
      </c>
      <c r="G24" s="331" t="s">
        <v>397</v>
      </c>
      <c r="H24" s="331">
        <v>3693.25</v>
      </c>
      <c r="I24" s="331">
        <v>3407.85</v>
      </c>
      <c r="J24" s="399">
        <v>285.42</v>
      </c>
      <c r="K24" s="399" t="s">
        <v>397</v>
      </c>
      <c r="L24" s="331" t="s">
        <v>397</v>
      </c>
      <c r="M24" s="331">
        <v>49087.5</v>
      </c>
      <c r="N24" s="331" t="s">
        <v>397</v>
      </c>
      <c r="O24" s="309">
        <v>39.811</v>
      </c>
    </row>
    <row r="25" spans="1:15" ht="18" customHeight="1" thickBot="1">
      <c r="A25" s="336">
        <v>1</v>
      </c>
      <c r="B25" s="335" t="s">
        <v>911</v>
      </c>
      <c r="C25" s="326" t="s">
        <v>910</v>
      </c>
      <c r="D25" s="335" t="s">
        <v>484</v>
      </c>
      <c r="E25" s="400">
        <v>6</v>
      </c>
      <c r="F25" s="400" t="s">
        <v>397</v>
      </c>
      <c r="G25" s="330">
        <v>66.31</v>
      </c>
      <c r="H25" s="330">
        <v>397.86</v>
      </c>
      <c r="I25" s="330">
        <v>369.78</v>
      </c>
      <c r="J25" s="400">
        <v>28.08</v>
      </c>
      <c r="K25" s="400" t="s">
        <v>397</v>
      </c>
      <c r="L25" s="330" t="s">
        <v>397</v>
      </c>
      <c r="M25" s="330">
        <v>3672</v>
      </c>
      <c r="N25" s="330" t="s">
        <v>397</v>
      </c>
      <c r="O25" s="312">
        <v>4.32</v>
      </c>
    </row>
    <row r="26" spans="1:15" ht="16.5" customHeight="1">
      <c r="A26" s="423" t="s">
        <v>400</v>
      </c>
      <c r="B26" s="423" t="s">
        <v>397</v>
      </c>
      <c r="C26" s="423" t="s">
        <v>397</v>
      </c>
      <c r="D26" s="423" t="s">
        <v>397</v>
      </c>
      <c r="E26" s="423" t="s">
        <v>397</v>
      </c>
      <c r="F26" s="388" t="s">
        <v>399</v>
      </c>
      <c r="G26" s="388" t="s">
        <v>397</v>
      </c>
      <c r="H26" s="388" t="s">
        <v>397</v>
      </c>
      <c r="I26" s="388" t="s">
        <v>397</v>
      </c>
      <c r="J26" s="388" t="s">
        <v>397</v>
      </c>
      <c r="K26" s="389" t="s">
        <v>398</v>
      </c>
      <c r="L26" s="389" t="s">
        <v>397</v>
      </c>
      <c r="M26" s="389" t="s">
        <v>397</v>
      </c>
      <c r="N26" s="389" t="s">
        <v>397</v>
      </c>
      <c r="O26" s="389" t="s">
        <v>397</v>
      </c>
    </row>
    <row r="27" spans="1:15" ht="14.25" customHeight="1">
      <c r="A27" s="389" t="s">
        <v>397</v>
      </c>
      <c r="B27" s="389" t="s">
        <v>397</v>
      </c>
      <c r="C27" s="389" t="s">
        <v>397</v>
      </c>
      <c r="D27" s="389" t="s">
        <v>397</v>
      </c>
      <c r="E27" s="389" t="s">
        <v>397</v>
      </c>
      <c r="F27" s="389" t="s">
        <v>397</v>
      </c>
      <c r="G27" s="389" t="s">
        <v>397</v>
      </c>
      <c r="H27" s="389" t="s">
        <v>397</v>
      </c>
      <c r="I27" s="389" t="s">
        <v>397</v>
      </c>
      <c r="J27" s="389" t="s">
        <v>397</v>
      </c>
      <c r="K27" s="389" t="s">
        <v>397</v>
      </c>
      <c r="L27" s="389" t="s">
        <v>397</v>
      </c>
      <c r="M27" s="389" t="s">
        <v>397</v>
      </c>
      <c r="N27" s="389" t="s">
        <v>397</v>
      </c>
      <c r="O27" s="389" t="s">
        <v>397</v>
      </c>
    </row>
    <row r="28" spans="1:15" ht="32.25" customHeight="1">
      <c r="A28" s="422" t="s">
        <v>509</v>
      </c>
      <c r="B28" s="422" t="s">
        <v>397</v>
      </c>
      <c r="C28" s="422" t="s">
        <v>397</v>
      </c>
      <c r="D28" s="422" t="s">
        <v>397</v>
      </c>
      <c r="E28" s="422" t="s">
        <v>397</v>
      </c>
      <c r="F28" s="422" t="s">
        <v>397</v>
      </c>
      <c r="G28" s="422" t="s">
        <v>397</v>
      </c>
      <c r="H28" s="422" t="s">
        <v>397</v>
      </c>
      <c r="I28" s="422" t="s">
        <v>397</v>
      </c>
      <c r="J28" s="422" t="s">
        <v>397</v>
      </c>
      <c r="K28" s="422" t="s">
        <v>397</v>
      </c>
      <c r="L28" s="422" t="s">
        <v>397</v>
      </c>
      <c r="M28" s="422" t="s">
        <v>397</v>
      </c>
      <c r="N28" s="422" t="s">
        <v>397</v>
      </c>
      <c r="O28" s="422" t="s">
        <v>397</v>
      </c>
    </row>
    <row r="29" spans="1:15" ht="23.25" customHeight="1" thickBot="1">
      <c r="A29" s="423" t="s">
        <v>797</v>
      </c>
      <c r="B29" s="423" t="s">
        <v>397</v>
      </c>
      <c r="C29" s="423" t="s">
        <v>397</v>
      </c>
      <c r="D29" s="423" t="s">
        <v>397</v>
      </c>
      <c r="E29" s="423" t="s">
        <v>397</v>
      </c>
      <c r="F29" s="423" t="s">
        <v>397</v>
      </c>
      <c r="G29" s="423" t="s">
        <v>397</v>
      </c>
      <c r="H29" s="423" t="s">
        <v>397</v>
      </c>
      <c r="I29" s="423" t="s">
        <v>397</v>
      </c>
      <c r="J29" s="423" t="s">
        <v>397</v>
      </c>
      <c r="K29" s="389" t="s">
        <v>913</v>
      </c>
      <c r="L29" s="389" t="s">
        <v>397</v>
      </c>
      <c r="M29" s="389" t="s">
        <v>397</v>
      </c>
      <c r="N29" s="389" t="s">
        <v>397</v>
      </c>
      <c r="O29" s="389" t="s">
        <v>397</v>
      </c>
    </row>
    <row r="30" spans="1:15" ht="19.5" customHeight="1">
      <c r="A30" s="395" t="s">
        <v>42</v>
      </c>
      <c r="B30" s="391" t="s">
        <v>507</v>
      </c>
      <c r="C30" s="391" t="s">
        <v>506</v>
      </c>
      <c r="D30" s="391" t="s">
        <v>505</v>
      </c>
      <c r="E30" s="391" t="s">
        <v>397</v>
      </c>
      <c r="F30" s="391" t="s">
        <v>397</v>
      </c>
      <c r="G30" s="391" t="s">
        <v>504</v>
      </c>
      <c r="H30" s="391" t="s">
        <v>397</v>
      </c>
      <c r="I30" s="391" t="s">
        <v>503</v>
      </c>
      <c r="J30" s="391" t="s">
        <v>397</v>
      </c>
      <c r="K30" s="391" t="s">
        <v>397</v>
      </c>
      <c r="L30" s="391" t="s">
        <v>397</v>
      </c>
      <c r="M30" s="391" t="s">
        <v>397</v>
      </c>
      <c r="N30" s="391" t="s">
        <v>397</v>
      </c>
      <c r="O30" s="398" t="s">
        <v>502</v>
      </c>
    </row>
    <row r="31" spans="1:15" ht="18" customHeight="1">
      <c r="A31" s="396" t="s">
        <v>397</v>
      </c>
      <c r="B31" s="397" t="s">
        <v>397</v>
      </c>
      <c r="C31" s="397" t="s">
        <v>397</v>
      </c>
      <c r="D31" s="333" t="s">
        <v>384</v>
      </c>
      <c r="E31" s="397" t="s">
        <v>383</v>
      </c>
      <c r="F31" s="397" t="s">
        <v>397</v>
      </c>
      <c r="G31" s="333" t="s">
        <v>382</v>
      </c>
      <c r="H31" s="333" t="s">
        <v>381</v>
      </c>
      <c r="I31" s="333" t="s">
        <v>501</v>
      </c>
      <c r="J31" s="397" t="s">
        <v>500</v>
      </c>
      <c r="K31" s="397" t="s">
        <v>397</v>
      </c>
      <c r="L31" s="333" t="s">
        <v>499</v>
      </c>
      <c r="M31" s="333" t="s">
        <v>498</v>
      </c>
      <c r="N31" s="333" t="s">
        <v>497</v>
      </c>
      <c r="O31" s="424" t="s">
        <v>397</v>
      </c>
    </row>
    <row r="32" spans="1:15" ht="18" customHeight="1">
      <c r="A32" s="307" t="s">
        <v>397</v>
      </c>
      <c r="B32" s="328" t="s">
        <v>483</v>
      </c>
      <c r="C32" s="327" t="s">
        <v>912</v>
      </c>
      <c r="D32" s="328" t="s">
        <v>901</v>
      </c>
      <c r="E32" s="399">
        <v>61.2</v>
      </c>
      <c r="F32" s="399" t="s">
        <v>397</v>
      </c>
      <c r="G32" s="331">
        <v>60</v>
      </c>
      <c r="H32" s="331">
        <v>3672</v>
      </c>
      <c r="I32" s="331" t="s">
        <v>397</v>
      </c>
      <c r="J32" s="399" t="s">
        <v>397</v>
      </c>
      <c r="K32" s="399" t="s">
        <v>397</v>
      </c>
      <c r="L32" s="331" t="s">
        <v>397</v>
      </c>
      <c r="M32" s="331">
        <v>3672</v>
      </c>
      <c r="N32" s="331" t="s">
        <v>397</v>
      </c>
      <c r="O32" s="309" t="s">
        <v>397</v>
      </c>
    </row>
    <row r="33" spans="1:15" ht="18" customHeight="1">
      <c r="A33" s="307">
        <v>2</v>
      </c>
      <c r="B33" s="328" t="s">
        <v>911</v>
      </c>
      <c r="C33" s="327" t="s">
        <v>910</v>
      </c>
      <c r="D33" s="328" t="s">
        <v>484</v>
      </c>
      <c r="E33" s="399">
        <v>1</v>
      </c>
      <c r="F33" s="399" t="s">
        <v>397</v>
      </c>
      <c r="G33" s="331">
        <v>66.31</v>
      </c>
      <c r="H33" s="331">
        <v>66.31</v>
      </c>
      <c r="I33" s="331">
        <v>61.63</v>
      </c>
      <c r="J33" s="399">
        <v>4.68</v>
      </c>
      <c r="K33" s="399" t="s">
        <v>397</v>
      </c>
      <c r="L33" s="331" t="s">
        <v>397</v>
      </c>
      <c r="M33" s="331">
        <v>612</v>
      </c>
      <c r="N33" s="331" t="s">
        <v>397</v>
      </c>
      <c r="O33" s="309">
        <v>0.72</v>
      </c>
    </row>
    <row r="34" spans="1:15" ht="18" customHeight="1">
      <c r="A34" s="307" t="s">
        <v>397</v>
      </c>
      <c r="B34" s="328" t="s">
        <v>483</v>
      </c>
      <c r="C34" s="327" t="s">
        <v>909</v>
      </c>
      <c r="D34" s="328" t="s">
        <v>901</v>
      </c>
      <c r="E34" s="399">
        <v>10.199999999999999</v>
      </c>
      <c r="F34" s="399" t="s">
        <v>397</v>
      </c>
      <c r="G34" s="331">
        <v>60</v>
      </c>
      <c r="H34" s="331">
        <v>612</v>
      </c>
      <c r="I34" s="331" t="s">
        <v>397</v>
      </c>
      <c r="J34" s="399" t="s">
        <v>397</v>
      </c>
      <c r="K34" s="399" t="s">
        <v>397</v>
      </c>
      <c r="L34" s="331" t="s">
        <v>397</v>
      </c>
      <c r="M34" s="331">
        <v>612</v>
      </c>
      <c r="N34" s="331" t="s">
        <v>397</v>
      </c>
      <c r="O34" s="309" t="s">
        <v>397</v>
      </c>
    </row>
    <row r="35" spans="1:15" ht="18" customHeight="1">
      <c r="A35" s="307">
        <v>3</v>
      </c>
      <c r="B35" s="328" t="s">
        <v>907</v>
      </c>
      <c r="C35" s="327" t="s">
        <v>906</v>
      </c>
      <c r="D35" s="328" t="s">
        <v>484</v>
      </c>
      <c r="E35" s="399">
        <v>3.5</v>
      </c>
      <c r="F35" s="399" t="s">
        <v>397</v>
      </c>
      <c r="G35" s="331">
        <v>71.12</v>
      </c>
      <c r="H35" s="331">
        <v>248.92</v>
      </c>
      <c r="I35" s="331">
        <v>226.49</v>
      </c>
      <c r="J35" s="399">
        <v>22.44</v>
      </c>
      <c r="K35" s="399" t="s">
        <v>397</v>
      </c>
      <c r="L35" s="331" t="s">
        <v>397</v>
      </c>
      <c r="M35" s="331">
        <v>3213</v>
      </c>
      <c r="N35" s="331" t="s">
        <v>397</v>
      </c>
      <c r="O35" s="309">
        <v>2.6459999999999999</v>
      </c>
    </row>
    <row r="36" spans="1:15" ht="18" customHeight="1">
      <c r="A36" s="307" t="s">
        <v>397</v>
      </c>
      <c r="B36" s="328" t="s">
        <v>483</v>
      </c>
      <c r="C36" s="327" t="s">
        <v>908</v>
      </c>
      <c r="D36" s="328" t="s">
        <v>901</v>
      </c>
      <c r="E36" s="399">
        <v>35.700000000000003</v>
      </c>
      <c r="F36" s="399" t="s">
        <v>397</v>
      </c>
      <c r="G36" s="331">
        <v>90</v>
      </c>
      <c r="H36" s="331">
        <v>3213</v>
      </c>
      <c r="I36" s="331" t="s">
        <v>397</v>
      </c>
      <c r="J36" s="399" t="s">
        <v>397</v>
      </c>
      <c r="K36" s="399" t="s">
        <v>397</v>
      </c>
      <c r="L36" s="331" t="s">
        <v>397</v>
      </c>
      <c r="M36" s="331">
        <v>3213</v>
      </c>
      <c r="N36" s="331" t="s">
        <v>397</v>
      </c>
      <c r="O36" s="309" t="s">
        <v>397</v>
      </c>
    </row>
    <row r="37" spans="1:15" ht="18" customHeight="1">
      <c r="A37" s="307">
        <v>4</v>
      </c>
      <c r="B37" s="328" t="s">
        <v>907</v>
      </c>
      <c r="C37" s="327" t="s">
        <v>906</v>
      </c>
      <c r="D37" s="328" t="s">
        <v>484</v>
      </c>
      <c r="E37" s="399">
        <v>3.5</v>
      </c>
      <c r="F37" s="399" t="s">
        <v>397</v>
      </c>
      <c r="G37" s="331">
        <v>71.12</v>
      </c>
      <c r="H37" s="331">
        <v>248.92</v>
      </c>
      <c r="I37" s="331">
        <v>226.49</v>
      </c>
      <c r="J37" s="399">
        <v>22.44</v>
      </c>
      <c r="K37" s="399" t="s">
        <v>397</v>
      </c>
      <c r="L37" s="331" t="s">
        <v>397</v>
      </c>
      <c r="M37" s="331">
        <v>3213</v>
      </c>
      <c r="N37" s="331" t="s">
        <v>397</v>
      </c>
      <c r="O37" s="309">
        <v>2.6459999999999999</v>
      </c>
    </row>
    <row r="38" spans="1:15" ht="18" customHeight="1">
      <c r="A38" s="307" t="s">
        <v>397</v>
      </c>
      <c r="B38" s="328" t="s">
        <v>483</v>
      </c>
      <c r="C38" s="327" t="s">
        <v>905</v>
      </c>
      <c r="D38" s="328" t="s">
        <v>901</v>
      </c>
      <c r="E38" s="399">
        <v>35.700000000000003</v>
      </c>
      <c r="F38" s="399" t="s">
        <v>397</v>
      </c>
      <c r="G38" s="331">
        <v>90</v>
      </c>
      <c r="H38" s="331">
        <v>3213</v>
      </c>
      <c r="I38" s="331" t="s">
        <v>397</v>
      </c>
      <c r="J38" s="399" t="s">
        <v>397</v>
      </c>
      <c r="K38" s="399" t="s">
        <v>397</v>
      </c>
      <c r="L38" s="331" t="s">
        <v>397</v>
      </c>
      <c r="M38" s="331">
        <v>3213</v>
      </c>
      <c r="N38" s="331" t="s">
        <v>397</v>
      </c>
      <c r="O38" s="309" t="s">
        <v>397</v>
      </c>
    </row>
    <row r="39" spans="1:15" ht="18" customHeight="1">
      <c r="A39" s="307">
        <v>5</v>
      </c>
      <c r="B39" s="328" t="s">
        <v>904</v>
      </c>
      <c r="C39" s="327" t="s">
        <v>903</v>
      </c>
      <c r="D39" s="328" t="s">
        <v>484</v>
      </c>
      <c r="E39" s="399">
        <v>12</v>
      </c>
      <c r="F39" s="399" t="s">
        <v>397</v>
      </c>
      <c r="G39" s="331">
        <v>75.95</v>
      </c>
      <c r="H39" s="331">
        <v>911.4</v>
      </c>
      <c r="I39" s="331">
        <v>813.6</v>
      </c>
      <c r="J39" s="399">
        <v>97.8</v>
      </c>
      <c r="K39" s="399" t="s">
        <v>397</v>
      </c>
      <c r="L39" s="331" t="s">
        <v>397</v>
      </c>
      <c r="M39" s="331">
        <v>11016</v>
      </c>
      <c r="N39" s="331" t="s">
        <v>397</v>
      </c>
      <c r="O39" s="309">
        <v>9.5039999999999996</v>
      </c>
    </row>
    <row r="40" spans="1:15" ht="18" customHeight="1">
      <c r="A40" s="307" t="s">
        <v>397</v>
      </c>
      <c r="B40" s="328" t="s">
        <v>483</v>
      </c>
      <c r="C40" s="327" t="s">
        <v>902</v>
      </c>
      <c r="D40" s="328" t="s">
        <v>901</v>
      </c>
      <c r="E40" s="399">
        <v>122.4</v>
      </c>
      <c r="F40" s="399" t="s">
        <v>397</v>
      </c>
      <c r="G40" s="331">
        <v>90</v>
      </c>
      <c r="H40" s="331">
        <v>11016</v>
      </c>
      <c r="I40" s="331" t="s">
        <v>397</v>
      </c>
      <c r="J40" s="399" t="s">
        <v>397</v>
      </c>
      <c r="K40" s="399" t="s">
        <v>397</v>
      </c>
      <c r="L40" s="331" t="s">
        <v>397</v>
      </c>
      <c r="M40" s="331">
        <v>11016</v>
      </c>
      <c r="N40" s="331" t="s">
        <v>397</v>
      </c>
      <c r="O40" s="309" t="s">
        <v>397</v>
      </c>
    </row>
    <row r="41" spans="1:15" ht="18" customHeight="1">
      <c r="A41" s="307">
        <v>6</v>
      </c>
      <c r="B41" s="328" t="s">
        <v>898</v>
      </c>
      <c r="C41" s="327" t="s">
        <v>900</v>
      </c>
      <c r="D41" s="328" t="s">
        <v>484</v>
      </c>
      <c r="E41" s="399">
        <v>5.5</v>
      </c>
      <c r="F41" s="399" t="s">
        <v>397</v>
      </c>
      <c r="G41" s="331">
        <v>77.44</v>
      </c>
      <c r="H41" s="331">
        <v>425.92</v>
      </c>
      <c r="I41" s="331">
        <v>400.18</v>
      </c>
      <c r="J41" s="399">
        <v>25.74</v>
      </c>
      <c r="K41" s="399" t="s">
        <v>397</v>
      </c>
      <c r="L41" s="331" t="s">
        <v>397</v>
      </c>
      <c r="M41" s="331">
        <v>5329.5</v>
      </c>
      <c r="N41" s="331" t="s">
        <v>397</v>
      </c>
      <c r="O41" s="309">
        <v>4.6749999999999998</v>
      </c>
    </row>
    <row r="42" spans="1:15" ht="18" customHeight="1">
      <c r="A42" s="307" t="s">
        <v>397</v>
      </c>
      <c r="B42" s="328" t="s">
        <v>483</v>
      </c>
      <c r="C42" s="327" t="s">
        <v>899</v>
      </c>
      <c r="D42" s="328" t="s">
        <v>312</v>
      </c>
      <c r="E42" s="399">
        <v>56.1</v>
      </c>
      <c r="F42" s="399" t="s">
        <v>397</v>
      </c>
      <c r="G42" s="331">
        <v>95</v>
      </c>
      <c r="H42" s="331">
        <v>5329.5</v>
      </c>
      <c r="I42" s="331" t="s">
        <v>397</v>
      </c>
      <c r="J42" s="399" t="s">
        <v>397</v>
      </c>
      <c r="K42" s="399" t="s">
        <v>397</v>
      </c>
      <c r="L42" s="331" t="s">
        <v>397</v>
      </c>
      <c r="M42" s="331">
        <v>5329.5</v>
      </c>
      <c r="N42" s="331" t="s">
        <v>397</v>
      </c>
      <c r="O42" s="309" t="s">
        <v>397</v>
      </c>
    </row>
    <row r="43" spans="1:15" ht="18" customHeight="1">
      <c r="A43" s="307">
        <v>7</v>
      </c>
      <c r="B43" s="328" t="s">
        <v>898</v>
      </c>
      <c r="C43" s="327" t="s">
        <v>897</v>
      </c>
      <c r="D43" s="328" t="s">
        <v>484</v>
      </c>
      <c r="E43" s="399">
        <v>18</v>
      </c>
      <c r="F43" s="399" t="s">
        <v>397</v>
      </c>
      <c r="G43" s="331">
        <v>77.44</v>
      </c>
      <c r="H43" s="331">
        <v>1393.92</v>
      </c>
      <c r="I43" s="331">
        <v>1309.68</v>
      </c>
      <c r="J43" s="399">
        <v>84.24</v>
      </c>
      <c r="K43" s="399" t="s">
        <v>397</v>
      </c>
      <c r="L43" s="331" t="s">
        <v>397</v>
      </c>
      <c r="M43" s="331">
        <v>22032</v>
      </c>
      <c r="N43" s="331" t="s">
        <v>397</v>
      </c>
      <c r="O43" s="309">
        <v>15.3</v>
      </c>
    </row>
    <row r="44" spans="1:15" ht="18" customHeight="1">
      <c r="A44" s="307" t="s">
        <v>397</v>
      </c>
      <c r="B44" s="328" t="s">
        <v>483</v>
      </c>
      <c r="C44" s="327" t="s">
        <v>896</v>
      </c>
      <c r="D44" s="328" t="s">
        <v>312</v>
      </c>
      <c r="E44" s="399">
        <v>183.6</v>
      </c>
      <c r="F44" s="399" t="s">
        <v>397</v>
      </c>
      <c r="G44" s="331">
        <v>120</v>
      </c>
      <c r="H44" s="331">
        <v>22032</v>
      </c>
      <c r="I44" s="331" t="s">
        <v>397</v>
      </c>
      <c r="J44" s="399" t="s">
        <v>397</v>
      </c>
      <c r="K44" s="399" t="s">
        <v>397</v>
      </c>
      <c r="L44" s="331" t="s">
        <v>397</v>
      </c>
      <c r="M44" s="331">
        <v>22032</v>
      </c>
      <c r="N44" s="331" t="s">
        <v>397</v>
      </c>
      <c r="O44" s="309" t="s">
        <v>397</v>
      </c>
    </row>
    <row r="45" spans="1:15" ht="16.5" customHeight="1">
      <c r="A45" s="307" t="s">
        <v>397</v>
      </c>
      <c r="B45" s="328" t="s">
        <v>895</v>
      </c>
      <c r="C45" s="315" t="s">
        <v>894</v>
      </c>
      <c r="D45" s="328" t="s">
        <v>397</v>
      </c>
      <c r="E45" s="399" t="s">
        <v>397</v>
      </c>
      <c r="F45" s="399" t="s">
        <v>397</v>
      </c>
      <c r="G45" s="331" t="s">
        <v>397</v>
      </c>
      <c r="H45" s="331">
        <v>7293.99</v>
      </c>
      <c r="I45" s="331">
        <v>5161.54</v>
      </c>
      <c r="J45" s="399">
        <v>2132.4499999999998</v>
      </c>
      <c r="K45" s="399" t="s">
        <v>397</v>
      </c>
      <c r="L45" s="331" t="s">
        <v>397</v>
      </c>
      <c r="M45" s="331">
        <v>72522</v>
      </c>
      <c r="N45" s="331" t="s">
        <v>397</v>
      </c>
      <c r="O45" s="309">
        <v>60.271799999999999</v>
      </c>
    </row>
    <row r="46" spans="1:15" ht="18" customHeight="1">
      <c r="A46" s="307">
        <v>1</v>
      </c>
      <c r="B46" s="328" t="s">
        <v>889</v>
      </c>
      <c r="C46" s="327" t="s">
        <v>893</v>
      </c>
      <c r="D46" s="328" t="s">
        <v>484</v>
      </c>
      <c r="E46" s="399">
        <v>21.6</v>
      </c>
      <c r="F46" s="399" t="s">
        <v>397</v>
      </c>
      <c r="G46" s="331">
        <v>112.91</v>
      </c>
      <c r="H46" s="331">
        <v>2438.86</v>
      </c>
      <c r="I46" s="331">
        <v>1725.84</v>
      </c>
      <c r="J46" s="399">
        <v>713.02</v>
      </c>
      <c r="K46" s="399" t="s">
        <v>397</v>
      </c>
      <c r="L46" s="331" t="s">
        <v>397</v>
      </c>
      <c r="M46" s="331">
        <v>33048</v>
      </c>
      <c r="N46" s="331" t="s">
        <v>397</v>
      </c>
      <c r="O46" s="309">
        <v>20.152799999999999</v>
      </c>
    </row>
    <row r="47" spans="1:15" ht="18" customHeight="1">
      <c r="A47" s="307" t="s">
        <v>397</v>
      </c>
      <c r="B47" s="328" t="s">
        <v>483</v>
      </c>
      <c r="C47" s="327" t="s">
        <v>892</v>
      </c>
      <c r="D47" s="328" t="s">
        <v>312</v>
      </c>
      <c r="E47" s="399">
        <v>220.32</v>
      </c>
      <c r="F47" s="399" t="s">
        <v>397</v>
      </c>
      <c r="G47" s="331">
        <v>150</v>
      </c>
      <c r="H47" s="331">
        <v>33048</v>
      </c>
      <c r="I47" s="331" t="s">
        <v>397</v>
      </c>
      <c r="J47" s="399" t="s">
        <v>397</v>
      </c>
      <c r="K47" s="399" t="s">
        <v>397</v>
      </c>
      <c r="L47" s="331" t="s">
        <v>397</v>
      </c>
      <c r="M47" s="331">
        <v>33048</v>
      </c>
      <c r="N47" s="331" t="s">
        <v>397</v>
      </c>
      <c r="O47" s="309" t="s">
        <v>397</v>
      </c>
    </row>
    <row r="48" spans="1:15" ht="18" customHeight="1">
      <c r="A48" s="307">
        <v>2</v>
      </c>
      <c r="B48" s="328" t="s">
        <v>889</v>
      </c>
      <c r="C48" s="327" t="s">
        <v>891</v>
      </c>
      <c r="D48" s="328" t="s">
        <v>484</v>
      </c>
      <c r="E48" s="399">
        <v>41</v>
      </c>
      <c r="F48" s="399" t="s">
        <v>397</v>
      </c>
      <c r="G48" s="331">
        <v>112.91</v>
      </c>
      <c r="H48" s="331">
        <v>4629.3100000000004</v>
      </c>
      <c r="I48" s="331">
        <v>3275.9</v>
      </c>
      <c r="J48" s="399">
        <v>1353.41</v>
      </c>
      <c r="K48" s="399" t="s">
        <v>397</v>
      </c>
      <c r="L48" s="331" t="s">
        <v>397</v>
      </c>
      <c r="M48" s="331">
        <v>37638</v>
      </c>
      <c r="N48" s="331" t="s">
        <v>397</v>
      </c>
      <c r="O48" s="309">
        <v>38.253</v>
      </c>
    </row>
    <row r="49" spans="1:15" ht="18" customHeight="1">
      <c r="A49" s="307" t="s">
        <v>397</v>
      </c>
      <c r="B49" s="328" t="s">
        <v>483</v>
      </c>
      <c r="C49" s="327" t="s">
        <v>890</v>
      </c>
      <c r="D49" s="328" t="s">
        <v>312</v>
      </c>
      <c r="E49" s="399">
        <v>418.2</v>
      </c>
      <c r="F49" s="399" t="s">
        <v>397</v>
      </c>
      <c r="G49" s="331">
        <v>90</v>
      </c>
      <c r="H49" s="331">
        <v>37638</v>
      </c>
      <c r="I49" s="331" t="s">
        <v>397</v>
      </c>
      <c r="J49" s="399" t="s">
        <v>397</v>
      </c>
      <c r="K49" s="399" t="s">
        <v>397</v>
      </c>
      <c r="L49" s="331" t="s">
        <v>397</v>
      </c>
      <c r="M49" s="331">
        <v>37638</v>
      </c>
      <c r="N49" s="331" t="s">
        <v>397</v>
      </c>
      <c r="O49" s="309" t="s">
        <v>397</v>
      </c>
    </row>
    <row r="50" spans="1:15" ht="18" customHeight="1">
      <c r="A50" s="307">
        <v>3</v>
      </c>
      <c r="B50" s="328" t="s">
        <v>889</v>
      </c>
      <c r="C50" s="327" t="s">
        <v>888</v>
      </c>
      <c r="D50" s="328" t="s">
        <v>484</v>
      </c>
      <c r="E50" s="399">
        <v>2</v>
      </c>
      <c r="F50" s="399" t="s">
        <v>397</v>
      </c>
      <c r="G50" s="331">
        <v>112.91</v>
      </c>
      <c r="H50" s="331">
        <v>225.82</v>
      </c>
      <c r="I50" s="331">
        <v>159.80000000000001</v>
      </c>
      <c r="J50" s="399">
        <v>66.02</v>
      </c>
      <c r="K50" s="399" t="s">
        <v>397</v>
      </c>
      <c r="L50" s="331" t="s">
        <v>397</v>
      </c>
      <c r="M50" s="331">
        <v>1836</v>
      </c>
      <c r="N50" s="331" t="s">
        <v>397</v>
      </c>
      <c r="O50" s="309">
        <v>1.8660000000000001</v>
      </c>
    </row>
    <row r="51" spans="1:15" ht="18" customHeight="1">
      <c r="A51" s="307" t="s">
        <v>397</v>
      </c>
      <c r="B51" s="328" t="s">
        <v>483</v>
      </c>
      <c r="C51" s="327" t="s">
        <v>887</v>
      </c>
      <c r="D51" s="328" t="s">
        <v>312</v>
      </c>
      <c r="E51" s="399">
        <v>20.399999999999999</v>
      </c>
      <c r="F51" s="399" t="s">
        <v>397</v>
      </c>
      <c r="G51" s="331">
        <v>90</v>
      </c>
      <c r="H51" s="331">
        <v>1836</v>
      </c>
      <c r="I51" s="331" t="s">
        <v>397</v>
      </c>
      <c r="J51" s="399" t="s">
        <v>397</v>
      </c>
      <c r="K51" s="399" t="s">
        <v>397</v>
      </c>
      <c r="L51" s="331" t="s">
        <v>397</v>
      </c>
      <c r="M51" s="331">
        <v>1836</v>
      </c>
      <c r="N51" s="331" t="s">
        <v>397</v>
      </c>
      <c r="O51" s="309" t="s">
        <v>397</v>
      </c>
    </row>
    <row r="52" spans="1:15" ht="16.5" customHeight="1" thickBot="1">
      <c r="A52" s="336" t="s">
        <v>397</v>
      </c>
      <c r="B52" s="335" t="s">
        <v>886</v>
      </c>
      <c r="C52" s="337" t="s">
        <v>885</v>
      </c>
      <c r="D52" s="335" t="s">
        <v>397</v>
      </c>
      <c r="E52" s="400" t="s">
        <v>397</v>
      </c>
      <c r="F52" s="400" t="s">
        <v>397</v>
      </c>
      <c r="G52" s="330" t="s">
        <v>397</v>
      </c>
      <c r="H52" s="330">
        <v>91609.16</v>
      </c>
      <c r="I52" s="330">
        <v>53863.83</v>
      </c>
      <c r="J52" s="400">
        <v>29372.35</v>
      </c>
      <c r="K52" s="400" t="s">
        <v>397</v>
      </c>
      <c r="L52" s="330">
        <v>8373</v>
      </c>
      <c r="M52" s="330">
        <v>783169.15</v>
      </c>
      <c r="N52" s="330" t="s">
        <v>397</v>
      </c>
      <c r="O52" s="312">
        <v>710.90800000000002</v>
      </c>
    </row>
    <row r="53" spans="1:15" ht="16.5" customHeight="1">
      <c r="A53" s="423" t="s">
        <v>400</v>
      </c>
      <c r="B53" s="423" t="s">
        <v>397</v>
      </c>
      <c r="C53" s="423" t="s">
        <v>397</v>
      </c>
      <c r="D53" s="423" t="s">
        <v>397</v>
      </c>
      <c r="E53" s="423" t="s">
        <v>397</v>
      </c>
      <c r="F53" s="388" t="s">
        <v>399</v>
      </c>
      <c r="G53" s="388" t="s">
        <v>397</v>
      </c>
      <c r="H53" s="388" t="s">
        <v>397</v>
      </c>
      <c r="I53" s="388" t="s">
        <v>397</v>
      </c>
      <c r="J53" s="388" t="s">
        <v>397</v>
      </c>
      <c r="K53" s="389" t="s">
        <v>398</v>
      </c>
      <c r="L53" s="389" t="s">
        <v>397</v>
      </c>
      <c r="M53" s="389" t="s">
        <v>397</v>
      </c>
      <c r="N53" s="389" t="s">
        <v>397</v>
      </c>
      <c r="O53" s="389" t="s">
        <v>397</v>
      </c>
    </row>
    <row r="54" spans="1:15" ht="14.25" customHeight="1">
      <c r="A54" s="389" t="s">
        <v>397</v>
      </c>
      <c r="B54" s="389" t="s">
        <v>397</v>
      </c>
      <c r="C54" s="389" t="s">
        <v>397</v>
      </c>
      <c r="D54" s="389" t="s">
        <v>397</v>
      </c>
      <c r="E54" s="389" t="s">
        <v>397</v>
      </c>
      <c r="F54" s="389" t="s">
        <v>397</v>
      </c>
      <c r="G54" s="389" t="s">
        <v>397</v>
      </c>
      <c r="H54" s="389" t="s">
        <v>397</v>
      </c>
      <c r="I54" s="389" t="s">
        <v>397</v>
      </c>
      <c r="J54" s="389" t="s">
        <v>397</v>
      </c>
      <c r="K54" s="389" t="s">
        <v>397</v>
      </c>
      <c r="L54" s="389" t="s">
        <v>397</v>
      </c>
      <c r="M54" s="389" t="s">
        <v>397</v>
      </c>
      <c r="N54" s="389" t="s">
        <v>397</v>
      </c>
      <c r="O54" s="389" t="s">
        <v>397</v>
      </c>
    </row>
    <row r="55" spans="1:15" ht="32.25" customHeight="1">
      <c r="A55" s="422" t="s">
        <v>509</v>
      </c>
      <c r="B55" s="422" t="s">
        <v>397</v>
      </c>
      <c r="C55" s="422" t="s">
        <v>397</v>
      </c>
      <c r="D55" s="422" t="s">
        <v>397</v>
      </c>
      <c r="E55" s="422" t="s">
        <v>397</v>
      </c>
      <c r="F55" s="422" t="s">
        <v>397</v>
      </c>
      <c r="G55" s="422" t="s">
        <v>397</v>
      </c>
      <c r="H55" s="422" t="s">
        <v>397</v>
      </c>
      <c r="I55" s="422" t="s">
        <v>397</v>
      </c>
      <c r="J55" s="422" t="s">
        <v>397</v>
      </c>
      <c r="K55" s="422" t="s">
        <v>397</v>
      </c>
      <c r="L55" s="422" t="s">
        <v>397</v>
      </c>
      <c r="M55" s="422" t="s">
        <v>397</v>
      </c>
      <c r="N55" s="422" t="s">
        <v>397</v>
      </c>
      <c r="O55" s="422" t="s">
        <v>397</v>
      </c>
    </row>
    <row r="56" spans="1:15" ht="23.25" customHeight="1" thickBot="1">
      <c r="A56" s="423" t="s">
        <v>797</v>
      </c>
      <c r="B56" s="423" t="s">
        <v>397</v>
      </c>
      <c r="C56" s="423" t="s">
        <v>397</v>
      </c>
      <c r="D56" s="423" t="s">
        <v>397</v>
      </c>
      <c r="E56" s="423" t="s">
        <v>397</v>
      </c>
      <c r="F56" s="423" t="s">
        <v>397</v>
      </c>
      <c r="G56" s="423" t="s">
        <v>397</v>
      </c>
      <c r="H56" s="423" t="s">
        <v>397</v>
      </c>
      <c r="I56" s="423" t="s">
        <v>397</v>
      </c>
      <c r="J56" s="423" t="s">
        <v>397</v>
      </c>
      <c r="K56" s="389" t="s">
        <v>884</v>
      </c>
      <c r="L56" s="389" t="s">
        <v>397</v>
      </c>
      <c r="M56" s="389" t="s">
        <v>397</v>
      </c>
      <c r="N56" s="389" t="s">
        <v>397</v>
      </c>
      <c r="O56" s="389" t="s">
        <v>397</v>
      </c>
    </row>
    <row r="57" spans="1:15" ht="19.5" customHeight="1">
      <c r="A57" s="395" t="s">
        <v>42</v>
      </c>
      <c r="B57" s="391" t="s">
        <v>507</v>
      </c>
      <c r="C57" s="391" t="s">
        <v>506</v>
      </c>
      <c r="D57" s="391" t="s">
        <v>505</v>
      </c>
      <c r="E57" s="391" t="s">
        <v>397</v>
      </c>
      <c r="F57" s="391" t="s">
        <v>397</v>
      </c>
      <c r="G57" s="391" t="s">
        <v>504</v>
      </c>
      <c r="H57" s="391" t="s">
        <v>397</v>
      </c>
      <c r="I57" s="391" t="s">
        <v>503</v>
      </c>
      <c r="J57" s="391" t="s">
        <v>397</v>
      </c>
      <c r="K57" s="391" t="s">
        <v>397</v>
      </c>
      <c r="L57" s="391" t="s">
        <v>397</v>
      </c>
      <c r="M57" s="391" t="s">
        <v>397</v>
      </c>
      <c r="N57" s="391" t="s">
        <v>397</v>
      </c>
      <c r="O57" s="398" t="s">
        <v>502</v>
      </c>
    </row>
    <row r="58" spans="1:15" ht="18" customHeight="1">
      <c r="A58" s="396" t="s">
        <v>397</v>
      </c>
      <c r="B58" s="397" t="s">
        <v>397</v>
      </c>
      <c r="C58" s="397" t="s">
        <v>397</v>
      </c>
      <c r="D58" s="333" t="s">
        <v>384</v>
      </c>
      <c r="E58" s="397" t="s">
        <v>383</v>
      </c>
      <c r="F58" s="397" t="s">
        <v>397</v>
      </c>
      <c r="G58" s="333" t="s">
        <v>382</v>
      </c>
      <c r="H58" s="333" t="s">
        <v>381</v>
      </c>
      <c r="I58" s="333" t="s">
        <v>501</v>
      </c>
      <c r="J58" s="397" t="s">
        <v>500</v>
      </c>
      <c r="K58" s="397" t="s">
        <v>397</v>
      </c>
      <c r="L58" s="333" t="s">
        <v>499</v>
      </c>
      <c r="M58" s="333" t="s">
        <v>498</v>
      </c>
      <c r="N58" s="333" t="s">
        <v>497</v>
      </c>
      <c r="O58" s="424" t="s">
        <v>397</v>
      </c>
    </row>
    <row r="59" spans="1:15" ht="42" customHeight="1">
      <c r="A59" s="307">
        <v>1</v>
      </c>
      <c r="B59" s="328" t="s">
        <v>883</v>
      </c>
      <c r="C59" s="327" t="s">
        <v>882</v>
      </c>
      <c r="D59" s="328" t="s">
        <v>848</v>
      </c>
      <c r="E59" s="399">
        <v>14</v>
      </c>
      <c r="F59" s="399" t="s">
        <v>397</v>
      </c>
      <c r="G59" s="331">
        <v>2134.21</v>
      </c>
      <c r="H59" s="331">
        <v>29878.94</v>
      </c>
      <c r="I59" s="331">
        <v>17510.919999999998</v>
      </c>
      <c r="J59" s="399">
        <v>11646.04</v>
      </c>
      <c r="K59" s="399" t="s">
        <v>397</v>
      </c>
      <c r="L59" s="331">
        <v>721.98</v>
      </c>
      <c r="M59" s="331">
        <v>114534</v>
      </c>
      <c r="N59" s="331" t="s">
        <v>397</v>
      </c>
      <c r="O59" s="309">
        <v>231.14</v>
      </c>
    </row>
    <row r="60" spans="1:15" ht="18" customHeight="1">
      <c r="A60" s="307" t="s">
        <v>397</v>
      </c>
      <c r="B60" s="328" t="s">
        <v>483</v>
      </c>
      <c r="C60" s="327" t="s">
        <v>879</v>
      </c>
      <c r="D60" s="328" t="s">
        <v>528</v>
      </c>
      <c r="E60" s="399">
        <v>1414</v>
      </c>
      <c r="F60" s="399" t="s">
        <v>397</v>
      </c>
      <c r="G60" s="331">
        <v>81</v>
      </c>
      <c r="H60" s="331">
        <v>114534</v>
      </c>
      <c r="I60" s="331" t="s">
        <v>397</v>
      </c>
      <c r="J60" s="399" t="s">
        <v>397</v>
      </c>
      <c r="K60" s="399" t="s">
        <v>397</v>
      </c>
      <c r="L60" s="331" t="s">
        <v>397</v>
      </c>
      <c r="M60" s="331">
        <v>114534</v>
      </c>
      <c r="N60" s="331" t="s">
        <v>397</v>
      </c>
      <c r="O60" s="309" t="s">
        <v>397</v>
      </c>
    </row>
    <row r="61" spans="1:15" ht="42" customHeight="1">
      <c r="A61" s="307">
        <v>2</v>
      </c>
      <c r="B61" s="328" t="s">
        <v>881</v>
      </c>
      <c r="C61" s="327" t="s">
        <v>880</v>
      </c>
      <c r="D61" s="328" t="s">
        <v>848</v>
      </c>
      <c r="E61" s="399">
        <v>2</v>
      </c>
      <c r="F61" s="399" t="s">
        <v>397</v>
      </c>
      <c r="G61" s="331">
        <v>3368.28</v>
      </c>
      <c r="H61" s="331">
        <v>6736.56</v>
      </c>
      <c r="I61" s="331">
        <v>3901.04</v>
      </c>
      <c r="J61" s="399">
        <v>2377.7399999999998</v>
      </c>
      <c r="K61" s="399" t="s">
        <v>397</v>
      </c>
      <c r="L61" s="331">
        <v>457.78</v>
      </c>
      <c r="M61" s="331">
        <v>52116</v>
      </c>
      <c r="N61" s="331" t="s">
        <v>397</v>
      </c>
      <c r="O61" s="309">
        <v>51.48</v>
      </c>
    </row>
    <row r="62" spans="1:15" ht="18" customHeight="1">
      <c r="A62" s="307" t="s">
        <v>397</v>
      </c>
      <c r="B62" s="328" t="s">
        <v>483</v>
      </c>
      <c r="C62" s="327" t="s">
        <v>872</v>
      </c>
      <c r="D62" s="328" t="s">
        <v>528</v>
      </c>
      <c r="E62" s="399">
        <v>202</v>
      </c>
      <c r="F62" s="399" t="s">
        <v>397</v>
      </c>
      <c r="G62" s="331">
        <v>258</v>
      </c>
      <c r="H62" s="331">
        <v>52116</v>
      </c>
      <c r="I62" s="331" t="s">
        <v>397</v>
      </c>
      <c r="J62" s="399" t="s">
        <v>397</v>
      </c>
      <c r="K62" s="399" t="s">
        <v>397</v>
      </c>
      <c r="L62" s="331" t="s">
        <v>397</v>
      </c>
      <c r="M62" s="331">
        <v>52116</v>
      </c>
      <c r="N62" s="331" t="s">
        <v>397</v>
      </c>
      <c r="O62" s="309" t="s">
        <v>397</v>
      </c>
    </row>
    <row r="63" spans="1:15" ht="42" customHeight="1">
      <c r="A63" s="307">
        <v>3</v>
      </c>
      <c r="B63" s="328" t="s">
        <v>878</v>
      </c>
      <c r="C63" s="327" t="s">
        <v>877</v>
      </c>
      <c r="D63" s="328" t="s">
        <v>848</v>
      </c>
      <c r="E63" s="399">
        <v>2.5</v>
      </c>
      <c r="F63" s="399" t="s">
        <v>397</v>
      </c>
      <c r="G63" s="331">
        <v>4675.8599999999997</v>
      </c>
      <c r="H63" s="331">
        <v>11689.65</v>
      </c>
      <c r="I63" s="331">
        <v>6637.75</v>
      </c>
      <c r="J63" s="399">
        <v>3330.98</v>
      </c>
      <c r="K63" s="399" t="s">
        <v>397</v>
      </c>
      <c r="L63" s="331">
        <v>1720.93</v>
      </c>
      <c r="M63" s="331">
        <v>221190</v>
      </c>
      <c r="N63" s="331" t="s">
        <v>397</v>
      </c>
      <c r="O63" s="309">
        <v>87.6</v>
      </c>
    </row>
    <row r="64" spans="1:15" ht="18" customHeight="1">
      <c r="A64" s="307" t="s">
        <v>397</v>
      </c>
      <c r="B64" s="328" t="s">
        <v>483</v>
      </c>
      <c r="C64" s="327" t="s">
        <v>879</v>
      </c>
      <c r="D64" s="328" t="s">
        <v>528</v>
      </c>
      <c r="E64" s="399">
        <v>252.5</v>
      </c>
      <c r="F64" s="399" t="s">
        <v>397</v>
      </c>
      <c r="G64" s="331">
        <v>876</v>
      </c>
      <c r="H64" s="331">
        <v>221190</v>
      </c>
      <c r="I64" s="331" t="s">
        <v>397</v>
      </c>
      <c r="J64" s="399" t="s">
        <v>397</v>
      </c>
      <c r="K64" s="399" t="s">
        <v>397</v>
      </c>
      <c r="L64" s="331" t="s">
        <v>397</v>
      </c>
      <c r="M64" s="331">
        <v>221190</v>
      </c>
      <c r="N64" s="331" t="s">
        <v>397</v>
      </c>
      <c r="O64" s="309" t="s">
        <v>397</v>
      </c>
    </row>
    <row r="65" spans="1:15" ht="42" customHeight="1">
      <c r="A65" s="307">
        <v>4</v>
      </c>
      <c r="B65" s="328" t="s">
        <v>878</v>
      </c>
      <c r="C65" s="327" t="s">
        <v>877</v>
      </c>
      <c r="D65" s="328" t="s">
        <v>848</v>
      </c>
      <c r="E65" s="399">
        <v>3.2</v>
      </c>
      <c r="F65" s="399" t="s">
        <v>397</v>
      </c>
      <c r="G65" s="331">
        <v>4675.8599999999997</v>
      </c>
      <c r="H65" s="331">
        <v>14962.75</v>
      </c>
      <c r="I65" s="331">
        <v>8496.32</v>
      </c>
      <c r="J65" s="399">
        <v>4263.6499999999996</v>
      </c>
      <c r="K65" s="399" t="s">
        <v>397</v>
      </c>
      <c r="L65" s="331">
        <v>2202.7800000000002</v>
      </c>
      <c r="M65" s="331">
        <v>173558.39999999999</v>
      </c>
      <c r="N65" s="331" t="s">
        <v>397</v>
      </c>
      <c r="O65" s="309">
        <v>112.128</v>
      </c>
    </row>
    <row r="66" spans="1:15" ht="18" customHeight="1">
      <c r="A66" s="307" t="s">
        <v>397</v>
      </c>
      <c r="B66" s="328" t="s">
        <v>483</v>
      </c>
      <c r="C66" s="327" t="s">
        <v>879</v>
      </c>
      <c r="D66" s="328" t="s">
        <v>528</v>
      </c>
      <c r="E66" s="399">
        <v>323.2</v>
      </c>
      <c r="F66" s="399" t="s">
        <v>397</v>
      </c>
      <c r="G66" s="331">
        <v>537</v>
      </c>
      <c r="H66" s="331">
        <v>173558.39999999999</v>
      </c>
      <c r="I66" s="331" t="s">
        <v>397</v>
      </c>
      <c r="J66" s="399" t="s">
        <v>397</v>
      </c>
      <c r="K66" s="399" t="s">
        <v>397</v>
      </c>
      <c r="L66" s="331" t="s">
        <v>397</v>
      </c>
      <c r="M66" s="331">
        <v>173558.39999999999</v>
      </c>
      <c r="N66" s="331" t="s">
        <v>397</v>
      </c>
      <c r="O66" s="309" t="s">
        <v>397</v>
      </c>
    </row>
    <row r="67" spans="1:15" ht="42" customHeight="1">
      <c r="A67" s="307">
        <v>5</v>
      </c>
      <c r="B67" s="328" t="s">
        <v>878</v>
      </c>
      <c r="C67" s="327" t="s">
        <v>877</v>
      </c>
      <c r="D67" s="328" t="s">
        <v>848</v>
      </c>
      <c r="E67" s="399">
        <v>4</v>
      </c>
      <c r="F67" s="399" t="s">
        <v>397</v>
      </c>
      <c r="G67" s="331">
        <v>4675.8599999999997</v>
      </c>
      <c r="H67" s="331">
        <v>18703.439999999999</v>
      </c>
      <c r="I67" s="331">
        <v>10620.4</v>
      </c>
      <c r="J67" s="399">
        <v>5329.56</v>
      </c>
      <c r="K67" s="399" t="s">
        <v>397</v>
      </c>
      <c r="L67" s="331">
        <v>2753.48</v>
      </c>
      <c r="M67" s="331">
        <v>183416</v>
      </c>
      <c r="N67" s="331" t="s">
        <v>397</v>
      </c>
      <c r="O67" s="309">
        <v>140.16</v>
      </c>
    </row>
    <row r="68" spans="1:15" ht="18" customHeight="1">
      <c r="A68" s="307" t="s">
        <v>397</v>
      </c>
      <c r="B68" s="328" t="s">
        <v>483</v>
      </c>
      <c r="C68" s="327" t="s">
        <v>872</v>
      </c>
      <c r="D68" s="328" t="s">
        <v>528</v>
      </c>
      <c r="E68" s="399">
        <v>404</v>
      </c>
      <c r="F68" s="399" t="s">
        <v>397</v>
      </c>
      <c r="G68" s="331">
        <v>454</v>
      </c>
      <c r="H68" s="331">
        <v>183416</v>
      </c>
      <c r="I68" s="331" t="s">
        <v>397</v>
      </c>
      <c r="J68" s="399" t="s">
        <v>397</v>
      </c>
      <c r="K68" s="399" t="s">
        <v>397</v>
      </c>
      <c r="L68" s="331" t="s">
        <v>397</v>
      </c>
      <c r="M68" s="331">
        <v>183416</v>
      </c>
      <c r="N68" s="331" t="s">
        <v>397</v>
      </c>
      <c r="O68" s="309" t="s">
        <v>397</v>
      </c>
    </row>
    <row r="69" spans="1:15" ht="42" customHeight="1">
      <c r="A69" s="307">
        <v>6</v>
      </c>
      <c r="B69" s="328" t="s">
        <v>878</v>
      </c>
      <c r="C69" s="327" t="s">
        <v>877</v>
      </c>
      <c r="D69" s="328" t="s">
        <v>848</v>
      </c>
      <c r="E69" s="399">
        <v>0.45</v>
      </c>
      <c r="F69" s="399" t="s">
        <v>397</v>
      </c>
      <c r="G69" s="331">
        <v>4675.8599999999997</v>
      </c>
      <c r="H69" s="331">
        <v>2104.14</v>
      </c>
      <c r="I69" s="331">
        <v>1194.8</v>
      </c>
      <c r="J69" s="399">
        <v>599.58000000000004</v>
      </c>
      <c r="K69" s="399" t="s">
        <v>397</v>
      </c>
      <c r="L69" s="331">
        <v>309.77</v>
      </c>
      <c r="M69" s="331">
        <v>16134.75</v>
      </c>
      <c r="N69" s="331" t="s">
        <v>397</v>
      </c>
      <c r="O69" s="309">
        <v>15.768000000000001</v>
      </c>
    </row>
    <row r="70" spans="1:15" ht="18" customHeight="1">
      <c r="A70" s="307" t="s">
        <v>397</v>
      </c>
      <c r="B70" s="328" t="s">
        <v>483</v>
      </c>
      <c r="C70" s="327" t="s">
        <v>872</v>
      </c>
      <c r="D70" s="328" t="s">
        <v>528</v>
      </c>
      <c r="E70" s="399">
        <v>45.45</v>
      </c>
      <c r="F70" s="399" t="s">
        <v>397</v>
      </c>
      <c r="G70" s="331">
        <v>355</v>
      </c>
      <c r="H70" s="331">
        <v>16134.75</v>
      </c>
      <c r="I70" s="331" t="s">
        <v>397</v>
      </c>
      <c r="J70" s="399" t="s">
        <v>397</v>
      </c>
      <c r="K70" s="399" t="s">
        <v>397</v>
      </c>
      <c r="L70" s="331" t="s">
        <v>397</v>
      </c>
      <c r="M70" s="331">
        <v>16134.75</v>
      </c>
      <c r="N70" s="331" t="s">
        <v>397</v>
      </c>
      <c r="O70" s="309" t="s">
        <v>397</v>
      </c>
    </row>
    <row r="71" spans="1:15" ht="24.75" customHeight="1" thickBot="1">
      <c r="A71" s="336">
        <v>7</v>
      </c>
      <c r="B71" s="335" t="s">
        <v>876</v>
      </c>
      <c r="C71" s="326" t="s">
        <v>875</v>
      </c>
      <c r="D71" s="335" t="s">
        <v>848</v>
      </c>
      <c r="E71" s="400">
        <v>4</v>
      </c>
      <c r="F71" s="400" t="s">
        <v>397</v>
      </c>
      <c r="G71" s="330">
        <v>1883.42</v>
      </c>
      <c r="H71" s="330">
        <v>7533.68</v>
      </c>
      <c r="I71" s="330">
        <v>5502.6</v>
      </c>
      <c r="J71" s="400">
        <v>1824.8</v>
      </c>
      <c r="K71" s="400" t="s">
        <v>397</v>
      </c>
      <c r="L71" s="330">
        <v>206.28</v>
      </c>
      <c r="M71" s="330">
        <v>22220</v>
      </c>
      <c r="N71" s="330" t="s">
        <v>397</v>
      </c>
      <c r="O71" s="312">
        <v>72.632000000000005</v>
      </c>
    </row>
    <row r="72" spans="1:15" ht="16.5" customHeight="1">
      <c r="A72" s="423" t="s">
        <v>400</v>
      </c>
      <c r="B72" s="423" t="s">
        <v>397</v>
      </c>
      <c r="C72" s="423" t="s">
        <v>397</v>
      </c>
      <c r="D72" s="423" t="s">
        <v>397</v>
      </c>
      <c r="E72" s="423" t="s">
        <v>397</v>
      </c>
      <c r="F72" s="388" t="s">
        <v>399</v>
      </c>
      <c r="G72" s="388" t="s">
        <v>397</v>
      </c>
      <c r="H72" s="388" t="s">
        <v>397</v>
      </c>
      <c r="I72" s="388" t="s">
        <v>397</v>
      </c>
      <c r="J72" s="388" t="s">
        <v>397</v>
      </c>
      <c r="K72" s="389" t="s">
        <v>398</v>
      </c>
      <c r="L72" s="389" t="s">
        <v>397</v>
      </c>
      <c r="M72" s="389" t="s">
        <v>397</v>
      </c>
      <c r="N72" s="389" t="s">
        <v>397</v>
      </c>
      <c r="O72" s="389" t="s">
        <v>397</v>
      </c>
    </row>
    <row r="73" spans="1:15" ht="14.25" customHeight="1">
      <c r="A73" s="389" t="s">
        <v>397</v>
      </c>
      <c r="B73" s="389" t="s">
        <v>397</v>
      </c>
      <c r="C73" s="389" t="s">
        <v>397</v>
      </c>
      <c r="D73" s="389" t="s">
        <v>397</v>
      </c>
      <c r="E73" s="389" t="s">
        <v>397</v>
      </c>
      <c r="F73" s="389" t="s">
        <v>397</v>
      </c>
      <c r="G73" s="389" t="s">
        <v>397</v>
      </c>
      <c r="H73" s="389" t="s">
        <v>397</v>
      </c>
      <c r="I73" s="389" t="s">
        <v>397</v>
      </c>
      <c r="J73" s="389" t="s">
        <v>397</v>
      </c>
      <c r="K73" s="389" t="s">
        <v>397</v>
      </c>
      <c r="L73" s="389" t="s">
        <v>397</v>
      </c>
      <c r="M73" s="389" t="s">
        <v>397</v>
      </c>
      <c r="N73" s="389" t="s">
        <v>397</v>
      </c>
      <c r="O73" s="389" t="s">
        <v>397</v>
      </c>
    </row>
    <row r="74" spans="1:15" ht="32.25" customHeight="1">
      <c r="A74" s="422" t="s">
        <v>509</v>
      </c>
      <c r="B74" s="422" t="s">
        <v>397</v>
      </c>
      <c r="C74" s="422" t="s">
        <v>397</v>
      </c>
      <c r="D74" s="422" t="s">
        <v>397</v>
      </c>
      <c r="E74" s="422" t="s">
        <v>397</v>
      </c>
      <c r="F74" s="422" t="s">
        <v>397</v>
      </c>
      <c r="G74" s="422" t="s">
        <v>397</v>
      </c>
      <c r="H74" s="422" t="s">
        <v>397</v>
      </c>
      <c r="I74" s="422" t="s">
        <v>397</v>
      </c>
      <c r="J74" s="422" t="s">
        <v>397</v>
      </c>
      <c r="K74" s="422" t="s">
        <v>397</v>
      </c>
      <c r="L74" s="422" t="s">
        <v>397</v>
      </c>
      <c r="M74" s="422" t="s">
        <v>397</v>
      </c>
      <c r="N74" s="422" t="s">
        <v>397</v>
      </c>
      <c r="O74" s="422" t="s">
        <v>397</v>
      </c>
    </row>
    <row r="75" spans="1:15" ht="23.25" customHeight="1" thickBot="1">
      <c r="A75" s="423" t="s">
        <v>797</v>
      </c>
      <c r="B75" s="423" t="s">
        <v>397</v>
      </c>
      <c r="C75" s="423" t="s">
        <v>397</v>
      </c>
      <c r="D75" s="423" t="s">
        <v>397</v>
      </c>
      <c r="E75" s="423" t="s">
        <v>397</v>
      </c>
      <c r="F75" s="423" t="s">
        <v>397</v>
      </c>
      <c r="G75" s="423" t="s">
        <v>397</v>
      </c>
      <c r="H75" s="423" t="s">
        <v>397</v>
      </c>
      <c r="I75" s="423" t="s">
        <v>397</v>
      </c>
      <c r="J75" s="423" t="s">
        <v>397</v>
      </c>
      <c r="K75" s="389" t="s">
        <v>874</v>
      </c>
      <c r="L75" s="389" t="s">
        <v>397</v>
      </c>
      <c r="M75" s="389" t="s">
        <v>397</v>
      </c>
      <c r="N75" s="389" t="s">
        <v>397</v>
      </c>
      <c r="O75" s="389" t="s">
        <v>397</v>
      </c>
    </row>
    <row r="76" spans="1:15" ht="19.5" customHeight="1">
      <c r="A76" s="395" t="s">
        <v>42</v>
      </c>
      <c r="B76" s="391" t="s">
        <v>507</v>
      </c>
      <c r="C76" s="391" t="s">
        <v>506</v>
      </c>
      <c r="D76" s="391" t="s">
        <v>505</v>
      </c>
      <c r="E76" s="391" t="s">
        <v>397</v>
      </c>
      <c r="F76" s="391" t="s">
        <v>397</v>
      </c>
      <c r="G76" s="391" t="s">
        <v>504</v>
      </c>
      <c r="H76" s="391" t="s">
        <v>397</v>
      </c>
      <c r="I76" s="391" t="s">
        <v>503</v>
      </c>
      <c r="J76" s="391" t="s">
        <v>397</v>
      </c>
      <c r="K76" s="391" t="s">
        <v>397</v>
      </c>
      <c r="L76" s="391" t="s">
        <v>397</v>
      </c>
      <c r="M76" s="391" t="s">
        <v>397</v>
      </c>
      <c r="N76" s="391" t="s">
        <v>397</v>
      </c>
      <c r="O76" s="398" t="s">
        <v>502</v>
      </c>
    </row>
    <row r="77" spans="1:15" ht="18" customHeight="1">
      <c r="A77" s="396" t="s">
        <v>397</v>
      </c>
      <c r="B77" s="397" t="s">
        <v>397</v>
      </c>
      <c r="C77" s="397" t="s">
        <v>397</v>
      </c>
      <c r="D77" s="333" t="s">
        <v>384</v>
      </c>
      <c r="E77" s="397" t="s">
        <v>383</v>
      </c>
      <c r="F77" s="397" t="s">
        <v>397</v>
      </c>
      <c r="G77" s="333" t="s">
        <v>382</v>
      </c>
      <c r="H77" s="333" t="s">
        <v>381</v>
      </c>
      <c r="I77" s="333" t="s">
        <v>501</v>
      </c>
      <c r="J77" s="397" t="s">
        <v>500</v>
      </c>
      <c r="K77" s="397" t="s">
        <v>397</v>
      </c>
      <c r="L77" s="333" t="s">
        <v>499</v>
      </c>
      <c r="M77" s="333" t="s">
        <v>498</v>
      </c>
      <c r="N77" s="333" t="s">
        <v>497</v>
      </c>
      <c r="O77" s="424" t="s">
        <v>397</v>
      </c>
    </row>
    <row r="78" spans="1:15" ht="19.5" customHeight="1">
      <c r="A78" s="307" t="s">
        <v>397</v>
      </c>
      <c r="B78" s="328" t="s">
        <v>397</v>
      </c>
      <c r="C78" s="327" t="s">
        <v>873</v>
      </c>
      <c r="D78" s="328" t="s">
        <v>397</v>
      </c>
      <c r="E78" s="399" t="s">
        <v>397</v>
      </c>
      <c r="F78" s="399" t="s">
        <v>397</v>
      </c>
      <c r="G78" s="331" t="s">
        <v>397</v>
      </c>
      <c r="H78" s="331" t="s">
        <v>397</v>
      </c>
      <c r="I78" s="331" t="s">
        <v>397</v>
      </c>
      <c r="J78" s="399" t="s">
        <v>397</v>
      </c>
      <c r="K78" s="399" t="s">
        <v>397</v>
      </c>
      <c r="L78" s="331" t="s">
        <v>397</v>
      </c>
      <c r="M78" s="331" t="s">
        <v>397</v>
      </c>
      <c r="N78" s="331" t="s">
        <v>397</v>
      </c>
      <c r="O78" s="309" t="s">
        <v>397</v>
      </c>
    </row>
    <row r="79" spans="1:15" ht="18" customHeight="1">
      <c r="A79" s="307" t="s">
        <v>397</v>
      </c>
      <c r="B79" s="328" t="s">
        <v>483</v>
      </c>
      <c r="C79" s="327" t="s">
        <v>872</v>
      </c>
      <c r="D79" s="328" t="s">
        <v>528</v>
      </c>
      <c r="E79" s="399">
        <v>404</v>
      </c>
      <c r="F79" s="399" t="s">
        <v>397</v>
      </c>
      <c r="G79" s="331">
        <v>55</v>
      </c>
      <c r="H79" s="331">
        <v>22220</v>
      </c>
      <c r="I79" s="331" t="s">
        <v>397</v>
      </c>
      <c r="J79" s="399" t="s">
        <v>397</v>
      </c>
      <c r="K79" s="399" t="s">
        <v>397</v>
      </c>
      <c r="L79" s="331" t="s">
        <v>397</v>
      </c>
      <c r="M79" s="331">
        <v>22220</v>
      </c>
      <c r="N79" s="331" t="s">
        <v>397</v>
      </c>
      <c r="O79" s="309" t="s">
        <v>397</v>
      </c>
    </row>
    <row r="80" spans="1:15" ht="16.5" customHeight="1">
      <c r="A80" s="307" t="s">
        <v>397</v>
      </c>
      <c r="B80" s="328" t="s">
        <v>871</v>
      </c>
      <c r="C80" s="315" t="s">
        <v>870</v>
      </c>
      <c r="D80" s="328" t="s">
        <v>397</v>
      </c>
      <c r="E80" s="399" t="s">
        <v>397</v>
      </c>
      <c r="F80" s="399" t="s">
        <v>397</v>
      </c>
      <c r="G80" s="331" t="s">
        <v>397</v>
      </c>
      <c r="H80" s="331">
        <v>69024.600000000006</v>
      </c>
      <c r="I80" s="331">
        <v>47275</v>
      </c>
      <c r="J80" s="399">
        <v>4285.6000000000004</v>
      </c>
      <c r="K80" s="399" t="s">
        <v>397</v>
      </c>
      <c r="L80" s="331">
        <v>17464</v>
      </c>
      <c r="M80" s="331">
        <v>17500</v>
      </c>
      <c r="N80" s="331" t="s">
        <v>397</v>
      </c>
      <c r="O80" s="309">
        <v>550</v>
      </c>
    </row>
    <row r="81" spans="1:15" ht="18" customHeight="1">
      <c r="A81" s="307">
        <v>1</v>
      </c>
      <c r="B81" s="328" t="s">
        <v>869</v>
      </c>
      <c r="C81" s="327" t="s">
        <v>868</v>
      </c>
      <c r="D81" s="328" t="s">
        <v>528</v>
      </c>
      <c r="E81" s="399">
        <v>1200</v>
      </c>
      <c r="F81" s="399" t="s">
        <v>397</v>
      </c>
      <c r="G81" s="331">
        <v>47.89</v>
      </c>
      <c r="H81" s="331">
        <v>57468</v>
      </c>
      <c r="I81" s="331">
        <v>38640</v>
      </c>
      <c r="J81" s="399">
        <v>3828</v>
      </c>
      <c r="K81" s="399" t="s">
        <v>397</v>
      </c>
      <c r="L81" s="331">
        <v>15000</v>
      </c>
      <c r="M81" s="331">
        <v>12000</v>
      </c>
      <c r="N81" s="331" t="s">
        <v>397</v>
      </c>
      <c r="O81" s="309">
        <v>448.8</v>
      </c>
    </row>
    <row r="82" spans="1:15" ht="18" customHeight="1">
      <c r="A82" s="307" t="s">
        <v>397</v>
      </c>
      <c r="B82" s="328" t="s">
        <v>483</v>
      </c>
      <c r="C82" s="327" t="s">
        <v>867</v>
      </c>
      <c r="D82" s="328" t="s">
        <v>528</v>
      </c>
      <c r="E82" s="399">
        <v>1200</v>
      </c>
      <c r="F82" s="399" t="s">
        <v>397</v>
      </c>
      <c r="G82" s="331">
        <v>10</v>
      </c>
      <c r="H82" s="331">
        <v>12000</v>
      </c>
      <c r="I82" s="331" t="s">
        <v>397</v>
      </c>
      <c r="J82" s="399" t="s">
        <v>397</v>
      </c>
      <c r="K82" s="399" t="s">
        <v>397</v>
      </c>
      <c r="L82" s="331" t="s">
        <v>397</v>
      </c>
      <c r="M82" s="331">
        <v>12000</v>
      </c>
      <c r="N82" s="331" t="s">
        <v>397</v>
      </c>
      <c r="O82" s="309" t="s">
        <v>397</v>
      </c>
    </row>
    <row r="83" spans="1:15" ht="18" customHeight="1">
      <c r="A83" s="307">
        <v>2</v>
      </c>
      <c r="B83" s="328" t="s">
        <v>866</v>
      </c>
      <c r="C83" s="327" t="s">
        <v>865</v>
      </c>
      <c r="D83" s="328" t="s">
        <v>528</v>
      </c>
      <c r="E83" s="399">
        <v>220</v>
      </c>
      <c r="F83" s="399" t="s">
        <v>397</v>
      </c>
      <c r="G83" s="331">
        <v>52.53</v>
      </c>
      <c r="H83" s="331">
        <v>11556.6</v>
      </c>
      <c r="I83" s="331">
        <v>8635</v>
      </c>
      <c r="J83" s="399">
        <v>457.6</v>
      </c>
      <c r="K83" s="399" t="s">
        <v>397</v>
      </c>
      <c r="L83" s="331">
        <v>2464</v>
      </c>
      <c r="M83" s="331">
        <v>5500</v>
      </c>
      <c r="N83" s="331" t="s">
        <v>397</v>
      </c>
      <c r="O83" s="309">
        <v>101.2</v>
      </c>
    </row>
    <row r="84" spans="1:15" ht="18" customHeight="1">
      <c r="A84" s="307" t="s">
        <v>397</v>
      </c>
      <c r="B84" s="328" t="s">
        <v>483</v>
      </c>
      <c r="C84" s="327" t="s">
        <v>864</v>
      </c>
      <c r="D84" s="328" t="s">
        <v>528</v>
      </c>
      <c r="E84" s="399">
        <v>220</v>
      </c>
      <c r="F84" s="399" t="s">
        <v>397</v>
      </c>
      <c r="G84" s="331">
        <v>25</v>
      </c>
      <c r="H84" s="331">
        <v>5500</v>
      </c>
      <c r="I84" s="331" t="s">
        <v>397</v>
      </c>
      <c r="J84" s="399" t="s">
        <v>397</v>
      </c>
      <c r="K84" s="399" t="s">
        <v>397</v>
      </c>
      <c r="L84" s="331" t="s">
        <v>397</v>
      </c>
      <c r="M84" s="331">
        <v>5500</v>
      </c>
      <c r="N84" s="331" t="s">
        <v>397</v>
      </c>
      <c r="O84" s="309" t="s">
        <v>397</v>
      </c>
    </row>
    <row r="85" spans="1:15" ht="16.5" customHeight="1">
      <c r="A85" s="307" t="s">
        <v>397</v>
      </c>
      <c r="B85" s="328" t="s">
        <v>863</v>
      </c>
      <c r="C85" s="315" t="s">
        <v>862</v>
      </c>
      <c r="D85" s="328" t="s">
        <v>397</v>
      </c>
      <c r="E85" s="399" t="s">
        <v>397</v>
      </c>
      <c r="F85" s="399" t="s">
        <v>397</v>
      </c>
      <c r="G85" s="331" t="s">
        <v>397</v>
      </c>
      <c r="H85" s="331">
        <v>80117.53</v>
      </c>
      <c r="I85" s="331">
        <v>69309.95</v>
      </c>
      <c r="J85" s="399">
        <v>7467.44</v>
      </c>
      <c r="K85" s="399" t="s">
        <v>397</v>
      </c>
      <c r="L85" s="331">
        <v>3340.16</v>
      </c>
      <c r="M85" s="331">
        <v>155025.29999999999</v>
      </c>
      <c r="N85" s="331" t="s">
        <v>397</v>
      </c>
      <c r="O85" s="309">
        <v>852.03650000000005</v>
      </c>
    </row>
    <row r="86" spans="1:15" ht="42" customHeight="1">
      <c r="A86" s="307">
        <v>1</v>
      </c>
      <c r="B86" s="328" t="s">
        <v>861</v>
      </c>
      <c r="C86" s="327" t="s">
        <v>860</v>
      </c>
      <c r="D86" s="328" t="s">
        <v>848</v>
      </c>
      <c r="E86" s="399">
        <v>100</v>
      </c>
      <c r="F86" s="399" t="s">
        <v>397</v>
      </c>
      <c r="G86" s="331">
        <v>565.73</v>
      </c>
      <c r="H86" s="331">
        <v>56573</v>
      </c>
      <c r="I86" s="331">
        <v>49380</v>
      </c>
      <c r="J86" s="399">
        <v>4762</v>
      </c>
      <c r="K86" s="399" t="s">
        <v>397</v>
      </c>
      <c r="L86" s="331">
        <v>2431</v>
      </c>
      <c r="M86" s="331">
        <v>97850</v>
      </c>
      <c r="N86" s="331" t="s">
        <v>397</v>
      </c>
      <c r="O86" s="309">
        <v>607</v>
      </c>
    </row>
    <row r="87" spans="1:15" ht="18" customHeight="1">
      <c r="A87" s="307" t="s">
        <v>397</v>
      </c>
      <c r="B87" s="328" t="s">
        <v>483</v>
      </c>
      <c r="C87" s="327" t="s">
        <v>847</v>
      </c>
      <c r="D87" s="328" t="s">
        <v>528</v>
      </c>
      <c r="E87" s="399">
        <v>10300</v>
      </c>
      <c r="F87" s="399" t="s">
        <v>397</v>
      </c>
      <c r="G87" s="331">
        <v>9.5</v>
      </c>
      <c r="H87" s="331">
        <v>97850</v>
      </c>
      <c r="I87" s="331" t="s">
        <v>397</v>
      </c>
      <c r="J87" s="399" t="s">
        <v>397</v>
      </c>
      <c r="K87" s="399" t="s">
        <v>397</v>
      </c>
      <c r="L87" s="331" t="s">
        <v>397</v>
      </c>
      <c r="M87" s="331">
        <v>97850</v>
      </c>
      <c r="N87" s="331" t="s">
        <v>397</v>
      </c>
      <c r="O87" s="309" t="s">
        <v>397</v>
      </c>
    </row>
    <row r="88" spans="1:15" ht="42" customHeight="1">
      <c r="A88" s="307">
        <v>2</v>
      </c>
      <c r="B88" s="328" t="s">
        <v>859</v>
      </c>
      <c r="C88" s="327" t="s">
        <v>858</v>
      </c>
      <c r="D88" s="328" t="s">
        <v>848</v>
      </c>
      <c r="E88" s="399">
        <v>20</v>
      </c>
      <c r="F88" s="399" t="s">
        <v>397</v>
      </c>
      <c r="G88" s="331">
        <v>606.24</v>
      </c>
      <c r="H88" s="331">
        <v>12124.8</v>
      </c>
      <c r="I88" s="331">
        <v>10540.8</v>
      </c>
      <c r="J88" s="399">
        <v>1097.8</v>
      </c>
      <c r="K88" s="399" t="s">
        <v>397</v>
      </c>
      <c r="L88" s="331">
        <v>486.2</v>
      </c>
      <c r="M88" s="331">
        <v>27398</v>
      </c>
      <c r="N88" s="331" t="s">
        <v>397</v>
      </c>
      <c r="O88" s="309">
        <v>129.6</v>
      </c>
    </row>
    <row r="89" spans="1:15" ht="18" customHeight="1">
      <c r="A89" s="307" t="s">
        <v>397</v>
      </c>
      <c r="B89" s="328" t="s">
        <v>483</v>
      </c>
      <c r="C89" s="327" t="s">
        <v>847</v>
      </c>
      <c r="D89" s="328" t="s">
        <v>528</v>
      </c>
      <c r="E89" s="399">
        <v>2060</v>
      </c>
      <c r="F89" s="399" t="s">
        <v>397</v>
      </c>
      <c r="G89" s="331">
        <v>13.3</v>
      </c>
      <c r="H89" s="331">
        <v>27398</v>
      </c>
      <c r="I89" s="331" t="s">
        <v>397</v>
      </c>
      <c r="J89" s="399" t="s">
        <v>397</v>
      </c>
      <c r="K89" s="399" t="s">
        <v>397</v>
      </c>
      <c r="L89" s="331" t="s">
        <v>397</v>
      </c>
      <c r="M89" s="331">
        <v>27398</v>
      </c>
      <c r="N89" s="331" t="s">
        <v>397</v>
      </c>
      <c r="O89" s="309" t="s">
        <v>397</v>
      </c>
    </row>
    <row r="90" spans="1:15" ht="42" customHeight="1">
      <c r="A90" s="307">
        <v>3</v>
      </c>
      <c r="B90" s="328" t="s">
        <v>857</v>
      </c>
      <c r="C90" s="327" t="s">
        <v>856</v>
      </c>
      <c r="D90" s="328" t="s">
        <v>848</v>
      </c>
      <c r="E90" s="399">
        <v>3</v>
      </c>
      <c r="F90" s="399" t="s">
        <v>397</v>
      </c>
      <c r="G90" s="331">
        <v>1294.24</v>
      </c>
      <c r="H90" s="331">
        <v>3882.72</v>
      </c>
      <c r="I90" s="331">
        <v>3274.8</v>
      </c>
      <c r="J90" s="399">
        <v>458.88</v>
      </c>
      <c r="K90" s="399" t="s">
        <v>397</v>
      </c>
      <c r="L90" s="331">
        <v>149.04</v>
      </c>
      <c r="M90" s="331">
        <v>8868.2999999999993</v>
      </c>
      <c r="N90" s="331" t="s">
        <v>397</v>
      </c>
      <c r="O90" s="309">
        <v>40.26</v>
      </c>
    </row>
    <row r="91" spans="1:15" ht="18" customHeight="1">
      <c r="A91" s="307" t="s">
        <v>397</v>
      </c>
      <c r="B91" s="328" t="s">
        <v>483</v>
      </c>
      <c r="C91" s="327" t="s">
        <v>847</v>
      </c>
      <c r="D91" s="328" t="s">
        <v>528</v>
      </c>
      <c r="E91" s="399">
        <v>309</v>
      </c>
      <c r="F91" s="399" t="s">
        <v>397</v>
      </c>
      <c r="G91" s="331">
        <v>28.7</v>
      </c>
      <c r="H91" s="331">
        <v>8868.2999999999993</v>
      </c>
      <c r="I91" s="331" t="s">
        <v>397</v>
      </c>
      <c r="J91" s="399" t="s">
        <v>397</v>
      </c>
      <c r="K91" s="399" t="s">
        <v>397</v>
      </c>
      <c r="L91" s="331" t="s">
        <v>397</v>
      </c>
      <c r="M91" s="331">
        <v>8868.2999999999993</v>
      </c>
      <c r="N91" s="331" t="s">
        <v>397</v>
      </c>
      <c r="O91" s="309" t="s">
        <v>397</v>
      </c>
    </row>
    <row r="92" spans="1:15" ht="42" customHeight="1">
      <c r="A92" s="307">
        <v>4</v>
      </c>
      <c r="B92" s="328" t="s">
        <v>855</v>
      </c>
      <c r="C92" s="327" t="s">
        <v>854</v>
      </c>
      <c r="D92" s="328" t="s">
        <v>848</v>
      </c>
      <c r="E92" s="399">
        <v>3</v>
      </c>
      <c r="F92" s="399" t="s">
        <v>397</v>
      </c>
      <c r="G92" s="331">
        <v>1413.84</v>
      </c>
      <c r="H92" s="331">
        <v>4241.5200000000004</v>
      </c>
      <c r="I92" s="331">
        <v>3491.64</v>
      </c>
      <c r="J92" s="399">
        <v>600.84</v>
      </c>
      <c r="K92" s="399" t="s">
        <v>397</v>
      </c>
      <c r="L92" s="331">
        <v>149.04</v>
      </c>
      <c r="M92" s="331">
        <v>11371.2</v>
      </c>
      <c r="N92" s="331" t="s">
        <v>397</v>
      </c>
      <c r="O92" s="309">
        <v>42.93</v>
      </c>
    </row>
    <row r="93" spans="1:15" ht="18" customHeight="1" thickBot="1">
      <c r="A93" s="336" t="s">
        <v>397</v>
      </c>
      <c r="B93" s="335" t="s">
        <v>483</v>
      </c>
      <c r="C93" s="326" t="s">
        <v>847</v>
      </c>
      <c r="D93" s="335" t="s">
        <v>528</v>
      </c>
      <c r="E93" s="400">
        <v>309</v>
      </c>
      <c r="F93" s="400" t="s">
        <v>397</v>
      </c>
      <c r="G93" s="330">
        <v>36.799999999999997</v>
      </c>
      <c r="H93" s="330">
        <v>11371.2</v>
      </c>
      <c r="I93" s="330" t="s">
        <v>397</v>
      </c>
      <c r="J93" s="400" t="s">
        <v>397</v>
      </c>
      <c r="K93" s="400" t="s">
        <v>397</v>
      </c>
      <c r="L93" s="330" t="s">
        <v>397</v>
      </c>
      <c r="M93" s="330">
        <v>11371.2</v>
      </c>
      <c r="N93" s="330" t="s">
        <v>397</v>
      </c>
      <c r="O93" s="312" t="s">
        <v>397</v>
      </c>
    </row>
    <row r="94" spans="1:15" ht="16.5" customHeight="1">
      <c r="A94" s="423" t="s">
        <v>400</v>
      </c>
      <c r="B94" s="423" t="s">
        <v>397</v>
      </c>
      <c r="C94" s="423" t="s">
        <v>397</v>
      </c>
      <c r="D94" s="423" t="s">
        <v>397</v>
      </c>
      <c r="E94" s="423" t="s">
        <v>397</v>
      </c>
      <c r="F94" s="388" t="s">
        <v>399</v>
      </c>
      <c r="G94" s="388" t="s">
        <v>397</v>
      </c>
      <c r="H94" s="388" t="s">
        <v>397</v>
      </c>
      <c r="I94" s="388" t="s">
        <v>397</v>
      </c>
      <c r="J94" s="388" t="s">
        <v>397</v>
      </c>
      <c r="K94" s="389" t="s">
        <v>398</v>
      </c>
      <c r="L94" s="389" t="s">
        <v>397</v>
      </c>
      <c r="M94" s="389" t="s">
        <v>397</v>
      </c>
      <c r="N94" s="389" t="s">
        <v>397</v>
      </c>
      <c r="O94" s="389" t="s">
        <v>397</v>
      </c>
    </row>
    <row r="95" spans="1:15" ht="14.25" customHeight="1">
      <c r="A95" s="389" t="s">
        <v>397</v>
      </c>
      <c r="B95" s="389" t="s">
        <v>397</v>
      </c>
      <c r="C95" s="389" t="s">
        <v>397</v>
      </c>
      <c r="D95" s="389" t="s">
        <v>397</v>
      </c>
      <c r="E95" s="389" t="s">
        <v>397</v>
      </c>
      <c r="F95" s="389" t="s">
        <v>397</v>
      </c>
      <c r="G95" s="389" t="s">
        <v>397</v>
      </c>
      <c r="H95" s="389" t="s">
        <v>397</v>
      </c>
      <c r="I95" s="389" t="s">
        <v>397</v>
      </c>
      <c r="J95" s="389" t="s">
        <v>397</v>
      </c>
      <c r="K95" s="389" t="s">
        <v>397</v>
      </c>
      <c r="L95" s="389" t="s">
        <v>397</v>
      </c>
      <c r="M95" s="389" t="s">
        <v>397</v>
      </c>
      <c r="N95" s="389" t="s">
        <v>397</v>
      </c>
      <c r="O95" s="389" t="s">
        <v>397</v>
      </c>
    </row>
    <row r="96" spans="1:15" ht="32.25" customHeight="1">
      <c r="A96" s="422" t="s">
        <v>509</v>
      </c>
      <c r="B96" s="422" t="s">
        <v>397</v>
      </c>
      <c r="C96" s="422" t="s">
        <v>397</v>
      </c>
      <c r="D96" s="422" t="s">
        <v>397</v>
      </c>
      <c r="E96" s="422" t="s">
        <v>397</v>
      </c>
      <c r="F96" s="422" t="s">
        <v>397</v>
      </c>
      <c r="G96" s="422" t="s">
        <v>397</v>
      </c>
      <c r="H96" s="422" t="s">
        <v>397</v>
      </c>
      <c r="I96" s="422" t="s">
        <v>397</v>
      </c>
      <c r="J96" s="422" t="s">
        <v>397</v>
      </c>
      <c r="K96" s="422" t="s">
        <v>397</v>
      </c>
      <c r="L96" s="422" t="s">
        <v>397</v>
      </c>
      <c r="M96" s="422" t="s">
        <v>397</v>
      </c>
      <c r="N96" s="422" t="s">
        <v>397</v>
      </c>
      <c r="O96" s="422" t="s">
        <v>397</v>
      </c>
    </row>
    <row r="97" spans="1:15" ht="23.25" customHeight="1" thickBot="1">
      <c r="A97" s="423" t="s">
        <v>797</v>
      </c>
      <c r="B97" s="423" t="s">
        <v>397</v>
      </c>
      <c r="C97" s="423" t="s">
        <v>397</v>
      </c>
      <c r="D97" s="423" t="s">
        <v>397</v>
      </c>
      <c r="E97" s="423" t="s">
        <v>397</v>
      </c>
      <c r="F97" s="423" t="s">
        <v>397</v>
      </c>
      <c r="G97" s="423" t="s">
        <v>397</v>
      </c>
      <c r="H97" s="423" t="s">
        <v>397</v>
      </c>
      <c r="I97" s="423" t="s">
        <v>397</v>
      </c>
      <c r="J97" s="423" t="s">
        <v>397</v>
      </c>
      <c r="K97" s="389" t="s">
        <v>853</v>
      </c>
      <c r="L97" s="389" t="s">
        <v>397</v>
      </c>
      <c r="M97" s="389" t="s">
        <v>397</v>
      </c>
      <c r="N97" s="389" t="s">
        <v>397</v>
      </c>
      <c r="O97" s="389" t="s">
        <v>397</v>
      </c>
    </row>
    <row r="98" spans="1:15" ht="19.5" customHeight="1">
      <c r="A98" s="395" t="s">
        <v>42</v>
      </c>
      <c r="B98" s="391" t="s">
        <v>507</v>
      </c>
      <c r="C98" s="391" t="s">
        <v>506</v>
      </c>
      <c r="D98" s="391" t="s">
        <v>505</v>
      </c>
      <c r="E98" s="391" t="s">
        <v>397</v>
      </c>
      <c r="F98" s="391" t="s">
        <v>397</v>
      </c>
      <c r="G98" s="391" t="s">
        <v>504</v>
      </c>
      <c r="H98" s="391" t="s">
        <v>397</v>
      </c>
      <c r="I98" s="391" t="s">
        <v>503</v>
      </c>
      <c r="J98" s="391" t="s">
        <v>397</v>
      </c>
      <c r="K98" s="391" t="s">
        <v>397</v>
      </c>
      <c r="L98" s="391" t="s">
        <v>397</v>
      </c>
      <c r="M98" s="391" t="s">
        <v>397</v>
      </c>
      <c r="N98" s="391" t="s">
        <v>397</v>
      </c>
      <c r="O98" s="398" t="s">
        <v>502</v>
      </c>
    </row>
    <row r="99" spans="1:15" ht="18" customHeight="1">
      <c r="A99" s="396" t="s">
        <v>397</v>
      </c>
      <c r="B99" s="397" t="s">
        <v>397</v>
      </c>
      <c r="C99" s="397" t="s">
        <v>397</v>
      </c>
      <c r="D99" s="333" t="s">
        <v>384</v>
      </c>
      <c r="E99" s="397" t="s">
        <v>383</v>
      </c>
      <c r="F99" s="397" t="s">
        <v>397</v>
      </c>
      <c r="G99" s="333" t="s">
        <v>382</v>
      </c>
      <c r="H99" s="333" t="s">
        <v>381</v>
      </c>
      <c r="I99" s="333" t="s">
        <v>501</v>
      </c>
      <c r="J99" s="397" t="s">
        <v>500</v>
      </c>
      <c r="K99" s="397" t="s">
        <v>397</v>
      </c>
      <c r="L99" s="333" t="s">
        <v>499</v>
      </c>
      <c r="M99" s="333" t="s">
        <v>498</v>
      </c>
      <c r="N99" s="333" t="s">
        <v>497</v>
      </c>
      <c r="O99" s="424" t="s">
        <v>397</v>
      </c>
    </row>
    <row r="100" spans="1:15" ht="42" customHeight="1">
      <c r="A100" s="307">
        <v>5</v>
      </c>
      <c r="B100" s="328" t="s">
        <v>852</v>
      </c>
      <c r="C100" s="327" t="s">
        <v>851</v>
      </c>
      <c r="D100" s="328" t="s">
        <v>848</v>
      </c>
      <c r="E100" s="399">
        <v>0.5</v>
      </c>
      <c r="F100" s="399" t="s">
        <v>397</v>
      </c>
      <c r="G100" s="331">
        <v>2938.8</v>
      </c>
      <c r="H100" s="331">
        <v>1469.4</v>
      </c>
      <c r="I100" s="331">
        <v>1153.83</v>
      </c>
      <c r="J100" s="399">
        <v>279.54000000000002</v>
      </c>
      <c r="K100" s="399" t="s">
        <v>397</v>
      </c>
      <c r="L100" s="331">
        <v>36.04</v>
      </c>
      <c r="M100" s="331">
        <v>4362.05</v>
      </c>
      <c r="N100" s="331" t="s">
        <v>397</v>
      </c>
      <c r="O100" s="309">
        <v>14.186500000000001</v>
      </c>
    </row>
    <row r="101" spans="1:15" ht="18" customHeight="1">
      <c r="A101" s="307" t="s">
        <v>397</v>
      </c>
      <c r="B101" s="328" t="s">
        <v>483</v>
      </c>
      <c r="C101" s="327" t="s">
        <v>847</v>
      </c>
      <c r="D101" s="328" t="s">
        <v>528</v>
      </c>
      <c r="E101" s="399">
        <v>51.5</v>
      </c>
      <c r="F101" s="399" t="s">
        <v>397</v>
      </c>
      <c r="G101" s="331">
        <v>84.7</v>
      </c>
      <c r="H101" s="331">
        <v>4362.05</v>
      </c>
      <c r="I101" s="331" t="s">
        <v>397</v>
      </c>
      <c r="J101" s="399" t="s">
        <v>397</v>
      </c>
      <c r="K101" s="399" t="s">
        <v>397</v>
      </c>
      <c r="L101" s="331" t="s">
        <v>397</v>
      </c>
      <c r="M101" s="331">
        <v>4362.05</v>
      </c>
      <c r="N101" s="331" t="s">
        <v>397</v>
      </c>
      <c r="O101" s="309" t="s">
        <v>397</v>
      </c>
    </row>
    <row r="102" spans="1:15" ht="42" customHeight="1">
      <c r="A102" s="307">
        <v>6</v>
      </c>
      <c r="B102" s="328" t="s">
        <v>850</v>
      </c>
      <c r="C102" s="327" t="s">
        <v>849</v>
      </c>
      <c r="D102" s="328" t="s">
        <v>848</v>
      </c>
      <c r="E102" s="399">
        <v>0.5</v>
      </c>
      <c r="F102" s="399" t="s">
        <v>397</v>
      </c>
      <c r="G102" s="331">
        <v>3652.18</v>
      </c>
      <c r="H102" s="331">
        <v>1826.09</v>
      </c>
      <c r="I102" s="331">
        <v>1468.88</v>
      </c>
      <c r="J102" s="399">
        <v>268.38</v>
      </c>
      <c r="K102" s="399" t="s">
        <v>397</v>
      </c>
      <c r="L102" s="331">
        <v>88.84</v>
      </c>
      <c r="M102" s="331">
        <v>5175.75</v>
      </c>
      <c r="N102" s="331" t="s">
        <v>397</v>
      </c>
      <c r="O102" s="309">
        <v>18.059999999999999</v>
      </c>
    </row>
    <row r="103" spans="1:15" ht="18" customHeight="1">
      <c r="A103" s="307" t="s">
        <v>397</v>
      </c>
      <c r="B103" s="328" t="s">
        <v>483</v>
      </c>
      <c r="C103" s="327" t="s">
        <v>847</v>
      </c>
      <c r="D103" s="328" t="s">
        <v>528</v>
      </c>
      <c r="E103" s="399">
        <v>51.5</v>
      </c>
      <c r="F103" s="399" t="s">
        <v>397</v>
      </c>
      <c r="G103" s="331">
        <v>100.5</v>
      </c>
      <c r="H103" s="331">
        <v>5175.75</v>
      </c>
      <c r="I103" s="331" t="s">
        <v>397</v>
      </c>
      <c r="J103" s="399" t="s">
        <v>397</v>
      </c>
      <c r="K103" s="399" t="s">
        <v>397</v>
      </c>
      <c r="L103" s="331" t="s">
        <v>397</v>
      </c>
      <c r="M103" s="331">
        <v>5175.75</v>
      </c>
      <c r="N103" s="331" t="s">
        <v>397</v>
      </c>
      <c r="O103" s="309" t="s">
        <v>397</v>
      </c>
    </row>
    <row r="104" spans="1:15" ht="16.5" customHeight="1">
      <c r="A104" s="307" t="s">
        <v>397</v>
      </c>
      <c r="B104" s="328" t="s">
        <v>846</v>
      </c>
      <c r="C104" s="315" t="s">
        <v>845</v>
      </c>
      <c r="D104" s="328" t="s">
        <v>397</v>
      </c>
      <c r="E104" s="399" t="s">
        <v>397</v>
      </c>
      <c r="F104" s="399" t="s">
        <v>397</v>
      </c>
      <c r="G104" s="331" t="s">
        <v>397</v>
      </c>
      <c r="H104" s="331">
        <v>32917.24</v>
      </c>
      <c r="I104" s="331">
        <v>28191.759999999998</v>
      </c>
      <c r="J104" s="399">
        <v>3032.66</v>
      </c>
      <c r="K104" s="399" t="s">
        <v>397</v>
      </c>
      <c r="L104" s="331">
        <v>1692.82</v>
      </c>
      <c r="M104" s="331">
        <v>143994</v>
      </c>
      <c r="N104" s="331" t="s">
        <v>397</v>
      </c>
      <c r="O104" s="309">
        <v>346.62</v>
      </c>
    </row>
    <row r="105" spans="1:15" ht="29.25" customHeight="1">
      <c r="A105" s="307">
        <v>1</v>
      </c>
      <c r="B105" s="328" t="s">
        <v>844</v>
      </c>
      <c r="C105" s="327" t="s">
        <v>843</v>
      </c>
      <c r="D105" s="328" t="s">
        <v>530</v>
      </c>
      <c r="E105" s="399">
        <v>90</v>
      </c>
      <c r="F105" s="399" t="s">
        <v>397</v>
      </c>
      <c r="G105" s="331">
        <v>310.54000000000002</v>
      </c>
      <c r="H105" s="331">
        <v>27948.6</v>
      </c>
      <c r="I105" s="331">
        <v>23936.400000000001</v>
      </c>
      <c r="J105" s="399">
        <v>2574.9</v>
      </c>
      <c r="K105" s="399" t="s">
        <v>397</v>
      </c>
      <c r="L105" s="331">
        <v>1437.3</v>
      </c>
      <c r="M105" s="331">
        <v>116802</v>
      </c>
      <c r="N105" s="331" t="s">
        <v>397</v>
      </c>
      <c r="O105" s="309">
        <v>294.3</v>
      </c>
    </row>
    <row r="106" spans="1:15" ht="18" customHeight="1">
      <c r="A106" s="307" t="s">
        <v>397</v>
      </c>
      <c r="B106" s="328" t="s">
        <v>483</v>
      </c>
      <c r="C106" s="327" t="s">
        <v>842</v>
      </c>
      <c r="D106" s="328" t="s">
        <v>528</v>
      </c>
      <c r="E106" s="399">
        <v>927</v>
      </c>
      <c r="F106" s="399" t="s">
        <v>397</v>
      </c>
      <c r="G106" s="331">
        <v>126</v>
      </c>
      <c r="H106" s="331">
        <v>116802</v>
      </c>
      <c r="I106" s="331" t="s">
        <v>397</v>
      </c>
      <c r="J106" s="399" t="s">
        <v>397</v>
      </c>
      <c r="K106" s="399" t="s">
        <v>397</v>
      </c>
      <c r="L106" s="331" t="s">
        <v>397</v>
      </c>
      <c r="M106" s="331">
        <v>116802</v>
      </c>
      <c r="N106" s="331" t="s">
        <v>397</v>
      </c>
      <c r="O106" s="309" t="s">
        <v>397</v>
      </c>
    </row>
    <row r="107" spans="1:15" ht="29.25" customHeight="1">
      <c r="A107" s="307">
        <v>2</v>
      </c>
      <c r="B107" s="328" t="s">
        <v>844</v>
      </c>
      <c r="C107" s="327" t="s">
        <v>843</v>
      </c>
      <c r="D107" s="328" t="s">
        <v>530</v>
      </c>
      <c r="E107" s="399">
        <v>8</v>
      </c>
      <c r="F107" s="399" t="s">
        <v>397</v>
      </c>
      <c r="G107" s="331">
        <v>310.54000000000002</v>
      </c>
      <c r="H107" s="331">
        <v>2484.3200000000002</v>
      </c>
      <c r="I107" s="331">
        <v>2127.6799999999998</v>
      </c>
      <c r="J107" s="399">
        <v>228.88</v>
      </c>
      <c r="K107" s="399" t="s">
        <v>397</v>
      </c>
      <c r="L107" s="331">
        <v>127.76</v>
      </c>
      <c r="M107" s="331">
        <v>14832</v>
      </c>
      <c r="N107" s="331" t="s">
        <v>397</v>
      </c>
      <c r="O107" s="309">
        <v>26.16</v>
      </c>
    </row>
    <row r="108" spans="1:15" ht="18" customHeight="1">
      <c r="A108" s="307" t="s">
        <v>397</v>
      </c>
      <c r="B108" s="328" t="s">
        <v>483</v>
      </c>
      <c r="C108" s="327" t="s">
        <v>842</v>
      </c>
      <c r="D108" s="328" t="s">
        <v>528</v>
      </c>
      <c r="E108" s="399">
        <v>82.4</v>
      </c>
      <c r="F108" s="399" t="s">
        <v>397</v>
      </c>
      <c r="G108" s="331">
        <v>180</v>
      </c>
      <c r="H108" s="331">
        <v>14832</v>
      </c>
      <c r="I108" s="331" t="s">
        <v>397</v>
      </c>
      <c r="J108" s="399" t="s">
        <v>397</v>
      </c>
      <c r="K108" s="399" t="s">
        <v>397</v>
      </c>
      <c r="L108" s="331" t="s">
        <v>397</v>
      </c>
      <c r="M108" s="331">
        <v>14832</v>
      </c>
      <c r="N108" s="331" t="s">
        <v>397</v>
      </c>
      <c r="O108" s="309" t="s">
        <v>397</v>
      </c>
    </row>
    <row r="109" spans="1:15" ht="29.25" customHeight="1">
      <c r="A109" s="307">
        <v>3</v>
      </c>
      <c r="B109" s="328" t="s">
        <v>844</v>
      </c>
      <c r="C109" s="327" t="s">
        <v>843</v>
      </c>
      <c r="D109" s="328" t="s">
        <v>530</v>
      </c>
      <c r="E109" s="399">
        <v>8</v>
      </c>
      <c r="F109" s="399" t="s">
        <v>397</v>
      </c>
      <c r="G109" s="331">
        <v>310.54000000000002</v>
      </c>
      <c r="H109" s="331">
        <v>2484.3200000000002</v>
      </c>
      <c r="I109" s="331">
        <v>2127.6799999999998</v>
      </c>
      <c r="J109" s="399">
        <v>228.88</v>
      </c>
      <c r="K109" s="399" t="s">
        <v>397</v>
      </c>
      <c r="L109" s="331">
        <v>127.76</v>
      </c>
      <c r="M109" s="331">
        <v>12360</v>
      </c>
      <c r="N109" s="331" t="s">
        <v>397</v>
      </c>
      <c r="O109" s="309">
        <v>26.16</v>
      </c>
    </row>
    <row r="110" spans="1:15" ht="18" customHeight="1">
      <c r="A110" s="307" t="s">
        <v>397</v>
      </c>
      <c r="B110" s="328" t="s">
        <v>483</v>
      </c>
      <c r="C110" s="327" t="s">
        <v>842</v>
      </c>
      <c r="D110" s="328" t="s">
        <v>528</v>
      </c>
      <c r="E110" s="399">
        <v>82.4</v>
      </c>
      <c r="F110" s="399" t="s">
        <v>397</v>
      </c>
      <c r="G110" s="331">
        <v>150</v>
      </c>
      <c r="H110" s="331">
        <v>12360</v>
      </c>
      <c r="I110" s="331" t="s">
        <v>397</v>
      </c>
      <c r="J110" s="399" t="s">
        <v>397</v>
      </c>
      <c r="K110" s="399" t="s">
        <v>397</v>
      </c>
      <c r="L110" s="331" t="s">
        <v>397</v>
      </c>
      <c r="M110" s="331">
        <v>12360</v>
      </c>
      <c r="N110" s="331" t="s">
        <v>397</v>
      </c>
      <c r="O110" s="309" t="s">
        <v>397</v>
      </c>
    </row>
    <row r="111" spans="1:15" ht="16.5" customHeight="1">
      <c r="A111" s="307" t="s">
        <v>397</v>
      </c>
      <c r="B111" s="328" t="s">
        <v>841</v>
      </c>
      <c r="C111" s="315" t="s">
        <v>840</v>
      </c>
      <c r="D111" s="328" t="s">
        <v>397</v>
      </c>
      <c r="E111" s="399" t="s">
        <v>397</v>
      </c>
      <c r="F111" s="399" t="s">
        <v>397</v>
      </c>
      <c r="G111" s="331" t="s">
        <v>397</v>
      </c>
      <c r="H111" s="331">
        <v>18476.400000000001</v>
      </c>
      <c r="I111" s="331">
        <v>11845.2</v>
      </c>
      <c r="J111" s="399">
        <v>6631.2</v>
      </c>
      <c r="K111" s="399" t="s">
        <v>397</v>
      </c>
      <c r="L111" s="331" t="s">
        <v>397</v>
      </c>
      <c r="M111" s="331">
        <v>94422</v>
      </c>
      <c r="N111" s="331" t="s">
        <v>397</v>
      </c>
      <c r="O111" s="309">
        <v>145.86000000000001</v>
      </c>
    </row>
    <row r="112" spans="1:15" ht="42" customHeight="1">
      <c r="A112" s="307">
        <v>1</v>
      </c>
      <c r="B112" s="328" t="s">
        <v>838</v>
      </c>
      <c r="C112" s="327" t="s">
        <v>839</v>
      </c>
      <c r="D112" s="328" t="s">
        <v>832</v>
      </c>
      <c r="E112" s="399">
        <v>100</v>
      </c>
      <c r="F112" s="399" t="s">
        <v>397</v>
      </c>
      <c r="G112" s="331">
        <v>92.47</v>
      </c>
      <c r="H112" s="331">
        <v>9247</v>
      </c>
      <c r="I112" s="331">
        <v>6236</v>
      </c>
      <c r="J112" s="399">
        <v>3011</v>
      </c>
      <c r="K112" s="399" t="s">
        <v>397</v>
      </c>
      <c r="L112" s="331" t="s">
        <v>397</v>
      </c>
      <c r="M112" s="331">
        <v>21692</v>
      </c>
      <c r="N112" s="331" t="s">
        <v>397</v>
      </c>
      <c r="O112" s="309">
        <v>76.8</v>
      </c>
    </row>
    <row r="113" spans="1:15" ht="18" customHeight="1">
      <c r="A113" s="307" t="s">
        <v>397</v>
      </c>
      <c r="B113" s="328" t="s">
        <v>483</v>
      </c>
      <c r="C113" s="327" t="s">
        <v>831</v>
      </c>
      <c r="D113" s="328" t="s">
        <v>528</v>
      </c>
      <c r="E113" s="399">
        <v>11600</v>
      </c>
      <c r="F113" s="399" t="s">
        <v>397</v>
      </c>
      <c r="G113" s="331">
        <v>1.87</v>
      </c>
      <c r="H113" s="331">
        <v>21692</v>
      </c>
      <c r="I113" s="331" t="s">
        <v>397</v>
      </c>
      <c r="J113" s="399" t="s">
        <v>397</v>
      </c>
      <c r="K113" s="399" t="s">
        <v>397</v>
      </c>
      <c r="L113" s="331" t="s">
        <v>397</v>
      </c>
      <c r="M113" s="331">
        <v>21692</v>
      </c>
      <c r="N113" s="331" t="s">
        <v>397</v>
      </c>
      <c r="O113" s="309" t="s">
        <v>397</v>
      </c>
    </row>
    <row r="114" spans="1:15" ht="30" customHeight="1" thickBot="1">
      <c r="A114" s="336">
        <v>2</v>
      </c>
      <c r="B114" s="335" t="s">
        <v>838</v>
      </c>
      <c r="C114" s="326" t="s">
        <v>837</v>
      </c>
      <c r="D114" s="335" t="s">
        <v>832</v>
      </c>
      <c r="E114" s="400">
        <v>20</v>
      </c>
      <c r="F114" s="400" t="s">
        <v>397</v>
      </c>
      <c r="G114" s="330">
        <v>92.47</v>
      </c>
      <c r="H114" s="330">
        <v>1849.4</v>
      </c>
      <c r="I114" s="330">
        <v>1247.2</v>
      </c>
      <c r="J114" s="400">
        <v>602.20000000000005</v>
      </c>
      <c r="K114" s="400" t="s">
        <v>397</v>
      </c>
      <c r="L114" s="330" t="s">
        <v>397</v>
      </c>
      <c r="M114" s="330">
        <v>30160</v>
      </c>
      <c r="N114" s="330" t="s">
        <v>397</v>
      </c>
      <c r="O114" s="312">
        <v>15.36</v>
      </c>
    </row>
    <row r="115" spans="1:15" ht="16.5" customHeight="1">
      <c r="A115" s="423" t="s">
        <v>400</v>
      </c>
      <c r="B115" s="423" t="s">
        <v>397</v>
      </c>
      <c r="C115" s="423" t="s">
        <v>397</v>
      </c>
      <c r="D115" s="423" t="s">
        <v>397</v>
      </c>
      <c r="E115" s="423" t="s">
        <v>397</v>
      </c>
      <c r="F115" s="388" t="s">
        <v>399</v>
      </c>
      <c r="G115" s="388" t="s">
        <v>397</v>
      </c>
      <c r="H115" s="388" t="s">
        <v>397</v>
      </c>
      <c r="I115" s="388" t="s">
        <v>397</v>
      </c>
      <c r="J115" s="388" t="s">
        <v>397</v>
      </c>
      <c r="K115" s="389" t="s">
        <v>398</v>
      </c>
      <c r="L115" s="389" t="s">
        <v>397</v>
      </c>
      <c r="M115" s="389" t="s">
        <v>397</v>
      </c>
      <c r="N115" s="389" t="s">
        <v>397</v>
      </c>
      <c r="O115" s="389" t="s">
        <v>397</v>
      </c>
    </row>
    <row r="116" spans="1:15" ht="14.25" customHeight="1">
      <c r="A116" s="389" t="s">
        <v>397</v>
      </c>
      <c r="B116" s="389" t="s">
        <v>397</v>
      </c>
      <c r="C116" s="389" t="s">
        <v>397</v>
      </c>
      <c r="D116" s="389" t="s">
        <v>397</v>
      </c>
      <c r="E116" s="389" t="s">
        <v>397</v>
      </c>
      <c r="F116" s="389" t="s">
        <v>397</v>
      </c>
      <c r="G116" s="389" t="s">
        <v>397</v>
      </c>
      <c r="H116" s="389" t="s">
        <v>397</v>
      </c>
      <c r="I116" s="389" t="s">
        <v>397</v>
      </c>
      <c r="J116" s="389" t="s">
        <v>397</v>
      </c>
      <c r="K116" s="389" t="s">
        <v>397</v>
      </c>
      <c r="L116" s="389" t="s">
        <v>397</v>
      </c>
      <c r="M116" s="389" t="s">
        <v>397</v>
      </c>
      <c r="N116" s="389" t="s">
        <v>397</v>
      </c>
      <c r="O116" s="389" t="s">
        <v>397</v>
      </c>
    </row>
    <row r="117" spans="1:15" ht="32.25" customHeight="1">
      <c r="A117" s="422" t="s">
        <v>509</v>
      </c>
      <c r="B117" s="422" t="s">
        <v>397</v>
      </c>
      <c r="C117" s="422" t="s">
        <v>397</v>
      </c>
      <c r="D117" s="422" t="s">
        <v>397</v>
      </c>
      <c r="E117" s="422" t="s">
        <v>397</v>
      </c>
      <c r="F117" s="422" t="s">
        <v>397</v>
      </c>
      <c r="G117" s="422" t="s">
        <v>397</v>
      </c>
      <c r="H117" s="422" t="s">
        <v>397</v>
      </c>
      <c r="I117" s="422" t="s">
        <v>397</v>
      </c>
      <c r="J117" s="422" t="s">
        <v>397</v>
      </c>
      <c r="K117" s="422" t="s">
        <v>397</v>
      </c>
      <c r="L117" s="422" t="s">
        <v>397</v>
      </c>
      <c r="M117" s="422" t="s">
        <v>397</v>
      </c>
      <c r="N117" s="422" t="s">
        <v>397</v>
      </c>
      <c r="O117" s="422" t="s">
        <v>397</v>
      </c>
    </row>
    <row r="118" spans="1:15" ht="23.25" customHeight="1" thickBot="1">
      <c r="A118" s="423" t="s">
        <v>797</v>
      </c>
      <c r="B118" s="423" t="s">
        <v>397</v>
      </c>
      <c r="C118" s="423" t="s">
        <v>397</v>
      </c>
      <c r="D118" s="423" t="s">
        <v>397</v>
      </c>
      <c r="E118" s="423" t="s">
        <v>397</v>
      </c>
      <c r="F118" s="423" t="s">
        <v>397</v>
      </c>
      <c r="G118" s="423" t="s">
        <v>397</v>
      </c>
      <c r="H118" s="423" t="s">
        <v>397</v>
      </c>
      <c r="I118" s="423" t="s">
        <v>397</v>
      </c>
      <c r="J118" s="423" t="s">
        <v>397</v>
      </c>
      <c r="K118" s="389" t="s">
        <v>836</v>
      </c>
      <c r="L118" s="389" t="s">
        <v>397</v>
      </c>
      <c r="M118" s="389" t="s">
        <v>397</v>
      </c>
      <c r="N118" s="389" t="s">
        <v>397</v>
      </c>
      <c r="O118" s="389" t="s">
        <v>397</v>
      </c>
    </row>
    <row r="119" spans="1:15" ht="19.5" customHeight="1">
      <c r="A119" s="395" t="s">
        <v>42</v>
      </c>
      <c r="B119" s="391" t="s">
        <v>507</v>
      </c>
      <c r="C119" s="391" t="s">
        <v>506</v>
      </c>
      <c r="D119" s="391" t="s">
        <v>505</v>
      </c>
      <c r="E119" s="391" t="s">
        <v>397</v>
      </c>
      <c r="F119" s="391" t="s">
        <v>397</v>
      </c>
      <c r="G119" s="391" t="s">
        <v>504</v>
      </c>
      <c r="H119" s="391" t="s">
        <v>397</v>
      </c>
      <c r="I119" s="391" t="s">
        <v>503</v>
      </c>
      <c r="J119" s="391" t="s">
        <v>397</v>
      </c>
      <c r="K119" s="391" t="s">
        <v>397</v>
      </c>
      <c r="L119" s="391" t="s">
        <v>397</v>
      </c>
      <c r="M119" s="391" t="s">
        <v>397</v>
      </c>
      <c r="N119" s="391" t="s">
        <v>397</v>
      </c>
      <c r="O119" s="398" t="s">
        <v>502</v>
      </c>
    </row>
    <row r="120" spans="1:15" ht="18" customHeight="1">
      <c r="A120" s="396" t="s">
        <v>397</v>
      </c>
      <c r="B120" s="397" t="s">
        <v>397</v>
      </c>
      <c r="C120" s="397" t="s">
        <v>397</v>
      </c>
      <c r="D120" s="333" t="s">
        <v>384</v>
      </c>
      <c r="E120" s="397" t="s">
        <v>383</v>
      </c>
      <c r="F120" s="397" t="s">
        <v>397</v>
      </c>
      <c r="G120" s="333" t="s">
        <v>382</v>
      </c>
      <c r="H120" s="333" t="s">
        <v>381</v>
      </c>
      <c r="I120" s="333" t="s">
        <v>501</v>
      </c>
      <c r="J120" s="397" t="s">
        <v>500</v>
      </c>
      <c r="K120" s="397" t="s">
        <v>397</v>
      </c>
      <c r="L120" s="333" t="s">
        <v>499</v>
      </c>
      <c r="M120" s="333" t="s">
        <v>498</v>
      </c>
      <c r="N120" s="333" t="s">
        <v>497</v>
      </c>
      <c r="O120" s="424" t="s">
        <v>397</v>
      </c>
    </row>
    <row r="121" spans="1:15" ht="19.5" customHeight="1">
      <c r="A121" s="307" t="s">
        <v>397</v>
      </c>
      <c r="B121" s="328" t="s">
        <v>397</v>
      </c>
      <c r="C121" s="327" t="s">
        <v>835</v>
      </c>
      <c r="D121" s="328" t="s">
        <v>397</v>
      </c>
      <c r="E121" s="399" t="s">
        <v>397</v>
      </c>
      <c r="F121" s="399" t="s">
        <v>397</v>
      </c>
      <c r="G121" s="331" t="s">
        <v>397</v>
      </c>
      <c r="H121" s="331" t="s">
        <v>397</v>
      </c>
      <c r="I121" s="331" t="s">
        <v>397</v>
      </c>
      <c r="J121" s="399" t="s">
        <v>397</v>
      </c>
      <c r="K121" s="399" t="s">
        <v>397</v>
      </c>
      <c r="L121" s="331" t="s">
        <v>397</v>
      </c>
      <c r="M121" s="331" t="s">
        <v>397</v>
      </c>
      <c r="N121" s="331" t="s">
        <v>397</v>
      </c>
      <c r="O121" s="309" t="s">
        <v>397</v>
      </c>
    </row>
    <row r="122" spans="1:15" ht="18" customHeight="1">
      <c r="A122" s="307" t="s">
        <v>397</v>
      </c>
      <c r="B122" s="328" t="s">
        <v>483</v>
      </c>
      <c r="C122" s="327" t="s">
        <v>831</v>
      </c>
      <c r="D122" s="328" t="s">
        <v>528</v>
      </c>
      <c r="E122" s="399">
        <v>2320</v>
      </c>
      <c r="F122" s="399" t="s">
        <v>397</v>
      </c>
      <c r="G122" s="331">
        <v>13</v>
      </c>
      <c r="H122" s="331">
        <v>30160</v>
      </c>
      <c r="I122" s="331" t="s">
        <v>397</v>
      </c>
      <c r="J122" s="399" t="s">
        <v>397</v>
      </c>
      <c r="K122" s="399" t="s">
        <v>397</v>
      </c>
      <c r="L122" s="331" t="s">
        <v>397</v>
      </c>
      <c r="M122" s="331">
        <v>30160</v>
      </c>
      <c r="N122" s="331" t="s">
        <v>397</v>
      </c>
      <c r="O122" s="309" t="s">
        <v>397</v>
      </c>
    </row>
    <row r="123" spans="1:15" ht="42" customHeight="1">
      <c r="A123" s="307">
        <v>3</v>
      </c>
      <c r="B123" s="328" t="s">
        <v>834</v>
      </c>
      <c r="C123" s="327" t="s">
        <v>833</v>
      </c>
      <c r="D123" s="328" t="s">
        <v>832</v>
      </c>
      <c r="E123" s="399">
        <v>100</v>
      </c>
      <c r="F123" s="399" t="s">
        <v>397</v>
      </c>
      <c r="G123" s="331">
        <v>73.8</v>
      </c>
      <c r="H123" s="331">
        <v>7380</v>
      </c>
      <c r="I123" s="331">
        <v>4362</v>
      </c>
      <c r="J123" s="399">
        <v>3018</v>
      </c>
      <c r="K123" s="399" t="s">
        <v>397</v>
      </c>
      <c r="L123" s="331" t="s">
        <v>397</v>
      </c>
      <c r="M123" s="331">
        <v>42570</v>
      </c>
      <c r="N123" s="331" t="s">
        <v>397</v>
      </c>
      <c r="O123" s="309">
        <v>53.7</v>
      </c>
    </row>
    <row r="124" spans="1:15" ht="18" customHeight="1">
      <c r="A124" s="307" t="s">
        <v>397</v>
      </c>
      <c r="B124" s="328" t="s">
        <v>483</v>
      </c>
      <c r="C124" s="327" t="s">
        <v>831</v>
      </c>
      <c r="D124" s="328" t="s">
        <v>528</v>
      </c>
      <c r="E124" s="399">
        <v>11000</v>
      </c>
      <c r="F124" s="399" t="s">
        <v>397</v>
      </c>
      <c r="G124" s="331">
        <v>3.87</v>
      </c>
      <c r="H124" s="331">
        <v>42570</v>
      </c>
      <c r="I124" s="331" t="s">
        <v>397</v>
      </c>
      <c r="J124" s="399" t="s">
        <v>397</v>
      </c>
      <c r="K124" s="399" t="s">
        <v>397</v>
      </c>
      <c r="L124" s="331" t="s">
        <v>397</v>
      </c>
      <c r="M124" s="331">
        <v>42570</v>
      </c>
      <c r="N124" s="331" t="s">
        <v>397</v>
      </c>
      <c r="O124" s="309" t="s">
        <v>397</v>
      </c>
    </row>
    <row r="125" spans="1:15" ht="16.5" customHeight="1">
      <c r="A125" s="307" t="s">
        <v>397</v>
      </c>
      <c r="B125" s="328" t="s">
        <v>830</v>
      </c>
      <c r="C125" s="315" t="s">
        <v>829</v>
      </c>
      <c r="D125" s="328" t="s">
        <v>397</v>
      </c>
      <c r="E125" s="399" t="s">
        <v>397</v>
      </c>
      <c r="F125" s="399" t="s">
        <v>397</v>
      </c>
      <c r="G125" s="331" t="s">
        <v>397</v>
      </c>
      <c r="H125" s="331">
        <v>8169.89</v>
      </c>
      <c r="I125" s="331">
        <v>6717.34</v>
      </c>
      <c r="J125" s="399">
        <v>1452.55</v>
      </c>
      <c r="K125" s="399" t="s">
        <v>397</v>
      </c>
      <c r="L125" s="331" t="s">
        <v>397</v>
      </c>
      <c r="M125" s="331">
        <v>111857.5</v>
      </c>
      <c r="N125" s="331" t="s">
        <v>397</v>
      </c>
      <c r="O125" s="309">
        <v>82.556799999999996</v>
      </c>
    </row>
    <row r="126" spans="1:15" ht="29.25" customHeight="1">
      <c r="A126" s="307">
        <v>1</v>
      </c>
      <c r="B126" s="328" t="s">
        <v>822</v>
      </c>
      <c r="C126" s="327" t="s">
        <v>828</v>
      </c>
      <c r="D126" s="328" t="s">
        <v>484</v>
      </c>
      <c r="E126" s="399">
        <v>8.3000000000000007</v>
      </c>
      <c r="F126" s="399" t="s">
        <v>397</v>
      </c>
      <c r="G126" s="331">
        <v>197.03</v>
      </c>
      <c r="H126" s="331">
        <v>1635.35</v>
      </c>
      <c r="I126" s="331">
        <v>1283.51</v>
      </c>
      <c r="J126" s="399">
        <v>351.84</v>
      </c>
      <c r="K126" s="399" t="s">
        <v>397</v>
      </c>
      <c r="L126" s="331" t="s">
        <v>397</v>
      </c>
      <c r="M126" s="331">
        <v>16766</v>
      </c>
      <c r="N126" s="331" t="s">
        <v>397</v>
      </c>
      <c r="O126" s="309">
        <v>15.77</v>
      </c>
    </row>
    <row r="127" spans="1:15" ht="18" customHeight="1">
      <c r="A127" s="307" t="s">
        <v>397</v>
      </c>
      <c r="B127" s="328" t="s">
        <v>483</v>
      </c>
      <c r="C127" s="327" t="s">
        <v>827</v>
      </c>
      <c r="D127" s="328" t="s">
        <v>312</v>
      </c>
      <c r="E127" s="399">
        <v>83.83</v>
      </c>
      <c r="F127" s="399" t="s">
        <v>397</v>
      </c>
      <c r="G127" s="331">
        <v>200</v>
      </c>
      <c r="H127" s="331">
        <v>16766</v>
      </c>
      <c r="I127" s="331" t="s">
        <v>397</v>
      </c>
      <c r="J127" s="399" t="s">
        <v>397</v>
      </c>
      <c r="K127" s="399" t="s">
        <v>397</v>
      </c>
      <c r="L127" s="331" t="s">
        <v>397</v>
      </c>
      <c r="M127" s="331">
        <v>16766</v>
      </c>
      <c r="N127" s="331" t="s">
        <v>397</v>
      </c>
      <c r="O127" s="309" t="s">
        <v>397</v>
      </c>
    </row>
    <row r="128" spans="1:15" ht="18" customHeight="1">
      <c r="A128" s="307">
        <v>2</v>
      </c>
      <c r="B128" s="328" t="s">
        <v>822</v>
      </c>
      <c r="C128" s="327" t="s">
        <v>826</v>
      </c>
      <c r="D128" s="328" t="s">
        <v>484</v>
      </c>
      <c r="E128" s="399">
        <v>1</v>
      </c>
      <c r="F128" s="399" t="s">
        <v>397</v>
      </c>
      <c r="G128" s="331">
        <v>197.03</v>
      </c>
      <c r="H128" s="331">
        <v>197.03</v>
      </c>
      <c r="I128" s="331">
        <v>154.63999999999999</v>
      </c>
      <c r="J128" s="399">
        <v>42.39</v>
      </c>
      <c r="K128" s="399" t="s">
        <v>397</v>
      </c>
      <c r="L128" s="331" t="s">
        <v>397</v>
      </c>
      <c r="M128" s="331">
        <v>1818</v>
      </c>
      <c r="N128" s="331" t="s">
        <v>397</v>
      </c>
      <c r="O128" s="309">
        <v>1.9</v>
      </c>
    </row>
    <row r="129" spans="1:15" ht="18" customHeight="1">
      <c r="A129" s="307" t="s">
        <v>397</v>
      </c>
      <c r="B129" s="328" t="s">
        <v>483</v>
      </c>
      <c r="C129" s="327" t="s">
        <v>825</v>
      </c>
      <c r="D129" s="328" t="s">
        <v>312</v>
      </c>
      <c r="E129" s="399">
        <v>10.1</v>
      </c>
      <c r="F129" s="399" t="s">
        <v>397</v>
      </c>
      <c r="G129" s="331">
        <v>180</v>
      </c>
      <c r="H129" s="331">
        <v>1818</v>
      </c>
      <c r="I129" s="331" t="s">
        <v>397</v>
      </c>
      <c r="J129" s="399" t="s">
        <v>397</v>
      </c>
      <c r="K129" s="399" t="s">
        <v>397</v>
      </c>
      <c r="L129" s="331" t="s">
        <v>397</v>
      </c>
      <c r="M129" s="331">
        <v>1818</v>
      </c>
      <c r="N129" s="331" t="s">
        <v>397</v>
      </c>
      <c r="O129" s="309" t="s">
        <v>397</v>
      </c>
    </row>
    <row r="130" spans="1:15" ht="29.25" customHeight="1">
      <c r="A130" s="307">
        <v>3</v>
      </c>
      <c r="B130" s="328" t="s">
        <v>822</v>
      </c>
      <c r="C130" s="327" t="s">
        <v>824</v>
      </c>
      <c r="D130" s="328" t="s">
        <v>484</v>
      </c>
      <c r="E130" s="399">
        <v>7</v>
      </c>
      <c r="F130" s="399" t="s">
        <v>397</v>
      </c>
      <c r="G130" s="331">
        <v>197.03</v>
      </c>
      <c r="H130" s="331">
        <v>1379.21</v>
      </c>
      <c r="I130" s="331">
        <v>1082.48</v>
      </c>
      <c r="J130" s="399">
        <v>296.73</v>
      </c>
      <c r="K130" s="399" t="s">
        <v>397</v>
      </c>
      <c r="L130" s="331" t="s">
        <v>397</v>
      </c>
      <c r="M130" s="331">
        <v>35350</v>
      </c>
      <c r="N130" s="331" t="s">
        <v>397</v>
      </c>
      <c r="O130" s="309">
        <v>13.3</v>
      </c>
    </row>
    <row r="131" spans="1:15" ht="18" customHeight="1">
      <c r="A131" s="307" t="s">
        <v>397</v>
      </c>
      <c r="B131" s="328" t="s">
        <v>483</v>
      </c>
      <c r="C131" s="327" t="s">
        <v>823</v>
      </c>
      <c r="D131" s="328" t="s">
        <v>312</v>
      </c>
      <c r="E131" s="399">
        <v>70.7</v>
      </c>
      <c r="F131" s="399" t="s">
        <v>397</v>
      </c>
      <c r="G131" s="331">
        <v>500</v>
      </c>
      <c r="H131" s="331">
        <v>35350</v>
      </c>
      <c r="I131" s="331" t="s">
        <v>397</v>
      </c>
      <c r="J131" s="399" t="s">
        <v>397</v>
      </c>
      <c r="K131" s="399" t="s">
        <v>397</v>
      </c>
      <c r="L131" s="331" t="s">
        <v>397</v>
      </c>
      <c r="M131" s="331">
        <v>35350</v>
      </c>
      <c r="N131" s="331" t="s">
        <v>397</v>
      </c>
      <c r="O131" s="309" t="s">
        <v>397</v>
      </c>
    </row>
    <row r="132" spans="1:15" ht="18" customHeight="1">
      <c r="A132" s="307">
        <v>4</v>
      </c>
      <c r="B132" s="328" t="s">
        <v>822</v>
      </c>
      <c r="C132" s="327" t="s">
        <v>821</v>
      </c>
      <c r="D132" s="328" t="s">
        <v>484</v>
      </c>
      <c r="E132" s="399">
        <v>2</v>
      </c>
      <c r="F132" s="399" t="s">
        <v>397</v>
      </c>
      <c r="G132" s="331">
        <v>197.03</v>
      </c>
      <c r="H132" s="331">
        <v>394.06</v>
      </c>
      <c r="I132" s="331">
        <v>309.27999999999997</v>
      </c>
      <c r="J132" s="399">
        <v>84.78</v>
      </c>
      <c r="K132" s="399" t="s">
        <v>397</v>
      </c>
      <c r="L132" s="331" t="s">
        <v>397</v>
      </c>
      <c r="M132" s="331">
        <v>3030</v>
      </c>
      <c r="N132" s="331" t="s">
        <v>397</v>
      </c>
      <c r="O132" s="309">
        <v>3.8</v>
      </c>
    </row>
    <row r="133" spans="1:15" ht="18" customHeight="1">
      <c r="A133" s="307" t="s">
        <v>397</v>
      </c>
      <c r="B133" s="328" t="s">
        <v>483</v>
      </c>
      <c r="C133" s="327" t="s">
        <v>820</v>
      </c>
      <c r="D133" s="328" t="s">
        <v>312</v>
      </c>
      <c r="E133" s="399">
        <v>20.2</v>
      </c>
      <c r="F133" s="399" t="s">
        <v>397</v>
      </c>
      <c r="G133" s="331">
        <v>150</v>
      </c>
      <c r="H133" s="331">
        <v>3030</v>
      </c>
      <c r="I133" s="331" t="s">
        <v>397</v>
      </c>
      <c r="J133" s="399" t="s">
        <v>397</v>
      </c>
      <c r="K133" s="399" t="s">
        <v>397</v>
      </c>
      <c r="L133" s="331" t="s">
        <v>397</v>
      </c>
      <c r="M133" s="331">
        <v>3030</v>
      </c>
      <c r="N133" s="331" t="s">
        <v>397</v>
      </c>
      <c r="O133" s="309" t="s">
        <v>397</v>
      </c>
    </row>
    <row r="134" spans="1:15" ht="18" customHeight="1">
      <c r="A134" s="307">
        <v>5</v>
      </c>
      <c r="B134" s="328" t="s">
        <v>819</v>
      </c>
      <c r="C134" s="327" t="s">
        <v>818</v>
      </c>
      <c r="D134" s="328" t="s">
        <v>484</v>
      </c>
      <c r="E134" s="399">
        <v>3.2</v>
      </c>
      <c r="F134" s="399" t="s">
        <v>397</v>
      </c>
      <c r="G134" s="331">
        <v>119.37</v>
      </c>
      <c r="H134" s="331">
        <v>381.98</v>
      </c>
      <c r="I134" s="331">
        <v>214.11</v>
      </c>
      <c r="J134" s="399">
        <v>167.87</v>
      </c>
      <c r="K134" s="399" t="s">
        <v>397</v>
      </c>
      <c r="L134" s="331" t="s">
        <v>397</v>
      </c>
      <c r="M134" s="331">
        <v>17776</v>
      </c>
      <c r="N134" s="331" t="s">
        <v>397</v>
      </c>
      <c r="O134" s="309">
        <v>2.6368</v>
      </c>
    </row>
    <row r="135" spans="1:15" ht="18" customHeight="1">
      <c r="A135" s="307" t="s">
        <v>397</v>
      </c>
      <c r="B135" s="328" t="s">
        <v>483</v>
      </c>
      <c r="C135" s="327" t="s">
        <v>817</v>
      </c>
      <c r="D135" s="328" t="s">
        <v>312</v>
      </c>
      <c r="E135" s="399">
        <v>32.32</v>
      </c>
      <c r="F135" s="399" t="s">
        <v>397</v>
      </c>
      <c r="G135" s="331">
        <v>550</v>
      </c>
      <c r="H135" s="331">
        <v>17776</v>
      </c>
      <c r="I135" s="331" t="s">
        <v>397</v>
      </c>
      <c r="J135" s="399" t="s">
        <v>397</v>
      </c>
      <c r="K135" s="399" t="s">
        <v>397</v>
      </c>
      <c r="L135" s="331" t="s">
        <v>397</v>
      </c>
      <c r="M135" s="331">
        <v>17776</v>
      </c>
      <c r="N135" s="331" t="s">
        <v>397</v>
      </c>
      <c r="O135" s="309" t="s">
        <v>397</v>
      </c>
    </row>
    <row r="136" spans="1:15" ht="18" customHeight="1">
      <c r="A136" s="307">
        <v>6</v>
      </c>
      <c r="B136" s="328" t="s">
        <v>814</v>
      </c>
      <c r="C136" s="327" t="s">
        <v>816</v>
      </c>
      <c r="D136" s="328" t="s">
        <v>484</v>
      </c>
      <c r="E136" s="399">
        <v>5</v>
      </c>
      <c r="F136" s="399" t="s">
        <v>397</v>
      </c>
      <c r="G136" s="331">
        <v>398.31</v>
      </c>
      <c r="H136" s="331">
        <v>1991.55</v>
      </c>
      <c r="I136" s="331">
        <v>1749.2</v>
      </c>
      <c r="J136" s="399">
        <v>242.35</v>
      </c>
      <c r="K136" s="399" t="s">
        <v>397</v>
      </c>
      <c r="L136" s="331" t="s">
        <v>397</v>
      </c>
      <c r="M136" s="331">
        <v>17675</v>
      </c>
      <c r="N136" s="331" t="s">
        <v>397</v>
      </c>
      <c r="O136" s="309">
        <v>21.5</v>
      </c>
    </row>
    <row r="137" spans="1:15" ht="18" customHeight="1">
      <c r="A137" s="307" t="s">
        <v>397</v>
      </c>
      <c r="B137" s="328" t="s">
        <v>483</v>
      </c>
      <c r="C137" s="327" t="s">
        <v>815</v>
      </c>
      <c r="D137" s="328" t="s">
        <v>312</v>
      </c>
      <c r="E137" s="399">
        <v>50.5</v>
      </c>
      <c r="F137" s="399" t="s">
        <v>397</v>
      </c>
      <c r="G137" s="331">
        <v>350</v>
      </c>
      <c r="H137" s="331">
        <v>17675</v>
      </c>
      <c r="I137" s="331" t="s">
        <v>397</v>
      </c>
      <c r="J137" s="399" t="s">
        <v>397</v>
      </c>
      <c r="K137" s="399" t="s">
        <v>397</v>
      </c>
      <c r="L137" s="331" t="s">
        <v>397</v>
      </c>
      <c r="M137" s="331">
        <v>17675</v>
      </c>
      <c r="N137" s="331" t="s">
        <v>397</v>
      </c>
      <c r="O137" s="309" t="s">
        <v>397</v>
      </c>
    </row>
    <row r="138" spans="1:15" ht="18" customHeight="1" thickBot="1">
      <c r="A138" s="336">
        <v>7</v>
      </c>
      <c r="B138" s="335" t="s">
        <v>814</v>
      </c>
      <c r="C138" s="326" t="s">
        <v>813</v>
      </c>
      <c r="D138" s="335" t="s">
        <v>484</v>
      </c>
      <c r="E138" s="400">
        <v>5.5</v>
      </c>
      <c r="F138" s="400" t="s">
        <v>397</v>
      </c>
      <c r="G138" s="330">
        <v>398.31</v>
      </c>
      <c r="H138" s="330">
        <v>2190.71</v>
      </c>
      <c r="I138" s="330">
        <v>1924.12</v>
      </c>
      <c r="J138" s="400">
        <v>266.58999999999997</v>
      </c>
      <c r="K138" s="400" t="s">
        <v>397</v>
      </c>
      <c r="L138" s="330" t="s">
        <v>397</v>
      </c>
      <c r="M138" s="330">
        <v>19442.5</v>
      </c>
      <c r="N138" s="330" t="s">
        <v>397</v>
      </c>
      <c r="O138" s="312">
        <v>23.65</v>
      </c>
    </row>
    <row r="139" spans="1:15" ht="16.5" customHeight="1">
      <c r="A139" s="423" t="s">
        <v>400</v>
      </c>
      <c r="B139" s="423" t="s">
        <v>397</v>
      </c>
      <c r="C139" s="423" t="s">
        <v>397</v>
      </c>
      <c r="D139" s="423" t="s">
        <v>397</v>
      </c>
      <c r="E139" s="423" t="s">
        <v>397</v>
      </c>
      <c r="F139" s="388" t="s">
        <v>399</v>
      </c>
      <c r="G139" s="388" t="s">
        <v>397</v>
      </c>
      <c r="H139" s="388" t="s">
        <v>397</v>
      </c>
      <c r="I139" s="388" t="s">
        <v>397</v>
      </c>
      <c r="J139" s="388" t="s">
        <v>397</v>
      </c>
      <c r="K139" s="389" t="s">
        <v>398</v>
      </c>
      <c r="L139" s="389" t="s">
        <v>397</v>
      </c>
      <c r="M139" s="389" t="s">
        <v>397</v>
      </c>
      <c r="N139" s="389" t="s">
        <v>397</v>
      </c>
      <c r="O139" s="389" t="s">
        <v>397</v>
      </c>
    </row>
    <row r="140" spans="1:15" ht="14.25" customHeight="1">
      <c r="A140" s="389" t="s">
        <v>397</v>
      </c>
      <c r="B140" s="389" t="s">
        <v>397</v>
      </c>
      <c r="C140" s="389" t="s">
        <v>397</v>
      </c>
      <c r="D140" s="389" t="s">
        <v>397</v>
      </c>
      <c r="E140" s="389" t="s">
        <v>397</v>
      </c>
      <c r="F140" s="389" t="s">
        <v>397</v>
      </c>
      <c r="G140" s="389" t="s">
        <v>397</v>
      </c>
      <c r="H140" s="389" t="s">
        <v>397</v>
      </c>
      <c r="I140" s="389" t="s">
        <v>397</v>
      </c>
      <c r="J140" s="389" t="s">
        <v>397</v>
      </c>
      <c r="K140" s="389" t="s">
        <v>397</v>
      </c>
      <c r="L140" s="389" t="s">
        <v>397</v>
      </c>
      <c r="M140" s="389" t="s">
        <v>397</v>
      </c>
      <c r="N140" s="389" t="s">
        <v>397</v>
      </c>
      <c r="O140" s="389" t="s">
        <v>397</v>
      </c>
    </row>
    <row r="141" spans="1:15" ht="32.25" customHeight="1">
      <c r="A141" s="422" t="s">
        <v>509</v>
      </c>
      <c r="B141" s="422" t="s">
        <v>397</v>
      </c>
      <c r="C141" s="422" t="s">
        <v>397</v>
      </c>
      <c r="D141" s="422" t="s">
        <v>397</v>
      </c>
      <c r="E141" s="422" t="s">
        <v>397</v>
      </c>
      <c r="F141" s="422" t="s">
        <v>397</v>
      </c>
      <c r="G141" s="422" t="s">
        <v>397</v>
      </c>
      <c r="H141" s="422" t="s">
        <v>397</v>
      </c>
      <c r="I141" s="422" t="s">
        <v>397</v>
      </c>
      <c r="J141" s="422" t="s">
        <v>397</v>
      </c>
      <c r="K141" s="422" t="s">
        <v>397</v>
      </c>
      <c r="L141" s="422" t="s">
        <v>397</v>
      </c>
      <c r="M141" s="422" t="s">
        <v>397</v>
      </c>
      <c r="N141" s="422" t="s">
        <v>397</v>
      </c>
      <c r="O141" s="422" t="s">
        <v>397</v>
      </c>
    </row>
    <row r="142" spans="1:15" ht="23.25" customHeight="1" thickBot="1">
      <c r="A142" s="423" t="s">
        <v>797</v>
      </c>
      <c r="B142" s="423" t="s">
        <v>397</v>
      </c>
      <c r="C142" s="423" t="s">
        <v>397</v>
      </c>
      <c r="D142" s="423" t="s">
        <v>397</v>
      </c>
      <c r="E142" s="423" t="s">
        <v>397</v>
      </c>
      <c r="F142" s="423" t="s">
        <v>397</v>
      </c>
      <c r="G142" s="423" t="s">
        <v>397</v>
      </c>
      <c r="H142" s="423" t="s">
        <v>397</v>
      </c>
      <c r="I142" s="423" t="s">
        <v>397</v>
      </c>
      <c r="J142" s="423" t="s">
        <v>397</v>
      </c>
      <c r="K142" s="389" t="s">
        <v>812</v>
      </c>
      <c r="L142" s="389" t="s">
        <v>397</v>
      </c>
      <c r="M142" s="389" t="s">
        <v>397</v>
      </c>
      <c r="N142" s="389" t="s">
        <v>397</v>
      </c>
      <c r="O142" s="389" t="s">
        <v>397</v>
      </c>
    </row>
    <row r="143" spans="1:15" ht="19.5" customHeight="1">
      <c r="A143" s="395" t="s">
        <v>42</v>
      </c>
      <c r="B143" s="391" t="s">
        <v>507</v>
      </c>
      <c r="C143" s="391" t="s">
        <v>506</v>
      </c>
      <c r="D143" s="391" t="s">
        <v>505</v>
      </c>
      <c r="E143" s="391" t="s">
        <v>397</v>
      </c>
      <c r="F143" s="391" t="s">
        <v>397</v>
      </c>
      <c r="G143" s="391" t="s">
        <v>504</v>
      </c>
      <c r="H143" s="391" t="s">
        <v>397</v>
      </c>
      <c r="I143" s="391" t="s">
        <v>503</v>
      </c>
      <c r="J143" s="391" t="s">
        <v>397</v>
      </c>
      <c r="K143" s="391" t="s">
        <v>397</v>
      </c>
      <c r="L143" s="391" t="s">
        <v>397</v>
      </c>
      <c r="M143" s="391" t="s">
        <v>397</v>
      </c>
      <c r="N143" s="391" t="s">
        <v>397</v>
      </c>
      <c r="O143" s="398" t="s">
        <v>502</v>
      </c>
    </row>
    <row r="144" spans="1:15" ht="18" customHeight="1">
      <c r="A144" s="396" t="s">
        <v>397</v>
      </c>
      <c r="B144" s="397" t="s">
        <v>397</v>
      </c>
      <c r="C144" s="397" t="s">
        <v>397</v>
      </c>
      <c r="D144" s="333" t="s">
        <v>384</v>
      </c>
      <c r="E144" s="397" t="s">
        <v>383</v>
      </c>
      <c r="F144" s="397" t="s">
        <v>397</v>
      </c>
      <c r="G144" s="333" t="s">
        <v>382</v>
      </c>
      <c r="H144" s="333" t="s">
        <v>381</v>
      </c>
      <c r="I144" s="333" t="s">
        <v>501</v>
      </c>
      <c r="J144" s="397" t="s">
        <v>500</v>
      </c>
      <c r="K144" s="397" t="s">
        <v>397</v>
      </c>
      <c r="L144" s="333" t="s">
        <v>499</v>
      </c>
      <c r="M144" s="333" t="s">
        <v>498</v>
      </c>
      <c r="N144" s="333" t="s">
        <v>497</v>
      </c>
      <c r="O144" s="424" t="s">
        <v>397</v>
      </c>
    </row>
    <row r="145" spans="1:15" ht="18" customHeight="1">
      <c r="A145" s="307" t="s">
        <v>397</v>
      </c>
      <c r="B145" s="328" t="s">
        <v>483</v>
      </c>
      <c r="C145" s="327" t="s">
        <v>811</v>
      </c>
      <c r="D145" s="328" t="s">
        <v>312</v>
      </c>
      <c r="E145" s="399">
        <v>55.55</v>
      </c>
      <c r="F145" s="399" t="s">
        <v>397</v>
      </c>
      <c r="G145" s="331">
        <v>350</v>
      </c>
      <c r="H145" s="331">
        <v>19442.5</v>
      </c>
      <c r="I145" s="331" t="s">
        <v>397</v>
      </c>
      <c r="J145" s="399" t="s">
        <v>397</v>
      </c>
      <c r="K145" s="399" t="s">
        <v>397</v>
      </c>
      <c r="L145" s="331" t="s">
        <v>397</v>
      </c>
      <c r="M145" s="331">
        <v>19442.5</v>
      </c>
      <c r="N145" s="331" t="s">
        <v>397</v>
      </c>
      <c r="O145" s="309" t="s">
        <v>397</v>
      </c>
    </row>
    <row r="146" spans="1:15" ht="16.5" customHeight="1">
      <c r="A146" s="307" t="s">
        <v>397</v>
      </c>
      <c r="B146" s="328" t="s">
        <v>810</v>
      </c>
      <c r="C146" s="315" t="s">
        <v>809</v>
      </c>
      <c r="D146" s="328" t="s">
        <v>397</v>
      </c>
      <c r="E146" s="399" t="s">
        <v>397</v>
      </c>
      <c r="F146" s="399" t="s">
        <v>397</v>
      </c>
      <c r="G146" s="331" t="s">
        <v>397</v>
      </c>
      <c r="H146" s="331">
        <v>20521.37</v>
      </c>
      <c r="I146" s="331">
        <v>14511.04</v>
      </c>
      <c r="J146" s="399">
        <v>6010.33</v>
      </c>
      <c r="K146" s="399" t="s">
        <v>397</v>
      </c>
      <c r="L146" s="331" t="s">
        <v>397</v>
      </c>
      <c r="M146" s="331">
        <v>410817.5</v>
      </c>
      <c r="N146" s="331" t="s">
        <v>397</v>
      </c>
      <c r="O146" s="309">
        <v>178.4</v>
      </c>
    </row>
    <row r="147" spans="1:15" ht="29.25" customHeight="1">
      <c r="A147" s="307">
        <v>1</v>
      </c>
      <c r="B147" s="328" t="s">
        <v>808</v>
      </c>
      <c r="C147" s="327" t="s">
        <v>807</v>
      </c>
      <c r="D147" s="328" t="s">
        <v>484</v>
      </c>
      <c r="E147" s="399">
        <v>11</v>
      </c>
      <c r="F147" s="399" t="s">
        <v>397</v>
      </c>
      <c r="G147" s="331">
        <v>220.47</v>
      </c>
      <c r="H147" s="331">
        <v>2425.17</v>
      </c>
      <c r="I147" s="331">
        <v>1620.52</v>
      </c>
      <c r="J147" s="399">
        <v>804.65</v>
      </c>
      <c r="K147" s="399" t="s">
        <v>397</v>
      </c>
      <c r="L147" s="331" t="s">
        <v>397</v>
      </c>
      <c r="M147" s="331">
        <v>55550</v>
      </c>
      <c r="N147" s="331" t="s">
        <v>397</v>
      </c>
      <c r="O147" s="309">
        <v>19.91</v>
      </c>
    </row>
    <row r="148" spans="1:15" ht="18" customHeight="1">
      <c r="A148" s="307" t="s">
        <v>397</v>
      </c>
      <c r="B148" s="328" t="s">
        <v>483</v>
      </c>
      <c r="C148" s="327" t="s">
        <v>806</v>
      </c>
      <c r="D148" s="328" t="s">
        <v>312</v>
      </c>
      <c r="E148" s="399">
        <v>111.1</v>
      </c>
      <c r="F148" s="399" t="s">
        <v>397</v>
      </c>
      <c r="G148" s="331">
        <v>500</v>
      </c>
      <c r="H148" s="331">
        <v>55550</v>
      </c>
      <c r="I148" s="331" t="s">
        <v>397</v>
      </c>
      <c r="J148" s="399" t="s">
        <v>397</v>
      </c>
      <c r="K148" s="399" t="s">
        <v>397</v>
      </c>
      <c r="L148" s="331" t="s">
        <v>397</v>
      </c>
      <c r="M148" s="331">
        <v>55550</v>
      </c>
      <c r="N148" s="331" t="s">
        <v>397</v>
      </c>
      <c r="O148" s="309" t="s">
        <v>397</v>
      </c>
    </row>
    <row r="149" spans="1:15" ht="29.25" customHeight="1">
      <c r="A149" s="307">
        <v>2</v>
      </c>
      <c r="B149" s="328" t="s">
        <v>803</v>
      </c>
      <c r="C149" s="327" t="s">
        <v>805</v>
      </c>
      <c r="D149" s="328" t="s">
        <v>484</v>
      </c>
      <c r="E149" s="399">
        <v>47</v>
      </c>
      <c r="F149" s="399" t="s">
        <v>397</v>
      </c>
      <c r="G149" s="331">
        <v>258.58999999999997</v>
      </c>
      <c r="H149" s="331">
        <v>12153.73</v>
      </c>
      <c r="I149" s="331">
        <v>8715.68</v>
      </c>
      <c r="J149" s="399">
        <v>3438.05</v>
      </c>
      <c r="K149" s="399" t="s">
        <v>397</v>
      </c>
      <c r="L149" s="331" t="s">
        <v>397</v>
      </c>
      <c r="M149" s="331">
        <v>237350</v>
      </c>
      <c r="N149" s="331" t="s">
        <v>397</v>
      </c>
      <c r="O149" s="309">
        <v>107.16</v>
      </c>
    </row>
    <row r="150" spans="1:15" ht="29.25" customHeight="1">
      <c r="A150" s="307" t="s">
        <v>397</v>
      </c>
      <c r="B150" s="328" t="s">
        <v>483</v>
      </c>
      <c r="C150" s="327" t="s">
        <v>804</v>
      </c>
      <c r="D150" s="328" t="s">
        <v>312</v>
      </c>
      <c r="E150" s="399">
        <v>474.7</v>
      </c>
      <c r="F150" s="399" t="s">
        <v>397</v>
      </c>
      <c r="G150" s="331">
        <v>500</v>
      </c>
      <c r="H150" s="331">
        <v>237350</v>
      </c>
      <c r="I150" s="331" t="s">
        <v>397</v>
      </c>
      <c r="J150" s="399" t="s">
        <v>397</v>
      </c>
      <c r="K150" s="399" t="s">
        <v>397</v>
      </c>
      <c r="L150" s="331" t="s">
        <v>397</v>
      </c>
      <c r="M150" s="331">
        <v>237350</v>
      </c>
      <c r="N150" s="331" t="s">
        <v>397</v>
      </c>
      <c r="O150" s="309" t="s">
        <v>397</v>
      </c>
    </row>
    <row r="151" spans="1:15" ht="29.25" customHeight="1">
      <c r="A151" s="307">
        <v>3</v>
      </c>
      <c r="B151" s="328" t="s">
        <v>803</v>
      </c>
      <c r="C151" s="327" t="s">
        <v>802</v>
      </c>
      <c r="D151" s="328" t="s">
        <v>484</v>
      </c>
      <c r="E151" s="399">
        <v>18.5</v>
      </c>
      <c r="F151" s="399" t="s">
        <v>397</v>
      </c>
      <c r="G151" s="331">
        <v>258.58999999999997</v>
      </c>
      <c r="H151" s="331">
        <v>4783.92</v>
      </c>
      <c r="I151" s="331">
        <v>3430.64</v>
      </c>
      <c r="J151" s="399">
        <v>1353.28</v>
      </c>
      <c r="K151" s="399" t="s">
        <v>397</v>
      </c>
      <c r="L151" s="331" t="s">
        <v>397</v>
      </c>
      <c r="M151" s="331">
        <v>102767.5</v>
      </c>
      <c r="N151" s="331" t="s">
        <v>397</v>
      </c>
      <c r="O151" s="309">
        <v>42.18</v>
      </c>
    </row>
    <row r="152" spans="1:15" ht="29.25" customHeight="1">
      <c r="A152" s="307" t="s">
        <v>397</v>
      </c>
      <c r="B152" s="328" t="s">
        <v>483</v>
      </c>
      <c r="C152" s="327" t="s">
        <v>801</v>
      </c>
      <c r="D152" s="328" t="s">
        <v>312</v>
      </c>
      <c r="E152" s="399">
        <v>186.85</v>
      </c>
      <c r="F152" s="399" t="s">
        <v>397</v>
      </c>
      <c r="G152" s="331">
        <v>550</v>
      </c>
      <c r="H152" s="331">
        <v>102767.5</v>
      </c>
      <c r="I152" s="331" t="s">
        <v>397</v>
      </c>
      <c r="J152" s="399" t="s">
        <v>397</v>
      </c>
      <c r="K152" s="399" t="s">
        <v>397</v>
      </c>
      <c r="L152" s="331" t="s">
        <v>397</v>
      </c>
      <c r="M152" s="331">
        <v>102767.5</v>
      </c>
      <c r="N152" s="331" t="s">
        <v>397</v>
      </c>
      <c r="O152" s="309" t="s">
        <v>397</v>
      </c>
    </row>
    <row r="153" spans="1:15" ht="18" customHeight="1">
      <c r="A153" s="307">
        <v>4</v>
      </c>
      <c r="B153" s="328" t="s">
        <v>800</v>
      </c>
      <c r="C153" s="327" t="s">
        <v>799</v>
      </c>
      <c r="D153" s="328" t="s">
        <v>484</v>
      </c>
      <c r="E153" s="399">
        <v>2.5</v>
      </c>
      <c r="F153" s="399" t="s">
        <v>397</v>
      </c>
      <c r="G153" s="331">
        <v>463.42</v>
      </c>
      <c r="H153" s="331">
        <v>1158.55</v>
      </c>
      <c r="I153" s="331">
        <v>744.2</v>
      </c>
      <c r="J153" s="399">
        <v>414.35</v>
      </c>
      <c r="K153" s="399" t="s">
        <v>397</v>
      </c>
      <c r="L153" s="331" t="s">
        <v>397</v>
      </c>
      <c r="M153" s="331">
        <v>15150</v>
      </c>
      <c r="N153" s="331" t="s">
        <v>397</v>
      </c>
      <c r="O153" s="309">
        <v>9.15</v>
      </c>
    </row>
    <row r="154" spans="1:15" ht="18" customHeight="1">
      <c r="A154" s="307" t="s">
        <v>397</v>
      </c>
      <c r="B154" s="328" t="s">
        <v>483</v>
      </c>
      <c r="C154" s="327" t="s">
        <v>798</v>
      </c>
      <c r="D154" s="328" t="s">
        <v>312</v>
      </c>
      <c r="E154" s="399">
        <v>25.25</v>
      </c>
      <c r="F154" s="399" t="s">
        <v>397</v>
      </c>
      <c r="G154" s="331">
        <v>600</v>
      </c>
      <c r="H154" s="331">
        <v>15150</v>
      </c>
      <c r="I154" s="331" t="s">
        <v>397</v>
      </c>
      <c r="J154" s="399" t="s">
        <v>397</v>
      </c>
      <c r="K154" s="399" t="s">
        <v>397</v>
      </c>
      <c r="L154" s="331" t="s">
        <v>397</v>
      </c>
      <c r="M154" s="331">
        <v>15150</v>
      </c>
      <c r="N154" s="331" t="s">
        <v>397</v>
      </c>
      <c r="O154" s="309" t="s">
        <v>397</v>
      </c>
    </row>
    <row r="155" spans="1:15" ht="18" customHeight="1">
      <c r="A155" s="307" t="s">
        <v>397</v>
      </c>
      <c r="B155" s="328" t="s">
        <v>397</v>
      </c>
      <c r="C155" s="327" t="s">
        <v>397</v>
      </c>
      <c r="D155" s="328" t="s">
        <v>397</v>
      </c>
      <c r="E155" s="399" t="s">
        <v>397</v>
      </c>
      <c r="F155" s="399" t="s">
        <v>397</v>
      </c>
      <c r="G155" s="331" t="s">
        <v>397</v>
      </c>
      <c r="H155" s="331" t="s">
        <v>397</v>
      </c>
      <c r="I155" s="331" t="s">
        <v>397</v>
      </c>
      <c r="J155" s="399" t="s">
        <v>397</v>
      </c>
      <c r="K155" s="399" t="s">
        <v>397</v>
      </c>
      <c r="L155" s="331" t="s">
        <v>397</v>
      </c>
      <c r="M155" s="331" t="s">
        <v>397</v>
      </c>
      <c r="N155" s="331" t="s">
        <v>397</v>
      </c>
      <c r="O155" s="309" t="s">
        <v>397</v>
      </c>
    </row>
    <row r="156" spans="1:15" ht="18" customHeight="1">
      <c r="A156" s="307" t="s">
        <v>397</v>
      </c>
      <c r="B156" s="328" t="s">
        <v>397</v>
      </c>
      <c r="C156" s="327" t="s">
        <v>397</v>
      </c>
      <c r="D156" s="328" t="s">
        <v>397</v>
      </c>
      <c r="E156" s="399" t="s">
        <v>397</v>
      </c>
      <c r="F156" s="399" t="s">
        <v>397</v>
      </c>
      <c r="G156" s="331" t="s">
        <v>397</v>
      </c>
      <c r="H156" s="331" t="s">
        <v>397</v>
      </c>
      <c r="I156" s="331" t="s">
        <v>397</v>
      </c>
      <c r="J156" s="399" t="s">
        <v>397</v>
      </c>
      <c r="K156" s="399" t="s">
        <v>397</v>
      </c>
      <c r="L156" s="331" t="s">
        <v>397</v>
      </c>
      <c r="M156" s="331" t="s">
        <v>397</v>
      </c>
      <c r="N156" s="331" t="s">
        <v>397</v>
      </c>
      <c r="O156" s="309" t="s">
        <v>397</v>
      </c>
    </row>
    <row r="157" spans="1:15" ht="18" customHeight="1">
      <c r="A157" s="307" t="s">
        <v>397</v>
      </c>
      <c r="B157" s="328" t="s">
        <v>397</v>
      </c>
      <c r="C157" s="327" t="s">
        <v>397</v>
      </c>
      <c r="D157" s="328" t="s">
        <v>397</v>
      </c>
      <c r="E157" s="399" t="s">
        <v>397</v>
      </c>
      <c r="F157" s="399" t="s">
        <v>397</v>
      </c>
      <c r="G157" s="331" t="s">
        <v>397</v>
      </c>
      <c r="H157" s="331" t="s">
        <v>397</v>
      </c>
      <c r="I157" s="331" t="s">
        <v>397</v>
      </c>
      <c r="J157" s="399" t="s">
        <v>397</v>
      </c>
      <c r="K157" s="399" t="s">
        <v>397</v>
      </c>
      <c r="L157" s="331" t="s">
        <v>397</v>
      </c>
      <c r="M157" s="331" t="s">
        <v>397</v>
      </c>
      <c r="N157" s="331" t="s">
        <v>397</v>
      </c>
      <c r="O157" s="309" t="s">
        <v>397</v>
      </c>
    </row>
    <row r="158" spans="1:15" ht="18" customHeight="1">
      <c r="A158" s="307" t="s">
        <v>397</v>
      </c>
      <c r="B158" s="328" t="s">
        <v>397</v>
      </c>
      <c r="C158" s="327" t="s">
        <v>397</v>
      </c>
      <c r="D158" s="328" t="s">
        <v>397</v>
      </c>
      <c r="E158" s="399" t="s">
        <v>397</v>
      </c>
      <c r="F158" s="399" t="s">
        <v>397</v>
      </c>
      <c r="G158" s="331" t="s">
        <v>397</v>
      </c>
      <c r="H158" s="331" t="s">
        <v>397</v>
      </c>
      <c r="I158" s="331" t="s">
        <v>397</v>
      </c>
      <c r="J158" s="399" t="s">
        <v>397</v>
      </c>
      <c r="K158" s="399" t="s">
        <v>397</v>
      </c>
      <c r="L158" s="331" t="s">
        <v>397</v>
      </c>
      <c r="M158" s="331" t="s">
        <v>397</v>
      </c>
      <c r="N158" s="331" t="s">
        <v>397</v>
      </c>
      <c r="O158" s="309" t="s">
        <v>397</v>
      </c>
    </row>
    <row r="159" spans="1:15" ht="18" customHeight="1">
      <c r="A159" s="307" t="s">
        <v>397</v>
      </c>
      <c r="B159" s="328" t="s">
        <v>397</v>
      </c>
      <c r="C159" s="327" t="s">
        <v>397</v>
      </c>
      <c r="D159" s="328" t="s">
        <v>397</v>
      </c>
      <c r="E159" s="399" t="s">
        <v>397</v>
      </c>
      <c r="F159" s="399" t="s">
        <v>397</v>
      </c>
      <c r="G159" s="331" t="s">
        <v>397</v>
      </c>
      <c r="H159" s="331" t="s">
        <v>397</v>
      </c>
      <c r="I159" s="331" t="s">
        <v>397</v>
      </c>
      <c r="J159" s="399" t="s">
        <v>397</v>
      </c>
      <c r="K159" s="399" t="s">
        <v>397</v>
      </c>
      <c r="L159" s="331" t="s">
        <v>397</v>
      </c>
      <c r="M159" s="331" t="s">
        <v>397</v>
      </c>
      <c r="N159" s="331" t="s">
        <v>397</v>
      </c>
      <c r="O159" s="309" t="s">
        <v>397</v>
      </c>
    </row>
    <row r="160" spans="1:15" ht="18" customHeight="1">
      <c r="A160" s="307" t="s">
        <v>397</v>
      </c>
      <c r="B160" s="328" t="s">
        <v>397</v>
      </c>
      <c r="C160" s="327" t="s">
        <v>397</v>
      </c>
      <c r="D160" s="328" t="s">
        <v>397</v>
      </c>
      <c r="E160" s="399" t="s">
        <v>397</v>
      </c>
      <c r="F160" s="399" t="s">
        <v>397</v>
      </c>
      <c r="G160" s="331" t="s">
        <v>397</v>
      </c>
      <c r="H160" s="331" t="s">
        <v>397</v>
      </c>
      <c r="I160" s="331" t="s">
        <v>397</v>
      </c>
      <c r="J160" s="399" t="s">
        <v>397</v>
      </c>
      <c r="K160" s="399" t="s">
        <v>397</v>
      </c>
      <c r="L160" s="331" t="s">
        <v>397</v>
      </c>
      <c r="M160" s="331" t="s">
        <v>397</v>
      </c>
      <c r="N160" s="331" t="s">
        <v>397</v>
      </c>
      <c r="O160" s="309" t="s">
        <v>397</v>
      </c>
    </row>
    <row r="161" spans="1:15" ht="29.25" customHeight="1" thickBot="1">
      <c r="A161" s="402" t="s">
        <v>473</v>
      </c>
      <c r="B161" s="401" t="s">
        <v>397</v>
      </c>
      <c r="C161" s="401" t="s">
        <v>397</v>
      </c>
      <c r="D161" s="401" t="s">
        <v>397</v>
      </c>
      <c r="E161" s="401" t="s">
        <v>397</v>
      </c>
      <c r="F161" s="401" t="s">
        <v>397</v>
      </c>
      <c r="G161" s="401" t="s">
        <v>397</v>
      </c>
      <c r="H161" s="330">
        <v>2377090.84</v>
      </c>
      <c r="I161" s="330">
        <v>263918.57</v>
      </c>
      <c r="J161" s="400">
        <v>64858.61</v>
      </c>
      <c r="K161" s="400" t="s">
        <v>397</v>
      </c>
      <c r="L161" s="330">
        <v>32918.769999999997</v>
      </c>
      <c r="M161" s="330">
        <v>2015394.95</v>
      </c>
      <c r="N161" s="330" t="s">
        <v>397</v>
      </c>
      <c r="O161" s="312">
        <v>3240.2420999999999</v>
      </c>
    </row>
    <row r="162" spans="1:15" ht="16.5" customHeight="1">
      <c r="A162" s="423" t="s">
        <v>400</v>
      </c>
      <c r="B162" s="423" t="s">
        <v>397</v>
      </c>
      <c r="C162" s="423" t="s">
        <v>397</v>
      </c>
      <c r="D162" s="423" t="s">
        <v>397</v>
      </c>
      <c r="E162" s="423" t="s">
        <v>397</v>
      </c>
      <c r="F162" s="388" t="s">
        <v>399</v>
      </c>
      <c r="G162" s="388" t="s">
        <v>397</v>
      </c>
      <c r="H162" s="388" t="s">
        <v>397</v>
      </c>
      <c r="I162" s="388" t="s">
        <v>397</v>
      </c>
      <c r="J162" s="388" t="s">
        <v>397</v>
      </c>
      <c r="K162" s="389" t="s">
        <v>398</v>
      </c>
      <c r="L162" s="389" t="s">
        <v>397</v>
      </c>
      <c r="M162" s="389" t="s">
        <v>397</v>
      </c>
      <c r="N162" s="389" t="s">
        <v>397</v>
      </c>
      <c r="O162" s="389" t="s">
        <v>397</v>
      </c>
    </row>
  </sheetData>
  <mergeCells count="366">
    <mergeCell ref="E155:F155"/>
    <mergeCell ref="J155:K155"/>
    <mergeCell ref="E156:F156"/>
    <mergeCell ref="J156:K156"/>
    <mergeCell ref="E157:F157"/>
    <mergeCell ref="J157:K157"/>
    <mergeCell ref="E158:F158"/>
    <mergeCell ref="J158:K158"/>
    <mergeCell ref="A162:E162"/>
    <mergeCell ref="F162:J162"/>
    <mergeCell ref="K162:O162"/>
    <mergeCell ref="E159:F159"/>
    <mergeCell ref="J159:K159"/>
    <mergeCell ref="E160:F160"/>
    <mergeCell ref="J160:K160"/>
    <mergeCell ref="A161:G161"/>
    <mergeCell ref="J161:K161"/>
    <mergeCell ref="E150:F150"/>
    <mergeCell ref="J150:K150"/>
    <mergeCell ref="E151:F151"/>
    <mergeCell ref="J151:K151"/>
    <mergeCell ref="E152:F152"/>
    <mergeCell ref="J152:K152"/>
    <mergeCell ref="E153:F153"/>
    <mergeCell ref="J153:K153"/>
    <mergeCell ref="E154:F154"/>
    <mergeCell ref="J154:K154"/>
    <mergeCell ref="E145:F145"/>
    <mergeCell ref="J145:K145"/>
    <mergeCell ref="E146:F146"/>
    <mergeCell ref="J146:K146"/>
    <mergeCell ref="E147:F147"/>
    <mergeCell ref="J147:K147"/>
    <mergeCell ref="E148:F148"/>
    <mergeCell ref="J148:K148"/>
    <mergeCell ref="E149:F149"/>
    <mergeCell ref="J149:K149"/>
    <mergeCell ref="A140:E140"/>
    <mergeCell ref="F140:J140"/>
    <mergeCell ref="K140:O140"/>
    <mergeCell ref="A141:O141"/>
    <mergeCell ref="A142:J142"/>
    <mergeCell ref="K142:O142"/>
    <mergeCell ref="A143:A144"/>
    <mergeCell ref="B143:B144"/>
    <mergeCell ref="C143:C144"/>
    <mergeCell ref="D143:F143"/>
    <mergeCell ref="G143:H143"/>
    <mergeCell ref="I143:N143"/>
    <mergeCell ref="O143:O144"/>
    <mergeCell ref="E144:F144"/>
    <mergeCell ref="J144:K144"/>
    <mergeCell ref="E136:F136"/>
    <mergeCell ref="J136:K136"/>
    <mergeCell ref="E137:F137"/>
    <mergeCell ref="J137:K137"/>
    <mergeCell ref="E138:F138"/>
    <mergeCell ref="J138:K138"/>
    <mergeCell ref="A139:E139"/>
    <mergeCell ref="F139:J139"/>
    <mergeCell ref="K139:O139"/>
    <mergeCell ref="E131:F131"/>
    <mergeCell ref="J131:K131"/>
    <mergeCell ref="E132:F132"/>
    <mergeCell ref="J132:K132"/>
    <mergeCell ref="E133:F133"/>
    <mergeCell ref="J133:K133"/>
    <mergeCell ref="E134:F134"/>
    <mergeCell ref="J134:K134"/>
    <mergeCell ref="E135:F135"/>
    <mergeCell ref="J135:K135"/>
    <mergeCell ref="E126:F126"/>
    <mergeCell ref="J126:K126"/>
    <mergeCell ref="E127:F127"/>
    <mergeCell ref="J127:K127"/>
    <mergeCell ref="E128:F128"/>
    <mergeCell ref="J128:K128"/>
    <mergeCell ref="E129:F129"/>
    <mergeCell ref="J129:K129"/>
    <mergeCell ref="E130:F130"/>
    <mergeCell ref="J130:K130"/>
    <mergeCell ref="E121:F121"/>
    <mergeCell ref="J121:K121"/>
    <mergeCell ref="E122:F122"/>
    <mergeCell ref="J122:K122"/>
    <mergeCell ref="E123:F123"/>
    <mergeCell ref="J123:K123"/>
    <mergeCell ref="E124:F124"/>
    <mergeCell ref="J124:K124"/>
    <mergeCell ref="E125:F125"/>
    <mergeCell ref="J125:K125"/>
    <mergeCell ref="A119:A120"/>
    <mergeCell ref="B119:B120"/>
    <mergeCell ref="C119:C120"/>
    <mergeCell ref="D119:F119"/>
    <mergeCell ref="G119:H119"/>
    <mergeCell ref="I119:N119"/>
    <mergeCell ref="O119:O120"/>
    <mergeCell ref="E120:F120"/>
    <mergeCell ref="J120:K120"/>
    <mergeCell ref="A115:E115"/>
    <mergeCell ref="F115:J115"/>
    <mergeCell ref="K115:O115"/>
    <mergeCell ref="A116:E116"/>
    <mergeCell ref="F116:J116"/>
    <mergeCell ref="K116:O116"/>
    <mergeCell ref="A117:O117"/>
    <mergeCell ref="A118:J118"/>
    <mergeCell ref="K118:O118"/>
    <mergeCell ref="E110:F110"/>
    <mergeCell ref="J110:K110"/>
    <mergeCell ref="E111:F111"/>
    <mergeCell ref="J111:K111"/>
    <mergeCell ref="E112:F112"/>
    <mergeCell ref="J112:K112"/>
    <mergeCell ref="E113:F113"/>
    <mergeCell ref="J113:K113"/>
    <mergeCell ref="E114:F114"/>
    <mergeCell ref="J114:K114"/>
    <mergeCell ref="E105:F105"/>
    <mergeCell ref="J105:K105"/>
    <mergeCell ref="E106:F106"/>
    <mergeCell ref="J106:K106"/>
    <mergeCell ref="E107:F107"/>
    <mergeCell ref="J107:K107"/>
    <mergeCell ref="E108:F108"/>
    <mergeCell ref="J108:K108"/>
    <mergeCell ref="E109:F109"/>
    <mergeCell ref="J109:K109"/>
    <mergeCell ref="E100:F100"/>
    <mergeCell ref="J100:K100"/>
    <mergeCell ref="E101:F101"/>
    <mergeCell ref="J101:K101"/>
    <mergeCell ref="E102:F102"/>
    <mergeCell ref="J102:K102"/>
    <mergeCell ref="E103:F103"/>
    <mergeCell ref="J103:K103"/>
    <mergeCell ref="E104:F104"/>
    <mergeCell ref="J104:K104"/>
    <mergeCell ref="A97:J97"/>
    <mergeCell ref="K97:O97"/>
    <mergeCell ref="A98:A99"/>
    <mergeCell ref="B98:B99"/>
    <mergeCell ref="C98:C99"/>
    <mergeCell ref="D98:F98"/>
    <mergeCell ref="G98:H98"/>
    <mergeCell ref="I98:N98"/>
    <mergeCell ref="O98:O99"/>
    <mergeCell ref="E99:F99"/>
    <mergeCell ref="J99:K99"/>
    <mergeCell ref="E93:F93"/>
    <mergeCell ref="J93:K93"/>
    <mergeCell ref="A94:E94"/>
    <mergeCell ref="F94:J94"/>
    <mergeCell ref="K94:O94"/>
    <mergeCell ref="A95:E95"/>
    <mergeCell ref="F95:J95"/>
    <mergeCell ref="K95:O95"/>
    <mergeCell ref="A96:O96"/>
    <mergeCell ref="E88:F88"/>
    <mergeCell ref="J88:K88"/>
    <mergeCell ref="E89:F89"/>
    <mergeCell ref="J89:K89"/>
    <mergeCell ref="E90:F90"/>
    <mergeCell ref="J90:K90"/>
    <mergeCell ref="E91:F91"/>
    <mergeCell ref="J91:K91"/>
    <mergeCell ref="E92:F92"/>
    <mergeCell ref="J92:K92"/>
    <mergeCell ref="E83:F83"/>
    <mergeCell ref="J83:K83"/>
    <mergeCell ref="E84:F84"/>
    <mergeCell ref="J84:K84"/>
    <mergeCell ref="E85:F85"/>
    <mergeCell ref="J85:K85"/>
    <mergeCell ref="E86:F86"/>
    <mergeCell ref="J86:K86"/>
    <mergeCell ref="E87:F87"/>
    <mergeCell ref="J87:K87"/>
    <mergeCell ref="E78:F78"/>
    <mergeCell ref="J78:K78"/>
    <mergeCell ref="E79:F79"/>
    <mergeCell ref="J79:K79"/>
    <mergeCell ref="E80:F80"/>
    <mergeCell ref="J80:K80"/>
    <mergeCell ref="E81:F81"/>
    <mergeCell ref="J81:K81"/>
    <mergeCell ref="E82:F82"/>
    <mergeCell ref="J82:K82"/>
    <mergeCell ref="A73:E73"/>
    <mergeCell ref="F73:J73"/>
    <mergeCell ref="K73:O73"/>
    <mergeCell ref="A74:O74"/>
    <mergeCell ref="A75:J75"/>
    <mergeCell ref="K75:O75"/>
    <mergeCell ref="A76:A77"/>
    <mergeCell ref="B76:B77"/>
    <mergeCell ref="C76:C77"/>
    <mergeCell ref="D76:F76"/>
    <mergeCell ref="G76:H76"/>
    <mergeCell ref="I76:N76"/>
    <mergeCell ref="O76:O77"/>
    <mergeCell ref="E77:F77"/>
    <mergeCell ref="J77:K77"/>
    <mergeCell ref="E69:F69"/>
    <mergeCell ref="J69:K69"/>
    <mergeCell ref="E70:F70"/>
    <mergeCell ref="J70:K70"/>
    <mergeCell ref="E71:F71"/>
    <mergeCell ref="J71:K71"/>
    <mergeCell ref="A72:E72"/>
    <mergeCell ref="F72:J72"/>
    <mergeCell ref="K72:O72"/>
    <mergeCell ref="E64:F64"/>
    <mergeCell ref="J64:K64"/>
    <mergeCell ref="E65:F65"/>
    <mergeCell ref="J65:K65"/>
    <mergeCell ref="E66:F66"/>
    <mergeCell ref="J66:K66"/>
    <mergeCell ref="E67:F67"/>
    <mergeCell ref="J67:K67"/>
    <mergeCell ref="E68:F68"/>
    <mergeCell ref="J68:K68"/>
    <mergeCell ref="E59:F59"/>
    <mergeCell ref="J59:K59"/>
    <mergeCell ref="E60:F60"/>
    <mergeCell ref="J60:K60"/>
    <mergeCell ref="E61:F61"/>
    <mergeCell ref="J61:K61"/>
    <mergeCell ref="E62:F62"/>
    <mergeCell ref="J62:K62"/>
    <mergeCell ref="E63:F63"/>
    <mergeCell ref="J63:K63"/>
    <mergeCell ref="A56:J56"/>
    <mergeCell ref="K56:O56"/>
    <mergeCell ref="A57:A58"/>
    <mergeCell ref="B57:B58"/>
    <mergeCell ref="C57:C58"/>
    <mergeCell ref="D57:F57"/>
    <mergeCell ref="G57:H57"/>
    <mergeCell ref="I57:N57"/>
    <mergeCell ref="O57:O58"/>
    <mergeCell ref="E58:F58"/>
    <mergeCell ref="J58:K58"/>
    <mergeCell ref="E52:F52"/>
    <mergeCell ref="J52:K52"/>
    <mergeCell ref="A53:E53"/>
    <mergeCell ref="F53:J53"/>
    <mergeCell ref="K53:O53"/>
    <mergeCell ref="A54:E54"/>
    <mergeCell ref="F54:J54"/>
    <mergeCell ref="K54:O54"/>
    <mergeCell ref="A55:O55"/>
    <mergeCell ref="E47:F47"/>
    <mergeCell ref="J47:K47"/>
    <mergeCell ref="E48:F48"/>
    <mergeCell ref="J48:K48"/>
    <mergeCell ref="E49:F49"/>
    <mergeCell ref="J49:K49"/>
    <mergeCell ref="E50:F50"/>
    <mergeCell ref="J50:K50"/>
    <mergeCell ref="E51:F51"/>
    <mergeCell ref="J51:K51"/>
    <mergeCell ref="E42:F42"/>
    <mergeCell ref="J42:K42"/>
    <mergeCell ref="E43:F43"/>
    <mergeCell ref="J43:K43"/>
    <mergeCell ref="E44:F44"/>
    <mergeCell ref="J44:K44"/>
    <mergeCell ref="E45:F45"/>
    <mergeCell ref="J45:K45"/>
    <mergeCell ref="E46:F46"/>
    <mergeCell ref="J46:K46"/>
    <mergeCell ref="E37:F37"/>
    <mergeCell ref="J37:K37"/>
    <mergeCell ref="E38:F38"/>
    <mergeCell ref="J38:K38"/>
    <mergeCell ref="E39:F39"/>
    <mergeCell ref="J39:K39"/>
    <mergeCell ref="E40:F40"/>
    <mergeCell ref="J40:K40"/>
    <mergeCell ref="E41:F41"/>
    <mergeCell ref="J41:K41"/>
    <mergeCell ref="E32:F32"/>
    <mergeCell ref="J32:K32"/>
    <mergeCell ref="E33:F33"/>
    <mergeCell ref="J33:K33"/>
    <mergeCell ref="E34:F34"/>
    <mergeCell ref="J34:K34"/>
    <mergeCell ref="E35:F35"/>
    <mergeCell ref="J35:K35"/>
    <mergeCell ref="E36:F36"/>
    <mergeCell ref="J36:K36"/>
    <mergeCell ref="A30:A31"/>
    <mergeCell ref="B30:B31"/>
    <mergeCell ref="C30:C31"/>
    <mergeCell ref="D30:F30"/>
    <mergeCell ref="G30:H30"/>
    <mergeCell ref="I30:N30"/>
    <mergeCell ref="O30:O31"/>
    <mergeCell ref="E31:F31"/>
    <mergeCell ref="J31:K31"/>
    <mergeCell ref="A26:E26"/>
    <mergeCell ref="F26:J26"/>
    <mergeCell ref="K26:O26"/>
    <mergeCell ref="A27:E27"/>
    <mergeCell ref="F27:J27"/>
    <mergeCell ref="K27:O27"/>
    <mergeCell ref="A28:O28"/>
    <mergeCell ref="A29:J29"/>
    <mergeCell ref="K29:O29"/>
    <mergeCell ref="E21:F21"/>
    <mergeCell ref="J21:K21"/>
    <mergeCell ref="E22:F22"/>
    <mergeCell ref="J22:K22"/>
    <mergeCell ref="E23:F23"/>
    <mergeCell ref="J23:K23"/>
    <mergeCell ref="E24:F24"/>
    <mergeCell ref="J24:K24"/>
    <mergeCell ref="E25:F25"/>
    <mergeCell ref="J25:K25"/>
    <mergeCell ref="E16:F16"/>
    <mergeCell ref="J16:K16"/>
    <mergeCell ref="E17:F17"/>
    <mergeCell ref="J17:K17"/>
    <mergeCell ref="E18:F18"/>
    <mergeCell ref="J18:K18"/>
    <mergeCell ref="E19:F19"/>
    <mergeCell ref="J19:K19"/>
    <mergeCell ref="E20:F20"/>
    <mergeCell ref="J20:K20"/>
    <mergeCell ref="E11:F11"/>
    <mergeCell ref="J11:K11"/>
    <mergeCell ref="E12:F12"/>
    <mergeCell ref="J12:K12"/>
    <mergeCell ref="E13:F13"/>
    <mergeCell ref="J13:K13"/>
    <mergeCell ref="E14:F14"/>
    <mergeCell ref="J14:K14"/>
    <mergeCell ref="E15:F15"/>
    <mergeCell ref="J15:K15"/>
    <mergeCell ref="E6:F6"/>
    <mergeCell ref="J6:K6"/>
    <mergeCell ref="E7:F7"/>
    <mergeCell ref="J7:K7"/>
    <mergeCell ref="E8:F8"/>
    <mergeCell ref="J8:K8"/>
    <mergeCell ref="E9:F9"/>
    <mergeCell ref="J9:K9"/>
    <mergeCell ref="E10:F10"/>
    <mergeCell ref="J10:K10"/>
    <mergeCell ref="A1:E1"/>
    <mergeCell ref="F1:J1"/>
    <mergeCell ref="K1:O1"/>
    <mergeCell ref="A2:O2"/>
    <mergeCell ref="A3:J3"/>
    <mergeCell ref="K3:O3"/>
    <mergeCell ref="A4:A5"/>
    <mergeCell ref="B4:B5"/>
    <mergeCell ref="C4:C5"/>
    <mergeCell ref="D4:F4"/>
    <mergeCell ref="G4:H4"/>
    <mergeCell ref="I4:N4"/>
    <mergeCell ref="O4:O5"/>
    <mergeCell ref="E5:F5"/>
    <mergeCell ref="J5:K5"/>
  </mergeCells>
  <phoneticPr fontId="34" type="noConversion"/>
  <pageMargins left="0.51181102362204722" right="0.51181102362204722" top="0.59055118110236227" bottom="0.59055118110236227" header="0.59055118110236227" footer="0.59055118110236227"/>
  <pageSetup paperSize="9" scale="96" orientation="landscape" r:id="rId1"/>
  <headerFooter alignWithMargins="0"/>
  <rowBreaks count="6" manualBreakCount="6">
    <brk id="26" min="1" max="256" man="1"/>
    <brk id="53" min="1" max="256" man="1"/>
    <brk id="72" min="1" max="256" man="1"/>
    <brk id="94" min="1" max="256" man="1"/>
    <brk id="115" min="1" max="256" man="1"/>
    <brk id="139" min="1" max="256" man="1"/>
  </rowBreaks>
</worksheet>
</file>

<file path=xl/worksheets/sheet17.xml><?xml version="1.0" encoding="utf-8"?>
<worksheet xmlns="http://schemas.openxmlformats.org/spreadsheetml/2006/main" xmlns:r="http://schemas.openxmlformats.org/officeDocument/2006/relationships">
  <dimension ref="A1:G37"/>
  <sheetViews>
    <sheetView topLeftCell="A22" workbookViewId="0">
      <selection activeCell="A2" sqref="A2:U2"/>
    </sheetView>
  </sheetViews>
  <sheetFormatPr defaultColWidth="8" defaultRowHeight="14.25"/>
  <cols>
    <col min="1" max="1" width="7.25" style="303" customWidth="1"/>
    <col min="2" max="2" width="19.5" style="303" customWidth="1"/>
    <col min="3" max="3" width="3" style="303" customWidth="1"/>
    <col min="4" max="4" width="28.375" style="303" customWidth="1"/>
    <col min="5" max="5" width="1.375" style="303" customWidth="1"/>
    <col min="6" max="6" width="8.875" style="303" customWidth="1"/>
    <col min="7" max="7" width="16.5" style="303" customWidth="1"/>
    <col min="8" max="16384" width="8" style="303"/>
  </cols>
  <sheetData>
    <row r="1" spans="1:7" ht="16.5" customHeight="1">
      <c r="A1" s="387" t="s">
        <v>397</v>
      </c>
      <c r="B1" s="387" t="s">
        <v>397</v>
      </c>
      <c r="C1" s="388" t="s">
        <v>397</v>
      </c>
      <c r="D1" s="388" t="s">
        <v>397</v>
      </c>
      <c r="E1" s="389" t="s">
        <v>397</v>
      </c>
      <c r="F1" s="389" t="s">
        <v>397</v>
      </c>
      <c r="G1" s="389" t="s">
        <v>397</v>
      </c>
    </row>
    <row r="2" spans="1:7" ht="33.75" customHeight="1">
      <c r="A2" s="390" t="s">
        <v>472</v>
      </c>
      <c r="B2" s="390" t="s">
        <v>397</v>
      </c>
      <c r="C2" s="390" t="s">
        <v>397</v>
      </c>
      <c r="D2" s="390" t="s">
        <v>397</v>
      </c>
      <c r="E2" s="390" t="s">
        <v>397</v>
      </c>
      <c r="F2" s="390" t="s">
        <v>397</v>
      </c>
      <c r="G2" s="390" t="s">
        <v>397</v>
      </c>
    </row>
    <row r="3" spans="1:7" ht="23.25" customHeight="1" thickBot="1">
      <c r="A3" s="387" t="s">
        <v>945</v>
      </c>
      <c r="B3" s="387" t="s">
        <v>397</v>
      </c>
      <c r="C3" s="387" t="s">
        <v>397</v>
      </c>
      <c r="D3" s="387" t="s">
        <v>397</v>
      </c>
      <c r="E3" s="389" t="s">
        <v>470</v>
      </c>
      <c r="F3" s="389" t="s">
        <v>397</v>
      </c>
      <c r="G3" s="389" t="s">
        <v>397</v>
      </c>
    </row>
    <row r="4" spans="1:7" ht="18" customHeight="1">
      <c r="A4" s="304" t="s">
        <v>42</v>
      </c>
      <c r="B4" s="391" t="s">
        <v>469</v>
      </c>
      <c r="C4" s="391" t="s">
        <v>397</v>
      </c>
      <c r="D4" s="391" t="s">
        <v>468</v>
      </c>
      <c r="E4" s="391" t="s">
        <v>397</v>
      </c>
      <c r="F4" s="305" t="s">
        <v>467</v>
      </c>
      <c r="G4" s="306" t="s">
        <v>466</v>
      </c>
    </row>
    <row r="5" spans="1:7" ht="16.5" customHeight="1">
      <c r="A5" s="307" t="s">
        <v>462</v>
      </c>
      <c r="B5" s="392" t="s">
        <v>465</v>
      </c>
      <c r="C5" s="392" t="s">
        <v>397</v>
      </c>
      <c r="D5" s="392" t="s">
        <v>465</v>
      </c>
      <c r="E5" s="392" t="s">
        <v>397</v>
      </c>
      <c r="F5" s="308" t="s">
        <v>397</v>
      </c>
      <c r="G5" s="309">
        <v>290119.46999999997</v>
      </c>
    </row>
    <row r="6" spans="1:7" ht="29.25" customHeight="1">
      <c r="A6" s="307" t="s">
        <v>51</v>
      </c>
      <c r="B6" s="392" t="s">
        <v>464</v>
      </c>
      <c r="C6" s="392" t="s">
        <v>397</v>
      </c>
      <c r="D6" s="392" t="s">
        <v>463</v>
      </c>
      <c r="E6" s="392" t="s">
        <v>397</v>
      </c>
      <c r="F6" s="308" t="s">
        <v>397</v>
      </c>
      <c r="G6" s="309">
        <v>279212.84000000003</v>
      </c>
    </row>
    <row r="7" spans="1:7" ht="16.5" customHeight="1">
      <c r="A7" s="307" t="s">
        <v>462</v>
      </c>
      <c r="B7" s="392" t="s">
        <v>450</v>
      </c>
      <c r="C7" s="392" t="s">
        <v>397</v>
      </c>
      <c r="D7" s="392" t="s">
        <v>450</v>
      </c>
      <c r="E7" s="392" t="s">
        <v>397</v>
      </c>
      <c r="F7" s="308" t="s">
        <v>397</v>
      </c>
      <c r="G7" s="309">
        <v>1690.79</v>
      </c>
    </row>
    <row r="8" spans="1:7" ht="16.5" customHeight="1">
      <c r="A8" s="307" t="s">
        <v>403</v>
      </c>
      <c r="B8" s="392" t="s">
        <v>447</v>
      </c>
      <c r="C8" s="392" t="s">
        <v>397</v>
      </c>
      <c r="D8" s="392" t="s">
        <v>447</v>
      </c>
      <c r="E8" s="392" t="s">
        <v>397</v>
      </c>
      <c r="F8" s="308" t="s">
        <v>397</v>
      </c>
      <c r="G8" s="309">
        <v>220756.91</v>
      </c>
    </row>
    <row r="9" spans="1:7" ht="16.5" customHeight="1">
      <c r="A9" s="307" t="s">
        <v>461</v>
      </c>
      <c r="B9" s="392" t="s">
        <v>460</v>
      </c>
      <c r="C9" s="392" t="s">
        <v>397</v>
      </c>
      <c r="D9" s="392" t="s">
        <v>459</v>
      </c>
      <c r="E9" s="392" t="s">
        <v>397</v>
      </c>
      <c r="F9" s="308" t="s">
        <v>397</v>
      </c>
      <c r="G9" s="309">
        <v>43329</v>
      </c>
    </row>
    <row r="10" spans="1:7" ht="16.5" customHeight="1">
      <c r="A10" s="307" t="s">
        <v>458</v>
      </c>
      <c r="B10" s="392" t="s">
        <v>444</v>
      </c>
      <c r="C10" s="392" t="s">
        <v>397</v>
      </c>
      <c r="D10" s="392" t="s">
        <v>457</v>
      </c>
      <c r="E10" s="392" t="s">
        <v>397</v>
      </c>
      <c r="F10" s="308" t="s">
        <v>397</v>
      </c>
      <c r="G10" s="309">
        <v>140.29</v>
      </c>
    </row>
    <row r="11" spans="1:7" ht="16.5" customHeight="1">
      <c r="A11" s="307" t="s">
        <v>365</v>
      </c>
      <c r="B11" s="392" t="s">
        <v>456</v>
      </c>
      <c r="C11" s="392" t="s">
        <v>397</v>
      </c>
      <c r="D11" s="392" t="s">
        <v>455</v>
      </c>
      <c r="E11" s="392" t="s">
        <v>397</v>
      </c>
      <c r="F11" s="308" t="s">
        <v>397</v>
      </c>
      <c r="G11" s="309">
        <v>177.61</v>
      </c>
    </row>
    <row r="12" spans="1:7" ht="16.5" customHeight="1">
      <c r="A12" s="307" t="s">
        <v>454</v>
      </c>
      <c r="B12" s="392" t="s">
        <v>453</v>
      </c>
      <c r="C12" s="392" t="s">
        <v>397</v>
      </c>
      <c r="D12" s="392" t="s">
        <v>452</v>
      </c>
      <c r="E12" s="392" t="s">
        <v>397</v>
      </c>
      <c r="F12" s="308" t="s">
        <v>397</v>
      </c>
      <c r="G12" s="309" t="s">
        <v>397</v>
      </c>
    </row>
    <row r="13" spans="1:7" ht="16.5" customHeight="1">
      <c r="A13" s="307" t="s">
        <v>451</v>
      </c>
      <c r="B13" s="392" t="s">
        <v>450</v>
      </c>
      <c r="C13" s="392" t="s">
        <v>397</v>
      </c>
      <c r="D13" s="392" t="s">
        <v>449</v>
      </c>
      <c r="E13" s="392" t="s">
        <v>397</v>
      </c>
      <c r="F13" s="308" t="s">
        <v>397</v>
      </c>
      <c r="G13" s="309" t="s">
        <v>397</v>
      </c>
    </row>
    <row r="14" spans="1:7" ht="16.5" customHeight="1">
      <c r="A14" s="307" t="s">
        <v>448</v>
      </c>
      <c r="B14" s="392" t="s">
        <v>447</v>
      </c>
      <c r="C14" s="392" t="s">
        <v>397</v>
      </c>
      <c r="D14" s="392" t="s">
        <v>446</v>
      </c>
      <c r="E14" s="392" t="s">
        <v>397</v>
      </c>
      <c r="F14" s="308" t="s">
        <v>397</v>
      </c>
      <c r="G14" s="309" t="s">
        <v>397</v>
      </c>
    </row>
    <row r="15" spans="1:7" ht="16.5" customHeight="1">
      <c r="A15" s="307" t="s">
        <v>445</v>
      </c>
      <c r="B15" s="392" t="s">
        <v>444</v>
      </c>
      <c r="C15" s="392" t="s">
        <v>397</v>
      </c>
      <c r="D15" s="392" t="s">
        <v>443</v>
      </c>
      <c r="E15" s="392" t="s">
        <v>397</v>
      </c>
      <c r="F15" s="308" t="s">
        <v>397</v>
      </c>
      <c r="G15" s="309" t="s">
        <v>397</v>
      </c>
    </row>
    <row r="16" spans="1:7" ht="16.5" customHeight="1">
      <c r="A16" s="307" t="s">
        <v>442</v>
      </c>
      <c r="B16" s="392" t="s">
        <v>441</v>
      </c>
      <c r="C16" s="392" t="s">
        <v>397</v>
      </c>
      <c r="D16" s="392" t="s">
        <v>440</v>
      </c>
      <c r="E16" s="392" t="s">
        <v>397</v>
      </c>
      <c r="F16" s="308" t="s">
        <v>397</v>
      </c>
      <c r="G16" s="309">
        <v>177.61</v>
      </c>
    </row>
    <row r="17" spans="1:7" ht="29.25" customHeight="1">
      <c r="A17" s="307" t="s">
        <v>439</v>
      </c>
      <c r="B17" s="392" t="s">
        <v>438</v>
      </c>
      <c r="C17" s="392" t="s">
        <v>397</v>
      </c>
      <c r="D17" s="392" t="s">
        <v>425</v>
      </c>
      <c r="E17" s="392" t="s">
        <v>397</v>
      </c>
      <c r="F17" s="308" t="s">
        <v>437</v>
      </c>
      <c r="G17" s="309">
        <v>165.71</v>
      </c>
    </row>
    <row r="18" spans="1:7" ht="29.25" customHeight="1">
      <c r="A18" s="307" t="s">
        <v>436</v>
      </c>
      <c r="B18" s="392" t="s">
        <v>435</v>
      </c>
      <c r="C18" s="392" t="s">
        <v>397</v>
      </c>
      <c r="D18" s="392" t="s">
        <v>425</v>
      </c>
      <c r="E18" s="392" t="s">
        <v>397</v>
      </c>
      <c r="F18" s="308" t="s">
        <v>434</v>
      </c>
      <c r="G18" s="309">
        <v>11.9</v>
      </c>
    </row>
    <row r="19" spans="1:7" ht="16.5" customHeight="1">
      <c r="A19" s="307" t="s">
        <v>316</v>
      </c>
      <c r="B19" s="392" t="s">
        <v>433</v>
      </c>
      <c r="C19" s="392" t="s">
        <v>397</v>
      </c>
      <c r="D19" s="392" t="s">
        <v>397</v>
      </c>
      <c r="E19" s="392" t="s">
        <v>397</v>
      </c>
      <c r="F19" s="308" t="s">
        <v>397</v>
      </c>
      <c r="G19" s="309" t="s">
        <v>397</v>
      </c>
    </row>
    <row r="20" spans="1:7" ht="29.25" customHeight="1">
      <c r="A20" s="307" t="s">
        <v>393</v>
      </c>
      <c r="B20" s="392" t="s">
        <v>432</v>
      </c>
      <c r="C20" s="392" t="s">
        <v>397</v>
      </c>
      <c r="D20" s="392" t="s">
        <v>425</v>
      </c>
      <c r="E20" s="392" t="s">
        <v>397</v>
      </c>
      <c r="F20" s="308" t="s">
        <v>431</v>
      </c>
      <c r="G20" s="309">
        <v>320.44</v>
      </c>
    </row>
    <row r="21" spans="1:7" ht="29.25" customHeight="1">
      <c r="A21" s="307" t="s">
        <v>430</v>
      </c>
      <c r="B21" s="392" t="s">
        <v>429</v>
      </c>
      <c r="C21" s="392" t="s">
        <v>397</v>
      </c>
      <c r="D21" s="392" t="s">
        <v>425</v>
      </c>
      <c r="E21" s="392" t="s">
        <v>397</v>
      </c>
      <c r="F21" s="308" t="s">
        <v>428</v>
      </c>
      <c r="G21" s="309">
        <v>273.01</v>
      </c>
    </row>
    <row r="22" spans="1:7" ht="29.25" customHeight="1">
      <c r="A22" s="307" t="s">
        <v>427</v>
      </c>
      <c r="B22" s="392" t="s">
        <v>426</v>
      </c>
      <c r="C22" s="392" t="s">
        <v>397</v>
      </c>
      <c r="D22" s="392" t="s">
        <v>425</v>
      </c>
      <c r="E22" s="392" t="s">
        <v>397</v>
      </c>
      <c r="F22" s="308" t="s">
        <v>424</v>
      </c>
      <c r="G22" s="309">
        <v>213.5</v>
      </c>
    </row>
    <row r="23" spans="1:7" ht="16.5" customHeight="1">
      <c r="A23" s="307" t="s">
        <v>423</v>
      </c>
      <c r="B23" s="392" t="s">
        <v>422</v>
      </c>
      <c r="C23" s="392" t="s">
        <v>397</v>
      </c>
      <c r="D23" s="392" t="s">
        <v>397</v>
      </c>
      <c r="E23" s="392" t="s">
        <v>397</v>
      </c>
      <c r="F23" s="308" t="s">
        <v>397</v>
      </c>
      <c r="G23" s="309" t="s">
        <v>397</v>
      </c>
    </row>
    <row r="24" spans="1:7" ht="42" customHeight="1">
      <c r="A24" s="307" t="s">
        <v>421</v>
      </c>
      <c r="B24" s="392" t="s">
        <v>420</v>
      </c>
      <c r="C24" s="392" t="s">
        <v>397</v>
      </c>
      <c r="D24" s="392" t="s">
        <v>419</v>
      </c>
      <c r="E24" s="392" t="s">
        <v>397</v>
      </c>
      <c r="F24" s="308" t="s">
        <v>397</v>
      </c>
      <c r="G24" s="309">
        <v>280197.40000000002</v>
      </c>
    </row>
    <row r="25" spans="1:7" ht="16.5" customHeight="1">
      <c r="A25" s="307" t="s">
        <v>418</v>
      </c>
      <c r="B25" s="392" t="s">
        <v>417</v>
      </c>
      <c r="C25" s="392" t="s">
        <v>397</v>
      </c>
      <c r="D25" s="392" t="s">
        <v>416</v>
      </c>
      <c r="E25" s="392" t="s">
        <v>397</v>
      </c>
      <c r="F25" s="308" t="s">
        <v>397</v>
      </c>
      <c r="G25" s="309" t="s">
        <v>397</v>
      </c>
    </row>
    <row r="26" spans="1:7" ht="16.5" customHeight="1">
      <c r="A26" s="307" t="s">
        <v>415</v>
      </c>
      <c r="B26" s="392" t="s">
        <v>414</v>
      </c>
      <c r="C26" s="392" t="s">
        <v>397</v>
      </c>
      <c r="D26" s="392" t="s">
        <v>413</v>
      </c>
      <c r="E26" s="392" t="s">
        <v>397</v>
      </c>
      <c r="F26" s="308" t="s">
        <v>412</v>
      </c>
      <c r="G26" s="309">
        <v>9922.07</v>
      </c>
    </row>
    <row r="27" spans="1:7" ht="16.5" customHeight="1">
      <c r="A27" s="307" t="s">
        <v>411</v>
      </c>
      <c r="B27" s="392" t="s">
        <v>410</v>
      </c>
      <c r="C27" s="392" t="s">
        <v>397</v>
      </c>
      <c r="D27" s="392" t="s">
        <v>409</v>
      </c>
      <c r="E27" s="392" t="s">
        <v>397</v>
      </c>
      <c r="F27" s="308" t="s">
        <v>397</v>
      </c>
      <c r="G27" s="309" t="s">
        <v>397</v>
      </c>
    </row>
    <row r="28" spans="1:7" ht="16.5" customHeight="1">
      <c r="A28" s="307" t="s">
        <v>408</v>
      </c>
      <c r="B28" s="392" t="s">
        <v>407</v>
      </c>
      <c r="C28" s="392" t="s">
        <v>397</v>
      </c>
      <c r="D28" s="392" t="s">
        <v>407</v>
      </c>
      <c r="E28" s="392" t="s">
        <v>397</v>
      </c>
      <c r="F28" s="308" t="s">
        <v>397</v>
      </c>
      <c r="G28" s="309" t="s">
        <v>397</v>
      </c>
    </row>
    <row r="29" spans="1:7" ht="29.25" customHeight="1">
      <c r="A29" s="307" t="s">
        <v>406</v>
      </c>
      <c r="B29" s="392" t="s">
        <v>405</v>
      </c>
      <c r="C29" s="392" t="s">
        <v>397</v>
      </c>
      <c r="D29" s="392" t="s">
        <v>404</v>
      </c>
      <c r="E29" s="392" t="s">
        <v>397</v>
      </c>
      <c r="F29" s="308" t="s">
        <v>397</v>
      </c>
      <c r="G29" s="309">
        <v>290119.46999999997</v>
      </c>
    </row>
    <row r="30" spans="1:7" ht="16.5" customHeight="1">
      <c r="A30" s="307" t="s">
        <v>397</v>
      </c>
      <c r="B30" s="392" t="s">
        <v>397</v>
      </c>
      <c r="C30" s="392" t="s">
        <v>397</v>
      </c>
      <c r="D30" s="393" t="s">
        <v>397</v>
      </c>
      <c r="E30" s="393" t="s">
        <v>397</v>
      </c>
      <c r="F30" s="308" t="s">
        <v>397</v>
      </c>
      <c r="G30" s="309" t="s">
        <v>397</v>
      </c>
    </row>
    <row r="31" spans="1:7" ht="16.5" customHeight="1">
      <c r="A31" s="307" t="s">
        <v>403</v>
      </c>
      <c r="B31" s="392" t="s">
        <v>402</v>
      </c>
      <c r="C31" s="392" t="s">
        <v>397</v>
      </c>
      <c r="D31" s="392" t="s">
        <v>401</v>
      </c>
      <c r="E31" s="392" t="s">
        <v>397</v>
      </c>
      <c r="F31" s="308" t="s">
        <v>397</v>
      </c>
      <c r="G31" s="309">
        <v>290119.46999999997</v>
      </c>
    </row>
    <row r="32" spans="1:7" ht="16.5" customHeight="1">
      <c r="A32" s="307" t="s">
        <v>397</v>
      </c>
      <c r="B32" s="392" t="s">
        <v>397</v>
      </c>
      <c r="C32" s="392" t="s">
        <v>397</v>
      </c>
      <c r="D32" s="392" t="s">
        <v>397</v>
      </c>
      <c r="E32" s="392" t="s">
        <v>397</v>
      </c>
      <c r="F32" s="308" t="s">
        <v>397</v>
      </c>
      <c r="G32" s="309" t="s">
        <v>397</v>
      </c>
    </row>
    <row r="33" spans="1:7" ht="16.5" customHeight="1">
      <c r="A33" s="307" t="s">
        <v>397</v>
      </c>
      <c r="B33" s="392" t="s">
        <v>397</v>
      </c>
      <c r="C33" s="392" t="s">
        <v>397</v>
      </c>
      <c r="D33" s="392" t="s">
        <v>397</v>
      </c>
      <c r="E33" s="392" t="s">
        <v>397</v>
      </c>
      <c r="F33" s="308" t="s">
        <v>397</v>
      </c>
      <c r="G33" s="309" t="s">
        <v>397</v>
      </c>
    </row>
    <row r="34" spans="1:7" ht="16.5" customHeight="1">
      <c r="A34" s="307" t="s">
        <v>397</v>
      </c>
      <c r="B34" s="392" t="s">
        <v>397</v>
      </c>
      <c r="C34" s="392" t="s">
        <v>397</v>
      </c>
      <c r="D34" s="392" t="s">
        <v>397</v>
      </c>
      <c r="E34" s="392" t="s">
        <v>397</v>
      </c>
      <c r="F34" s="308" t="s">
        <v>397</v>
      </c>
      <c r="G34" s="309" t="s">
        <v>397</v>
      </c>
    </row>
    <row r="35" spans="1:7" ht="16.5" customHeight="1">
      <c r="A35" s="307" t="s">
        <v>397</v>
      </c>
      <c r="B35" s="392" t="s">
        <v>397</v>
      </c>
      <c r="C35" s="392" t="s">
        <v>397</v>
      </c>
      <c r="D35" s="392" t="s">
        <v>397</v>
      </c>
      <c r="E35" s="392" t="s">
        <v>397</v>
      </c>
      <c r="F35" s="308" t="s">
        <v>397</v>
      </c>
      <c r="G35" s="309" t="s">
        <v>397</v>
      </c>
    </row>
    <row r="36" spans="1:7" ht="16.5" customHeight="1" thickBot="1">
      <c r="A36" s="310" t="s">
        <v>397</v>
      </c>
      <c r="B36" s="394" t="s">
        <v>397</v>
      </c>
      <c r="C36" s="394" t="s">
        <v>397</v>
      </c>
      <c r="D36" s="394" t="s">
        <v>397</v>
      </c>
      <c r="E36" s="394" t="s">
        <v>397</v>
      </c>
      <c r="F36" s="311" t="s">
        <v>397</v>
      </c>
      <c r="G36" s="312" t="s">
        <v>397</v>
      </c>
    </row>
    <row r="37" spans="1:7" ht="16.5" customHeight="1">
      <c r="A37" s="387" t="s">
        <v>400</v>
      </c>
      <c r="B37" s="387" t="s">
        <v>397</v>
      </c>
      <c r="C37" s="388" t="s">
        <v>399</v>
      </c>
      <c r="D37" s="388" t="s">
        <v>397</v>
      </c>
      <c r="E37" s="389" t="s">
        <v>398</v>
      </c>
      <c r="F37" s="389" t="s">
        <v>397</v>
      </c>
      <c r="G37" s="389" t="s">
        <v>397</v>
      </c>
    </row>
  </sheetData>
  <mergeCells count="75">
    <mergeCell ref="A37:B37"/>
    <mergeCell ref="C37:D37"/>
    <mergeCell ref="E37:G37"/>
    <mergeCell ref="B34:C34"/>
    <mergeCell ref="D34:E34"/>
    <mergeCell ref="B35:C35"/>
    <mergeCell ref="D35:E35"/>
    <mergeCell ref="B36:C36"/>
    <mergeCell ref="D36:E36"/>
    <mergeCell ref="B31:C31"/>
    <mergeCell ref="D31:E31"/>
    <mergeCell ref="B32:C32"/>
    <mergeCell ref="D32:E32"/>
    <mergeCell ref="B33:C33"/>
    <mergeCell ref="D33:E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10:C10"/>
    <mergeCell ref="D10:E10"/>
    <mergeCell ref="B11:C11"/>
    <mergeCell ref="D11:E11"/>
    <mergeCell ref="B12:C12"/>
    <mergeCell ref="D12:E12"/>
    <mergeCell ref="B7:C7"/>
    <mergeCell ref="D7:E7"/>
    <mergeCell ref="B8:C8"/>
    <mergeCell ref="D8:E8"/>
    <mergeCell ref="B9:C9"/>
    <mergeCell ref="D9:E9"/>
    <mergeCell ref="B4:C4"/>
    <mergeCell ref="D4:E4"/>
    <mergeCell ref="B5:C5"/>
    <mergeCell ref="D5:E5"/>
    <mergeCell ref="B6:C6"/>
    <mergeCell ref="D6:E6"/>
    <mergeCell ref="A1:B1"/>
    <mergeCell ref="C1:D1"/>
    <mergeCell ref="E1:G1"/>
    <mergeCell ref="A2:G2"/>
    <mergeCell ref="A3:D3"/>
    <mergeCell ref="E3:G3"/>
  </mergeCells>
  <phoneticPr fontId="34" type="noConversion"/>
  <pageMargins left="0.51181102362204722" right="0.51181102362204722" top="0.59055118110236227" bottom="0.59055118110236227" header="0.59055118110236227" footer="0.59055118110236227"/>
  <pageSetup paperSize="9" scale="97" orientation="portrait" r:id="rId1"/>
  <headerFooter alignWithMargins="0"/>
</worksheet>
</file>

<file path=xl/worksheets/sheet18.xml><?xml version="1.0" encoding="utf-8"?>
<worksheet xmlns="http://schemas.openxmlformats.org/spreadsheetml/2006/main" xmlns:r="http://schemas.openxmlformats.org/officeDocument/2006/relationships">
  <dimension ref="A1:O26"/>
  <sheetViews>
    <sheetView topLeftCell="A10" workbookViewId="0">
      <selection activeCell="A2" sqref="A2:U2"/>
    </sheetView>
  </sheetViews>
  <sheetFormatPr defaultColWidth="8" defaultRowHeight="14.25"/>
  <cols>
    <col min="1" max="1" width="5.25" style="303" customWidth="1"/>
    <col min="2" max="2" width="8.625" style="303" customWidth="1"/>
    <col min="3" max="3" width="19.5" style="303" customWidth="1"/>
    <col min="4" max="4" width="6.25" style="303" customWidth="1"/>
    <col min="5" max="5" width="3.125" style="303" customWidth="1"/>
    <col min="6" max="6" width="6.125" style="303" customWidth="1"/>
    <col min="7" max="7" width="8.375" style="303" customWidth="1"/>
    <col min="8" max="8" width="8.875" style="303" customWidth="1"/>
    <col min="9" max="9" width="9.875" style="303" customWidth="1"/>
    <col min="10" max="10" width="8.375" style="303" customWidth="1"/>
    <col min="11" max="11" width="0.875" style="303" customWidth="1"/>
    <col min="12" max="12" width="9" style="303" customWidth="1"/>
    <col min="13" max="13" width="9.625" style="303" customWidth="1"/>
    <col min="14" max="14" width="11" style="303" customWidth="1"/>
    <col min="15" max="15" width="11.125" style="303" customWidth="1"/>
    <col min="16" max="16384" width="8" style="303"/>
  </cols>
  <sheetData>
    <row r="1" spans="1:15" ht="14.25" customHeight="1">
      <c r="A1" s="389" t="s">
        <v>397</v>
      </c>
      <c r="B1" s="389" t="s">
        <v>397</v>
      </c>
      <c r="C1" s="389" t="s">
        <v>397</v>
      </c>
      <c r="D1" s="389" t="s">
        <v>397</v>
      </c>
      <c r="E1" s="389" t="s">
        <v>397</v>
      </c>
      <c r="F1" s="389" t="s">
        <v>397</v>
      </c>
      <c r="G1" s="389" t="s">
        <v>397</v>
      </c>
      <c r="H1" s="389" t="s">
        <v>397</v>
      </c>
      <c r="I1" s="389" t="s">
        <v>397</v>
      </c>
      <c r="J1" s="389" t="s">
        <v>397</v>
      </c>
      <c r="K1" s="389" t="s">
        <v>397</v>
      </c>
      <c r="L1" s="389" t="s">
        <v>397</v>
      </c>
      <c r="M1" s="389" t="s">
        <v>397</v>
      </c>
      <c r="N1" s="389" t="s">
        <v>397</v>
      </c>
      <c r="O1" s="389" t="s">
        <v>397</v>
      </c>
    </row>
    <row r="2" spans="1:15" ht="32.25" customHeight="1">
      <c r="A2" s="422" t="s">
        <v>509</v>
      </c>
      <c r="B2" s="422" t="s">
        <v>397</v>
      </c>
      <c r="C2" s="422" t="s">
        <v>397</v>
      </c>
      <c r="D2" s="422" t="s">
        <v>397</v>
      </c>
      <c r="E2" s="422" t="s">
        <v>397</v>
      </c>
      <c r="F2" s="422" t="s">
        <v>397</v>
      </c>
      <c r="G2" s="422" t="s">
        <v>397</v>
      </c>
      <c r="H2" s="422" t="s">
        <v>397</v>
      </c>
      <c r="I2" s="422" t="s">
        <v>397</v>
      </c>
      <c r="J2" s="422" t="s">
        <v>397</v>
      </c>
      <c r="K2" s="422" t="s">
        <v>397</v>
      </c>
      <c r="L2" s="422" t="s">
        <v>397</v>
      </c>
      <c r="M2" s="422" t="s">
        <v>397</v>
      </c>
      <c r="N2" s="422" t="s">
        <v>397</v>
      </c>
      <c r="O2" s="422" t="s">
        <v>397</v>
      </c>
    </row>
    <row r="3" spans="1:15" ht="23.25" customHeight="1" thickBot="1">
      <c r="A3" s="423" t="s">
        <v>945</v>
      </c>
      <c r="B3" s="423" t="s">
        <v>397</v>
      </c>
      <c r="C3" s="423" t="s">
        <v>397</v>
      </c>
      <c r="D3" s="423" t="s">
        <v>397</v>
      </c>
      <c r="E3" s="423" t="s">
        <v>397</v>
      </c>
      <c r="F3" s="423" t="s">
        <v>397</v>
      </c>
      <c r="G3" s="423" t="s">
        <v>397</v>
      </c>
      <c r="H3" s="423" t="s">
        <v>397</v>
      </c>
      <c r="I3" s="423" t="s">
        <v>397</v>
      </c>
      <c r="J3" s="423" t="s">
        <v>397</v>
      </c>
      <c r="K3" s="389" t="s">
        <v>470</v>
      </c>
      <c r="L3" s="389" t="s">
        <v>397</v>
      </c>
      <c r="M3" s="389" t="s">
        <v>397</v>
      </c>
      <c r="N3" s="389" t="s">
        <v>397</v>
      </c>
      <c r="O3" s="389" t="s">
        <v>397</v>
      </c>
    </row>
    <row r="4" spans="1:15" ht="19.5" customHeight="1">
      <c r="A4" s="395" t="s">
        <v>42</v>
      </c>
      <c r="B4" s="391" t="s">
        <v>507</v>
      </c>
      <c r="C4" s="391" t="s">
        <v>506</v>
      </c>
      <c r="D4" s="391" t="s">
        <v>505</v>
      </c>
      <c r="E4" s="391" t="s">
        <v>397</v>
      </c>
      <c r="F4" s="391" t="s">
        <v>397</v>
      </c>
      <c r="G4" s="391" t="s">
        <v>504</v>
      </c>
      <c r="H4" s="391" t="s">
        <v>397</v>
      </c>
      <c r="I4" s="391" t="s">
        <v>503</v>
      </c>
      <c r="J4" s="391" t="s">
        <v>397</v>
      </c>
      <c r="K4" s="391" t="s">
        <v>397</v>
      </c>
      <c r="L4" s="391" t="s">
        <v>397</v>
      </c>
      <c r="M4" s="391" t="s">
        <v>397</v>
      </c>
      <c r="N4" s="391" t="s">
        <v>397</v>
      </c>
      <c r="O4" s="398" t="s">
        <v>502</v>
      </c>
    </row>
    <row r="5" spans="1:15" ht="18" customHeight="1">
      <c r="A5" s="396" t="s">
        <v>397</v>
      </c>
      <c r="B5" s="397" t="s">
        <v>397</v>
      </c>
      <c r="C5" s="397" t="s">
        <v>397</v>
      </c>
      <c r="D5" s="313" t="s">
        <v>384</v>
      </c>
      <c r="E5" s="397" t="s">
        <v>383</v>
      </c>
      <c r="F5" s="397" t="s">
        <v>397</v>
      </c>
      <c r="G5" s="313" t="s">
        <v>382</v>
      </c>
      <c r="H5" s="313" t="s">
        <v>381</v>
      </c>
      <c r="I5" s="313" t="s">
        <v>501</v>
      </c>
      <c r="J5" s="397" t="s">
        <v>500</v>
      </c>
      <c r="K5" s="397" t="s">
        <v>397</v>
      </c>
      <c r="L5" s="313" t="s">
        <v>499</v>
      </c>
      <c r="M5" s="313" t="s">
        <v>498</v>
      </c>
      <c r="N5" s="313" t="s">
        <v>497</v>
      </c>
      <c r="O5" s="424" t="s">
        <v>397</v>
      </c>
    </row>
    <row r="6" spans="1:15" ht="16.5" customHeight="1">
      <c r="A6" s="307" t="s">
        <v>397</v>
      </c>
      <c r="B6" s="314" t="s">
        <v>886</v>
      </c>
      <c r="C6" s="315" t="s">
        <v>885</v>
      </c>
      <c r="D6" s="314" t="s">
        <v>397</v>
      </c>
      <c r="E6" s="399" t="s">
        <v>397</v>
      </c>
      <c r="F6" s="399" t="s">
        <v>397</v>
      </c>
      <c r="G6" s="308" t="s">
        <v>397</v>
      </c>
      <c r="H6" s="308">
        <v>2587.9899999999998</v>
      </c>
      <c r="I6" s="308">
        <v>1690.79</v>
      </c>
      <c r="J6" s="399">
        <v>756.91</v>
      </c>
      <c r="K6" s="399" t="s">
        <v>397</v>
      </c>
      <c r="L6" s="308">
        <v>140.29</v>
      </c>
      <c r="M6" s="308">
        <v>43329</v>
      </c>
      <c r="N6" s="308" t="s">
        <v>397</v>
      </c>
      <c r="O6" s="309">
        <v>22.308</v>
      </c>
    </row>
    <row r="7" spans="1:15" ht="29.25" customHeight="1">
      <c r="A7" s="307">
        <v>1</v>
      </c>
      <c r="B7" s="314" t="s">
        <v>948</v>
      </c>
      <c r="C7" s="316" t="s">
        <v>947</v>
      </c>
      <c r="D7" s="314" t="s">
        <v>848</v>
      </c>
      <c r="E7" s="399">
        <v>2.2000000000000002</v>
      </c>
      <c r="F7" s="399" t="s">
        <v>397</v>
      </c>
      <c r="G7" s="308">
        <v>1176.3599999999999</v>
      </c>
      <c r="H7" s="308">
        <v>2587.9899999999998</v>
      </c>
      <c r="I7" s="308">
        <v>1690.79</v>
      </c>
      <c r="J7" s="399">
        <v>756.91</v>
      </c>
      <c r="K7" s="399" t="s">
        <v>397</v>
      </c>
      <c r="L7" s="308">
        <v>140.29</v>
      </c>
      <c r="M7" s="308">
        <v>43329</v>
      </c>
      <c r="N7" s="308" t="s">
        <v>397</v>
      </c>
      <c r="O7" s="309">
        <v>22.308</v>
      </c>
    </row>
    <row r="8" spans="1:15" ht="18" customHeight="1">
      <c r="A8" s="307" t="s">
        <v>397</v>
      </c>
      <c r="B8" s="314" t="s">
        <v>483</v>
      </c>
      <c r="C8" s="316" t="s">
        <v>872</v>
      </c>
      <c r="D8" s="314" t="s">
        <v>528</v>
      </c>
      <c r="E8" s="399">
        <v>222.2</v>
      </c>
      <c r="F8" s="399" t="s">
        <v>397</v>
      </c>
      <c r="G8" s="308">
        <v>195</v>
      </c>
      <c r="H8" s="308">
        <v>43329</v>
      </c>
      <c r="I8" s="308" t="s">
        <v>397</v>
      </c>
      <c r="J8" s="399" t="s">
        <v>397</v>
      </c>
      <c r="K8" s="399" t="s">
        <v>397</v>
      </c>
      <c r="L8" s="308" t="s">
        <v>397</v>
      </c>
      <c r="M8" s="308">
        <v>43329</v>
      </c>
      <c r="N8" s="308" t="s">
        <v>397</v>
      </c>
      <c r="O8" s="309" t="s">
        <v>397</v>
      </c>
    </row>
    <row r="9" spans="1:15" ht="16.5" customHeight="1">
      <c r="A9" s="307" t="s">
        <v>397</v>
      </c>
      <c r="B9" s="314" t="s">
        <v>397</v>
      </c>
      <c r="C9" s="315" t="s">
        <v>481</v>
      </c>
      <c r="D9" s="314" t="s">
        <v>397</v>
      </c>
      <c r="E9" s="399" t="s">
        <v>397</v>
      </c>
      <c r="F9" s="399" t="s">
        <v>397</v>
      </c>
      <c r="G9" s="308" t="s">
        <v>397</v>
      </c>
      <c r="H9" s="308">
        <v>220000</v>
      </c>
      <c r="I9" s="308" t="s">
        <v>397</v>
      </c>
      <c r="J9" s="399">
        <v>220000</v>
      </c>
      <c r="K9" s="399" t="s">
        <v>397</v>
      </c>
      <c r="L9" s="308" t="s">
        <v>397</v>
      </c>
      <c r="M9" s="308" t="s">
        <v>397</v>
      </c>
      <c r="N9" s="308" t="s">
        <v>397</v>
      </c>
      <c r="O9" s="309" t="s">
        <v>397</v>
      </c>
    </row>
    <row r="10" spans="1:15" ht="18" customHeight="1">
      <c r="A10" s="307">
        <v>1</v>
      </c>
      <c r="B10" s="314" t="s">
        <v>480</v>
      </c>
      <c r="C10" s="316" t="s">
        <v>946</v>
      </c>
      <c r="D10" s="314" t="s">
        <v>528</v>
      </c>
      <c r="E10" s="399">
        <v>220</v>
      </c>
      <c r="F10" s="399" t="s">
        <v>397</v>
      </c>
      <c r="G10" s="308">
        <v>1000</v>
      </c>
      <c r="H10" s="308">
        <v>220000</v>
      </c>
      <c r="I10" s="308" t="s">
        <v>397</v>
      </c>
      <c r="J10" s="399">
        <v>220000</v>
      </c>
      <c r="K10" s="399" t="s">
        <v>397</v>
      </c>
      <c r="L10" s="308" t="s">
        <v>397</v>
      </c>
      <c r="M10" s="308" t="s">
        <v>397</v>
      </c>
      <c r="N10" s="308" t="s">
        <v>397</v>
      </c>
      <c r="O10" s="309" t="s">
        <v>397</v>
      </c>
    </row>
    <row r="11" spans="1:15" ht="18" customHeight="1">
      <c r="A11" s="307" t="s">
        <v>397</v>
      </c>
      <c r="B11" s="314" t="s">
        <v>397</v>
      </c>
      <c r="C11" s="316" t="s">
        <v>397</v>
      </c>
      <c r="D11" s="314" t="s">
        <v>397</v>
      </c>
      <c r="E11" s="399" t="s">
        <v>397</v>
      </c>
      <c r="F11" s="399" t="s">
        <v>397</v>
      </c>
      <c r="G11" s="308" t="s">
        <v>397</v>
      </c>
      <c r="H11" s="308" t="s">
        <v>397</v>
      </c>
      <c r="I11" s="308" t="s">
        <v>397</v>
      </c>
      <c r="J11" s="399" t="s">
        <v>397</v>
      </c>
      <c r="K11" s="399" t="s">
        <v>397</v>
      </c>
      <c r="L11" s="308" t="s">
        <v>397</v>
      </c>
      <c r="M11" s="308" t="s">
        <v>397</v>
      </c>
      <c r="N11" s="308" t="s">
        <v>397</v>
      </c>
      <c r="O11" s="309" t="s">
        <v>397</v>
      </c>
    </row>
    <row r="12" spans="1:15" ht="18" customHeight="1">
      <c r="A12" s="307" t="s">
        <v>397</v>
      </c>
      <c r="B12" s="314" t="s">
        <v>397</v>
      </c>
      <c r="C12" s="316" t="s">
        <v>397</v>
      </c>
      <c r="D12" s="314" t="s">
        <v>397</v>
      </c>
      <c r="E12" s="399" t="s">
        <v>397</v>
      </c>
      <c r="F12" s="399" t="s">
        <v>397</v>
      </c>
      <c r="G12" s="308" t="s">
        <v>397</v>
      </c>
      <c r="H12" s="308" t="s">
        <v>397</v>
      </c>
      <c r="I12" s="308" t="s">
        <v>397</v>
      </c>
      <c r="J12" s="399" t="s">
        <v>397</v>
      </c>
      <c r="K12" s="399" t="s">
        <v>397</v>
      </c>
      <c r="L12" s="308" t="s">
        <v>397</v>
      </c>
      <c r="M12" s="308" t="s">
        <v>397</v>
      </c>
      <c r="N12" s="308" t="s">
        <v>397</v>
      </c>
      <c r="O12" s="309" t="s">
        <v>397</v>
      </c>
    </row>
    <row r="13" spans="1:15" ht="18" customHeight="1">
      <c r="A13" s="307" t="s">
        <v>397</v>
      </c>
      <c r="B13" s="314" t="s">
        <v>397</v>
      </c>
      <c r="C13" s="316" t="s">
        <v>397</v>
      </c>
      <c r="D13" s="314" t="s">
        <v>397</v>
      </c>
      <c r="E13" s="399" t="s">
        <v>397</v>
      </c>
      <c r="F13" s="399" t="s">
        <v>397</v>
      </c>
      <c r="G13" s="308" t="s">
        <v>397</v>
      </c>
      <c r="H13" s="308" t="s">
        <v>397</v>
      </c>
      <c r="I13" s="308" t="s">
        <v>397</v>
      </c>
      <c r="J13" s="399" t="s">
        <v>397</v>
      </c>
      <c r="K13" s="399" t="s">
        <v>397</v>
      </c>
      <c r="L13" s="308" t="s">
        <v>397</v>
      </c>
      <c r="M13" s="308" t="s">
        <v>397</v>
      </c>
      <c r="N13" s="308" t="s">
        <v>397</v>
      </c>
      <c r="O13" s="309" t="s">
        <v>397</v>
      </c>
    </row>
    <row r="14" spans="1:15" ht="18" customHeight="1">
      <c r="A14" s="307" t="s">
        <v>397</v>
      </c>
      <c r="B14" s="314" t="s">
        <v>397</v>
      </c>
      <c r="C14" s="316" t="s">
        <v>397</v>
      </c>
      <c r="D14" s="314" t="s">
        <v>397</v>
      </c>
      <c r="E14" s="399" t="s">
        <v>397</v>
      </c>
      <c r="F14" s="399" t="s">
        <v>397</v>
      </c>
      <c r="G14" s="308" t="s">
        <v>397</v>
      </c>
      <c r="H14" s="308" t="s">
        <v>397</v>
      </c>
      <c r="I14" s="308" t="s">
        <v>397</v>
      </c>
      <c r="J14" s="399" t="s">
        <v>397</v>
      </c>
      <c r="K14" s="399" t="s">
        <v>397</v>
      </c>
      <c r="L14" s="308" t="s">
        <v>397</v>
      </c>
      <c r="M14" s="308" t="s">
        <v>397</v>
      </c>
      <c r="N14" s="308" t="s">
        <v>397</v>
      </c>
      <c r="O14" s="309" t="s">
        <v>397</v>
      </c>
    </row>
    <row r="15" spans="1:15" ht="18" customHeight="1">
      <c r="A15" s="307" t="s">
        <v>397</v>
      </c>
      <c r="B15" s="314" t="s">
        <v>397</v>
      </c>
      <c r="C15" s="316" t="s">
        <v>397</v>
      </c>
      <c r="D15" s="314" t="s">
        <v>397</v>
      </c>
      <c r="E15" s="399" t="s">
        <v>397</v>
      </c>
      <c r="F15" s="399" t="s">
        <v>397</v>
      </c>
      <c r="G15" s="308" t="s">
        <v>397</v>
      </c>
      <c r="H15" s="308" t="s">
        <v>397</v>
      </c>
      <c r="I15" s="308" t="s">
        <v>397</v>
      </c>
      <c r="J15" s="399" t="s">
        <v>397</v>
      </c>
      <c r="K15" s="399" t="s">
        <v>397</v>
      </c>
      <c r="L15" s="308" t="s">
        <v>397</v>
      </c>
      <c r="M15" s="308" t="s">
        <v>397</v>
      </c>
      <c r="N15" s="308" t="s">
        <v>397</v>
      </c>
      <c r="O15" s="309" t="s">
        <v>397</v>
      </c>
    </row>
    <row r="16" spans="1:15" ht="18" customHeight="1">
      <c r="A16" s="307" t="s">
        <v>397</v>
      </c>
      <c r="B16" s="314" t="s">
        <v>397</v>
      </c>
      <c r="C16" s="316" t="s">
        <v>397</v>
      </c>
      <c r="D16" s="314" t="s">
        <v>397</v>
      </c>
      <c r="E16" s="399" t="s">
        <v>397</v>
      </c>
      <c r="F16" s="399" t="s">
        <v>397</v>
      </c>
      <c r="G16" s="308" t="s">
        <v>397</v>
      </c>
      <c r="H16" s="308" t="s">
        <v>397</v>
      </c>
      <c r="I16" s="308" t="s">
        <v>397</v>
      </c>
      <c r="J16" s="399" t="s">
        <v>397</v>
      </c>
      <c r="K16" s="399" t="s">
        <v>397</v>
      </c>
      <c r="L16" s="308" t="s">
        <v>397</v>
      </c>
      <c r="M16" s="308" t="s">
        <v>397</v>
      </c>
      <c r="N16" s="308" t="s">
        <v>397</v>
      </c>
      <c r="O16" s="309" t="s">
        <v>397</v>
      </c>
    </row>
    <row r="17" spans="1:15" ht="18" customHeight="1">
      <c r="A17" s="307" t="s">
        <v>397</v>
      </c>
      <c r="B17" s="314" t="s">
        <v>397</v>
      </c>
      <c r="C17" s="316" t="s">
        <v>397</v>
      </c>
      <c r="D17" s="314" t="s">
        <v>397</v>
      </c>
      <c r="E17" s="399" t="s">
        <v>397</v>
      </c>
      <c r="F17" s="399" t="s">
        <v>397</v>
      </c>
      <c r="G17" s="308" t="s">
        <v>397</v>
      </c>
      <c r="H17" s="308" t="s">
        <v>397</v>
      </c>
      <c r="I17" s="308" t="s">
        <v>397</v>
      </c>
      <c r="J17" s="399" t="s">
        <v>397</v>
      </c>
      <c r="K17" s="399" t="s">
        <v>397</v>
      </c>
      <c r="L17" s="308" t="s">
        <v>397</v>
      </c>
      <c r="M17" s="308" t="s">
        <v>397</v>
      </c>
      <c r="N17" s="308" t="s">
        <v>397</v>
      </c>
      <c r="O17" s="309" t="s">
        <v>397</v>
      </c>
    </row>
    <row r="18" spans="1:15" ht="18" customHeight="1">
      <c r="A18" s="307" t="s">
        <v>397</v>
      </c>
      <c r="B18" s="314" t="s">
        <v>397</v>
      </c>
      <c r="C18" s="316" t="s">
        <v>397</v>
      </c>
      <c r="D18" s="314" t="s">
        <v>397</v>
      </c>
      <c r="E18" s="399" t="s">
        <v>397</v>
      </c>
      <c r="F18" s="399" t="s">
        <v>397</v>
      </c>
      <c r="G18" s="308" t="s">
        <v>397</v>
      </c>
      <c r="H18" s="308" t="s">
        <v>397</v>
      </c>
      <c r="I18" s="308" t="s">
        <v>397</v>
      </c>
      <c r="J18" s="399" t="s">
        <v>397</v>
      </c>
      <c r="K18" s="399" t="s">
        <v>397</v>
      </c>
      <c r="L18" s="308" t="s">
        <v>397</v>
      </c>
      <c r="M18" s="308" t="s">
        <v>397</v>
      </c>
      <c r="N18" s="308" t="s">
        <v>397</v>
      </c>
      <c r="O18" s="309" t="s">
        <v>397</v>
      </c>
    </row>
    <row r="19" spans="1:15" ht="18" customHeight="1">
      <c r="A19" s="307" t="s">
        <v>397</v>
      </c>
      <c r="B19" s="314" t="s">
        <v>397</v>
      </c>
      <c r="C19" s="316" t="s">
        <v>397</v>
      </c>
      <c r="D19" s="314" t="s">
        <v>397</v>
      </c>
      <c r="E19" s="399" t="s">
        <v>397</v>
      </c>
      <c r="F19" s="399" t="s">
        <v>397</v>
      </c>
      <c r="G19" s="308" t="s">
        <v>397</v>
      </c>
      <c r="H19" s="308" t="s">
        <v>397</v>
      </c>
      <c r="I19" s="308" t="s">
        <v>397</v>
      </c>
      <c r="J19" s="399" t="s">
        <v>397</v>
      </c>
      <c r="K19" s="399" t="s">
        <v>397</v>
      </c>
      <c r="L19" s="308" t="s">
        <v>397</v>
      </c>
      <c r="M19" s="308" t="s">
        <v>397</v>
      </c>
      <c r="N19" s="308" t="s">
        <v>397</v>
      </c>
      <c r="O19" s="309" t="s">
        <v>397</v>
      </c>
    </row>
    <row r="20" spans="1:15" ht="18" customHeight="1">
      <c r="A20" s="307" t="s">
        <v>397</v>
      </c>
      <c r="B20" s="314" t="s">
        <v>397</v>
      </c>
      <c r="C20" s="316" t="s">
        <v>397</v>
      </c>
      <c r="D20" s="314" t="s">
        <v>397</v>
      </c>
      <c r="E20" s="399" t="s">
        <v>397</v>
      </c>
      <c r="F20" s="399" t="s">
        <v>397</v>
      </c>
      <c r="G20" s="308" t="s">
        <v>397</v>
      </c>
      <c r="H20" s="308" t="s">
        <v>397</v>
      </c>
      <c r="I20" s="308" t="s">
        <v>397</v>
      </c>
      <c r="J20" s="399" t="s">
        <v>397</v>
      </c>
      <c r="K20" s="399" t="s">
        <v>397</v>
      </c>
      <c r="L20" s="308" t="s">
        <v>397</v>
      </c>
      <c r="M20" s="308" t="s">
        <v>397</v>
      </c>
      <c r="N20" s="308" t="s">
        <v>397</v>
      </c>
      <c r="O20" s="309" t="s">
        <v>397</v>
      </c>
    </row>
    <row r="21" spans="1:15" ht="18" customHeight="1">
      <c r="A21" s="307" t="s">
        <v>397</v>
      </c>
      <c r="B21" s="314" t="s">
        <v>397</v>
      </c>
      <c r="C21" s="316" t="s">
        <v>397</v>
      </c>
      <c r="D21" s="314" t="s">
        <v>397</v>
      </c>
      <c r="E21" s="399" t="s">
        <v>397</v>
      </c>
      <c r="F21" s="399" t="s">
        <v>397</v>
      </c>
      <c r="G21" s="308" t="s">
        <v>397</v>
      </c>
      <c r="H21" s="308" t="s">
        <v>397</v>
      </c>
      <c r="I21" s="308" t="s">
        <v>397</v>
      </c>
      <c r="J21" s="399" t="s">
        <v>397</v>
      </c>
      <c r="K21" s="399" t="s">
        <v>397</v>
      </c>
      <c r="L21" s="308" t="s">
        <v>397</v>
      </c>
      <c r="M21" s="308" t="s">
        <v>397</v>
      </c>
      <c r="N21" s="308" t="s">
        <v>397</v>
      </c>
      <c r="O21" s="309" t="s">
        <v>397</v>
      </c>
    </row>
    <row r="22" spans="1:15" ht="18" customHeight="1">
      <c r="A22" s="307" t="s">
        <v>397</v>
      </c>
      <c r="B22" s="314" t="s">
        <v>397</v>
      </c>
      <c r="C22" s="316" t="s">
        <v>397</v>
      </c>
      <c r="D22" s="314" t="s">
        <v>397</v>
      </c>
      <c r="E22" s="399" t="s">
        <v>397</v>
      </c>
      <c r="F22" s="399" t="s">
        <v>397</v>
      </c>
      <c r="G22" s="308" t="s">
        <v>397</v>
      </c>
      <c r="H22" s="308" t="s">
        <v>397</v>
      </c>
      <c r="I22" s="308" t="s">
        <v>397</v>
      </c>
      <c r="J22" s="399" t="s">
        <v>397</v>
      </c>
      <c r="K22" s="399" t="s">
        <v>397</v>
      </c>
      <c r="L22" s="308" t="s">
        <v>397</v>
      </c>
      <c r="M22" s="308" t="s">
        <v>397</v>
      </c>
      <c r="N22" s="308" t="s">
        <v>397</v>
      </c>
      <c r="O22" s="309" t="s">
        <v>397</v>
      </c>
    </row>
    <row r="23" spans="1:15" ht="18" customHeight="1">
      <c r="A23" s="307" t="s">
        <v>397</v>
      </c>
      <c r="B23" s="314" t="s">
        <v>397</v>
      </c>
      <c r="C23" s="316" t="s">
        <v>397</v>
      </c>
      <c r="D23" s="314" t="s">
        <v>397</v>
      </c>
      <c r="E23" s="399" t="s">
        <v>397</v>
      </c>
      <c r="F23" s="399" t="s">
        <v>397</v>
      </c>
      <c r="G23" s="308" t="s">
        <v>397</v>
      </c>
      <c r="H23" s="308" t="s">
        <v>397</v>
      </c>
      <c r="I23" s="308" t="s">
        <v>397</v>
      </c>
      <c r="J23" s="399" t="s">
        <v>397</v>
      </c>
      <c r="K23" s="399" t="s">
        <v>397</v>
      </c>
      <c r="L23" s="308" t="s">
        <v>397</v>
      </c>
      <c r="M23" s="308" t="s">
        <v>397</v>
      </c>
      <c r="N23" s="308" t="s">
        <v>397</v>
      </c>
      <c r="O23" s="309" t="s">
        <v>397</v>
      </c>
    </row>
    <row r="24" spans="1:15" ht="18" customHeight="1">
      <c r="A24" s="307" t="s">
        <v>397</v>
      </c>
      <c r="B24" s="314" t="s">
        <v>397</v>
      </c>
      <c r="C24" s="316" t="s">
        <v>397</v>
      </c>
      <c r="D24" s="314" t="s">
        <v>397</v>
      </c>
      <c r="E24" s="399" t="s">
        <v>397</v>
      </c>
      <c r="F24" s="399" t="s">
        <v>397</v>
      </c>
      <c r="G24" s="308" t="s">
        <v>397</v>
      </c>
      <c r="H24" s="308" t="s">
        <v>397</v>
      </c>
      <c r="I24" s="308" t="s">
        <v>397</v>
      </c>
      <c r="J24" s="399" t="s">
        <v>397</v>
      </c>
      <c r="K24" s="399" t="s">
        <v>397</v>
      </c>
      <c r="L24" s="308" t="s">
        <v>397</v>
      </c>
      <c r="M24" s="308" t="s">
        <v>397</v>
      </c>
      <c r="N24" s="308" t="s">
        <v>397</v>
      </c>
      <c r="O24" s="309" t="s">
        <v>397</v>
      </c>
    </row>
    <row r="25" spans="1:15" ht="16.5" customHeight="1" thickBot="1">
      <c r="A25" s="402" t="s">
        <v>473</v>
      </c>
      <c r="B25" s="401" t="s">
        <v>397</v>
      </c>
      <c r="C25" s="401" t="s">
        <v>397</v>
      </c>
      <c r="D25" s="401" t="s">
        <v>397</v>
      </c>
      <c r="E25" s="401" t="s">
        <v>397</v>
      </c>
      <c r="F25" s="401" t="s">
        <v>397</v>
      </c>
      <c r="G25" s="401" t="s">
        <v>397</v>
      </c>
      <c r="H25" s="311">
        <v>265916.99</v>
      </c>
      <c r="I25" s="311">
        <v>1690.79</v>
      </c>
      <c r="J25" s="400">
        <v>220756.91</v>
      </c>
      <c r="K25" s="400" t="s">
        <v>397</v>
      </c>
      <c r="L25" s="311">
        <v>140.29</v>
      </c>
      <c r="M25" s="311">
        <v>43329</v>
      </c>
      <c r="N25" s="311" t="s">
        <v>397</v>
      </c>
      <c r="O25" s="312">
        <v>22.308</v>
      </c>
    </row>
    <row r="26" spans="1:15" ht="16.5" customHeight="1">
      <c r="A26" s="423" t="s">
        <v>400</v>
      </c>
      <c r="B26" s="423" t="s">
        <v>397</v>
      </c>
      <c r="C26" s="423" t="s">
        <v>397</v>
      </c>
      <c r="D26" s="423" t="s">
        <v>397</v>
      </c>
      <c r="E26" s="423" t="s">
        <v>397</v>
      </c>
      <c r="F26" s="388" t="s">
        <v>399</v>
      </c>
      <c r="G26" s="388" t="s">
        <v>397</v>
      </c>
      <c r="H26" s="388" t="s">
        <v>397</v>
      </c>
      <c r="I26" s="388" t="s">
        <v>397</v>
      </c>
      <c r="J26" s="388" t="s">
        <v>397</v>
      </c>
      <c r="K26" s="389" t="s">
        <v>398</v>
      </c>
      <c r="L26" s="389" t="s">
        <v>397</v>
      </c>
      <c r="M26" s="389" t="s">
        <v>397</v>
      </c>
      <c r="N26" s="389" t="s">
        <v>397</v>
      </c>
      <c r="O26" s="389" t="s">
        <v>397</v>
      </c>
    </row>
  </sheetData>
  <mergeCells count="58">
    <mergeCell ref="E22:F22"/>
    <mergeCell ref="J22:K22"/>
    <mergeCell ref="A26:E26"/>
    <mergeCell ref="F26:J26"/>
    <mergeCell ref="K26:O26"/>
    <mergeCell ref="E23:F23"/>
    <mergeCell ref="J23:K23"/>
    <mergeCell ref="E24:F24"/>
    <mergeCell ref="J24:K24"/>
    <mergeCell ref="A25:G25"/>
    <mergeCell ref="J25:K25"/>
    <mergeCell ref="E19:F19"/>
    <mergeCell ref="J19:K19"/>
    <mergeCell ref="E20:F20"/>
    <mergeCell ref="J20:K20"/>
    <mergeCell ref="E21:F21"/>
    <mergeCell ref="J21:K21"/>
    <mergeCell ref="E16:F16"/>
    <mergeCell ref="J16:K16"/>
    <mergeCell ref="E17:F17"/>
    <mergeCell ref="J17:K17"/>
    <mergeCell ref="E18:F18"/>
    <mergeCell ref="J18:K18"/>
    <mergeCell ref="E13:F13"/>
    <mergeCell ref="J13:K13"/>
    <mergeCell ref="E14:F14"/>
    <mergeCell ref="J14:K14"/>
    <mergeCell ref="E15:F15"/>
    <mergeCell ref="J15:K15"/>
    <mergeCell ref="E10:F10"/>
    <mergeCell ref="J10:K10"/>
    <mergeCell ref="E11:F11"/>
    <mergeCell ref="J11:K11"/>
    <mergeCell ref="E12:F12"/>
    <mergeCell ref="J12:K12"/>
    <mergeCell ref="E7:F7"/>
    <mergeCell ref="J7:K7"/>
    <mergeCell ref="E8:F8"/>
    <mergeCell ref="J8:K8"/>
    <mergeCell ref="E9:F9"/>
    <mergeCell ref="J9:K9"/>
    <mergeCell ref="I4:N4"/>
    <mergeCell ref="O4:O5"/>
    <mergeCell ref="E5:F5"/>
    <mergeCell ref="J5:K5"/>
    <mergeCell ref="E6:F6"/>
    <mergeCell ref="J6:K6"/>
    <mergeCell ref="A4:A5"/>
    <mergeCell ref="B4:B5"/>
    <mergeCell ref="C4:C5"/>
    <mergeCell ref="D4:F4"/>
    <mergeCell ref="G4:H4"/>
    <mergeCell ref="A1:E1"/>
    <mergeCell ref="F1:J1"/>
    <mergeCell ref="K1:O1"/>
    <mergeCell ref="A2:O2"/>
    <mergeCell ref="A3:J3"/>
    <mergeCell ref="K3:O3"/>
  </mergeCells>
  <phoneticPr fontId="34" type="noConversion"/>
  <pageMargins left="0.51500984251968507" right="0.51500984251968507" top="0.59375" bottom="0.59375" header="0.59375" footer="0.59375"/>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dimension ref="A1:G37"/>
  <sheetViews>
    <sheetView topLeftCell="A16" workbookViewId="0">
      <selection activeCell="A2" sqref="A2:U2"/>
    </sheetView>
  </sheetViews>
  <sheetFormatPr defaultColWidth="8" defaultRowHeight="11.25"/>
  <cols>
    <col min="1" max="1" width="7.25" style="285" customWidth="1"/>
    <col min="2" max="2" width="19.5" style="285" customWidth="1"/>
    <col min="3" max="3" width="3" style="285" customWidth="1"/>
    <col min="4" max="4" width="28.375" style="285" customWidth="1"/>
    <col min="5" max="5" width="1.375" style="285" customWidth="1"/>
    <col min="6" max="6" width="8.875" style="285" customWidth="1"/>
    <col min="7" max="7" width="16.5" style="285" customWidth="1"/>
    <col min="8" max="16384" width="8" style="285"/>
  </cols>
  <sheetData>
    <row r="1" spans="1:7" ht="16.5" customHeight="1">
      <c r="A1" s="403" t="s">
        <v>397</v>
      </c>
      <c r="B1" s="403" t="s">
        <v>397</v>
      </c>
      <c r="C1" s="404" t="s">
        <v>397</v>
      </c>
      <c r="D1" s="404" t="s">
        <v>397</v>
      </c>
      <c r="E1" s="405" t="s">
        <v>397</v>
      </c>
      <c r="F1" s="405" t="s">
        <v>397</v>
      </c>
      <c r="G1" s="405" t="s">
        <v>397</v>
      </c>
    </row>
    <row r="2" spans="1:7" ht="33.75" customHeight="1">
      <c r="A2" s="406" t="s">
        <v>472</v>
      </c>
      <c r="B2" s="406" t="s">
        <v>397</v>
      </c>
      <c r="C2" s="406" t="s">
        <v>397</v>
      </c>
      <c r="D2" s="406" t="s">
        <v>397</v>
      </c>
      <c r="E2" s="406" t="s">
        <v>397</v>
      </c>
      <c r="F2" s="406" t="s">
        <v>397</v>
      </c>
      <c r="G2" s="406" t="s">
        <v>397</v>
      </c>
    </row>
    <row r="3" spans="1:7" ht="23.25" customHeight="1" thickBot="1">
      <c r="A3" s="403" t="s">
        <v>949</v>
      </c>
      <c r="B3" s="403" t="s">
        <v>397</v>
      </c>
      <c r="C3" s="403" t="s">
        <v>397</v>
      </c>
      <c r="D3" s="403" t="s">
        <v>397</v>
      </c>
      <c r="E3" s="405" t="s">
        <v>470</v>
      </c>
      <c r="F3" s="405" t="s">
        <v>397</v>
      </c>
      <c r="G3" s="405" t="s">
        <v>397</v>
      </c>
    </row>
    <row r="4" spans="1:7" ht="18" customHeight="1">
      <c r="A4" s="294" t="s">
        <v>42</v>
      </c>
      <c r="B4" s="407" t="s">
        <v>469</v>
      </c>
      <c r="C4" s="407" t="s">
        <v>397</v>
      </c>
      <c r="D4" s="407" t="s">
        <v>468</v>
      </c>
      <c r="E4" s="407" t="s">
        <v>397</v>
      </c>
      <c r="F4" s="293" t="s">
        <v>467</v>
      </c>
      <c r="G4" s="292" t="s">
        <v>466</v>
      </c>
    </row>
    <row r="5" spans="1:7" ht="16.5" customHeight="1">
      <c r="A5" s="291" t="s">
        <v>462</v>
      </c>
      <c r="B5" s="408" t="s">
        <v>465</v>
      </c>
      <c r="C5" s="408" t="s">
        <v>397</v>
      </c>
      <c r="D5" s="408" t="s">
        <v>465</v>
      </c>
      <c r="E5" s="408" t="s">
        <v>397</v>
      </c>
      <c r="F5" s="290" t="s">
        <v>397</v>
      </c>
      <c r="G5" s="289">
        <v>354543.05</v>
      </c>
    </row>
    <row r="6" spans="1:7" ht="29.25" customHeight="1">
      <c r="A6" s="291" t="s">
        <v>51</v>
      </c>
      <c r="B6" s="408" t="s">
        <v>464</v>
      </c>
      <c r="C6" s="408" t="s">
        <v>397</v>
      </c>
      <c r="D6" s="408" t="s">
        <v>463</v>
      </c>
      <c r="E6" s="408" t="s">
        <v>397</v>
      </c>
      <c r="F6" s="290" t="s">
        <v>397</v>
      </c>
      <c r="G6" s="289">
        <v>334516.14</v>
      </c>
    </row>
    <row r="7" spans="1:7" ht="16.5" customHeight="1">
      <c r="A7" s="291" t="s">
        <v>462</v>
      </c>
      <c r="B7" s="408" t="s">
        <v>450</v>
      </c>
      <c r="C7" s="408" t="s">
        <v>397</v>
      </c>
      <c r="D7" s="408" t="s">
        <v>450</v>
      </c>
      <c r="E7" s="408" t="s">
        <v>397</v>
      </c>
      <c r="F7" s="290" t="s">
        <v>397</v>
      </c>
      <c r="G7" s="289">
        <v>14286.36</v>
      </c>
    </row>
    <row r="8" spans="1:7" ht="16.5" customHeight="1">
      <c r="A8" s="291" t="s">
        <v>403</v>
      </c>
      <c r="B8" s="408" t="s">
        <v>447</v>
      </c>
      <c r="C8" s="408" t="s">
        <v>397</v>
      </c>
      <c r="D8" s="408" t="s">
        <v>447</v>
      </c>
      <c r="E8" s="408" t="s">
        <v>397</v>
      </c>
      <c r="F8" s="290" t="s">
        <v>397</v>
      </c>
      <c r="G8" s="289">
        <v>146588.69</v>
      </c>
    </row>
    <row r="9" spans="1:7" ht="16.5" customHeight="1">
      <c r="A9" s="291" t="s">
        <v>461</v>
      </c>
      <c r="B9" s="408" t="s">
        <v>460</v>
      </c>
      <c r="C9" s="408" t="s">
        <v>397</v>
      </c>
      <c r="D9" s="408" t="s">
        <v>459</v>
      </c>
      <c r="E9" s="408" t="s">
        <v>397</v>
      </c>
      <c r="F9" s="290" t="s">
        <v>397</v>
      </c>
      <c r="G9" s="289">
        <v>157303</v>
      </c>
    </row>
    <row r="10" spans="1:7" ht="16.5" customHeight="1">
      <c r="A10" s="291" t="s">
        <v>458</v>
      </c>
      <c r="B10" s="408" t="s">
        <v>444</v>
      </c>
      <c r="C10" s="408" t="s">
        <v>397</v>
      </c>
      <c r="D10" s="408" t="s">
        <v>457</v>
      </c>
      <c r="E10" s="408" t="s">
        <v>397</v>
      </c>
      <c r="F10" s="290" t="s">
        <v>397</v>
      </c>
      <c r="G10" s="289">
        <v>408.75</v>
      </c>
    </row>
    <row r="11" spans="1:7" ht="16.5" customHeight="1">
      <c r="A11" s="291" t="s">
        <v>365</v>
      </c>
      <c r="B11" s="408" t="s">
        <v>456</v>
      </c>
      <c r="C11" s="408" t="s">
        <v>397</v>
      </c>
      <c r="D11" s="408" t="s">
        <v>455</v>
      </c>
      <c r="E11" s="408" t="s">
        <v>397</v>
      </c>
      <c r="F11" s="290" t="s">
        <v>397</v>
      </c>
      <c r="G11" s="289">
        <v>1425.43</v>
      </c>
    </row>
    <row r="12" spans="1:7" ht="16.5" customHeight="1">
      <c r="A12" s="291" t="s">
        <v>454</v>
      </c>
      <c r="B12" s="408" t="s">
        <v>453</v>
      </c>
      <c r="C12" s="408" t="s">
        <v>397</v>
      </c>
      <c r="D12" s="408" t="s">
        <v>452</v>
      </c>
      <c r="E12" s="408" t="s">
        <v>397</v>
      </c>
      <c r="F12" s="290" t="s">
        <v>397</v>
      </c>
      <c r="G12" s="289" t="s">
        <v>397</v>
      </c>
    </row>
    <row r="13" spans="1:7" ht="16.5" customHeight="1">
      <c r="A13" s="291" t="s">
        <v>451</v>
      </c>
      <c r="B13" s="408" t="s">
        <v>450</v>
      </c>
      <c r="C13" s="408" t="s">
        <v>397</v>
      </c>
      <c r="D13" s="408" t="s">
        <v>449</v>
      </c>
      <c r="E13" s="408" t="s">
        <v>397</v>
      </c>
      <c r="F13" s="290" t="s">
        <v>397</v>
      </c>
      <c r="G13" s="289" t="s">
        <v>397</v>
      </c>
    </row>
    <row r="14" spans="1:7" ht="16.5" customHeight="1">
      <c r="A14" s="291" t="s">
        <v>448</v>
      </c>
      <c r="B14" s="408" t="s">
        <v>447</v>
      </c>
      <c r="C14" s="408" t="s">
        <v>397</v>
      </c>
      <c r="D14" s="408" t="s">
        <v>446</v>
      </c>
      <c r="E14" s="408" t="s">
        <v>397</v>
      </c>
      <c r="F14" s="290" t="s">
        <v>397</v>
      </c>
      <c r="G14" s="289" t="s">
        <v>397</v>
      </c>
    </row>
    <row r="15" spans="1:7" ht="16.5" customHeight="1">
      <c r="A15" s="291" t="s">
        <v>445</v>
      </c>
      <c r="B15" s="408" t="s">
        <v>444</v>
      </c>
      <c r="C15" s="408" t="s">
        <v>397</v>
      </c>
      <c r="D15" s="408" t="s">
        <v>443</v>
      </c>
      <c r="E15" s="408" t="s">
        <v>397</v>
      </c>
      <c r="F15" s="290" t="s">
        <v>397</v>
      </c>
      <c r="G15" s="289" t="s">
        <v>397</v>
      </c>
    </row>
    <row r="16" spans="1:7" ht="16.5" customHeight="1">
      <c r="A16" s="291" t="s">
        <v>442</v>
      </c>
      <c r="B16" s="408" t="s">
        <v>441</v>
      </c>
      <c r="C16" s="408" t="s">
        <v>397</v>
      </c>
      <c r="D16" s="408" t="s">
        <v>440</v>
      </c>
      <c r="E16" s="408" t="s">
        <v>397</v>
      </c>
      <c r="F16" s="290" t="s">
        <v>397</v>
      </c>
      <c r="G16" s="289">
        <v>1425.43</v>
      </c>
    </row>
    <row r="17" spans="1:7" ht="29.25" customHeight="1">
      <c r="A17" s="291" t="s">
        <v>439</v>
      </c>
      <c r="B17" s="408" t="s">
        <v>438</v>
      </c>
      <c r="C17" s="408" t="s">
        <v>397</v>
      </c>
      <c r="D17" s="408" t="s">
        <v>425</v>
      </c>
      <c r="E17" s="408" t="s">
        <v>397</v>
      </c>
      <c r="F17" s="290" t="s">
        <v>437</v>
      </c>
      <c r="G17" s="289">
        <v>1329.91</v>
      </c>
    </row>
    <row r="18" spans="1:7" ht="29.25" customHeight="1">
      <c r="A18" s="291" t="s">
        <v>436</v>
      </c>
      <c r="B18" s="408" t="s">
        <v>435</v>
      </c>
      <c r="C18" s="408" t="s">
        <v>397</v>
      </c>
      <c r="D18" s="408" t="s">
        <v>425</v>
      </c>
      <c r="E18" s="408" t="s">
        <v>397</v>
      </c>
      <c r="F18" s="290" t="s">
        <v>434</v>
      </c>
      <c r="G18" s="289">
        <v>95.52</v>
      </c>
    </row>
    <row r="19" spans="1:7" ht="16.5" customHeight="1">
      <c r="A19" s="291" t="s">
        <v>316</v>
      </c>
      <c r="B19" s="408" t="s">
        <v>433</v>
      </c>
      <c r="C19" s="408" t="s">
        <v>397</v>
      </c>
      <c r="D19" s="408" t="s">
        <v>397</v>
      </c>
      <c r="E19" s="408" t="s">
        <v>397</v>
      </c>
      <c r="F19" s="290" t="s">
        <v>397</v>
      </c>
      <c r="G19" s="289" t="s">
        <v>397</v>
      </c>
    </row>
    <row r="20" spans="1:7" ht="29.25" customHeight="1">
      <c r="A20" s="291" t="s">
        <v>393</v>
      </c>
      <c r="B20" s="408" t="s">
        <v>432</v>
      </c>
      <c r="C20" s="408" t="s">
        <v>397</v>
      </c>
      <c r="D20" s="408" t="s">
        <v>425</v>
      </c>
      <c r="E20" s="408" t="s">
        <v>397</v>
      </c>
      <c r="F20" s="290" t="s">
        <v>431</v>
      </c>
      <c r="G20" s="289">
        <v>2571.64</v>
      </c>
    </row>
    <row r="21" spans="1:7" ht="29.25" customHeight="1">
      <c r="A21" s="291" t="s">
        <v>430</v>
      </c>
      <c r="B21" s="408" t="s">
        <v>429</v>
      </c>
      <c r="C21" s="408" t="s">
        <v>397</v>
      </c>
      <c r="D21" s="408" t="s">
        <v>425</v>
      </c>
      <c r="E21" s="408" t="s">
        <v>397</v>
      </c>
      <c r="F21" s="290" t="s">
        <v>428</v>
      </c>
      <c r="G21" s="289">
        <v>2191.04</v>
      </c>
    </row>
    <row r="22" spans="1:7" ht="29.25" customHeight="1">
      <c r="A22" s="291" t="s">
        <v>427</v>
      </c>
      <c r="B22" s="408" t="s">
        <v>426</v>
      </c>
      <c r="C22" s="408" t="s">
        <v>397</v>
      </c>
      <c r="D22" s="408" t="s">
        <v>425</v>
      </c>
      <c r="E22" s="408" t="s">
        <v>397</v>
      </c>
      <c r="F22" s="290" t="s">
        <v>424</v>
      </c>
      <c r="G22" s="289">
        <v>1713.45</v>
      </c>
    </row>
    <row r="23" spans="1:7" ht="16.5" customHeight="1">
      <c r="A23" s="291" t="s">
        <v>423</v>
      </c>
      <c r="B23" s="408" t="s">
        <v>422</v>
      </c>
      <c r="C23" s="408" t="s">
        <v>397</v>
      </c>
      <c r="D23" s="408" t="s">
        <v>397</v>
      </c>
      <c r="E23" s="408" t="s">
        <v>397</v>
      </c>
      <c r="F23" s="290" t="s">
        <v>397</v>
      </c>
      <c r="G23" s="289" t="s">
        <v>397</v>
      </c>
    </row>
    <row r="24" spans="1:7" ht="42" customHeight="1">
      <c r="A24" s="291" t="s">
        <v>421</v>
      </c>
      <c r="B24" s="408" t="s">
        <v>420</v>
      </c>
      <c r="C24" s="408" t="s">
        <v>397</v>
      </c>
      <c r="D24" s="408" t="s">
        <v>419</v>
      </c>
      <c r="E24" s="408" t="s">
        <v>397</v>
      </c>
      <c r="F24" s="290" t="s">
        <v>397</v>
      </c>
      <c r="G24" s="289">
        <v>342417.7</v>
      </c>
    </row>
    <row r="25" spans="1:7" ht="16.5" customHeight="1">
      <c r="A25" s="291" t="s">
        <v>418</v>
      </c>
      <c r="B25" s="408" t="s">
        <v>417</v>
      </c>
      <c r="C25" s="408" t="s">
        <v>397</v>
      </c>
      <c r="D25" s="408" t="s">
        <v>416</v>
      </c>
      <c r="E25" s="408" t="s">
        <v>397</v>
      </c>
      <c r="F25" s="290" t="s">
        <v>397</v>
      </c>
      <c r="G25" s="289" t="s">
        <v>397</v>
      </c>
    </row>
    <row r="26" spans="1:7" ht="16.5" customHeight="1">
      <c r="A26" s="291" t="s">
        <v>415</v>
      </c>
      <c r="B26" s="408" t="s">
        <v>414</v>
      </c>
      <c r="C26" s="408" t="s">
        <v>397</v>
      </c>
      <c r="D26" s="408" t="s">
        <v>413</v>
      </c>
      <c r="E26" s="408" t="s">
        <v>397</v>
      </c>
      <c r="F26" s="290" t="s">
        <v>412</v>
      </c>
      <c r="G26" s="289">
        <v>12125.35</v>
      </c>
    </row>
    <row r="27" spans="1:7" ht="16.5" customHeight="1">
      <c r="A27" s="291" t="s">
        <v>411</v>
      </c>
      <c r="B27" s="408" t="s">
        <v>410</v>
      </c>
      <c r="C27" s="408" t="s">
        <v>397</v>
      </c>
      <c r="D27" s="408" t="s">
        <v>409</v>
      </c>
      <c r="E27" s="408" t="s">
        <v>397</v>
      </c>
      <c r="F27" s="290" t="s">
        <v>397</v>
      </c>
      <c r="G27" s="289" t="s">
        <v>397</v>
      </c>
    </row>
    <row r="28" spans="1:7" ht="16.5" customHeight="1">
      <c r="A28" s="291" t="s">
        <v>408</v>
      </c>
      <c r="B28" s="408" t="s">
        <v>407</v>
      </c>
      <c r="C28" s="408" t="s">
        <v>397</v>
      </c>
      <c r="D28" s="408" t="s">
        <v>407</v>
      </c>
      <c r="E28" s="408" t="s">
        <v>397</v>
      </c>
      <c r="F28" s="290" t="s">
        <v>397</v>
      </c>
      <c r="G28" s="289" t="s">
        <v>397</v>
      </c>
    </row>
    <row r="29" spans="1:7" ht="29.25" customHeight="1">
      <c r="A29" s="291" t="s">
        <v>406</v>
      </c>
      <c r="B29" s="408" t="s">
        <v>405</v>
      </c>
      <c r="C29" s="408" t="s">
        <v>397</v>
      </c>
      <c r="D29" s="408" t="s">
        <v>404</v>
      </c>
      <c r="E29" s="408" t="s">
        <v>397</v>
      </c>
      <c r="F29" s="290" t="s">
        <v>397</v>
      </c>
      <c r="G29" s="289">
        <v>354543.05</v>
      </c>
    </row>
    <row r="30" spans="1:7" ht="16.5" customHeight="1">
      <c r="A30" s="291" t="s">
        <v>397</v>
      </c>
      <c r="B30" s="408" t="s">
        <v>397</v>
      </c>
      <c r="C30" s="408" t="s">
        <v>397</v>
      </c>
      <c r="D30" s="409" t="s">
        <v>397</v>
      </c>
      <c r="E30" s="409" t="s">
        <v>397</v>
      </c>
      <c r="F30" s="290" t="s">
        <v>397</v>
      </c>
      <c r="G30" s="289" t="s">
        <v>397</v>
      </c>
    </row>
    <row r="31" spans="1:7" ht="16.5" customHeight="1">
      <c r="A31" s="291" t="s">
        <v>403</v>
      </c>
      <c r="B31" s="408" t="s">
        <v>402</v>
      </c>
      <c r="C31" s="408" t="s">
        <v>397</v>
      </c>
      <c r="D31" s="408" t="s">
        <v>401</v>
      </c>
      <c r="E31" s="408" t="s">
        <v>397</v>
      </c>
      <c r="F31" s="290" t="s">
        <v>397</v>
      </c>
      <c r="G31" s="289">
        <v>354543.05</v>
      </c>
    </row>
    <row r="32" spans="1:7" ht="16.5" customHeight="1">
      <c r="A32" s="291" t="s">
        <v>397</v>
      </c>
      <c r="B32" s="408" t="s">
        <v>397</v>
      </c>
      <c r="C32" s="408" t="s">
        <v>397</v>
      </c>
      <c r="D32" s="408" t="s">
        <v>397</v>
      </c>
      <c r="E32" s="408" t="s">
        <v>397</v>
      </c>
      <c r="F32" s="290" t="s">
        <v>397</v>
      </c>
      <c r="G32" s="289" t="s">
        <v>397</v>
      </c>
    </row>
    <row r="33" spans="1:7" ht="16.5" customHeight="1">
      <c r="A33" s="291" t="s">
        <v>397</v>
      </c>
      <c r="B33" s="408" t="s">
        <v>397</v>
      </c>
      <c r="C33" s="408" t="s">
        <v>397</v>
      </c>
      <c r="D33" s="408" t="s">
        <v>397</v>
      </c>
      <c r="E33" s="408" t="s">
        <v>397</v>
      </c>
      <c r="F33" s="290" t="s">
        <v>397</v>
      </c>
      <c r="G33" s="289" t="s">
        <v>397</v>
      </c>
    </row>
    <row r="34" spans="1:7" ht="16.5" customHeight="1">
      <c r="A34" s="291" t="s">
        <v>397</v>
      </c>
      <c r="B34" s="408" t="s">
        <v>397</v>
      </c>
      <c r="C34" s="408" t="s">
        <v>397</v>
      </c>
      <c r="D34" s="408" t="s">
        <v>397</v>
      </c>
      <c r="E34" s="408" t="s">
        <v>397</v>
      </c>
      <c r="F34" s="290" t="s">
        <v>397</v>
      </c>
      <c r="G34" s="289" t="s">
        <v>397</v>
      </c>
    </row>
    <row r="35" spans="1:7" ht="16.5" customHeight="1">
      <c r="A35" s="291" t="s">
        <v>397</v>
      </c>
      <c r="B35" s="408" t="s">
        <v>397</v>
      </c>
      <c r="C35" s="408" t="s">
        <v>397</v>
      </c>
      <c r="D35" s="408" t="s">
        <v>397</v>
      </c>
      <c r="E35" s="408" t="s">
        <v>397</v>
      </c>
      <c r="F35" s="290" t="s">
        <v>397</v>
      </c>
      <c r="G35" s="289" t="s">
        <v>397</v>
      </c>
    </row>
    <row r="36" spans="1:7" ht="16.5" customHeight="1" thickBot="1">
      <c r="A36" s="288" t="s">
        <v>397</v>
      </c>
      <c r="B36" s="410" t="s">
        <v>397</v>
      </c>
      <c r="C36" s="410" t="s">
        <v>397</v>
      </c>
      <c r="D36" s="410" t="s">
        <v>397</v>
      </c>
      <c r="E36" s="410" t="s">
        <v>397</v>
      </c>
      <c r="F36" s="287" t="s">
        <v>397</v>
      </c>
      <c r="G36" s="286" t="s">
        <v>397</v>
      </c>
    </row>
    <row r="37" spans="1:7" ht="16.5" customHeight="1">
      <c r="A37" s="403" t="s">
        <v>400</v>
      </c>
      <c r="B37" s="403" t="s">
        <v>397</v>
      </c>
      <c r="C37" s="404" t="s">
        <v>399</v>
      </c>
      <c r="D37" s="404" t="s">
        <v>397</v>
      </c>
      <c r="E37" s="405" t="s">
        <v>398</v>
      </c>
      <c r="F37" s="405" t="s">
        <v>397</v>
      </c>
      <c r="G37" s="405" t="s">
        <v>397</v>
      </c>
    </row>
  </sheetData>
  <mergeCells count="75">
    <mergeCell ref="A37:B37"/>
    <mergeCell ref="C37:D37"/>
    <mergeCell ref="E37:G37"/>
    <mergeCell ref="B34:C34"/>
    <mergeCell ref="D34:E34"/>
    <mergeCell ref="B35:C35"/>
    <mergeCell ref="D35:E35"/>
    <mergeCell ref="B36:C36"/>
    <mergeCell ref="D36:E36"/>
    <mergeCell ref="B31:C31"/>
    <mergeCell ref="D31:E31"/>
    <mergeCell ref="B32:C32"/>
    <mergeCell ref="D32:E32"/>
    <mergeCell ref="B33:C33"/>
    <mergeCell ref="D33:E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10:C10"/>
    <mergeCell ref="D10:E10"/>
    <mergeCell ref="B11:C11"/>
    <mergeCell ref="D11:E11"/>
    <mergeCell ref="B12:C12"/>
    <mergeCell ref="D12:E12"/>
    <mergeCell ref="B7:C7"/>
    <mergeCell ref="D7:E7"/>
    <mergeCell ref="B8:C8"/>
    <mergeCell ref="D8:E8"/>
    <mergeCell ref="B9:C9"/>
    <mergeCell ref="D9:E9"/>
    <mergeCell ref="B4:C4"/>
    <mergeCell ref="D4:E4"/>
    <mergeCell ref="B5:C5"/>
    <mergeCell ref="D5:E5"/>
    <mergeCell ref="B6:C6"/>
    <mergeCell ref="D6:E6"/>
    <mergeCell ref="A1:B1"/>
    <mergeCell ref="C1:D1"/>
    <mergeCell ref="E1:G1"/>
    <mergeCell ref="A2:G2"/>
    <mergeCell ref="A3:D3"/>
    <mergeCell ref="E3:G3"/>
  </mergeCells>
  <phoneticPr fontId="34" type="noConversion"/>
  <pageMargins left="0.51181102362204722" right="0.51181102362204722" top="0.59055118110236227" bottom="0.59055118110236227" header="0.59055118110236227" footer="0.59055118110236227"/>
  <pageSetup paperSize="9" scale="97" orientation="portrait" r:id="rId1"/>
  <headerFooter alignWithMargins="0"/>
</worksheet>
</file>

<file path=xl/worksheets/sheet20.xml><?xml version="1.0" encoding="utf-8"?>
<worksheet xmlns="http://schemas.openxmlformats.org/spreadsheetml/2006/main" xmlns:r="http://schemas.openxmlformats.org/officeDocument/2006/relationships">
  <dimension ref="A1:O46"/>
  <sheetViews>
    <sheetView topLeftCell="A31" workbookViewId="0">
      <selection activeCell="A2" sqref="A2:U2"/>
    </sheetView>
  </sheetViews>
  <sheetFormatPr defaultColWidth="8" defaultRowHeight="11.25"/>
  <cols>
    <col min="1" max="1" width="5.25" style="285" customWidth="1"/>
    <col min="2" max="2" width="8.625" style="285" customWidth="1"/>
    <col min="3" max="3" width="19.5" style="285" customWidth="1"/>
    <col min="4" max="4" width="6.25" style="285" customWidth="1"/>
    <col min="5" max="5" width="3.125" style="285" customWidth="1"/>
    <col min="6" max="6" width="6.125" style="285" customWidth="1"/>
    <col min="7" max="7" width="8.375" style="285" customWidth="1"/>
    <col min="8" max="8" width="8.875" style="285" customWidth="1"/>
    <col min="9" max="9" width="9.875" style="285" customWidth="1"/>
    <col min="10" max="10" width="8.375" style="285" customWidth="1"/>
    <col min="11" max="11" width="0.875" style="285" customWidth="1"/>
    <col min="12" max="12" width="9" style="285" customWidth="1"/>
    <col min="13" max="13" width="9.625" style="285" customWidth="1"/>
    <col min="14" max="14" width="11" style="285" customWidth="1"/>
    <col min="15" max="15" width="11.125" style="285" customWidth="1"/>
    <col min="16" max="16384" width="8" style="285"/>
  </cols>
  <sheetData>
    <row r="1" spans="1:15" ht="14.25" customHeight="1">
      <c r="A1" s="405" t="s">
        <v>397</v>
      </c>
      <c r="B1" s="405" t="s">
        <v>397</v>
      </c>
      <c r="C1" s="405" t="s">
        <v>397</v>
      </c>
      <c r="D1" s="405" t="s">
        <v>397</v>
      </c>
      <c r="E1" s="405" t="s">
        <v>397</v>
      </c>
      <c r="F1" s="405" t="s">
        <v>397</v>
      </c>
      <c r="G1" s="405" t="s">
        <v>397</v>
      </c>
      <c r="H1" s="405" t="s">
        <v>397</v>
      </c>
      <c r="I1" s="405" t="s">
        <v>397</v>
      </c>
      <c r="J1" s="405" t="s">
        <v>397</v>
      </c>
      <c r="K1" s="405" t="s">
        <v>397</v>
      </c>
      <c r="L1" s="405" t="s">
        <v>397</v>
      </c>
      <c r="M1" s="405" t="s">
        <v>397</v>
      </c>
      <c r="N1" s="405" t="s">
        <v>397</v>
      </c>
      <c r="O1" s="405" t="s">
        <v>397</v>
      </c>
    </row>
    <row r="2" spans="1:15" ht="32.25" customHeight="1">
      <c r="A2" s="411" t="s">
        <v>509</v>
      </c>
      <c r="B2" s="411" t="s">
        <v>397</v>
      </c>
      <c r="C2" s="411" t="s">
        <v>397</v>
      </c>
      <c r="D2" s="411" t="s">
        <v>397</v>
      </c>
      <c r="E2" s="411" t="s">
        <v>397</v>
      </c>
      <c r="F2" s="411" t="s">
        <v>397</v>
      </c>
      <c r="G2" s="411" t="s">
        <v>397</v>
      </c>
      <c r="H2" s="411" t="s">
        <v>397</v>
      </c>
      <c r="I2" s="411" t="s">
        <v>397</v>
      </c>
      <c r="J2" s="411" t="s">
        <v>397</v>
      </c>
      <c r="K2" s="411" t="s">
        <v>397</v>
      </c>
      <c r="L2" s="411" t="s">
        <v>397</v>
      </c>
      <c r="M2" s="411" t="s">
        <v>397</v>
      </c>
      <c r="N2" s="411" t="s">
        <v>397</v>
      </c>
      <c r="O2" s="411" t="s">
        <v>397</v>
      </c>
    </row>
    <row r="3" spans="1:15" ht="23.25" customHeight="1" thickBot="1">
      <c r="A3" s="412" t="s">
        <v>949</v>
      </c>
      <c r="B3" s="412" t="s">
        <v>397</v>
      </c>
      <c r="C3" s="412" t="s">
        <v>397</v>
      </c>
      <c r="D3" s="412" t="s">
        <v>397</v>
      </c>
      <c r="E3" s="412" t="s">
        <v>397</v>
      </c>
      <c r="F3" s="412" t="s">
        <v>397</v>
      </c>
      <c r="G3" s="412" t="s">
        <v>397</v>
      </c>
      <c r="H3" s="412" t="s">
        <v>397</v>
      </c>
      <c r="I3" s="412" t="s">
        <v>397</v>
      </c>
      <c r="J3" s="412" t="s">
        <v>397</v>
      </c>
      <c r="K3" s="405" t="s">
        <v>976</v>
      </c>
      <c r="L3" s="405" t="s">
        <v>397</v>
      </c>
      <c r="M3" s="405" t="s">
        <v>397</v>
      </c>
      <c r="N3" s="405" t="s">
        <v>397</v>
      </c>
      <c r="O3" s="405" t="s">
        <v>397</v>
      </c>
    </row>
    <row r="4" spans="1:15" ht="19.5" customHeight="1">
      <c r="A4" s="413" t="s">
        <v>42</v>
      </c>
      <c r="B4" s="407" t="s">
        <v>507</v>
      </c>
      <c r="C4" s="407" t="s">
        <v>506</v>
      </c>
      <c r="D4" s="407" t="s">
        <v>505</v>
      </c>
      <c r="E4" s="407" t="s">
        <v>397</v>
      </c>
      <c r="F4" s="407" t="s">
        <v>397</v>
      </c>
      <c r="G4" s="407" t="s">
        <v>504</v>
      </c>
      <c r="H4" s="407" t="s">
        <v>397</v>
      </c>
      <c r="I4" s="407" t="s">
        <v>503</v>
      </c>
      <c r="J4" s="407" t="s">
        <v>397</v>
      </c>
      <c r="K4" s="407" t="s">
        <v>397</v>
      </c>
      <c r="L4" s="407" t="s">
        <v>397</v>
      </c>
      <c r="M4" s="407" t="s">
        <v>397</v>
      </c>
      <c r="N4" s="407" t="s">
        <v>397</v>
      </c>
      <c r="O4" s="416" t="s">
        <v>502</v>
      </c>
    </row>
    <row r="5" spans="1:15" ht="18" customHeight="1">
      <c r="A5" s="414" t="s">
        <v>397</v>
      </c>
      <c r="B5" s="415" t="s">
        <v>397</v>
      </c>
      <c r="C5" s="415" t="s">
        <v>397</v>
      </c>
      <c r="D5" s="298" t="s">
        <v>384</v>
      </c>
      <c r="E5" s="415" t="s">
        <v>383</v>
      </c>
      <c r="F5" s="415" t="s">
        <v>397</v>
      </c>
      <c r="G5" s="298" t="s">
        <v>382</v>
      </c>
      <c r="H5" s="298" t="s">
        <v>381</v>
      </c>
      <c r="I5" s="298" t="s">
        <v>501</v>
      </c>
      <c r="J5" s="415" t="s">
        <v>500</v>
      </c>
      <c r="K5" s="415" t="s">
        <v>397</v>
      </c>
      <c r="L5" s="298" t="s">
        <v>499</v>
      </c>
      <c r="M5" s="298" t="s">
        <v>498</v>
      </c>
      <c r="N5" s="298" t="s">
        <v>497</v>
      </c>
      <c r="O5" s="417" t="s">
        <v>397</v>
      </c>
    </row>
    <row r="6" spans="1:15" ht="16.5" customHeight="1">
      <c r="A6" s="291" t="s">
        <v>397</v>
      </c>
      <c r="B6" s="295" t="s">
        <v>975</v>
      </c>
      <c r="C6" s="297" t="s">
        <v>974</v>
      </c>
      <c r="D6" s="295" t="s">
        <v>397</v>
      </c>
      <c r="E6" s="418" t="s">
        <v>397</v>
      </c>
      <c r="F6" s="418" t="s">
        <v>397</v>
      </c>
      <c r="G6" s="290" t="s">
        <v>397</v>
      </c>
      <c r="H6" s="290">
        <v>250.05</v>
      </c>
      <c r="I6" s="290">
        <v>239.79</v>
      </c>
      <c r="J6" s="418">
        <v>10.26</v>
      </c>
      <c r="K6" s="418" t="s">
        <v>397</v>
      </c>
      <c r="L6" s="290" t="s">
        <v>397</v>
      </c>
      <c r="M6" s="290">
        <v>9000</v>
      </c>
      <c r="N6" s="290" t="s">
        <v>397</v>
      </c>
      <c r="O6" s="289">
        <v>2.91</v>
      </c>
    </row>
    <row r="7" spans="1:15" ht="29.25" customHeight="1">
      <c r="A7" s="291">
        <v>1</v>
      </c>
      <c r="B7" s="295" t="s">
        <v>973</v>
      </c>
      <c r="C7" s="296" t="s">
        <v>972</v>
      </c>
      <c r="D7" s="295" t="s">
        <v>312</v>
      </c>
      <c r="E7" s="418">
        <v>3</v>
      </c>
      <c r="F7" s="418" t="s">
        <v>397</v>
      </c>
      <c r="G7" s="290">
        <v>83.35</v>
      </c>
      <c r="H7" s="290">
        <v>250.05</v>
      </c>
      <c r="I7" s="290">
        <v>239.79</v>
      </c>
      <c r="J7" s="418">
        <v>10.26</v>
      </c>
      <c r="K7" s="418" t="s">
        <v>397</v>
      </c>
      <c r="L7" s="290" t="s">
        <v>397</v>
      </c>
      <c r="M7" s="290">
        <v>9000</v>
      </c>
      <c r="N7" s="290" t="s">
        <v>397</v>
      </c>
      <c r="O7" s="289">
        <v>2.91</v>
      </c>
    </row>
    <row r="8" spans="1:15" ht="18" customHeight="1">
      <c r="A8" s="291" t="s">
        <v>397</v>
      </c>
      <c r="B8" s="295" t="s">
        <v>483</v>
      </c>
      <c r="C8" s="296" t="s">
        <v>971</v>
      </c>
      <c r="D8" s="295" t="s">
        <v>312</v>
      </c>
      <c r="E8" s="418">
        <v>3</v>
      </c>
      <c r="F8" s="418" t="s">
        <v>397</v>
      </c>
      <c r="G8" s="290">
        <v>3000</v>
      </c>
      <c r="H8" s="290">
        <v>9000</v>
      </c>
      <c r="I8" s="290" t="s">
        <v>397</v>
      </c>
      <c r="J8" s="418" t="s">
        <v>397</v>
      </c>
      <c r="K8" s="418" t="s">
        <v>397</v>
      </c>
      <c r="L8" s="290" t="s">
        <v>397</v>
      </c>
      <c r="M8" s="290">
        <v>9000</v>
      </c>
      <c r="N8" s="290" t="s">
        <v>397</v>
      </c>
      <c r="O8" s="289" t="s">
        <v>397</v>
      </c>
    </row>
    <row r="9" spans="1:15" ht="16.5" customHeight="1">
      <c r="A9" s="291" t="s">
        <v>397</v>
      </c>
      <c r="B9" s="295" t="s">
        <v>970</v>
      </c>
      <c r="C9" s="297" t="s">
        <v>969</v>
      </c>
      <c r="D9" s="295" t="s">
        <v>397</v>
      </c>
      <c r="E9" s="418" t="s">
        <v>397</v>
      </c>
      <c r="F9" s="418" t="s">
        <v>397</v>
      </c>
      <c r="G9" s="290" t="s">
        <v>397</v>
      </c>
      <c r="H9" s="290">
        <v>15433.75</v>
      </c>
      <c r="I9" s="290">
        <v>14046.57</v>
      </c>
      <c r="J9" s="418">
        <v>978.43</v>
      </c>
      <c r="K9" s="418" t="s">
        <v>397</v>
      </c>
      <c r="L9" s="290">
        <v>408.75</v>
      </c>
      <c r="M9" s="290">
        <v>148303</v>
      </c>
      <c r="N9" s="290" t="s">
        <v>397</v>
      </c>
      <c r="O9" s="289">
        <v>170.46299999999999</v>
      </c>
    </row>
    <row r="10" spans="1:15" ht="29.25" customHeight="1">
      <c r="A10" s="291">
        <v>1</v>
      </c>
      <c r="B10" s="295" t="s">
        <v>968</v>
      </c>
      <c r="C10" s="296" t="s">
        <v>967</v>
      </c>
      <c r="D10" s="295" t="s">
        <v>530</v>
      </c>
      <c r="E10" s="418">
        <v>15</v>
      </c>
      <c r="F10" s="418" t="s">
        <v>397</v>
      </c>
      <c r="G10" s="290">
        <v>164.55</v>
      </c>
      <c r="H10" s="290">
        <v>2468.25</v>
      </c>
      <c r="I10" s="290">
        <v>1705.65</v>
      </c>
      <c r="J10" s="418">
        <v>365.55</v>
      </c>
      <c r="K10" s="418" t="s">
        <v>397</v>
      </c>
      <c r="L10" s="290">
        <v>397.05</v>
      </c>
      <c r="M10" s="290">
        <v>16686.599999999999</v>
      </c>
      <c r="N10" s="290" t="s">
        <v>397</v>
      </c>
      <c r="O10" s="289">
        <v>20.7</v>
      </c>
    </row>
    <row r="11" spans="1:15" ht="18" customHeight="1">
      <c r="A11" s="291" t="s">
        <v>397</v>
      </c>
      <c r="B11" s="295" t="s">
        <v>483</v>
      </c>
      <c r="C11" s="296" t="s">
        <v>565</v>
      </c>
      <c r="D11" s="295" t="s">
        <v>528</v>
      </c>
      <c r="E11" s="418">
        <v>152.25</v>
      </c>
      <c r="F11" s="418" t="s">
        <v>397</v>
      </c>
      <c r="G11" s="290">
        <v>109.6</v>
      </c>
      <c r="H11" s="290">
        <v>16686.599999999999</v>
      </c>
      <c r="I11" s="290" t="s">
        <v>397</v>
      </c>
      <c r="J11" s="418" t="s">
        <v>397</v>
      </c>
      <c r="K11" s="418" t="s">
        <v>397</v>
      </c>
      <c r="L11" s="290" t="s">
        <v>397</v>
      </c>
      <c r="M11" s="290">
        <v>16686.599999999999</v>
      </c>
      <c r="N11" s="290" t="s">
        <v>397</v>
      </c>
      <c r="O11" s="289" t="s">
        <v>397</v>
      </c>
    </row>
    <row r="12" spans="1:15" ht="42" customHeight="1">
      <c r="A12" s="291">
        <v>2</v>
      </c>
      <c r="B12" s="295" t="s">
        <v>966</v>
      </c>
      <c r="C12" s="296" t="s">
        <v>965</v>
      </c>
      <c r="D12" s="295" t="s">
        <v>530</v>
      </c>
      <c r="E12" s="418">
        <v>5</v>
      </c>
      <c r="F12" s="418" t="s">
        <v>397</v>
      </c>
      <c r="G12" s="290">
        <v>154.86000000000001</v>
      </c>
      <c r="H12" s="290">
        <v>774.3</v>
      </c>
      <c r="I12" s="290">
        <v>686.9</v>
      </c>
      <c r="J12" s="418">
        <v>75.7</v>
      </c>
      <c r="K12" s="418" t="s">
        <v>397</v>
      </c>
      <c r="L12" s="290">
        <v>11.7</v>
      </c>
      <c r="M12" s="290">
        <v>6000</v>
      </c>
      <c r="N12" s="290" t="s">
        <v>397</v>
      </c>
      <c r="O12" s="289">
        <v>8.3350000000000009</v>
      </c>
    </row>
    <row r="13" spans="1:15" ht="18" customHeight="1">
      <c r="A13" s="291" t="s">
        <v>397</v>
      </c>
      <c r="B13" s="295" t="s">
        <v>483</v>
      </c>
      <c r="C13" s="296" t="s">
        <v>964</v>
      </c>
      <c r="D13" s="295" t="s">
        <v>528</v>
      </c>
      <c r="E13" s="418">
        <v>50</v>
      </c>
      <c r="F13" s="418" t="s">
        <v>397</v>
      </c>
      <c r="G13" s="290">
        <v>120</v>
      </c>
      <c r="H13" s="290">
        <v>6000</v>
      </c>
      <c r="I13" s="290" t="s">
        <v>397</v>
      </c>
      <c r="J13" s="418" t="s">
        <v>397</v>
      </c>
      <c r="K13" s="418" t="s">
        <v>397</v>
      </c>
      <c r="L13" s="290" t="s">
        <v>397</v>
      </c>
      <c r="M13" s="290">
        <v>6000</v>
      </c>
      <c r="N13" s="290" t="s">
        <v>397</v>
      </c>
      <c r="O13" s="289" t="s">
        <v>397</v>
      </c>
    </row>
    <row r="14" spans="1:15" ht="42" customHeight="1">
      <c r="A14" s="291">
        <v>3</v>
      </c>
      <c r="B14" s="295" t="s">
        <v>962</v>
      </c>
      <c r="C14" s="296" t="s">
        <v>961</v>
      </c>
      <c r="D14" s="295" t="s">
        <v>530</v>
      </c>
      <c r="E14" s="418">
        <v>12</v>
      </c>
      <c r="F14" s="418" t="s">
        <v>397</v>
      </c>
      <c r="G14" s="290">
        <v>266.33</v>
      </c>
      <c r="H14" s="290">
        <v>3195.96</v>
      </c>
      <c r="I14" s="290">
        <v>3059.64</v>
      </c>
      <c r="J14" s="418">
        <v>136.32</v>
      </c>
      <c r="K14" s="418" t="s">
        <v>397</v>
      </c>
      <c r="L14" s="290" t="s">
        <v>397</v>
      </c>
      <c r="M14" s="290">
        <v>13885.2</v>
      </c>
      <c r="N14" s="290" t="s">
        <v>397</v>
      </c>
      <c r="O14" s="289">
        <v>37.128</v>
      </c>
    </row>
    <row r="15" spans="1:15" ht="18" customHeight="1">
      <c r="A15" s="291" t="s">
        <v>397</v>
      </c>
      <c r="B15" s="295" t="s">
        <v>483</v>
      </c>
      <c r="C15" s="296" t="s">
        <v>963</v>
      </c>
      <c r="D15" s="295" t="s">
        <v>528</v>
      </c>
      <c r="E15" s="418">
        <v>121.8</v>
      </c>
      <c r="F15" s="418" t="s">
        <v>397</v>
      </c>
      <c r="G15" s="290">
        <v>114</v>
      </c>
      <c r="H15" s="290">
        <v>13885.2</v>
      </c>
      <c r="I15" s="290" t="s">
        <v>397</v>
      </c>
      <c r="J15" s="418" t="s">
        <v>397</v>
      </c>
      <c r="K15" s="418" t="s">
        <v>397</v>
      </c>
      <c r="L15" s="290" t="s">
        <v>397</v>
      </c>
      <c r="M15" s="290">
        <v>13885.2</v>
      </c>
      <c r="N15" s="290" t="s">
        <v>397</v>
      </c>
      <c r="O15" s="289" t="s">
        <v>397</v>
      </c>
    </row>
    <row r="16" spans="1:15" ht="42" customHeight="1">
      <c r="A16" s="291">
        <v>4</v>
      </c>
      <c r="B16" s="295" t="s">
        <v>962</v>
      </c>
      <c r="C16" s="296" t="s">
        <v>961</v>
      </c>
      <c r="D16" s="295" t="s">
        <v>530</v>
      </c>
      <c r="E16" s="418">
        <v>16</v>
      </c>
      <c r="F16" s="418" t="s">
        <v>397</v>
      </c>
      <c r="G16" s="290">
        <v>266.33</v>
      </c>
      <c r="H16" s="290">
        <v>4261.28</v>
      </c>
      <c r="I16" s="290">
        <v>4079.52</v>
      </c>
      <c r="J16" s="418">
        <v>181.76</v>
      </c>
      <c r="K16" s="418" t="s">
        <v>397</v>
      </c>
      <c r="L16" s="290" t="s">
        <v>397</v>
      </c>
      <c r="M16" s="290">
        <v>41574.400000000001</v>
      </c>
      <c r="N16" s="290" t="s">
        <v>397</v>
      </c>
      <c r="O16" s="289">
        <v>49.503999999999998</v>
      </c>
    </row>
    <row r="17" spans="1:15" ht="18" customHeight="1">
      <c r="A17" s="291" t="s">
        <v>397</v>
      </c>
      <c r="B17" s="295" t="s">
        <v>483</v>
      </c>
      <c r="C17" s="296" t="s">
        <v>957</v>
      </c>
      <c r="D17" s="295" t="s">
        <v>528</v>
      </c>
      <c r="E17" s="418">
        <v>162.4</v>
      </c>
      <c r="F17" s="418" t="s">
        <v>397</v>
      </c>
      <c r="G17" s="290">
        <v>256</v>
      </c>
      <c r="H17" s="290">
        <v>41574.400000000001</v>
      </c>
      <c r="I17" s="290" t="s">
        <v>397</v>
      </c>
      <c r="J17" s="418" t="s">
        <v>397</v>
      </c>
      <c r="K17" s="418" t="s">
        <v>397</v>
      </c>
      <c r="L17" s="290" t="s">
        <v>397</v>
      </c>
      <c r="M17" s="290">
        <v>41574.400000000001</v>
      </c>
      <c r="N17" s="290" t="s">
        <v>397</v>
      </c>
      <c r="O17" s="289" t="s">
        <v>397</v>
      </c>
    </row>
    <row r="18" spans="1:15" ht="42" customHeight="1">
      <c r="A18" s="291">
        <v>5</v>
      </c>
      <c r="B18" s="295" t="s">
        <v>959</v>
      </c>
      <c r="C18" s="296" t="s">
        <v>958</v>
      </c>
      <c r="D18" s="295" t="s">
        <v>530</v>
      </c>
      <c r="E18" s="418">
        <v>6</v>
      </c>
      <c r="F18" s="418" t="s">
        <v>397</v>
      </c>
      <c r="G18" s="290">
        <v>338.14</v>
      </c>
      <c r="H18" s="290">
        <v>2028.84</v>
      </c>
      <c r="I18" s="290">
        <v>1934.94</v>
      </c>
      <c r="J18" s="418">
        <v>93.9</v>
      </c>
      <c r="K18" s="418" t="s">
        <v>397</v>
      </c>
      <c r="L18" s="290" t="s">
        <v>397</v>
      </c>
      <c r="M18" s="290">
        <v>23385.599999999999</v>
      </c>
      <c r="N18" s="290" t="s">
        <v>397</v>
      </c>
      <c r="O18" s="289">
        <v>23.484000000000002</v>
      </c>
    </row>
    <row r="19" spans="1:15" ht="18" customHeight="1" thickBot="1">
      <c r="A19" s="288" t="s">
        <v>397</v>
      </c>
      <c r="B19" s="299" t="s">
        <v>483</v>
      </c>
      <c r="C19" s="300" t="s">
        <v>957</v>
      </c>
      <c r="D19" s="299" t="s">
        <v>528</v>
      </c>
      <c r="E19" s="419">
        <v>60.9</v>
      </c>
      <c r="F19" s="419" t="s">
        <v>397</v>
      </c>
      <c r="G19" s="287">
        <v>384</v>
      </c>
      <c r="H19" s="287">
        <v>23385.599999999999</v>
      </c>
      <c r="I19" s="287" t="s">
        <v>397</v>
      </c>
      <c r="J19" s="419" t="s">
        <v>397</v>
      </c>
      <c r="K19" s="419" t="s">
        <v>397</v>
      </c>
      <c r="L19" s="287" t="s">
        <v>397</v>
      </c>
      <c r="M19" s="287">
        <v>23385.599999999999</v>
      </c>
      <c r="N19" s="287" t="s">
        <v>397</v>
      </c>
      <c r="O19" s="286" t="s">
        <v>397</v>
      </c>
    </row>
    <row r="20" spans="1:15" ht="16.5" customHeight="1">
      <c r="A20" s="412" t="s">
        <v>400</v>
      </c>
      <c r="B20" s="412" t="s">
        <v>397</v>
      </c>
      <c r="C20" s="412" t="s">
        <v>397</v>
      </c>
      <c r="D20" s="412" t="s">
        <v>397</v>
      </c>
      <c r="E20" s="412" t="s">
        <v>397</v>
      </c>
      <c r="F20" s="404" t="s">
        <v>399</v>
      </c>
      <c r="G20" s="404" t="s">
        <v>397</v>
      </c>
      <c r="H20" s="404" t="s">
        <v>397</v>
      </c>
      <c r="I20" s="404" t="s">
        <v>397</v>
      </c>
      <c r="J20" s="404" t="s">
        <v>397</v>
      </c>
      <c r="K20" s="405" t="s">
        <v>398</v>
      </c>
      <c r="L20" s="405" t="s">
        <v>397</v>
      </c>
      <c r="M20" s="405" t="s">
        <v>397</v>
      </c>
      <c r="N20" s="405" t="s">
        <v>397</v>
      </c>
      <c r="O20" s="405" t="s">
        <v>397</v>
      </c>
    </row>
    <row r="21" spans="1:15" ht="14.25" customHeight="1">
      <c r="A21" s="405" t="s">
        <v>397</v>
      </c>
      <c r="B21" s="405" t="s">
        <v>397</v>
      </c>
      <c r="C21" s="405" t="s">
        <v>397</v>
      </c>
      <c r="D21" s="405" t="s">
        <v>397</v>
      </c>
      <c r="E21" s="405" t="s">
        <v>397</v>
      </c>
      <c r="F21" s="405" t="s">
        <v>397</v>
      </c>
      <c r="G21" s="405" t="s">
        <v>397</v>
      </c>
      <c r="H21" s="405" t="s">
        <v>397</v>
      </c>
      <c r="I21" s="405" t="s">
        <v>397</v>
      </c>
      <c r="J21" s="405" t="s">
        <v>397</v>
      </c>
      <c r="K21" s="405" t="s">
        <v>397</v>
      </c>
      <c r="L21" s="405" t="s">
        <v>397</v>
      </c>
      <c r="M21" s="405" t="s">
        <v>397</v>
      </c>
      <c r="N21" s="405" t="s">
        <v>397</v>
      </c>
      <c r="O21" s="405" t="s">
        <v>397</v>
      </c>
    </row>
    <row r="22" spans="1:15" ht="32.25" customHeight="1">
      <c r="A22" s="411" t="s">
        <v>509</v>
      </c>
      <c r="B22" s="411" t="s">
        <v>397</v>
      </c>
      <c r="C22" s="411" t="s">
        <v>397</v>
      </c>
      <c r="D22" s="411" t="s">
        <v>397</v>
      </c>
      <c r="E22" s="411" t="s">
        <v>397</v>
      </c>
      <c r="F22" s="411" t="s">
        <v>397</v>
      </c>
      <c r="G22" s="411" t="s">
        <v>397</v>
      </c>
      <c r="H22" s="411" t="s">
        <v>397</v>
      </c>
      <c r="I22" s="411" t="s">
        <v>397</v>
      </c>
      <c r="J22" s="411" t="s">
        <v>397</v>
      </c>
      <c r="K22" s="411" t="s">
        <v>397</v>
      </c>
      <c r="L22" s="411" t="s">
        <v>397</v>
      </c>
      <c r="M22" s="411" t="s">
        <v>397</v>
      </c>
      <c r="N22" s="411" t="s">
        <v>397</v>
      </c>
      <c r="O22" s="411" t="s">
        <v>397</v>
      </c>
    </row>
    <row r="23" spans="1:15" ht="23.25" customHeight="1" thickBot="1">
      <c r="A23" s="412" t="s">
        <v>949</v>
      </c>
      <c r="B23" s="412" t="s">
        <v>397</v>
      </c>
      <c r="C23" s="412" t="s">
        <v>397</v>
      </c>
      <c r="D23" s="412" t="s">
        <v>397</v>
      </c>
      <c r="E23" s="412" t="s">
        <v>397</v>
      </c>
      <c r="F23" s="412" t="s">
        <v>397</v>
      </c>
      <c r="G23" s="412" t="s">
        <v>397</v>
      </c>
      <c r="H23" s="412" t="s">
        <v>397</v>
      </c>
      <c r="I23" s="412" t="s">
        <v>397</v>
      </c>
      <c r="J23" s="412" t="s">
        <v>397</v>
      </c>
      <c r="K23" s="405" t="s">
        <v>960</v>
      </c>
      <c r="L23" s="405" t="s">
        <v>397</v>
      </c>
      <c r="M23" s="405" t="s">
        <v>397</v>
      </c>
      <c r="N23" s="405" t="s">
        <v>397</v>
      </c>
      <c r="O23" s="405" t="s">
        <v>397</v>
      </c>
    </row>
    <row r="24" spans="1:15" ht="19.5" customHeight="1">
      <c r="A24" s="413" t="s">
        <v>42</v>
      </c>
      <c r="B24" s="407" t="s">
        <v>507</v>
      </c>
      <c r="C24" s="407" t="s">
        <v>506</v>
      </c>
      <c r="D24" s="407" t="s">
        <v>505</v>
      </c>
      <c r="E24" s="407" t="s">
        <v>397</v>
      </c>
      <c r="F24" s="407" t="s">
        <v>397</v>
      </c>
      <c r="G24" s="407" t="s">
        <v>504</v>
      </c>
      <c r="H24" s="407" t="s">
        <v>397</v>
      </c>
      <c r="I24" s="407" t="s">
        <v>503</v>
      </c>
      <c r="J24" s="407" t="s">
        <v>397</v>
      </c>
      <c r="K24" s="407" t="s">
        <v>397</v>
      </c>
      <c r="L24" s="407" t="s">
        <v>397</v>
      </c>
      <c r="M24" s="407" t="s">
        <v>397</v>
      </c>
      <c r="N24" s="407" t="s">
        <v>397</v>
      </c>
      <c r="O24" s="416" t="s">
        <v>502</v>
      </c>
    </row>
    <row r="25" spans="1:15" ht="18" customHeight="1">
      <c r="A25" s="414" t="s">
        <v>397</v>
      </c>
      <c r="B25" s="415" t="s">
        <v>397</v>
      </c>
      <c r="C25" s="415" t="s">
        <v>397</v>
      </c>
      <c r="D25" s="298" t="s">
        <v>384</v>
      </c>
      <c r="E25" s="415" t="s">
        <v>383</v>
      </c>
      <c r="F25" s="415" t="s">
        <v>397</v>
      </c>
      <c r="G25" s="298" t="s">
        <v>382</v>
      </c>
      <c r="H25" s="298" t="s">
        <v>381</v>
      </c>
      <c r="I25" s="298" t="s">
        <v>501</v>
      </c>
      <c r="J25" s="415" t="s">
        <v>500</v>
      </c>
      <c r="K25" s="415" t="s">
        <v>397</v>
      </c>
      <c r="L25" s="298" t="s">
        <v>499</v>
      </c>
      <c r="M25" s="298" t="s">
        <v>498</v>
      </c>
      <c r="N25" s="298" t="s">
        <v>497</v>
      </c>
      <c r="O25" s="417" t="s">
        <v>397</v>
      </c>
    </row>
    <row r="26" spans="1:15" ht="42" customHeight="1">
      <c r="A26" s="291">
        <v>6</v>
      </c>
      <c r="B26" s="295" t="s">
        <v>959</v>
      </c>
      <c r="C26" s="296" t="s">
        <v>958</v>
      </c>
      <c r="D26" s="295" t="s">
        <v>530</v>
      </c>
      <c r="E26" s="418">
        <v>8</v>
      </c>
      <c r="F26" s="418" t="s">
        <v>397</v>
      </c>
      <c r="G26" s="290">
        <v>338.14</v>
      </c>
      <c r="H26" s="290">
        <v>2705.12</v>
      </c>
      <c r="I26" s="290">
        <v>2579.92</v>
      </c>
      <c r="J26" s="418">
        <v>125.2</v>
      </c>
      <c r="K26" s="418" t="s">
        <v>397</v>
      </c>
      <c r="L26" s="290" t="s">
        <v>397</v>
      </c>
      <c r="M26" s="290">
        <v>46771.199999999997</v>
      </c>
      <c r="N26" s="290" t="s">
        <v>397</v>
      </c>
      <c r="O26" s="289">
        <v>31.312000000000001</v>
      </c>
    </row>
    <row r="27" spans="1:15" ht="18" customHeight="1">
      <c r="A27" s="291" t="s">
        <v>397</v>
      </c>
      <c r="B27" s="295" t="s">
        <v>483</v>
      </c>
      <c r="C27" s="296" t="s">
        <v>957</v>
      </c>
      <c r="D27" s="295" t="s">
        <v>528</v>
      </c>
      <c r="E27" s="418">
        <v>81.2</v>
      </c>
      <c r="F27" s="418" t="s">
        <v>397</v>
      </c>
      <c r="G27" s="290">
        <v>576</v>
      </c>
      <c r="H27" s="290">
        <v>46771.199999999997</v>
      </c>
      <c r="I27" s="290" t="s">
        <v>397</v>
      </c>
      <c r="J27" s="418" t="s">
        <v>397</v>
      </c>
      <c r="K27" s="418" t="s">
        <v>397</v>
      </c>
      <c r="L27" s="290" t="s">
        <v>397</v>
      </c>
      <c r="M27" s="290">
        <v>46771.199999999997</v>
      </c>
      <c r="N27" s="290" t="s">
        <v>397</v>
      </c>
      <c r="O27" s="289" t="s">
        <v>397</v>
      </c>
    </row>
    <row r="28" spans="1:15" ht="16.5" customHeight="1">
      <c r="A28" s="291" t="s">
        <v>397</v>
      </c>
      <c r="B28" s="295" t="s">
        <v>397</v>
      </c>
      <c r="C28" s="297" t="s">
        <v>481</v>
      </c>
      <c r="D28" s="295" t="s">
        <v>397</v>
      </c>
      <c r="E28" s="418" t="s">
        <v>397</v>
      </c>
      <c r="F28" s="418" t="s">
        <v>397</v>
      </c>
      <c r="G28" s="290" t="s">
        <v>397</v>
      </c>
      <c r="H28" s="290">
        <v>145600</v>
      </c>
      <c r="I28" s="290" t="s">
        <v>397</v>
      </c>
      <c r="J28" s="418">
        <v>145600</v>
      </c>
      <c r="K28" s="418" t="s">
        <v>397</v>
      </c>
      <c r="L28" s="290" t="s">
        <v>397</v>
      </c>
      <c r="M28" s="290" t="s">
        <v>397</v>
      </c>
      <c r="N28" s="290" t="s">
        <v>397</v>
      </c>
      <c r="O28" s="289" t="s">
        <v>397</v>
      </c>
    </row>
    <row r="29" spans="1:15" ht="18" customHeight="1">
      <c r="A29" s="291">
        <v>1</v>
      </c>
      <c r="B29" s="295" t="s">
        <v>480</v>
      </c>
      <c r="C29" s="296" t="s">
        <v>956</v>
      </c>
      <c r="D29" s="295" t="s">
        <v>951</v>
      </c>
      <c r="E29" s="418">
        <v>2</v>
      </c>
      <c r="F29" s="418" t="s">
        <v>397</v>
      </c>
      <c r="G29" s="290">
        <v>3500</v>
      </c>
      <c r="H29" s="290">
        <v>7000</v>
      </c>
      <c r="I29" s="290" t="s">
        <v>397</v>
      </c>
      <c r="J29" s="418">
        <v>7000</v>
      </c>
      <c r="K29" s="418" t="s">
        <v>397</v>
      </c>
      <c r="L29" s="290" t="s">
        <v>397</v>
      </c>
      <c r="M29" s="290" t="s">
        <v>397</v>
      </c>
      <c r="N29" s="290" t="s">
        <v>397</v>
      </c>
      <c r="O29" s="289" t="s">
        <v>397</v>
      </c>
    </row>
    <row r="30" spans="1:15" ht="18" customHeight="1">
      <c r="A30" s="291">
        <v>2</v>
      </c>
      <c r="B30" s="295" t="s">
        <v>480</v>
      </c>
      <c r="C30" s="296" t="s">
        <v>955</v>
      </c>
      <c r="D30" s="295" t="s">
        <v>951</v>
      </c>
      <c r="E30" s="418">
        <v>8</v>
      </c>
      <c r="F30" s="418" t="s">
        <v>397</v>
      </c>
      <c r="G30" s="290">
        <v>1200</v>
      </c>
      <c r="H30" s="290">
        <v>9600</v>
      </c>
      <c r="I30" s="290" t="s">
        <v>397</v>
      </c>
      <c r="J30" s="418">
        <v>9600</v>
      </c>
      <c r="K30" s="418" t="s">
        <v>397</v>
      </c>
      <c r="L30" s="290" t="s">
        <v>397</v>
      </c>
      <c r="M30" s="290" t="s">
        <v>397</v>
      </c>
      <c r="N30" s="290" t="s">
        <v>397</v>
      </c>
      <c r="O30" s="289" t="s">
        <v>397</v>
      </c>
    </row>
    <row r="31" spans="1:15" ht="18" customHeight="1">
      <c r="A31" s="291">
        <v>3</v>
      </c>
      <c r="B31" s="295" t="s">
        <v>480</v>
      </c>
      <c r="C31" s="296" t="s">
        <v>954</v>
      </c>
      <c r="D31" s="295" t="s">
        <v>951</v>
      </c>
      <c r="E31" s="418">
        <v>15</v>
      </c>
      <c r="F31" s="418" t="s">
        <v>397</v>
      </c>
      <c r="G31" s="290">
        <v>1200</v>
      </c>
      <c r="H31" s="290">
        <v>18000</v>
      </c>
      <c r="I31" s="290" t="s">
        <v>397</v>
      </c>
      <c r="J31" s="418">
        <v>18000</v>
      </c>
      <c r="K31" s="418" t="s">
        <v>397</v>
      </c>
      <c r="L31" s="290" t="s">
        <v>397</v>
      </c>
      <c r="M31" s="290" t="s">
        <v>397</v>
      </c>
      <c r="N31" s="290" t="s">
        <v>397</v>
      </c>
      <c r="O31" s="289" t="s">
        <v>397</v>
      </c>
    </row>
    <row r="32" spans="1:15" ht="18" customHeight="1">
      <c r="A32" s="291">
        <v>4</v>
      </c>
      <c r="B32" s="295" t="s">
        <v>480</v>
      </c>
      <c r="C32" s="296" t="s">
        <v>953</v>
      </c>
      <c r="D32" s="295" t="s">
        <v>951</v>
      </c>
      <c r="E32" s="418">
        <v>1</v>
      </c>
      <c r="F32" s="418" t="s">
        <v>397</v>
      </c>
      <c r="G32" s="290">
        <v>12000</v>
      </c>
      <c r="H32" s="290">
        <v>12000</v>
      </c>
      <c r="I32" s="290" t="s">
        <v>397</v>
      </c>
      <c r="J32" s="418">
        <v>12000</v>
      </c>
      <c r="K32" s="418" t="s">
        <v>397</v>
      </c>
      <c r="L32" s="290" t="s">
        <v>397</v>
      </c>
      <c r="M32" s="290" t="s">
        <v>397</v>
      </c>
      <c r="N32" s="290" t="s">
        <v>397</v>
      </c>
      <c r="O32" s="289" t="s">
        <v>397</v>
      </c>
    </row>
    <row r="33" spans="1:15" ht="18" customHeight="1">
      <c r="A33" s="291">
        <v>5</v>
      </c>
      <c r="B33" s="295" t="s">
        <v>480</v>
      </c>
      <c r="C33" s="296" t="s">
        <v>952</v>
      </c>
      <c r="D33" s="295" t="s">
        <v>951</v>
      </c>
      <c r="E33" s="418">
        <v>30</v>
      </c>
      <c r="F33" s="418" t="s">
        <v>397</v>
      </c>
      <c r="G33" s="290">
        <v>200</v>
      </c>
      <c r="H33" s="290">
        <v>6000</v>
      </c>
      <c r="I33" s="290" t="s">
        <v>397</v>
      </c>
      <c r="J33" s="418">
        <v>6000</v>
      </c>
      <c r="K33" s="418" t="s">
        <v>397</v>
      </c>
      <c r="L33" s="290" t="s">
        <v>397</v>
      </c>
      <c r="M33" s="290" t="s">
        <v>397</v>
      </c>
      <c r="N33" s="290" t="s">
        <v>397</v>
      </c>
      <c r="O33" s="289" t="s">
        <v>397</v>
      </c>
    </row>
    <row r="34" spans="1:15" ht="18" customHeight="1">
      <c r="A34" s="291">
        <v>6</v>
      </c>
      <c r="B34" s="295" t="s">
        <v>478</v>
      </c>
      <c r="C34" s="296" t="s">
        <v>950</v>
      </c>
      <c r="D34" s="295" t="s">
        <v>528</v>
      </c>
      <c r="E34" s="418">
        <v>620</v>
      </c>
      <c r="F34" s="418" t="s">
        <v>397</v>
      </c>
      <c r="G34" s="290">
        <v>150</v>
      </c>
      <c r="H34" s="290">
        <v>93000</v>
      </c>
      <c r="I34" s="290" t="s">
        <v>397</v>
      </c>
      <c r="J34" s="418">
        <v>93000</v>
      </c>
      <c r="K34" s="418" t="s">
        <v>397</v>
      </c>
      <c r="L34" s="290" t="s">
        <v>397</v>
      </c>
      <c r="M34" s="290" t="s">
        <v>397</v>
      </c>
      <c r="N34" s="290" t="s">
        <v>397</v>
      </c>
      <c r="O34" s="289" t="s">
        <v>397</v>
      </c>
    </row>
    <row r="35" spans="1:15" ht="18" customHeight="1">
      <c r="A35" s="291" t="s">
        <v>397</v>
      </c>
      <c r="B35" s="295" t="s">
        <v>397</v>
      </c>
      <c r="C35" s="296" t="s">
        <v>397</v>
      </c>
      <c r="D35" s="295" t="s">
        <v>397</v>
      </c>
      <c r="E35" s="418" t="s">
        <v>397</v>
      </c>
      <c r="F35" s="418" t="s">
        <v>397</v>
      </c>
      <c r="G35" s="290" t="s">
        <v>397</v>
      </c>
      <c r="H35" s="290" t="s">
        <v>397</v>
      </c>
      <c r="I35" s="290" t="s">
        <v>397</v>
      </c>
      <c r="J35" s="418" t="s">
        <v>397</v>
      </c>
      <c r="K35" s="418" t="s">
        <v>397</v>
      </c>
      <c r="L35" s="290" t="s">
        <v>397</v>
      </c>
      <c r="M35" s="290" t="s">
        <v>397</v>
      </c>
      <c r="N35" s="290" t="s">
        <v>397</v>
      </c>
      <c r="O35" s="289" t="s">
        <v>397</v>
      </c>
    </row>
    <row r="36" spans="1:15" ht="18" customHeight="1">
      <c r="A36" s="291" t="s">
        <v>397</v>
      </c>
      <c r="B36" s="295" t="s">
        <v>397</v>
      </c>
      <c r="C36" s="296" t="s">
        <v>397</v>
      </c>
      <c r="D36" s="295" t="s">
        <v>397</v>
      </c>
      <c r="E36" s="418" t="s">
        <v>397</v>
      </c>
      <c r="F36" s="418" t="s">
        <v>397</v>
      </c>
      <c r="G36" s="290" t="s">
        <v>397</v>
      </c>
      <c r="H36" s="290" t="s">
        <v>397</v>
      </c>
      <c r="I36" s="290" t="s">
        <v>397</v>
      </c>
      <c r="J36" s="418" t="s">
        <v>397</v>
      </c>
      <c r="K36" s="418" t="s">
        <v>397</v>
      </c>
      <c r="L36" s="290" t="s">
        <v>397</v>
      </c>
      <c r="M36" s="290" t="s">
        <v>397</v>
      </c>
      <c r="N36" s="290" t="s">
        <v>397</v>
      </c>
      <c r="O36" s="289" t="s">
        <v>397</v>
      </c>
    </row>
    <row r="37" spans="1:15" ht="18" customHeight="1">
      <c r="A37" s="291" t="s">
        <v>397</v>
      </c>
      <c r="B37" s="295" t="s">
        <v>397</v>
      </c>
      <c r="C37" s="296" t="s">
        <v>397</v>
      </c>
      <c r="D37" s="295" t="s">
        <v>397</v>
      </c>
      <c r="E37" s="418" t="s">
        <v>397</v>
      </c>
      <c r="F37" s="418" t="s">
        <v>397</v>
      </c>
      <c r="G37" s="290" t="s">
        <v>397</v>
      </c>
      <c r="H37" s="290" t="s">
        <v>397</v>
      </c>
      <c r="I37" s="290" t="s">
        <v>397</v>
      </c>
      <c r="J37" s="418" t="s">
        <v>397</v>
      </c>
      <c r="K37" s="418" t="s">
        <v>397</v>
      </c>
      <c r="L37" s="290" t="s">
        <v>397</v>
      </c>
      <c r="M37" s="290" t="s">
        <v>397</v>
      </c>
      <c r="N37" s="290" t="s">
        <v>397</v>
      </c>
      <c r="O37" s="289" t="s">
        <v>397</v>
      </c>
    </row>
    <row r="38" spans="1:15" ht="18" customHeight="1">
      <c r="A38" s="291" t="s">
        <v>397</v>
      </c>
      <c r="B38" s="295" t="s">
        <v>397</v>
      </c>
      <c r="C38" s="296" t="s">
        <v>397</v>
      </c>
      <c r="D38" s="295" t="s">
        <v>397</v>
      </c>
      <c r="E38" s="418" t="s">
        <v>397</v>
      </c>
      <c r="F38" s="418" t="s">
        <v>397</v>
      </c>
      <c r="G38" s="290" t="s">
        <v>397</v>
      </c>
      <c r="H38" s="290" t="s">
        <v>397</v>
      </c>
      <c r="I38" s="290" t="s">
        <v>397</v>
      </c>
      <c r="J38" s="418" t="s">
        <v>397</v>
      </c>
      <c r="K38" s="418" t="s">
        <v>397</v>
      </c>
      <c r="L38" s="290" t="s">
        <v>397</v>
      </c>
      <c r="M38" s="290" t="s">
        <v>397</v>
      </c>
      <c r="N38" s="290" t="s">
        <v>397</v>
      </c>
      <c r="O38" s="289" t="s">
        <v>397</v>
      </c>
    </row>
    <row r="39" spans="1:15" ht="18" customHeight="1">
      <c r="A39" s="291" t="s">
        <v>397</v>
      </c>
      <c r="B39" s="295" t="s">
        <v>397</v>
      </c>
      <c r="C39" s="296" t="s">
        <v>397</v>
      </c>
      <c r="D39" s="295" t="s">
        <v>397</v>
      </c>
      <c r="E39" s="418" t="s">
        <v>397</v>
      </c>
      <c r="F39" s="418" t="s">
        <v>397</v>
      </c>
      <c r="G39" s="290" t="s">
        <v>397</v>
      </c>
      <c r="H39" s="290" t="s">
        <v>397</v>
      </c>
      <c r="I39" s="290" t="s">
        <v>397</v>
      </c>
      <c r="J39" s="418" t="s">
        <v>397</v>
      </c>
      <c r="K39" s="418" t="s">
        <v>397</v>
      </c>
      <c r="L39" s="290" t="s">
        <v>397</v>
      </c>
      <c r="M39" s="290" t="s">
        <v>397</v>
      </c>
      <c r="N39" s="290" t="s">
        <v>397</v>
      </c>
      <c r="O39" s="289" t="s">
        <v>397</v>
      </c>
    </row>
    <row r="40" spans="1:15" ht="18" customHeight="1">
      <c r="A40" s="291" t="s">
        <v>397</v>
      </c>
      <c r="B40" s="295" t="s">
        <v>397</v>
      </c>
      <c r="C40" s="296" t="s">
        <v>397</v>
      </c>
      <c r="D40" s="295" t="s">
        <v>397</v>
      </c>
      <c r="E40" s="418" t="s">
        <v>397</v>
      </c>
      <c r="F40" s="418" t="s">
        <v>397</v>
      </c>
      <c r="G40" s="290" t="s">
        <v>397</v>
      </c>
      <c r="H40" s="290" t="s">
        <v>397</v>
      </c>
      <c r="I40" s="290" t="s">
        <v>397</v>
      </c>
      <c r="J40" s="418" t="s">
        <v>397</v>
      </c>
      <c r="K40" s="418" t="s">
        <v>397</v>
      </c>
      <c r="L40" s="290" t="s">
        <v>397</v>
      </c>
      <c r="M40" s="290" t="s">
        <v>397</v>
      </c>
      <c r="N40" s="290" t="s">
        <v>397</v>
      </c>
      <c r="O40" s="289" t="s">
        <v>397</v>
      </c>
    </row>
    <row r="41" spans="1:15" ht="18" customHeight="1">
      <c r="A41" s="291" t="s">
        <v>397</v>
      </c>
      <c r="B41" s="295" t="s">
        <v>397</v>
      </c>
      <c r="C41" s="296" t="s">
        <v>397</v>
      </c>
      <c r="D41" s="295" t="s">
        <v>397</v>
      </c>
      <c r="E41" s="418" t="s">
        <v>397</v>
      </c>
      <c r="F41" s="418" t="s">
        <v>397</v>
      </c>
      <c r="G41" s="290" t="s">
        <v>397</v>
      </c>
      <c r="H41" s="290" t="s">
        <v>397</v>
      </c>
      <c r="I41" s="290" t="s">
        <v>397</v>
      </c>
      <c r="J41" s="418" t="s">
        <v>397</v>
      </c>
      <c r="K41" s="418" t="s">
        <v>397</v>
      </c>
      <c r="L41" s="290" t="s">
        <v>397</v>
      </c>
      <c r="M41" s="290" t="s">
        <v>397</v>
      </c>
      <c r="N41" s="290" t="s">
        <v>397</v>
      </c>
      <c r="O41" s="289" t="s">
        <v>397</v>
      </c>
    </row>
    <row r="42" spans="1:15" ht="18" customHeight="1">
      <c r="A42" s="291" t="s">
        <v>397</v>
      </c>
      <c r="B42" s="295" t="s">
        <v>397</v>
      </c>
      <c r="C42" s="296" t="s">
        <v>397</v>
      </c>
      <c r="D42" s="295" t="s">
        <v>397</v>
      </c>
      <c r="E42" s="418" t="s">
        <v>397</v>
      </c>
      <c r="F42" s="418" t="s">
        <v>397</v>
      </c>
      <c r="G42" s="290" t="s">
        <v>397</v>
      </c>
      <c r="H42" s="290" t="s">
        <v>397</v>
      </c>
      <c r="I42" s="290" t="s">
        <v>397</v>
      </c>
      <c r="J42" s="418" t="s">
        <v>397</v>
      </c>
      <c r="K42" s="418" t="s">
        <v>397</v>
      </c>
      <c r="L42" s="290" t="s">
        <v>397</v>
      </c>
      <c r="M42" s="290" t="s">
        <v>397</v>
      </c>
      <c r="N42" s="290" t="s">
        <v>397</v>
      </c>
      <c r="O42" s="289" t="s">
        <v>397</v>
      </c>
    </row>
    <row r="43" spans="1:15" ht="18" hidden="1" customHeight="1">
      <c r="A43" s="291" t="s">
        <v>397</v>
      </c>
      <c r="B43" s="295" t="s">
        <v>397</v>
      </c>
      <c r="C43" s="296" t="s">
        <v>397</v>
      </c>
      <c r="D43" s="295" t="s">
        <v>397</v>
      </c>
      <c r="E43" s="418" t="s">
        <v>397</v>
      </c>
      <c r="F43" s="418" t="s">
        <v>397</v>
      </c>
      <c r="G43" s="290" t="s">
        <v>397</v>
      </c>
      <c r="H43" s="290" t="s">
        <v>397</v>
      </c>
      <c r="I43" s="290" t="s">
        <v>397</v>
      </c>
      <c r="J43" s="418" t="s">
        <v>397</v>
      </c>
      <c r="K43" s="418" t="s">
        <v>397</v>
      </c>
      <c r="L43" s="290" t="s">
        <v>397</v>
      </c>
      <c r="M43" s="290" t="s">
        <v>397</v>
      </c>
      <c r="N43" s="290" t="s">
        <v>397</v>
      </c>
      <c r="O43" s="289" t="s">
        <v>397</v>
      </c>
    </row>
    <row r="44" spans="1:15" ht="18" hidden="1" customHeight="1">
      <c r="A44" s="291" t="s">
        <v>397</v>
      </c>
      <c r="B44" s="295" t="s">
        <v>397</v>
      </c>
      <c r="C44" s="296" t="s">
        <v>397</v>
      </c>
      <c r="D44" s="295" t="s">
        <v>397</v>
      </c>
      <c r="E44" s="418" t="s">
        <v>397</v>
      </c>
      <c r="F44" s="418" t="s">
        <v>397</v>
      </c>
      <c r="G44" s="290" t="s">
        <v>397</v>
      </c>
      <c r="H44" s="290" t="s">
        <v>397</v>
      </c>
      <c r="I44" s="290" t="s">
        <v>397</v>
      </c>
      <c r="J44" s="418" t="s">
        <v>397</v>
      </c>
      <c r="K44" s="418" t="s">
        <v>397</v>
      </c>
      <c r="L44" s="290" t="s">
        <v>397</v>
      </c>
      <c r="M44" s="290" t="s">
        <v>397</v>
      </c>
      <c r="N44" s="290" t="s">
        <v>397</v>
      </c>
      <c r="O44" s="289" t="s">
        <v>397</v>
      </c>
    </row>
    <row r="45" spans="1:15" ht="16.5" customHeight="1" thickBot="1">
      <c r="A45" s="420" t="s">
        <v>473</v>
      </c>
      <c r="B45" s="421" t="s">
        <v>397</v>
      </c>
      <c r="C45" s="421" t="s">
        <v>397</v>
      </c>
      <c r="D45" s="421" t="s">
        <v>397</v>
      </c>
      <c r="E45" s="421" t="s">
        <v>397</v>
      </c>
      <c r="F45" s="421" t="s">
        <v>397</v>
      </c>
      <c r="G45" s="421" t="s">
        <v>397</v>
      </c>
      <c r="H45" s="287">
        <v>318586.8</v>
      </c>
      <c r="I45" s="287">
        <v>14286.36</v>
      </c>
      <c r="J45" s="419">
        <v>146588.69</v>
      </c>
      <c r="K45" s="419" t="s">
        <v>397</v>
      </c>
      <c r="L45" s="287">
        <v>408.75</v>
      </c>
      <c r="M45" s="287">
        <v>157303</v>
      </c>
      <c r="N45" s="287" t="s">
        <v>397</v>
      </c>
      <c r="O45" s="286">
        <v>173.37299999999999</v>
      </c>
    </row>
    <row r="46" spans="1:15" ht="16.5" customHeight="1">
      <c r="A46" s="412" t="s">
        <v>400</v>
      </c>
      <c r="B46" s="412" t="s">
        <v>397</v>
      </c>
      <c r="C46" s="412" t="s">
        <v>397</v>
      </c>
      <c r="D46" s="412" t="s">
        <v>397</v>
      </c>
      <c r="E46" s="412" t="s">
        <v>397</v>
      </c>
      <c r="F46" s="404" t="s">
        <v>399</v>
      </c>
      <c r="G46" s="404" t="s">
        <v>397</v>
      </c>
      <c r="H46" s="404" t="s">
        <v>397</v>
      </c>
      <c r="I46" s="404" t="s">
        <v>397</v>
      </c>
      <c r="J46" s="404" t="s">
        <v>397</v>
      </c>
      <c r="K46" s="405" t="s">
        <v>398</v>
      </c>
      <c r="L46" s="405" t="s">
        <v>397</v>
      </c>
      <c r="M46" s="405" t="s">
        <v>397</v>
      </c>
      <c r="N46" s="405" t="s">
        <v>397</v>
      </c>
      <c r="O46" s="405" t="s">
        <v>397</v>
      </c>
    </row>
  </sheetData>
  <mergeCells count="104">
    <mergeCell ref="E41:F41"/>
    <mergeCell ref="J41:K41"/>
    <mergeCell ref="E42:F42"/>
    <mergeCell ref="J42:K42"/>
    <mergeCell ref="A46:E46"/>
    <mergeCell ref="F46:J46"/>
    <mergeCell ref="K46:O46"/>
    <mergeCell ref="E43:F43"/>
    <mergeCell ref="J43:K43"/>
    <mergeCell ref="E44:F44"/>
    <mergeCell ref="J44:K44"/>
    <mergeCell ref="A45:G45"/>
    <mergeCell ref="J45:K45"/>
    <mergeCell ref="E36:F36"/>
    <mergeCell ref="J36:K36"/>
    <mergeCell ref="E37:F37"/>
    <mergeCell ref="J37:K37"/>
    <mergeCell ref="E38:F38"/>
    <mergeCell ref="J38:K38"/>
    <mergeCell ref="E39:F39"/>
    <mergeCell ref="J39:K39"/>
    <mergeCell ref="E40:F40"/>
    <mergeCell ref="J40:K40"/>
    <mergeCell ref="E31:F31"/>
    <mergeCell ref="J31:K31"/>
    <mergeCell ref="E32:F32"/>
    <mergeCell ref="J32:K32"/>
    <mergeCell ref="E33:F33"/>
    <mergeCell ref="J33:K33"/>
    <mergeCell ref="E34:F34"/>
    <mergeCell ref="J34:K34"/>
    <mergeCell ref="E35:F35"/>
    <mergeCell ref="J35:K35"/>
    <mergeCell ref="E26:F26"/>
    <mergeCell ref="J26:K26"/>
    <mergeCell ref="E27:F27"/>
    <mergeCell ref="J27:K27"/>
    <mergeCell ref="E28:F28"/>
    <mergeCell ref="J28:K28"/>
    <mergeCell ref="E29:F29"/>
    <mergeCell ref="J29:K29"/>
    <mergeCell ref="E30:F30"/>
    <mergeCell ref="J30:K30"/>
    <mergeCell ref="A21:E21"/>
    <mergeCell ref="F21:J21"/>
    <mergeCell ref="K21:O21"/>
    <mergeCell ref="A22:O22"/>
    <mergeCell ref="A23:J23"/>
    <mergeCell ref="K23:O23"/>
    <mergeCell ref="A24:A25"/>
    <mergeCell ref="B24:B25"/>
    <mergeCell ref="C24:C25"/>
    <mergeCell ref="D24:F24"/>
    <mergeCell ref="G24:H24"/>
    <mergeCell ref="I24:N24"/>
    <mergeCell ref="O24:O25"/>
    <mergeCell ref="E25:F25"/>
    <mergeCell ref="J25:K25"/>
    <mergeCell ref="E16:F16"/>
    <mergeCell ref="J16:K16"/>
    <mergeCell ref="E17:F17"/>
    <mergeCell ref="J17:K17"/>
    <mergeCell ref="E18:F18"/>
    <mergeCell ref="J18:K18"/>
    <mergeCell ref="E19:F19"/>
    <mergeCell ref="J19:K19"/>
    <mergeCell ref="A20:E20"/>
    <mergeCell ref="F20:J20"/>
    <mergeCell ref="K20:O20"/>
    <mergeCell ref="E11:F11"/>
    <mergeCell ref="J11:K11"/>
    <mergeCell ref="E12:F12"/>
    <mergeCell ref="J12:K12"/>
    <mergeCell ref="E13:F13"/>
    <mergeCell ref="J13:K13"/>
    <mergeCell ref="E14:F14"/>
    <mergeCell ref="J14:K14"/>
    <mergeCell ref="E15:F15"/>
    <mergeCell ref="J15:K15"/>
    <mergeCell ref="E6:F6"/>
    <mergeCell ref="J6:K6"/>
    <mergeCell ref="E7:F7"/>
    <mergeCell ref="J7:K7"/>
    <mergeCell ref="E8:F8"/>
    <mergeCell ref="J8:K8"/>
    <mergeCell ref="E9:F9"/>
    <mergeCell ref="J9:K9"/>
    <mergeCell ref="E10:F10"/>
    <mergeCell ref="J10:K10"/>
    <mergeCell ref="A1:E1"/>
    <mergeCell ref="F1:J1"/>
    <mergeCell ref="K1:O1"/>
    <mergeCell ref="A2:O2"/>
    <mergeCell ref="A3:J3"/>
    <mergeCell ref="K3:O3"/>
    <mergeCell ref="A4:A5"/>
    <mergeCell ref="B4:B5"/>
    <mergeCell ref="C4:C5"/>
    <mergeCell ref="D4:F4"/>
    <mergeCell ref="G4:H4"/>
    <mergeCell ref="I4:N4"/>
    <mergeCell ref="O4:O5"/>
    <mergeCell ref="E5:F5"/>
    <mergeCell ref="J5:K5"/>
  </mergeCells>
  <phoneticPr fontId="34" type="noConversion"/>
  <pageMargins left="0.51500984251968507" right="0.51500984251968507" top="0.59375" bottom="0.59375" header="0.59375" footer="0.59375"/>
  <pageSetup paperSize="9" orientation="landscape" r:id="rId1"/>
  <headerFooter alignWithMargins="0"/>
  <rowBreaks count="1" manualBreakCount="1">
    <brk id="20" min="1" max="25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10</vt:i4>
      </vt:variant>
    </vt:vector>
  </HeadingPairs>
  <TitlesOfParts>
    <vt:vector size="30" baseType="lpstr">
      <vt:lpstr>总概</vt:lpstr>
      <vt:lpstr>其他</vt:lpstr>
      <vt:lpstr>工艺设备</vt:lpstr>
      <vt:lpstr>公用设备表</vt:lpstr>
      <vt:lpstr>新增工艺设备</vt:lpstr>
      <vt:lpstr>汇总表</vt:lpstr>
      <vt:lpstr>土费</vt:lpstr>
      <vt:lpstr>土</vt:lpstr>
      <vt:lpstr>土措</vt:lpstr>
      <vt:lpstr>土差</vt:lpstr>
      <vt:lpstr>水费</vt:lpstr>
      <vt:lpstr>水</vt:lpstr>
      <vt:lpstr>暖费</vt:lpstr>
      <vt:lpstr>暖</vt:lpstr>
      <vt:lpstr>电费</vt:lpstr>
      <vt:lpstr>电</vt:lpstr>
      <vt:lpstr>外电费</vt:lpstr>
      <vt:lpstr>外电</vt:lpstr>
      <vt:lpstr>外水费</vt:lpstr>
      <vt:lpstr>外水</vt:lpstr>
      <vt:lpstr>工艺设备!Print_Area</vt:lpstr>
      <vt:lpstr>公用设备表!Print_Area</vt:lpstr>
      <vt:lpstr>汇总表!Print_Area</vt:lpstr>
      <vt:lpstr>其他!Print_Area</vt:lpstr>
      <vt:lpstr>新增工艺设备!Print_Area</vt:lpstr>
      <vt:lpstr>总概!Print_Area</vt:lpstr>
      <vt:lpstr>工艺设备!Print_Titles</vt:lpstr>
      <vt:lpstr>公用设备表!Print_Titles</vt:lpstr>
      <vt:lpstr>新增工艺设备!Print_Titles</vt:lpstr>
      <vt:lpstr>总概!Print_Titles</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2014-06-30T07:57:34Z</cp:lastPrinted>
  <dcterms:created xsi:type="dcterms:W3CDTF">2010-09-26T02:16:36Z</dcterms:created>
  <dcterms:modified xsi:type="dcterms:W3CDTF">2014-06-30T07:58:00Z</dcterms:modified>
</cp:coreProperties>
</file>