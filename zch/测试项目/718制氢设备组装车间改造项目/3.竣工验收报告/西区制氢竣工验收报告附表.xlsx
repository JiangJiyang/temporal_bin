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E:\项目资料\718（非密）\（正在进行）竣工验收报告\7、8西区AB有机废气项目、制氢设备组装车间改造项目验收\"/>
    </mc:Choice>
  </mc:AlternateContent>
  <xr:revisionPtr revIDLastSave="0" documentId="13_ncr:1_{E14D1CA1-B6DA-4254-99AA-ADC8C45D10D6}" xr6:coauthVersionLast="47" xr6:coauthVersionMax="47" xr10:uidLastSave="{00000000-0000-0000-0000-000000000000}"/>
  <bookViews>
    <workbookView xWindow="-108" yWindow="-108" windowWidth="23256" windowHeight="12456" tabRatio="860" xr2:uid="{00000000-000D-0000-FFFF-FFFF00000000}"/>
  </bookViews>
  <sheets>
    <sheet name="1总概算" sheetId="1" r:id="rId1"/>
    <sheet name="2建筑工程" sheetId="3" r:id="rId2"/>
    <sheet name="3设备" sheetId="4" r:id="rId3"/>
    <sheet name="4变更" sheetId="5" state="hidden" r:id="rId4"/>
    <sheet name="5设备调整" sheetId="6" state="hidden" r:id="rId5"/>
    <sheet name="6未完工程" sheetId="7" state="hidden" r:id="rId6"/>
    <sheet name="7未完设备" sheetId="8" state="hidden" r:id="rId7"/>
    <sheet name="8人员" sheetId="9" state="hidden" r:id="rId8"/>
    <sheet name="9贷款" sheetId="10" state="hidden" r:id="rId9"/>
    <sheet name="10决算" sheetId="11" state="hidden" r:id="rId10"/>
    <sheet name="11工艺" sheetId="12" r:id="rId11"/>
    <sheet name="12建筑物" sheetId="13" r:id="rId12"/>
    <sheet name="13公用" sheetId="14" r:id="rId13"/>
    <sheet name="14特种设备" sheetId="15" state="hidden" r:id="rId14"/>
    <sheet name="15成效" sheetId="16" state="hidden" r:id="rId15"/>
  </sheets>
  <definedNames>
    <definedName name="_xlnm._FilterDatabase" localSheetId="10" hidden="1">'11工艺'!$A$5:$U$9</definedName>
    <definedName name="_xlnm._FilterDatabase" localSheetId="12" hidden="1">'13公用'!$A$5:$U$25</definedName>
    <definedName name="_xlnm.Print_Area" localSheetId="10">'11工艺'!$A$1:$U$9</definedName>
    <definedName name="_xlnm.Print_Area" localSheetId="12">'13公用'!$A$1:$U$26</definedName>
    <definedName name="_xlnm.Print_Area" localSheetId="0">'1总概算'!$A$1:$Q$28</definedName>
    <definedName name="_xlnm.Print_Area" localSheetId="1">'2建筑工程'!$A$1:$M$17</definedName>
    <definedName name="_xlnm.Print_Area" localSheetId="2">'3设备'!$A$1:$L$10</definedName>
    <definedName name="_xlnm.Print_Titles" localSheetId="9">'10决算'!$1:$6</definedName>
    <definedName name="_xlnm.Print_Titles" localSheetId="10">'11工艺'!$1:$5</definedName>
    <definedName name="_xlnm.Print_Titles" localSheetId="11">'12建筑物'!$1:$5</definedName>
    <definedName name="_xlnm.Print_Titles" localSheetId="12">'13公用'!$1:$5</definedName>
    <definedName name="_xlnm.Print_Titles" localSheetId="13">'14特种设备'!$1:$5</definedName>
    <definedName name="_xlnm.Print_Titles" localSheetId="14">'15成效'!$1:$4</definedName>
    <definedName name="_xlnm.Print_Titles" localSheetId="0">'1总概算'!$1:$5</definedName>
    <definedName name="_xlnm.Print_Titles" localSheetId="1">'2建筑工程'!$1:$5</definedName>
    <definedName name="_xlnm.Print_Titles" localSheetId="2">'3设备'!$1:$5</definedName>
    <definedName name="_xlnm.Print_Titles" localSheetId="3">'4变更'!$1:$4</definedName>
    <definedName name="_xlnm.Print_Titles" localSheetId="4">'5设备调整'!$1:$5</definedName>
    <definedName name="_xlnm.Print_Titles" localSheetId="5">'6未完工程'!$1:$4</definedName>
    <definedName name="_xlnm.Print_Titles" localSheetId="6">'7未完设备'!$1:$4</definedName>
    <definedName name="_xlnm.Print_Titles" localSheetId="7">'8人员'!$1:$5</definedName>
    <definedName name="_xlnm.Print_Titles" localSheetId="8">'9贷款'!$1:$4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3" l="1"/>
  <c r="K10" i="3"/>
  <c r="I10" i="1" s="1"/>
  <c r="I9" i="1" s="1"/>
  <c r="I8" i="1" s="1"/>
  <c r="I7" i="1" s="1"/>
  <c r="L7" i="1"/>
  <c r="K7" i="1"/>
  <c r="J7" i="1"/>
  <c r="G7" i="1"/>
  <c r="F7" i="1"/>
  <c r="E7" i="1"/>
  <c r="D7" i="1"/>
  <c r="C7" i="1"/>
  <c r="C28" i="1"/>
  <c r="F8" i="1"/>
  <c r="G8" i="1"/>
  <c r="F9" i="1"/>
  <c r="G9" i="1"/>
  <c r="K9" i="1"/>
  <c r="K8" i="1" s="1"/>
  <c r="L9" i="1"/>
  <c r="L8" i="1" s="1"/>
  <c r="G7" i="4"/>
  <c r="F7" i="4"/>
  <c r="E7" i="4"/>
  <c r="D7" i="4"/>
  <c r="I11" i="1"/>
  <c r="I12" i="1"/>
  <c r="I13" i="1"/>
  <c r="K14" i="1"/>
  <c r="K15" i="1"/>
  <c r="K16" i="1"/>
  <c r="I17" i="1"/>
  <c r="D11" i="1"/>
  <c r="D12" i="1"/>
  <c r="D13" i="1"/>
  <c r="F14" i="1"/>
  <c r="F15" i="1"/>
  <c r="F16" i="1"/>
  <c r="F17" i="1"/>
  <c r="D10" i="1"/>
  <c r="D9" i="1" s="1"/>
  <c r="D8" i="1" s="1"/>
  <c r="G9" i="4"/>
  <c r="F9" i="4"/>
  <c r="E9" i="4"/>
  <c r="D9" i="4"/>
  <c r="H6" i="14"/>
  <c r="G6" i="14"/>
  <c r="R6" i="14"/>
  <c r="Q6" i="14"/>
  <c r="R6" i="12"/>
  <c r="Q6" i="12"/>
  <c r="H6" i="12"/>
  <c r="G6" i="12"/>
  <c r="K8" i="3" l="1"/>
  <c r="K7" i="3" s="1"/>
  <c r="J8" i="3"/>
  <c r="J7" i="3" s="1"/>
  <c r="E8" i="3"/>
  <c r="E7" i="3" s="1"/>
  <c r="A3" i="16"/>
  <c r="V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V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V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V162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G162" i="15"/>
  <c r="F162" i="15"/>
  <c r="E162" i="15"/>
  <c r="D162" i="15"/>
  <c r="C162" i="15"/>
  <c r="B162" i="15"/>
  <c r="A162" i="15"/>
  <c r="V161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V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V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V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V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V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G156" i="15"/>
  <c r="F156" i="15"/>
  <c r="E156" i="15"/>
  <c r="D156" i="15"/>
  <c r="C156" i="15"/>
  <c r="B156" i="15"/>
  <c r="A156" i="15"/>
  <c r="V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V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V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V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V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V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V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V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V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V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V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V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V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V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V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V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V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V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V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G137" i="15"/>
  <c r="F137" i="15"/>
  <c r="E137" i="15"/>
  <c r="D137" i="15"/>
  <c r="C137" i="15"/>
  <c r="B137" i="15"/>
  <c r="A137" i="15"/>
  <c r="V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V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V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V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V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V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V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V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V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V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V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V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V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V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V122" i="15"/>
  <c r="T122" i="15"/>
  <c r="S122" i="15"/>
  <c r="P122" i="15"/>
  <c r="O122" i="15"/>
  <c r="N122" i="15"/>
  <c r="M122" i="15"/>
  <c r="L122" i="15"/>
  <c r="K122" i="15"/>
  <c r="J122" i="15"/>
  <c r="I122" i="15"/>
  <c r="F122" i="15"/>
  <c r="E122" i="15"/>
  <c r="D122" i="15"/>
  <c r="C122" i="15"/>
  <c r="B122" i="15"/>
  <c r="A122" i="15"/>
  <c r="V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V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V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V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V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V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V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V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V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V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V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V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V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V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V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V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V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V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G104" i="15"/>
  <c r="F104" i="15"/>
  <c r="E104" i="15"/>
  <c r="D104" i="15"/>
  <c r="C104" i="15"/>
  <c r="B104" i="15"/>
  <c r="A104" i="15"/>
  <c r="V103" i="15"/>
  <c r="T103" i="15"/>
  <c r="S103" i="15"/>
  <c r="P103" i="15"/>
  <c r="O103" i="15"/>
  <c r="N103" i="15"/>
  <c r="M103" i="15"/>
  <c r="L103" i="15"/>
  <c r="K103" i="15"/>
  <c r="J103" i="15"/>
  <c r="I103" i="15"/>
  <c r="G103" i="15"/>
  <c r="F103" i="15"/>
  <c r="E103" i="15"/>
  <c r="D103" i="15"/>
  <c r="C103" i="15"/>
  <c r="B103" i="15"/>
  <c r="A103" i="15"/>
  <c r="V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V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V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V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V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V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V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V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V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V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V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V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V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V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V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V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V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V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V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V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V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V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V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V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V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V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V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V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V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V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V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V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V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V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V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V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V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V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V64" i="15"/>
  <c r="T64" i="15"/>
  <c r="S64" i="15"/>
  <c r="R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V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V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V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V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V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V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V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V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V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V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V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V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V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V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V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V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V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V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V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V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V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V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V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V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V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V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V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V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V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V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V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V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V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V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V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V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V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V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V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V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V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V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V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V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V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V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V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V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V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V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V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V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V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V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V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V8" i="15"/>
  <c r="T8" i="15"/>
  <c r="S8" i="15"/>
  <c r="P8" i="15"/>
  <c r="O8" i="15"/>
  <c r="N8" i="15"/>
  <c r="M8" i="15"/>
  <c r="L8" i="15"/>
  <c r="K8" i="15"/>
  <c r="J8" i="15"/>
  <c r="I8" i="15"/>
  <c r="F8" i="15"/>
  <c r="E8" i="15"/>
  <c r="D8" i="15"/>
  <c r="C8" i="15"/>
  <c r="B8" i="15"/>
  <c r="A8" i="15"/>
  <c r="V7" i="15"/>
  <c r="T7" i="15"/>
  <c r="S7" i="15"/>
  <c r="P7" i="15"/>
  <c r="O7" i="15"/>
  <c r="N7" i="15"/>
  <c r="M7" i="15"/>
  <c r="L7" i="15"/>
  <c r="K7" i="15"/>
  <c r="J7" i="15"/>
  <c r="I7" i="15"/>
  <c r="F7" i="15"/>
  <c r="E7" i="15"/>
  <c r="D7" i="15"/>
  <c r="C7" i="15"/>
  <c r="B7" i="15"/>
  <c r="A7" i="15"/>
  <c r="V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A3" i="15"/>
  <c r="A3" i="14"/>
  <c r="K6" i="13"/>
  <c r="J6" i="13"/>
  <c r="H6" i="13"/>
  <c r="D6" i="13"/>
  <c r="I6" i="13" s="1"/>
  <c r="B6" i="13"/>
  <c r="A3" i="13"/>
  <c r="H156" i="15"/>
  <c r="H137" i="15"/>
  <c r="R122" i="15"/>
  <c r="Q122" i="15"/>
  <c r="H122" i="15"/>
  <c r="G122" i="15"/>
  <c r="H104" i="15"/>
  <c r="R103" i="15"/>
  <c r="Q64" i="15"/>
  <c r="R7" i="15"/>
  <c r="Q7" i="15"/>
  <c r="H7" i="15"/>
  <c r="G8" i="15"/>
  <c r="R8" i="15"/>
  <c r="Q8" i="15"/>
  <c r="A3" i="12"/>
  <c r="A3" i="11"/>
  <c r="A3" i="10"/>
  <c r="A3" i="9"/>
  <c r="A3" i="8"/>
  <c r="A3" i="7"/>
  <c r="A3" i="6"/>
  <c r="A3" i="5"/>
  <c r="G10" i="4"/>
  <c r="F10" i="4"/>
  <c r="E10" i="4"/>
  <c r="D10" i="4"/>
  <c r="B10" i="4"/>
  <c r="A3" i="4"/>
  <c r="F9" i="3"/>
  <c r="F8" i="3" s="1"/>
  <c r="F7" i="3" s="1"/>
  <c r="E9" i="3"/>
  <c r="A3" i="3"/>
  <c r="H27" i="1"/>
  <c r="C27" i="1"/>
  <c r="P27" i="1" s="1"/>
  <c r="H26" i="1"/>
  <c r="C26" i="1"/>
  <c r="H25" i="1"/>
  <c r="C25" i="1"/>
  <c r="H24" i="1"/>
  <c r="C24" i="1"/>
  <c r="H23" i="1"/>
  <c r="C23" i="1"/>
  <c r="H22" i="1"/>
  <c r="C22" i="1"/>
  <c r="H21" i="1"/>
  <c r="C21" i="1"/>
  <c r="H20" i="1"/>
  <c r="C20" i="1"/>
  <c r="H19" i="1"/>
  <c r="C19" i="1"/>
  <c r="O19" i="1" s="1"/>
  <c r="K18" i="1"/>
  <c r="J18" i="1"/>
  <c r="I18" i="1"/>
  <c r="F18" i="1"/>
  <c r="E18" i="1"/>
  <c r="D18" i="1"/>
  <c r="C18" i="1"/>
  <c r="H18" i="1" l="1"/>
  <c r="P23" i="1"/>
  <c r="P25" i="1"/>
  <c r="O26" i="1"/>
  <c r="P19" i="1"/>
  <c r="O20" i="1"/>
  <c r="O27" i="1"/>
  <c r="P24" i="1"/>
  <c r="O22" i="1"/>
  <c r="O23" i="1"/>
  <c r="O18" i="1"/>
  <c r="P21" i="1"/>
  <c r="O24" i="1"/>
  <c r="P20" i="1"/>
  <c r="P18" i="1"/>
  <c r="P22" i="1"/>
  <c r="P26" i="1"/>
  <c r="O21" i="1"/>
  <c r="O25" i="1"/>
  <c r="H14" i="1"/>
  <c r="C13" i="1"/>
  <c r="C14" i="1"/>
  <c r="H17" i="1"/>
  <c r="C17" i="1"/>
  <c r="H11" i="1"/>
  <c r="H13" i="1"/>
  <c r="H8" i="15"/>
  <c r="Q103" i="15"/>
  <c r="G7" i="15"/>
  <c r="H16" i="1"/>
  <c r="C15" i="1"/>
  <c r="C16" i="1"/>
  <c r="C12" i="1"/>
  <c r="H162" i="15"/>
  <c r="E8" i="4"/>
  <c r="F8" i="4"/>
  <c r="H12" i="1"/>
  <c r="D8" i="4"/>
  <c r="G8" i="4"/>
  <c r="H15" i="1"/>
  <c r="C6" i="13"/>
  <c r="E10" i="1" l="1"/>
  <c r="J10" i="1"/>
  <c r="P16" i="1"/>
  <c r="O13" i="1"/>
  <c r="O15" i="1"/>
  <c r="P14" i="1"/>
  <c r="O14" i="1"/>
  <c r="P12" i="1"/>
  <c r="O16" i="1"/>
  <c r="P13" i="1"/>
  <c r="C11" i="1"/>
  <c r="H103" i="15"/>
  <c r="O12" i="1"/>
  <c r="P15" i="1"/>
  <c r="P17" i="1"/>
  <c r="O17" i="1"/>
  <c r="H10" i="1" l="1"/>
  <c r="J9" i="1"/>
  <c r="J8" i="1" s="1"/>
  <c r="C10" i="1"/>
  <c r="C9" i="1" s="1"/>
  <c r="C8" i="1" s="1"/>
  <c r="E9" i="1"/>
  <c r="E8" i="1" s="1"/>
  <c r="O10" i="1"/>
  <c r="O11" i="1"/>
  <c r="P11" i="1"/>
  <c r="H9" i="1" l="1"/>
  <c r="H8" i="1" s="1"/>
  <c r="H7" i="1" s="1"/>
  <c r="P10" i="1"/>
  <c r="O8" i="1"/>
  <c r="P9" i="1"/>
  <c r="O9" i="1"/>
  <c r="P8" i="1" l="1"/>
  <c r="P7" i="1" l="1"/>
  <c r="O7" i="1"/>
</calcChain>
</file>

<file path=xl/sharedStrings.xml><?xml version="1.0" encoding="utf-8"?>
<sst xmlns="http://schemas.openxmlformats.org/spreadsheetml/2006/main" count="496" uniqueCount="283">
  <si>
    <t>附表1</t>
    <phoneticPr fontId="1" type="noConversion"/>
  </si>
  <si>
    <t>总概算执行情况一览表</t>
    <phoneticPr fontId="1" type="noConversion"/>
  </si>
  <si>
    <t>序号</t>
  </si>
  <si>
    <t>总概算</t>
  </si>
  <si>
    <t>实际完成</t>
  </si>
  <si>
    <t>尚需投资</t>
  </si>
  <si>
    <t>差额</t>
  </si>
  <si>
    <t>合计</t>
  </si>
  <si>
    <t>建筑</t>
  </si>
  <si>
    <t>设备</t>
  </si>
  <si>
    <t>安装</t>
  </si>
  <si>
    <t>其他</t>
  </si>
  <si>
    <t>超支</t>
  </si>
  <si>
    <t>节约</t>
  </si>
  <si>
    <t>备注</t>
  </si>
  <si>
    <t>其中已列年度计划</t>
    <phoneticPr fontId="1" type="noConversion"/>
  </si>
  <si>
    <t>工程项目</t>
  </si>
  <si>
    <t>工程项目</t>
    <phoneticPr fontId="1" type="noConversion"/>
  </si>
  <si>
    <t>单位：万元</t>
    <phoneticPr fontId="1" type="noConversion"/>
  </si>
  <si>
    <t>总1表</t>
    <phoneticPr fontId="1" type="noConversion"/>
  </si>
  <si>
    <t>建筑工程完成情况一览表</t>
    <phoneticPr fontId="1" type="noConversion"/>
  </si>
  <si>
    <t>附表2</t>
    <phoneticPr fontId="1" type="noConversion"/>
  </si>
  <si>
    <t>总2表</t>
    <phoneticPr fontId="1" type="noConversion"/>
  </si>
  <si>
    <t>工程项目编号及名称</t>
  </si>
  <si>
    <t>工程量</t>
  </si>
  <si>
    <t>结构及层数</t>
  </si>
  <si>
    <t>开竣工日期</t>
  </si>
  <si>
    <t>设计</t>
  </si>
  <si>
    <t>实际</t>
  </si>
  <si>
    <t>质量评定等级</t>
  </si>
  <si>
    <t>单位</t>
  </si>
  <si>
    <t>开工</t>
  </si>
  <si>
    <t>竣工</t>
  </si>
  <si>
    <t>平方米</t>
  </si>
  <si>
    <t>工程项目编号及名称</t>
    <phoneticPr fontId="1" type="noConversion"/>
  </si>
  <si>
    <t>建设性质</t>
    <phoneticPr fontId="1" type="noConversion"/>
  </si>
  <si>
    <t>设计概算</t>
    <phoneticPr fontId="1" type="noConversion"/>
  </si>
  <si>
    <t>实际完成</t>
    <phoneticPr fontId="1" type="noConversion"/>
  </si>
  <si>
    <t>附表3</t>
    <phoneticPr fontId="1" type="noConversion"/>
  </si>
  <si>
    <t>设备配备情况表</t>
    <phoneticPr fontId="1" type="noConversion"/>
  </si>
  <si>
    <t>总3表</t>
    <phoneticPr fontId="1" type="noConversion"/>
  </si>
  <si>
    <t>设备类别</t>
  </si>
  <si>
    <t>多余</t>
  </si>
  <si>
    <t>尚缺</t>
  </si>
  <si>
    <t>备 注</t>
  </si>
  <si>
    <t>数量</t>
  </si>
  <si>
    <t>金额</t>
  </si>
  <si>
    <t>总计</t>
  </si>
  <si>
    <t>A</t>
  </si>
  <si>
    <t>工艺设备</t>
  </si>
  <si>
    <t>一</t>
  </si>
  <si>
    <t>套</t>
  </si>
  <si>
    <t>重大设计变更一览表</t>
    <phoneticPr fontId="1" type="noConversion"/>
  </si>
  <si>
    <t>附表4</t>
    <phoneticPr fontId="1" type="noConversion"/>
  </si>
  <si>
    <t>总4表</t>
    <phoneticPr fontId="1" type="noConversion"/>
  </si>
  <si>
    <t>变动内容</t>
  </si>
  <si>
    <t>变动原因</t>
  </si>
  <si>
    <t>变动后投资增减（+-）</t>
  </si>
  <si>
    <t>原设计批准单位日期文号</t>
  </si>
  <si>
    <t>设计变更批准单位日期文号</t>
  </si>
  <si>
    <t>附表5</t>
    <phoneticPr fontId="1" type="noConversion"/>
  </si>
  <si>
    <t>总5表</t>
    <phoneticPr fontId="1" type="noConversion"/>
  </si>
  <si>
    <t>设备调整明细表</t>
    <phoneticPr fontId="1" type="noConversion"/>
  </si>
  <si>
    <t>规格</t>
  </si>
  <si>
    <t>产地</t>
  </si>
  <si>
    <t>原设计</t>
  </si>
  <si>
    <t>调整设计</t>
  </si>
  <si>
    <t>调整说明</t>
  </si>
  <si>
    <t>调增设备</t>
  </si>
  <si>
    <t>二</t>
  </si>
  <si>
    <t>调减设备</t>
  </si>
  <si>
    <t>三</t>
  </si>
  <si>
    <t>国别调整</t>
  </si>
  <si>
    <t>四</t>
  </si>
  <si>
    <t>组成调整</t>
  </si>
  <si>
    <t>五</t>
  </si>
  <si>
    <t>指标调整</t>
  </si>
  <si>
    <t xml:space="preserve">名称 </t>
    <phoneticPr fontId="1" type="noConversion"/>
  </si>
  <si>
    <t xml:space="preserve">型号 </t>
    <phoneticPr fontId="1" type="noConversion"/>
  </si>
  <si>
    <t>附表6</t>
    <phoneticPr fontId="1" type="noConversion"/>
  </si>
  <si>
    <t>总6表</t>
    <phoneticPr fontId="1" type="noConversion"/>
  </si>
  <si>
    <t>工程内容</t>
  </si>
  <si>
    <t>未完工程量</t>
  </si>
  <si>
    <t>未完原因及说明</t>
  </si>
  <si>
    <t>未完工程项目一览表</t>
    <phoneticPr fontId="1" type="noConversion"/>
  </si>
  <si>
    <t>未完设备一览表</t>
    <phoneticPr fontId="1" type="noConversion"/>
  </si>
  <si>
    <t>附表7</t>
    <phoneticPr fontId="1" type="noConversion"/>
  </si>
  <si>
    <t>设备名称</t>
  </si>
  <si>
    <t>型号及规格</t>
  </si>
  <si>
    <t>附表8</t>
    <phoneticPr fontId="1" type="noConversion"/>
  </si>
  <si>
    <t>总8表</t>
    <phoneticPr fontId="1" type="noConversion"/>
  </si>
  <si>
    <t>人员配备一览表</t>
    <phoneticPr fontId="1" type="noConversion"/>
  </si>
  <si>
    <t>车间或科室名称</t>
  </si>
  <si>
    <t>设计人数</t>
  </si>
  <si>
    <t>现有人数</t>
  </si>
  <si>
    <t>缺余人数</t>
  </si>
  <si>
    <t>生产工人</t>
  </si>
  <si>
    <t>辅助工人</t>
  </si>
  <si>
    <t>非生产    人员</t>
  </si>
  <si>
    <t>辅助   工人</t>
  </si>
  <si>
    <t>非生产   人员</t>
  </si>
  <si>
    <t>非生产人员</t>
  </si>
  <si>
    <t>XXX厂房</t>
    <phoneticPr fontId="1" type="noConversion"/>
  </si>
  <si>
    <t>20XX年</t>
  </si>
  <si>
    <t>一、贷款总额</t>
  </si>
  <si>
    <t>其中：贷款本金</t>
  </si>
  <si>
    <t xml:space="preserve">      贷款利息</t>
  </si>
  <si>
    <t>二、已还贷款</t>
  </si>
  <si>
    <t>三、贷款余额</t>
  </si>
  <si>
    <t>总7表</t>
    <phoneticPr fontId="1" type="noConversion"/>
  </si>
  <si>
    <t>附表9</t>
    <phoneticPr fontId="1" type="noConversion"/>
  </si>
  <si>
    <t>项目贷款还贷情况表（财务）</t>
    <phoneticPr fontId="1" type="noConversion"/>
  </si>
  <si>
    <t xml:space="preserve">            年份
摘要</t>
    <phoneticPr fontId="1" type="noConversion"/>
  </si>
  <si>
    <t>总9表</t>
    <phoneticPr fontId="1" type="noConversion"/>
  </si>
  <si>
    <t>附表10</t>
    <phoneticPr fontId="1" type="noConversion"/>
  </si>
  <si>
    <t>总10表</t>
    <phoneticPr fontId="1" type="noConversion"/>
  </si>
  <si>
    <t>20XX年至20XX年</t>
    <phoneticPr fontId="1" type="noConversion"/>
  </si>
  <si>
    <t>建设项目竣工决算表</t>
    <phoneticPr fontId="1" type="noConversion"/>
  </si>
  <si>
    <t>一、建设拨、借款</t>
  </si>
  <si>
    <t>1、国家拨款</t>
  </si>
  <si>
    <t>2、开发银行贷款</t>
  </si>
  <si>
    <t>3、商业银行贷款</t>
  </si>
  <si>
    <t>4、其他投资借款</t>
  </si>
  <si>
    <t>5、集团公司自筹</t>
  </si>
  <si>
    <t>6、企业自筹</t>
  </si>
  <si>
    <t>7、项目资本</t>
  </si>
  <si>
    <t>8、项目资本公积</t>
  </si>
  <si>
    <t>二、建设支出</t>
  </si>
  <si>
    <t>1、完成投资额</t>
  </si>
  <si>
    <t>其中：建安投资</t>
  </si>
  <si>
    <t>设备投资</t>
  </si>
  <si>
    <t>其他投资</t>
  </si>
  <si>
    <t>2、待核销基建支出</t>
  </si>
  <si>
    <t>3、转出投资</t>
  </si>
  <si>
    <t>三、建设投资效果</t>
  </si>
  <si>
    <t>1、交付使用固定资产</t>
  </si>
  <si>
    <t>2、交付使用流动资产</t>
  </si>
  <si>
    <t>3、递延资产</t>
  </si>
  <si>
    <t>4、无形资产</t>
  </si>
  <si>
    <t>5、年末在建工程</t>
  </si>
  <si>
    <t>6、待核销基建支出</t>
  </si>
  <si>
    <t>7、转出投资</t>
  </si>
  <si>
    <t>四、年末建设节余资金</t>
  </si>
  <si>
    <t xml:space="preserve">          金额    年份
项目</t>
    <phoneticPr fontId="1" type="noConversion"/>
  </si>
  <si>
    <t xml:space="preserve">建设单位：中国船舶集团有限公司第七一八研究所                                                                                                                 </t>
    <phoneticPr fontId="1" type="noConversion"/>
  </si>
  <si>
    <t>核电安全设备总装车间</t>
  </si>
  <si>
    <t>综合楼（夜视仪组装车间）</t>
  </si>
  <si>
    <t>催化剂及气体检测车间</t>
  </si>
  <si>
    <t>消防泵房及水池</t>
  </si>
  <si>
    <t>一</t>
    <phoneticPr fontId="1" type="noConversion"/>
  </si>
  <si>
    <t>三</t>
    <phoneticPr fontId="1" type="noConversion"/>
  </si>
  <si>
    <t>产品性能检测设备</t>
  </si>
  <si>
    <t>建安工程 总计</t>
    <phoneticPr fontId="1" type="noConversion"/>
  </si>
  <si>
    <t>招标情况</t>
  </si>
  <si>
    <t>招标情况</t>
    <phoneticPr fontId="1" type="noConversion"/>
  </si>
  <si>
    <t>批复</t>
    <phoneticPr fontId="1" type="noConversion"/>
  </si>
  <si>
    <t>实际</t>
    <phoneticPr fontId="1" type="noConversion"/>
  </si>
  <si>
    <t>工艺设备批复与实施对比表</t>
    <phoneticPr fontId="1" type="noConversion"/>
  </si>
  <si>
    <t>附表11</t>
    <phoneticPr fontId="1" type="noConversion"/>
  </si>
  <si>
    <t>总11表</t>
    <phoneticPr fontId="1" type="noConversion"/>
  </si>
  <si>
    <t>名称</t>
  </si>
  <si>
    <t>批复情况</t>
  </si>
  <si>
    <t>实施情况</t>
  </si>
  <si>
    <t>功能及组成</t>
  </si>
  <si>
    <t>主要性能指标</t>
  </si>
  <si>
    <t>国别</t>
  </si>
  <si>
    <t>布置位置</t>
  </si>
  <si>
    <t>单位</t>
    <phoneticPr fontId="1" type="noConversion"/>
  </si>
  <si>
    <t>工艺设备</t>
    <phoneticPr fontId="10" type="noConversion"/>
  </si>
  <si>
    <t>台</t>
  </si>
  <si>
    <t>II</t>
  </si>
  <si>
    <t>公用设备</t>
    <phoneticPr fontId="10" type="noConversion"/>
  </si>
  <si>
    <t>公用设备</t>
  </si>
  <si>
    <t>投资
(万元)</t>
    <phoneticPr fontId="1" type="noConversion"/>
  </si>
  <si>
    <t>国产</t>
    <phoneticPr fontId="1" type="noConversion"/>
  </si>
  <si>
    <t>附表12</t>
    <phoneticPr fontId="1" type="noConversion"/>
  </si>
  <si>
    <t>建（构）筑物批复与实施对比表</t>
    <phoneticPr fontId="1" type="noConversion"/>
  </si>
  <si>
    <t>总12表</t>
    <phoneticPr fontId="1" type="noConversion"/>
  </si>
  <si>
    <t>面积</t>
  </si>
  <si>
    <t>结构型式</t>
  </si>
  <si>
    <t>布局位置</t>
  </si>
  <si>
    <t>验收备案</t>
  </si>
  <si>
    <t>不动产权证书</t>
  </si>
  <si>
    <t>报建及验收情况</t>
  </si>
  <si>
    <t>布局位置</t>
    <phoneticPr fontId="1" type="noConversion"/>
  </si>
  <si>
    <t>中标单位</t>
    <phoneticPr fontId="1" type="noConversion"/>
  </si>
  <si>
    <t>公用设备批复与实施对比表</t>
    <phoneticPr fontId="1" type="noConversion"/>
  </si>
  <si>
    <t>附表13</t>
    <phoneticPr fontId="1" type="noConversion"/>
  </si>
  <si>
    <t>总13表</t>
    <phoneticPr fontId="1" type="noConversion"/>
  </si>
  <si>
    <t>特种设备批复与实施对比表</t>
    <phoneticPr fontId="1" type="noConversion"/>
  </si>
  <si>
    <t>特种设备取证情况</t>
    <phoneticPr fontId="1" type="noConversion"/>
  </si>
  <si>
    <t>项目建设成效分析表</t>
    <phoneticPr fontId="1" type="noConversion"/>
  </si>
  <si>
    <t>附表15</t>
    <phoneticPr fontId="1" type="noConversion"/>
  </si>
  <si>
    <t>附表14</t>
    <phoneticPr fontId="1" type="noConversion"/>
  </si>
  <si>
    <t>总14表</t>
    <phoneticPr fontId="1" type="noConversion"/>
  </si>
  <si>
    <t>项目名称</t>
  </si>
  <si>
    <t>子项内容</t>
  </si>
  <si>
    <t>完成情况</t>
  </si>
  <si>
    <t>形成能力</t>
  </si>
  <si>
    <t>建设以来发挥的成效</t>
    <phoneticPr fontId="1" type="noConversion"/>
  </si>
  <si>
    <t>总15表</t>
    <phoneticPr fontId="1" type="noConversion"/>
  </si>
  <si>
    <t>B</t>
    <phoneticPr fontId="1" type="noConversion"/>
  </si>
  <si>
    <t>本项目不涉及</t>
    <phoneticPr fontId="1" type="noConversion"/>
  </si>
  <si>
    <t>合格</t>
    <phoneticPr fontId="1" type="noConversion"/>
  </si>
  <si>
    <t>委托公开</t>
    <phoneticPr fontId="1" type="noConversion"/>
  </si>
  <si>
    <t>总计</t>
    <phoneticPr fontId="1" type="noConversion"/>
  </si>
  <si>
    <t>工程费用</t>
    <phoneticPr fontId="1" type="noConversion"/>
  </si>
  <si>
    <t>工程建设其他费用</t>
    <phoneticPr fontId="1" type="noConversion"/>
  </si>
  <si>
    <t>工程设计费</t>
  </si>
  <si>
    <t>环境影响咨询费</t>
  </si>
  <si>
    <t>派瑞科技产业园西区</t>
    <phoneticPr fontId="1" type="noConversion"/>
  </si>
  <si>
    <t>核电站安全系统项目</t>
    <phoneticPr fontId="1" type="noConversion"/>
  </si>
  <si>
    <t>已实施</t>
    <phoneticPr fontId="1" type="noConversion"/>
  </si>
  <si>
    <t>本项目建成后，形成年产核电站氨浓度监测仪、消氢系统和安全壳过滤排放系统设备 970台（套）的能力。</t>
    <phoneticPr fontId="1" type="noConversion"/>
  </si>
  <si>
    <t>通过本项目建设，满足了未来一段时期内七一八所核电站氨浓度监测仪、消氢系统和安全壳过滤排放系统设备的生产供货需要。在一定程度上缓解了生产规模不足的压力，实现了批复的建设目标。</t>
    <phoneticPr fontId="1" type="noConversion"/>
  </si>
  <si>
    <t>项目名称：高纯电子气体产业化建设项目</t>
    <phoneticPr fontId="1" type="noConversion"/>
  </si>
  <si>
    <t>室外电气工程</t>
  </si>
  <si>
    <t>待抵扣进项税</t>
  </si>
  <si>
    <t>（一）</t>
  </si>
  <si>
    <t>（二）</t>
  </si>
  <si>
    <t>（三）</t>
  </si>
  <si>
    <t>套/万元</t>
  </si>
  <si>
    <t>套/万元</t>
    <phoneticPr fontId="1" type="noConversion"/>
  </si>
  <si>
    <t>公用设备</t>
    <phoneticPr fontId="1" type="noConversion"/>
  </si>
  <si>
    <t>D</t>
    <phoneticPr fontId="1" type="noConversion"/>
  </si>
  <si>
    <t>Ⅳ</t>
    <phoneticPr fontId="1" type="noConversion"/>
  </si>
  <si>
    <t>I</t>
    <phoneticPr fontId="1" type="noConversion"/>
  </si>
  <si>
    <t>国产</t>
  </si>
  <si>
    <t>室内工程</t>
  </si>
  <si>
    <t>室外工程</t>
  </si>
  <si>
    <t>改造</t>
  </si>
  <si>
    <t>改造</t>
    <phoneticPr fontId="1" type="noConversion"/>
  </si>
  <si>
    <t>一</t>
    <phoneticPr fontId="1" type="noConversion"/>
  </si>
  <si>
    <t>建筑工程</t>
    <phoneticPr fontId="1" type="noConversion"/>
  </si>
  <si>
    <t>部分委托公开</t>
  </si>
  <si>
    <t>委托公开</t>
  </si>
  <si>
    <t>制氢设备组装车间</t>
  </si>
  <si>
    <t>概算调差</t>
  </si>
  <si>
    <t>17#</t>
    <phoneticPr fontId="1" type="noConversion"/>
  </si>
  <si>
    <t>通风柜</t>
  </si>
  <si>
    <t>振动测试台</t>
  </si>
  <si>
    <t>尺寸1800mm*850mm*2350mm;风速0.4-0.5m/s；风量2400m³/h</t>
  </si>
  <si>
    <t>尺寸（长×宽）：4m×4m，其高度≥400mm；测试台如有拼接，其整体平整度≤0.1mm，水平度≤0.2mm/m；测试台（铸钢件+钢筋混凝土）固有频率≥70Hz</t>
  </si>
  <si>
    <t>非标</t>
  </si>
  <si>
    <t>冷水机</t>
  </si>
  <si>
    <t xml:space="preserve">净水器 </t>
  </si>
  <si>
    <t>配电箱</t>
  </si>
  <si>
    <t>高压成套配电柜</t>
  </si>
  <si>
    <t>低压开关柜</t>
  </si>
  <si>
    <t>DX-90WS</t>
  </si>
  <si>
    <t>DX-50WS</t>
  </si>
  <si>
    <t>3T</t>
  </si>
  <si>
    <t>AP1</t>
  </si>
  <si>
    <t>AP2</t>
  </si>
  <si>
    <t>AP3</t>
  </si>
  <si>
    <t>AP4</t>
  </si>
  <si>
    <t>AP10</t>
  </si>
  <si>
    <t>AP5</t>
  </si>
  <si>
    <t>AP6</t>
  </si>
  <si>
    <t>AH1</t>
  </si>
  <si>
    <t>AH2</t>
  </si>
  <si>
    <t>AA1</t>
  </si>
  <si>
    <t>AA2</t>
  </si>
  <si>
    <t>AA3</t>
  </si>
  <si>
    <t>AA4</t>
  </si>
  <si>
    <t>AA5</t>
  </si>
  <si>
    <t>AA6</t>
  </si>
  <si>
    <t>III</t>
    <phoneticPr fontId="1" type="noConversion"/>
  </si>
  <si>
    <t>公用设备安装费</t>
    <phoneticPr fontId="1" type="noConversion"/>
  </si>
  <si>
    <t>设备安装费</t>
    <phoneticPr fontId="1" type="noConversion"/>
  </si>
  <si>
    <t>四</t>
    <phoneticPr fontId="1" type="noConversion"/>
  </si>
  <si>
    <t>建设单位管理费</t>
  </si>
  <si>
    <t>前期工作咨询费</t>
  </si>
  <si>
    <t>工程建设监理费</t>
  </si>
  <si>
    <t>招标代理服务费</t>
  </si>
  <si>
    <t>安全设施及职业卫生评价费</t>
  </si>
  <si>
    <t>工程造价咨询费</t>
  </si>
  <si>
    <t>基本预备费</t>
  </si>
  <si>
    <t>调整批复差异</t>
  </si>
  <si>
    <t>五</t>
    <phoneticPr fontId="1" type="noConversion"/>
  </si>
  <si>
    <t>门式刚架结构/单层，局部三层</t>
    <phoneticPr fontId="1" type="noConversion"/>
  </si>
  <si>
    <t>河北省磁县第一建筑安装公司</t>
    <phoneticPr fontId="1" type="noConversion"/>
  </si>
  <si>
    <t>工程质量评定
建设单位、施工单位、监理单位共同验收合格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</si>
</sst>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0.0"/>
    <numFmt numFmtId="177" formatCode="0_);\(0\)"/>
    <numFmt numFmtId="178" formatCode="0.0_);\(0.0\)"/>
    <numFmt numFmtId="179" formatCode="0.0_ "/>
    <numFmt numFmtId="180" formatCode="0.00_);\(0.00\)"/>
    <numFmt numFmtId="181" formatCode="0.000_);\(0.000\)"/>
  </numFmts>
  <fonts count="1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6"/>
      <color theme="1"/>
      <name val="黑体"/>
      <family val="3"/>
      <charset val="134"/>
    </font>
    <font>
      <b/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等线"/>
      <family val="2"/>
      <scheme val="minor"/>
    </font>
    <font>
      <sz val="10"/>
      <name val="Geneva"/>
      <family val="2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8" fillId="0" borderId="0" applyFont="0" applyFill="0" applyBorder="0" applyAlignment="0" applyProtection="0">
      <alignment vertical="center"/>
    </xf>
    <xf numFmtId="0" fontId="9" fillId="0" borderId="0"/>
    <xf numFmtId="0" fontId="9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 wrapText="1"/>
    </xf>
    <xf numFmtId="177" fontId="11" fillId="0" borderId="1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2" applyFont="1" applyBorder="1" applyAlignment="1">
      <alignment horizontal="left" vertical="center" wrapText="1"/>
    </xf>
    <xf numFmtId="177" fontId="11" fillId="0" borderId="1" xfId="3" applyNumberFormat="1" applyFont="1" applyBorder="1" applyAlignment="1">
      <alignment horizontal="center" vertical="center" wrapText="1"/>
    </xf>
    <xf numFmtId="177" fontId="12" fillId="0" borderId="1" xfId="3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3" applyFont="1" applyBorder="1" applyAlignment="1">
      <alignment vertical="center" wrapText="1"/>
    </xf>
    <xf numFmtId="178" fontId="11" fillId="0" borderId="1" xfId="3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 wrapText="1"/>
    </xf>
    <xf numFmtId="177" fontId="14" fillId="0" borderId="1" xfId="3" applyNumberFormat="1" applyFont="1" applyBorder="1" applyAlignment="1">
      <alignment horizontal="center" vertical="center" wrapText="1"/>
    </xf>
    <xf numFmtId="177" fontId="13" fillId="0" borderId="1" xfId="3" applyNumberFormat="1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3" fillId="0" borderId="1" xfId="3" applyFont="1" applyBorder="1" applyAlignment="1">
      <alignment horizontal="justify" vertical="center" wrapText="1"/>
    </xf>
    <xf numFmtId="0" fontId="14" fillId="0" borderId="1" xfId="3" applyFont="1" applyBorder="1" applyAlignment="1">
      <alignment vertical="center" wrapText="1"/>
    </xf>
    <xf numFmtId="178" fontId="14" fillId="0" borderId="1" xfId="3" applyNumberFormat="1" applyFont="1" applyBorder="1" applyAlignment="1">
      <alignment horizontal="center" vertical="center" wrapText="1"/>
    </xf>
    <xf numFmtId="0" fontId="13" fillId="0" borderId="1" xfId="3" applyFont="1" applyBorder="1" applyAlignment="1">
      <alignment horizontal="left" vertical="center" wrapText="1"/>
    </xf>
    <xf numFmtId="0" fontId="14" fillId="0" borderId="1" xfId="3" applyFont="1" applyBorder="1" applyAlignment="1">
      <alignment vertical="center"/>
    </xf>
    <xf numFmtId="43" fontId="13" fillId="0" borderId="1" xfId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3" fontId="13" fillId="0" borderId="1" xfId="1" applyFont="1" applyFill="1" applyBorder="1" applyAlignment="1">
      <alignment horizontal="left" vertical="center"/>
    </xf>
    <xf numFmtId="0" fontId="13" fillId="0" borderId="1" xfId="3" applyFont="1" applyBorder="1" applyAlignment="1">
      <alignment vertical="center"/>
    </xf>
    <xf numFmtId="178" fontId="13" fillId="0" borderId="1" xfId="3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/>
    </xf>
    <xf numFmtId="181" fontId="12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80" fontId="11" fillId="0" borderId="1" xfId="0" applyNumberFormat="1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4">
    <cellStyle name="常规" xfId="0" builtinId="0"/>
    <cellStyle name="常规_竣工决算报表" xfId="2" xr:uid="{F2FF918C-4061-4AC2-B3F8-38FD388E848B}"/>
    <cellStyle name="千位分隔" xfId="1" builtinId="3"/>
    <cellStyle name="样式 1" xfId="3" xr:uid="{A0D7FF17-D23F-4967-92E0-3000E76B9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1152939</xdr:colOff>
      <xdr:row>4</xdr:row>
      <xdr:rowOff>13253</xdr:rowOff>
    </xdr:from>
    <xdr:to>
      <xdr:col>1</xdr:col>
      <xdr:colOff>0</xdr:colOff>
      <xdr:row>4</xdr:row>
      <xdr:rowOff>357809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08FD9685-D59F-87D5-FC0B-9EB7B19C35CE}"/>
            </a:ext>
          </a:extLst>
        </xdr:cNvPr>
        <xdr:cNvCxnSpPr/>
      </xdr:nvCxnSpPr>
      <xdr:spPr>
        <a:xfrm flipH="1" flipV="1">
          <a:off x="1152939" y="801757"/>
          <a:ext cx="662609" cy="3445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Q28"/>
  <sheetViews>
    <sheetView showZeros="0" tabSelected="1" view="pageBreakPreview" zoomScale="85" zoomScaleNormal="100" zoomScaleSheetLayoutView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Q28" sqref="Q28"/>
    </sheetView>
  </sheetViews>
  <sheetFormatPr defaultRowHeight="14.4"/>
  <cols>
    <col min="1" max="1" width="6.33203125" style="2" customWidth="1"/>
    <col min="2" max="2" width="17" style="19" customWidth="1"/>
    <col min="3" max="3" width="11.88671875" style="2" bestFit="1" customWidth="1"/>
    <col min="4" max="5" width="10.6640625" style="2" bestFit="1" customWidth="1"/>
    <col min="6" max="6" width="9.44140625" style="2" bestFit="1" customWidth="1"/>
    <col min="7" max="7" width="10.6640625" style="2" bestFit="1" customWidth="1"/>
    <col min="8" max="8" width="12" style="2" bestFit="1" customWidth="1"/>
    <col min="9" max="10" width="10.77734375" style="2" bestFit="1" customWidth="1"/>
    <col min="11" max="11" width="9.21875" style="2" bestFit="1" customWidth="1"/>
    <col min="12" max="12" width="9.5546875" style="2" bestFit="1" customWidth="1"/>
    <col min="13" max="13" width="7.6640625" style="2" customWidth="1"/>
    <col min="14" max="14" width="11.109375" style="2" customWidth="1"/>
    <col min="15" max="15" width="9" style="2" bestFit="1" customWidth="1"/>
    <col min="16" max="16" width="10.6640625" style="2" bestFit="1" customWidth="1"/>
    <col min="17" max="17" width="6" style="2" customWidth="1"/>
    <col min="18" max="16384" width="8.88671875" style="2"/>
  </cols>
  <sheetData>
    <row r="1" spans="1:17" ht="17.399999999999999">
      <c r="A1" s="1" t="s">
        <v>0</v>
      </c>
    </row>
    <row r="2" spans="1:17" ht="20.399999999999999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3" spans="1:17" s="3" customFormat="1" ht="12">
      <c r="A3" s="3" t="s">
        <v>144</v>
      </c>
      <c r="B3" s="20"/>
      <c r="O3" s="4" t="s">
        <v>18</v>
      </c>
      <c r="Q3" s="4" t="s">
        <v>19</v>
      </c>
    </row>
    <row r="4" spans="1:17">
      <c r="A4" s="84" t="s">
        <v>2</v>
      </c>
      <c r="B4" s="80" t="s">
        <v>17</v>
      </c>
      <c r="C4" s="84" t="s">
        <v>3</v>
      </c>
      <c r="D4" s="84"/>
      <c r="E4" s="84"/>
      <c r="F4" s="84"/>
      <c r="G4" s="84"/>
      <c r="H4" s="84" t="s">
        <v>4</v>
      </c>
      <c r="I4" s="84"/>
      <c r="J4" s="84"/>
      <c r="K4" s="84"/>
      <c r="L4" s="84"/>
      <c r="M4" s="84" t="s">
        <v>5</v>
      </c>
      <c r="N4" s="84"/>
      <c r="O4" s="84" t="s">
        <v>6</v>
      </c>
      <c r="P4" s="84"/>
      <c r="Q4" s="82" t="s">
        <v>14</v>
      </c>
    </row>
    <row r="5" spans="1:17" ht="28.8">
      <c r="A5" s="84"/>
      <c r="B5" s="81"/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7</v>
      </c>
      <c r="N5" s="7" t="s">
        <v>15</v>
      </c>
      <c r="O5" s="6" t="s">
        <v>12</v>
      </c>
      <c r="P5" s="6" t="s">
        <v>13</v>
      </c>
      <c r="Q5" s="83"/>
    </row>
    <row r="6" spans="1:17">
      <c r="A6" s="8">
        <v>1</v>
      </c>
      <c r="B6" s="9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  <c r="P6" s="8">
        <v>16</v>
      </c>
      <c r="Q6" s="8">
        <v>17</v>
      </c>
    </row>
    <row r="7" spans="1:17" s="16" customFormat="1">
      <c r="A7" s="6"/>
      <c r="B7" s="7" t="s">
        <v>205</v>
      </c>
      <c r="C7" s="69">
        <f>SUM(C8,C14,C18,C27:C28)</f>
        <v>913</v>
      </c>
      <c r="D7" s="69">
        <f t="shared" ref="D7:L7" si="0">SUM(D8,D14,D18,D27:D28)</f>
        <v>549</v>
      </c>
      <c r="E7" s="69">
        <f t="shared" si="0"/>
        <v>193</v>
      </c>
      <c r="F7" s="69">
        <f t="shared" si="0"/>
        <v>42</v>
      </c>
      <c r="G7" s="69">
        <f t="shared" si="0"/>
        <v>129</v>
      </c>
      <c r="H7" s="69">
        <f t="shared" si="0"/>
        <v>602.65812800000003</v>
      </c>
      <c r="I7" s="69">
        <f t="shared" si="0"/>
        <v>368.617074</v>
      </c>
      <c r="J7" s="69">
        <f t="shared" si="0"/>
        <v>180.23631599999999</v>
      </c>
      <c r="K7" s="69">
        <f t="shared" si="0"/>
        <v>4.3996810000000002</v>
      </c>
      <c r="L7" s="69">
        <f t="shared" si="0"/>
        <v>49.405057000000006</v>
      </c>
      <c r="M7" s="69"/>
      <c r="N7" s="69"/>
      <c r="O7" s="69" t="str">
        <f>IF(H7&gt;C7,H7-C7,"")</f>
        <v/>
      </c>
      <c r="P7" s="69">
        <f>IF(H7&gt;C7,"",C7-H7)</f>
        <v>310.34187199999997</v>
      </c>
      <c r="Q7" s="69"/>
    </row>
    <row r="8" spans="1:17" s="16" customFormat="1" ht="13.8" customHeight="1">
      <c r="A8" s="6" t="s">
        <v>149</v>
      </c>
      <c r="B8" s="7" t="s">
        <v>206</v>
      </c>
      <c r="C8" s="69">
        <f>C9+C11+C13</f>
        <v>742</v>
      </c>
      <c r="D8" s="69">
        <f t="shared" ref="D8:L8" si="1">D9+D11+D13</f>
        <v>549</v>
      </c>
      <c r="E8" s="69">
        <f t="shared" si="1"/>
        <v>193</v>
      </c>
      <c r="F8" s="69">
        <f t="shared" si="1"/>
        <v>0</v>
      </c>
      <c r="G8" s="69">
        <f t="shared" si="1"/>
        <v>0</v>
      </c>
      <c r="H8" s="69">
        <f t="shared" si="1"/>
        <v>548.85338999999999</v>
      </c>
      <c r="I8" s="69">
        <f t="shared" si="1"/>
        <v>368.617074</v>
      </c>
      <c r="J8" s="69">
        <f t="shared" si="1"/>
        <v>180.23631599999999</v>
      </c>
      <c r="K8" s="69">
        <f t="shared" si="1"/>
        <v>0</v>
      </c>
      <c r="L8" s="69">
        <f t="shared" si="1"/>
        <v>0</v>
      </c>
      <c r="M8" s="69"/>
      <c r="N8" s="69"/>
      <c r="O8" s="69" t="str">
        <f t="shared" ref="O8:O27" si="2">IF(H8&gt;C8,H8-C8,"")</f>
        <v/>
      </c>
      <c r="P8" s="69">
        <f t="shared" ref="P8:P27" si="3">IF(H8&gt;C8,"",C8-H8)</f>
        <v>193.14661000000001</v>
      </c>
      <c r="Q8" s="69"/>
    </row>
    <row r="9" spans="1:17" s="16" customFormat="1">
      <c r="A9" s="6" t="s">
        <v>218</v>
      </c>
      <c r="B9" s="7" t="s">
        <v>228</v>
      </c>
      <c r="C9" s="69">
        <f>C10</f>
        <v>727.6</v>
      </c>
      <c r="D9" s="69">
        <f t="shared" ref="D9:L9" si="4">D10</f>
        <v>534.6</v>
      </c>
      <c r="E9" s="69">
        <f t="shared" si="4"/>
        <v>193</v>
      </c>
      <c r="F9" s="69">
        <f t="shared" si="4"/>
        <v>0</v>
      </c>
      <c r="G9" s="69">
        <f t="shared" si="4"/>
        <v>0</v>
      </c>
      <c r="H9" s="69">
        <f t="shared" si="4"/>
        <v>548.85338999999999</v>
      </c>
      <c r="I9" s="69">
        <f t="shared" si="4"/>
        <v>368.617074</v>
      </c>
      <c r="J9" s="69">
        <f t="shared" si="4"/>
        <v>180.23631599999999</v>
      </c>
      <c r="K9" s="69">
        <f t="shared" si="4"/>
        <v>0</v>
      </c>
      <c r="L9" s="69">
        <f t="shared" si="4"/>
        <v>0</v>
      </c>
      <c r="M9" s="69"/>
      <c r="N9" s="69"/>
      <c r="O9" s="69" t="str">
        <f t="shared" si="2"/>
        <v/>
      </c>
      <c r="P9" s="69">
        <f t="shared" si="3"/>
        <v>178.74661000000003</v>
      </c>
      <c r="Q9" s="69"/>
    </row>
    <row r="10" spans="1:17">
      <c r="A10" s="8">
        <v>1</v>
      </c>
      <c r="B10" s="9" t="s">
        <v>236</v>
      </c>
      <c r="C10" s="70">
        <f t="shared" ref="C10:C28" si="5">SUM(D10:G10)</f>
        <v>727.6</v>
      </c>
      <c r="D10" s="70">
        <f>'2建筑工程'!J10</f>
        <v>534.6</v>
      </c>
      <c r="E10" s="70">
        <f>'3设备'!E8+'3设备'!E9</f>
        <v>193</v>
      </c>
      <c r="F10" s="70"/>
      <c r="G10" s="70"/>
      <c r="H10" s="70">
        <f t="shared" ref="H10:H27" si="6">SUM(I10:L10)</f>
        <v>548.85338999999999</v>
      </c>
      <c r="I10" s="70">
        <f>'2建筑工程'!K10</f>
        <v>368.617074</v>
      </c>
      <c r="J10" s="70">
        <f>'3设备'!G8+'3设备'!G9</f>
        <v>180.23631599999999</v>
      </c>
      <c r="K10" s="70"/>
      <c r="L10" s="70"/>
      <c r="M10" s="70"/>
      <c r="N10" s="70"/>
      <c r="O10" s="70" t="str">
        <f t="shared" si="2"/>
        <v/>
      </c>
      <c r="P10" s="70">
        <f t="shared" si="3"/>
        <v>178.74661000000003</v>
      </c>
      <c r="Q10" s="70"/>
    </row>
    <row r="11" spans="1:17" s="16" customFormat="1">
      <c r="A11" s="6" t="s">
        <v>219</v>
      </c>
      <c r="B11" s="7" t="s">
        <v>229</v>
      </c>
      <c r="C11" s="69">
        <f t="shared" si="5"/>
        <v>14.8</v>
      </c>
      <c r="D11" s="69">
        <f>'2建筑工程'!J11</f>
        <v>14.8</v>
      </c>
      <c r="E11" s="69"/>
      <c r="F11" s="69"/>
      <c r="G11" s="69"/>
      <c r="H11" s="69">
        <f t="shared" si="6"/>
        <v>0</v>
      </c>
      <c r="I11" s="69">
        <f>'2建筑工程'!K11</f>
        <v>0</v>
      </c>
      <c r="J11" s="69"/>
      <c r="K11" s="69"/>
      <c r="L11" s="69"/>
      <c r="M11" s="69"/>
      <c r="N11" s="69"/>
      <c r="O11" s="69" t="str">
        <f t="shared" si="2"/>
        <v/>
      </c>
      <c r="P11" s="69">
        <f t="shared" si="3"/>
        <v>14.8</v>
      </c>
      <c r="Q11" s="69"/>
    </row>
    <row r="12" spans="1:17">
      <c r="A12" s="8">
        <v>1</v>
      </c>
      <c r="B12" s="9" t="s">
        <v>216</v>
      </c>
      <c r="C12" s="70">
        <f t="shared" si="5"/>
        <v>14.8</v>
      </c>
      <c r="D12" s="70">
        <f>'2建筑工程'!J12</f>
        <v>14.8</v>
      </c>
      <c r="E12" s="70"/>
      <c r="F12" s="70"/>
      <c r="G12" s="70"/>
      <c r="H12" s="70">
        <f t="shared" si="6"/>
        <v>0</v>
      </c>
      <c r="I12" s="70">
        <f>'2建筑工程'!K12</f>
        <v>0</v>
      </c>
      <c r="J12" s="70"/>
      <c r="K12" s="70"/>
      <c r="L12" s="70"/>
      <c r="M12" s="70"/>
      <c r="N12" s="70"/>
      <c r="O12" s="70" t="str">
        <f t="shared" si="2"/>
        <v/>
      </c>
      <c r="P12" s="70">
        <f t="shared" si="3"/>
        <v>14.8</v>
      </c>
      <c r="Q12" s="70"/>
    </row>
    <row r="13" spans="1:17" s="16" customFormat="1">
      <c r="A13" s="6" t="s">
        <v>220</v>
      </c>
      <c r="B13" s="7" t="s">
        <v>237</v>
      </c>
      <c r="C13" s="69">
        <f t="shared" si="5"/>
        <v>-0.4</v>
      </c>
      <c r="D13" s="69">
        <f>'2建筑工程'!J13</f>
        <v>-0.4</v>
      </c>
      <c r="E13" s="69"/>
      <c r="F13" s="69"/>
      <c r="G13" s="69"/>
      <c r="H13" s="69">
        <f t="shared" si="6"/>
        <v>0</v>
      </c>
      <c r="I13" s="69">
        <f>'2建筑工程'!K13</f>
        <v>0</v>
      </c>
      <c r="J13" s="69"/>
      <c r="K13" s="69"/>
      <c r="L13" s="69"/>
      <c r="M13" s="69"/>
      <c r="N13" s="69"/>
      <c r="O13" s="69">
        <f t="shared" si="2"/>
        <v>0.4</v>
      </c>
      <c r="P13" s="69" t="str">
        <f t="shared" si="3"/>
        <v/>
      </c>
      <c r="Q13" s="69"/>
    </row>
    <row r="14" spans="1:17" s="16" customFormat="1">
      <c r="A14" s="6" t="s">
        <v>69</v>
      </c>
      <c r="B14" s="7" t="s">
        <v>269</v>
      </c>
      <c r="C14" s="69">
        <f>SUM(E14:G14)</f>
        <v>42</v>
      </c>
      <c r="D14" s="69"/>
      <c r="E14" s="69"/>
      <c r="F14" s="69">
        <f>'2建筑工程'!J14</f>
        <v>42</v>
      </c>
      <c r="G14" s="69"/>
      <c r="H14" s="69">
        <f>SUM(J14:L14)</f>
        <v>4.3996810000000002</v>
      </c>
      <c r="I14" s="69"/>
      <c r="J14" s="69"/>
      <c r="K14" s="69">
        <f>'2建筑工程'!K14</f>
        <v>4.3996810000000002</v>
      </c>
      <c r="L14" s="69"/>
      <c r="M14" s="69"/>
      <c r="N14" s="69"/>
      <c r="O14" s="69" t="str">
        <f t="shared" si="2"/>
        <v/>
      </c>
      <c r="P14" s="69">
        <f t="shared" si="3"/>
        <v>37.600318999999999</v>
      </c>
      <c r="Q14" s="69"/>
    </row>
    <row r="15" spans="1:17" s="16" customFormat="1">
      <c r="A15" s="6" t="s">
        <v>218</v>
      </c>
      <c r="B15" s="7" t="s">
        <v>228</v>
      </c>
      <c r="C15" s="69">
        <f>SUM(E15:G15)</f>
        <v>42.2</v>
      </c>
      <c r="D15" s="69"/>
      <c r="E15" s="69"/>
      <c r="F15" s="69">
        <f>'2建筑工程'!J15</f>
        <v>42.2</v>
      </c>
      <c r="G15" s="69"/>
      <c r="H15" s="69">
        <f>SUM(J15:L15)</f>
        <v>4.3996810000000002</v>
      </c>
      <c r="I15" s="69"/>
      <c r="J15" s="69"/>
      <c r="K15" s="69">
        <f>'2建筑工程'!K15</f>
        <v>4.3996810000000002</v>
      </c>
      <c r="L15" s="69"/>
      <c r="M15" s="69"/>
      <c r="N15" s="69"/>
      <c r="O15" s="69" t="str">
        <f t="shared" si="2"/>
        <v/>
      </c>
      <c r="P15" s="69">
        <f t="shared" si="3"/>
        <v>37.800319000000002</v>
      </c>
      <c r="Q15" s="69"/>
    </row>
    <row r="16" spans="1:17">
      <c r="A16" s="8">
        <v>1</v>
      </c>
      <c r="B16" s="9" t="s">
        <v>236</v>
      </c>
      <c r="C16" s="70">
        <f>SUM(E16:G16)</f>
        <v>42.2</v>
      </c>
      <c r="D16" s="70"/>
      <c r="E16" s="70"/>
      <c r="F16" s="70">
        <f>'2建筑工程'!J16</f>
        <v>42.2</v>
      </c>
      <c r="G16" s="70"/>
      <c r="H16" s="70">
        <f>SUM(J16:L16)</f>
        <v>4.3996810000000002</v>
      </c>
      <c r="I16" s="70"/>
      <c r="J16" s="70"/>
      <c r="K16" s="70">
        <f>'2建筑工程'!K16</f>
        <v>4.3996810000000002</v>
      </c>
      <c r="L16" s="70"/>
      <c r="M16" s="70"/>
      <c r="N16" s="70"/>
      <c r="O16" s="70" t="str">
        <f t="shared" si="2"/>
        <v/>
      </c>
      <c r="P16" s="70">
        <f t="shared" si="3"/>
        <v>37.800319000000002</v>
      </c>
      <c r="Q16" s="74"/>
    </row>
    <row r="17" spans="1:17" s="16" customFormat="1">
      <c r="A17" s="6" t="s">
        <v>219</v>
      </c>
      <c r="B17" s="7" t="s">
        <v>237</v>
      </c>
      <c r="C17" s="69">
        <f>SUM(E17:G17)</f>
        <v>-0.2</v>
      </c>
      <c r="D17" s="69"/>
      <c r="E17" s="69"/>
      <c r="F17" s="69">
        <f>'2建筑工程'!J17</f>
        <v>-0.2</v>
      </c>
      <c r="G17" s="69"/>
      <c r="H17" s="69">
        <f t="shared" si="6"/>
        <v>0</v>
      </c>
      <c r="I17" s="69">
        <f>'2建筑工程'!K17</f>
        <v>0</v>
      </c>
      <c r="J17" s="69"/>
      <c r="K17" s="69"/>
      <c r="L17" s="69"/>
      <c r="M17" s="69"/>
      <c r="N17" s="69"/>
      <c r="O17" s="69">
        <f t="shared" si="2"/>
        <v>0.2</v>
      </c>
      <c r="P17" s="69" t="str">
        <f t="shared" si="3"/>
        <v/>
      </c>
      <c r="Q17" s="69"/>
    </row>
    <row r="18" spans="1:17" s="16" customFormat="1" ht="28.8">
      <c r="A18" s="6" t="s">
        <v>150</v>
      </c>
      <c r="B18" s="7" t="s">
        <v>207</v>
      </c>
      <c r="C18" s="69">
        <f t="shared" si="5"/>
        <v>92.9</v>
      </c>
      <c r="D18" s="69">
        <f>SUM(D19:D26)</f>
        <v>0</v>
      </c>
      <c r="E18" s="69">
        <f>SUM(E19:E26)</f>
        <v>0</v>
      </c>
      <c r="F18" s="69">
        <f>SUM(F19:F26)</f>
        <v>0</v>
      </c>
      <c r="G18" s="69">
        <v>92.9</v>
      </c>
      <c r="H18" s="69">
        <f t="shared" si="6"/>
        <v>49.405057000000006</v>
      </c>
      <c r="I18" s="69">
        <f>SUM(I19:I26)</f>
        <v>0</v>
      </c>
      <c r="J18" s="69">
        <f>SUM(J19:J26)</f>
        <v>0</v>
      </c>
      <c r="K18" s="69">
        <f>SUM(K19:K26)</f>
        <v>0</v>
      </c>
      <c r="L18" s="69">
        <v>49.405057000000006</v>
      </c>
      <c r="M18" s="69"/>
      <c r="N18" s="69"/>
      <c r="O18" s="69" t="str">
        <f t="shared" si="2"/>
        <v/>
      </c>
      <c r="P18" s="69">
        <f t="shared" si="3"/>
        <v>43.494942999999999</v>
      </c>
      <c r="Q18" s="69"/>
    </row>
    <row r="19" spans="1:17">
      <c r="A19" s="8">
        <v>1</v>
      </c>
      <c r="B19" s="9" t="s">
        <v>271</v>
      </c>
      <c r="C19" s="70">
        <f t="shared" si="5"/>
        <v>17.899999999999999</v>
      </c>
      <c r="D19" s="70"/>
      <c r="E19" s="70"/>
      <c r="F19" s="70"/>
      <c r="G19" s="70">
        <v>17.899999999999999</v>
      </c>
      <c r="H19" s="70">
        <f t="shared" si="6"/>
        <v>0</v>
      </c>
      <c r="I19" s="70"/>
      <c r="J19" s="70"/>
      <c r="K19" s="70"/>
      <c r="L19" s="70">
        <v>0</v>
      </c>
      <c r="M19" s="70"/>
      <c r="N19" s="70"/>
      <c r="O19" s="70" t="str">
        <f t="shared" si="2"/>
        <v/>
      </c>
      <c r="P19" s="70">
        <f t="shared" si="3"/>
        <v>17.899999999999999</v>
      </c>
      <c r="Q19" s="70"/>
    </row>
    <row r="20" spans="1:17">
      <c r="A20" s="8">
        <v>2</v>
      </c>
      <c r="B20" s="9" t="s">
        <v>272</v>
      </c>
      <c r="C20" s="70">
        <f t="shared" si="5"/>
        <v>13.3</v>
      </c>
      <c r="D20" s="70"/>
      <c r="E20" s="70"/>
      <c r="F20" s="70"/>
      <c r="G20" s="70">
        <v>13.3</v>
      </c>
      <c r="H20" s="70">
        <f t="shared" si="6"/>
        <v>0</v>
      </c>
      <c r="I20" s="70"/>
      <c r="J20" s="70"/>
      <c r="K20" s="70"/>
      <c r="L20" s="70">
        <v>0</v>
      </c>
      <c r="M20" s="70"/>
      <c r="N20" s="70"/>
      <c r="O20" s="70" t="str">
        <f t="shared" si="2"/>
        <v/>
      </c>
      <c r="P20" s="70">
        <f t="shared" si="3"/>
        <v>13.3</v>
      </c>
      <c r="Q20" s="70"/>
    </row>
    <row r="21" spans="1:17">
      <c r="A21" s="8">
        <v>3</v>
      </c>
      <c r="B21" s="9" t="s">
        <v>208</v>
      </c>
      <c r="C21" s="70">
        <f t="shared" si="5"/>
        <v>38.9</v>
      </c>
      <c r="D21" s="70"/>
      <c r="E21" s="70"/>
      <c r="F21" s="70"/>
      <c r="G21" s="70">
        <v>38.9</v>
      </c>
      <c r="H21" s="70">
        <f t="shared" si="6"/>
        <v>17.111320000000003</v>
      </c>
      <c r="I21" s="70"/>
      <c r="J21" s="70"/>
      <c r="K21" s="70"/>
      <c r="L21" s="70">
        <v>17.111320000000003</v>
      </c>
      <c r="M21" s="70"/>
      <c r="N21" s="70"/>
      <c r="O21" s="70" t="str">
        <f t="shared" si="2"/>
        <v/>
      </c>
      <c r="P21" s="70">
        <f t="shared" si="3"/>
        <v>21.788679999999996</v>
      </c>
      <c r="Q21" s="70"/>
    </row>
    <row r="22" spans="1:17">
      <c r="A22" s="8">
        <v>4</v>
      </c>
      <c r="B22" s="9" t="s">
        <v>273</v>
      </c>
      <c r="C22" s="70">
        <f t="shared" si="5"/>
        <v>17.8</v>
      </c>
      <c r="D22" s="70"/>
      <c r="E22" s="70"/>
      <c r="F22" s="70"/>
      <c r="G22" s="70">
        <v>17.8</v>
      </c>
      <c r="H22" s="70">
        <f t="shared" si="6"/>
        <v>7.6565130000000003</v>
      </c>
      <c r="I22" s="70"/>
      <c r="J22" s="70"/>
      <c r="K22" s="70"/>
      <c r="L22" s="70">
        <v>7.6565130000000003</v>
      </c>
      <c r="M22" s="70"/>
      <c r="N22" s="70"/>
      <c r="O22" s="70" t="str">
        <f t="shared" si="2"/>
        <v/>
      </c>
      <c r="P22" s="70">
        <f t="shared" si="3"/>
        <v>10.143487</v>
      </c>
      <c r="Q22" s="70"/>
    </row>
    <row r="23" spans="1:17">
      <c r="A23" s="8">
        <v>5</v>
      </c>
      <c r="B23" s="9" t="s">
        <v>274</v>
      </c>
      <c r="C23" s="70">
        <f t="shared" si="5"/>
        <v>1</v>
      </c>
      <c r="D23" s="70"/>
      <c r="E23" s="70"/>
      <c r="F23" s="70"/>
      <c r="G23" s="70">
        <v>1</v>
      </c>
      <c r="H23" s="70">
        <f t="shared" si="6"/>
        <v>0</v>
      </c>
      <c r="I23" s="70"/>
      <c r="J23" s="70"/>
      <c r="K23" s="70"/>
      <c r="L23" s="70">
        <v>0</v>
      </c>
      <c r="M23" s="70"/>
      <c r="N23" s="70"/>
      <c r="O23" s="70" t="str">
        <f t="shared" si="2"/>
        <v/>
      </c>
      <c r="P23" s="70">
        <f t="shared" si="3"/>
        <v>1</v>
      </c>
      <c r="Q23" s="70"/>
    </row>
    <row r="24" spans="1:17">
      <c r="A24" s="8">
        <v>6</v>
      </c>
      <c r="B24" s="9" t="s">
        <v>209</v>
      </c>
      <c r="C24" s="70">
        <f t="shared" si="5"/>
        <v>2</v>
      </c>
      <c r="D24" s="70"/>
      <c r="E24" s="70"/>
      <c r="F24" s="70"/>
      <c r="G24" s="70">
        <v>2</v>
      </c>
      <c r="H24" s="70">
        <f t="shared" si="6"/>
        <v>7.0754720000000004</v>
      </c>
      <c r="I24" s="70"/>
      <c r="J24" s="70"/>
      <c r="K24" s="70"/>
      <c r="L24" s="70">
        <v>7.0754720000000004</v>
      </c>
      <c r="M24" s="70"/>
      <c r="N24" s="70"/>
      <c r="O24" s="70">
        <f t="shared" si="2"/>
        <v>5.0754720000000004</v>
      </c>
      <c r="P24" s="70" t="str">
        <f t="shared" si="3"/>
        <v/>
      </c>
      <c r="Q24" s="70"/>
    </row>
    <row r="25" spans="1:17" ht="28.8">
      <c r="A25" s="8">
        <v>7</v>
      </c>
      <c r="B25" s="9" t="s">
        <v>275</v>
      </c>
      <c r="C25" s="70">
        <f t="shared" si="5"/>
        <v>2</v>
      </c>
      <c r="D25" s="70"/>
      <c r="E25" s="70"/>
      <c r="F25" s="70"/>
      <c r="G25" s="70">
        <v>2</v>
      </c>
      <c r="H25" s="70">
        <f t="shared" si="6"/>
        <v>14.337755000000001</v>
      </c>
      <c r="I25" s="70"/>
      <c r="J25" s="70"/>
      <c r="K25" s="70"/>
      <c r="L25" s="70">
        <v>14.337755000000001</v>
      </c>
      <c r="M25" s="70"/>
      <c r="N25" s="70"/>
      <c r="O25" s="70">
        <f t="shared" si="2"/>
        <v>12.337755000000001</v>
      </c>
      <c r="P25" s="70" t="str">
        <f t="shared" si="3"/>
        <v/>
      </c>
      <c r="Q25" s="70"/>
    </row>
    <row r="26" spans="1:17">
      <c r="A26" s="8">
        <v>8</v>
      </c>
      <c r="B26" s="9" t="s">
        <v>276</v>
      </c>
      <c r="C26" s="70">
        <f t="shared" si="5"/>
        <v>0</v>
      </c>
      <c r="D26" s="70"/>
      <c r="E26" s="70"/>
      <c r="F26" s="70"/>
      <c r="G26" s="70">
        <v>0</v>
      </c>
      <c r="H26" s="70">
        <f t="shared" si="6"/>
        <v>3.2239970000000002</v>
      </c>
      <c r="I26" s="70"/>
      <c r="J26" s="70"/>
      <c r="K26" s="70"/>
      <c r="L26" s="70">
        <v>3.2239970000000002</v>
      </c>
      <c r="M26" s="70"/>
      <c r="N26" s="70"/>
      <c r="O26" s="70">
        <f t="shared" si="2"/>
        <v>3.2239970000000002</v>
      </c>
      <c r="P26" s="70" t="str">
        <f t="shared" si="3"/>
        <v/>
      </c>
      <c r="Q26" s="70"/>
    </row>
    <row r="27" spans="1:17" s="16" customFormat="1">
      <c r="A27" s="6" t="s">
        <v>270</v>
      </c>
      <c r="B27" s="7" t="s">
        <v>277</v>
      </c>
      <c r="C27" s="69">
        <f t="shared" si="5"/>
        <v>35.5</v>
      </c>
      <c r="D27" s="69"/>
      <c r="E27" s="69"/>
      <c r="F27" s="69"/>
      <c r="G27" s="69">
        <v>35.5</v>
      </c>
      <c r="H27" s="69">
        <f t="shared" si="6"/>
        <v>0</v>
      </c>
      <c r="I27" s="69"/>
      <c r="J27" s="69"/>
      <c r="K27" s="69"/>
      <c r="L27" s="69">
        <v>0</v>
      </c>
      <c r="M27" s="69"/>
      <c r="N27" s="69"/>
      <c r="O27" s="69" t="str">
        <f t="shared" si="2"/>
        <v/>
      </c>
      <c r="P27" s="69">
        <f t="shared" si="3"/>
        <v>35.5</v>
      </c>
      <c r="Q27" s="69"/>
    </row>
    <row r="28" spans="1:17" s="16" customFormat="1">
      <c r="A28" s="6" t="s">
        <v>279</v>
      </c>
      <c r="B28" s="7" t="s">
        <v>278</v>
      </c>
      <c r="C28" s="69">
        <f t="shared" si="5"/>
        <v>0.6</v>
      </c>
      <c r="D28" s="69"/>
      <c r="E28" s="69"/>
      <c r="F28" s="69"/>
      <c r="G28" s="69">
        <v>0.6</v>
      </c>
      <c r="H28" s="69"/>
      <c r="I28" s="69"/>
      <c r="J28" s="69"/>
      <c r="K28" s="69"/>
      <c r="L28" s="69">
        <v>0</v>
      </c>
      <c r="M28" s="69"/>
      <c r="N28" s="69"/>
      <c r="O28" s="69"/>
      <c r="P28" s="69"/>
      <c r="Q28" s="69"/>
    </row>
  </sheetData>
  <mergeCells count="8">
    <mergeCell ref="A2:Q2"/>
    <mergeCell ref="B4:B5"/>
    <mergeCell ref="Q4:Q5"/>
    <mergeCell ref="A4:A5"/>
    <mergeCell ref="C4:G4"/>
    <mergeCell ref="H4:L4"/>
    <mergeCell ref="M4:N4"/>
    <mergeCell ref="O4:P4"/>
  </mergeCells>
  <phoneticPr fontId="1" type="noConversion"/>
  <printOptions horizontalCentered="1"/>
  <pageMargins left="0.7" right="0.7" top="0.75" bottom="0.75" header="0.3" footer="0.3"/>
  <pageSetup paperSize="9" scale="74" fitToHeight="0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E3BF-AAEF-410C-8B67-E177CAD837BE}">
  <sheetPr codeName="Sheet2">
    <tabColor rgb="FFFFC000"/>
    <pageSetUpPr fitToPage="1"/>
  </sheetPr>
  <dimension ref="A1:P17"/>
  <sheetViews>
    <sheetView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12" sqref="L12"/>
    </sheetView>
  </sheetViews>
  <sheetFormatPr defaultRowHeight="14.4"/>
  <cols>
    <col min="1" max="1" width="7.6640625" style="2" customWidth="1"/>
    <col min="2" max="2" width="18.21875" style="2" customWidth="1"/>
    <col min="3" max="4" width="8.88671875" style="2"/>
    <col min="5" max="6" width="10.44140625" style="2" bestFit="1" customWidth="1"/>
    <col min="7" max="7" width="10.33203125" style="2" customWidth="1"/>
    <col min="8" max="9" width="15" style="2" bestFit="1" customWidth="1"/>
    <col min="10" max="11" width="11.21875" style="2" bestFit="1" customWidth="1"/>
    <col min="12" max="12" width="8.88671875" style="2"/>
    <col min="13" max="13" width="6.88671875" style="2" customWidth="1"/>
    <col min="14" max="16384" width="8.88671875" style="2"/>
  </cols>
  <sheetData>
    <row r="1" spans="1:16" ht="17.399999999999999">
      <c r="A1" s="1" t="s">
        <v>21</v>
      </c>
    </row>
    <row r="2" spans="1:16" ht="20.399999999999999">
      <c r="A2" s="79" t="s">
        <v>20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6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K3" s="4" t="s">
        <v>18</v>
      </c>
      <c r="M3" s="4" t="s">
        <v>22</v>
      </c>
    </row>
    <row r="4" spans="1:16">
      <c r="A4" s="85" t="s">
        <v>2</v>
      </c>
      <c r="B4" s="85" t="s">
        <v>34</v>
      </c>
      <c r="C4" s="85" t="s">
        <v>35</v>
      </c>
      <c r="D4" s="85" t="s">
        <v>24</v>
      </c>
      <c r="E4" s="85"/>
      <c r="F4" s="85"/>
      <c r="G4" s="85" t="s">
        <v>25</v>
      </c>
      <c r="H4" s="85" t="s">
        <v>26</v>
      </c>
      <c r="I4" s="85"/>
      <c r="J4" s="85" t="s">
        <v>36</v>
      </c>
      <c r="K4" s="85" t="s">
        <v>37</v>
      </c>
      <c r="L4" s="85" t="s">
        <v>29</v>
      </c>
      <c r="M4" s="85" t="s">
        <v>14</v>
      </c>
      <c r="O4" s="2" t="s">
        <v>154</v>
      </c>
    </row>
    <row r="5" spans="1:16">
      <c r="A5" s="85"/>
      <c r="B5" s="85"/>
      <c r="C5" s="85"/>
      <c r="D5" s="7" t="s">
        <v>30</v>
      </c>
      <c r="E5" s="7" t="s">
        <v>27</v>
      </c>
      <c r="F5" s="7" t="s">
        <v>28</v>
      </c>
      <c r="G5" s="85"/>
      <c r="H5" s="7" t="s">
        <v>31</v>
      </c>
      <c r="I5" s="7" t="s">
        <v>32</v>
      </c>
      <c r="J5" s="85"/>
      <c r="K5" s="85"/>
      <c r="L5" s="85"/>
      <c r="M5" s="85"/>
      <c r="O5" s="2" t="s">
        <v>155</v>
      </c>
      <c r="P5" s="2" t="s">
        <v>156</v>
      </c>
    </row>
    <row r="6" spans="1:16">
      <c r="A6" s="9">
        <v>1</v>
      </c>
      <c r="B6" s="9">
        <v>2</v>
      </c>
      <c r="C6" s="9">
        <v>3</v>
      </c>
      <c r="D6" s="9">
        <v>4</v>
      </c>
      <c r="E6" s="9">
        <v>5</v>
      </c>
      <c r="F6" s="9">
        <v>6</v>
      </c>
      <c r="G6" s="9">
        <v>7</v>
      </c>
      <c r="H6" s="9">
        <v>8</v>
      </c>
      <c r="I6" s="9">
        <v>9</v>
      </c>
      <c r="J6" s="9">
        <v>10</v>
      </c>
      <c r="K6" s="9">
        <v>11</v>
      </c>
      <c r="L6" s="9">
        <v>12</v>
      </c>
      <c r="M6" s="9">
        <v>13</v>
      </c>
    </row>
    <row r="7" spans="1:16" s="16" customFormat="1">
      <c r="A7" s="7"/>
      <c r="B7" s="7" t="s">
        <v>152</v>
      </c>
      <c r="C7" s="7" t="s">
        <v>230</v>
      </c>
      <c r="D7" s="7" t="s">
        <v>33</v>
      </c>
      <c r="E7" s="18">
        <f>SUM(E8,E17)</f>
        <v>3095.3</v>
      </c>
      <c r="F7" s="18">
        <f>SUM(F8,F17)</f>
        <v>3095.3</v>
      </c>
      <c r="G7" s="71"/>
      <c r="H7" s="71"/>
      <c r="I7" s="71"/>
      <c r="J7" s="18">
        <f t="shared" ref="J7:K7" si="0">SUM(J8,J17)</f>
        <v>549.19999999999993</v>
      </c>
      <c r="K7" s="18">
        <f t="shared" si="0"/>
        <v>368.617074</v>
      </c>
      <c r="L7" s="71"/>
      <c r="M7" s="71"/>
    </row>
    <row r="8" spans="1:16" s="16" customFormat="1">
      <c r="A8" s="7" t="s">
        <v>232</v>
      </c>
      <c r="B8" s="7" t="s">
        <v>233</v>
      </c>
      <c r="C8" s="7" t="s">
        <v>230</v>
      </c>
      <c r="D8" s="7" t="s">
        <v>33</v>
      </c>
      <c r="E8" s="18">
        <f>E9+E11</f>
        <v>3095.3</v>
      </c>
      <c r="F8" s="18">
        <f>F9+F11</f>
        <v>3095.3</v>
      </c>
      <c r="G8" s="71"/>
      <c r="H8" s="71"/>
      <c r="I8" s="71"/>
      <c r="J8" s="18">
        <f t="shared" ref="J8:K8" si="1">J9+J11</f>
        <v>549.4</v>
      </c>
      <c r="K8" s="18">
        <f t="shared" si="1"/>
        <v>368.617074</v>
      </c>
      <c r="L8" s="71"/>
      <c r="M8" s="71"/>
      <c r="O8" s="16" t="s">
        <v>234</v>
      </c>
    </row>
    <row r="9" spans="1:16" s="16" customFormat="1">
      <c r="A9" s="7" t="s">
        <v>218</v>
      </c>
      <c r="B9" s="7" t="s">
        <v>228</v>
      </c>
      <c r="C9" s="7" t="s">
        <v>230</v>
      </c>
      <c r="D9" s="7" t="s">
        <v>33</v>
      </c>
      <c r="E9" s="18">
        <f>SUM(E10:E17)</f>
        <v>3095.3</v>
      </c>
      <c r="F9" s="18">
        <f>SUM(F10:F17)</f>
        <v>3095.3</v>
      </c>
      <c r="G9" s="71"/>
      <c r="H9" s="71"/>
      <c r="I9" s="71"/>
      <c r="J9" s="18">
        <v>534.6</v>
      </c>
      <c r="K9" s="18">
        <f>K10</f>
        <v>368.617074</v>
      </c>
      <c r="L9" s="71"/>
      <c r="M9" s="71"/>
    </row>
    <row r="10" spans="1:16" ht="57.6">
      <c r="A10" s="9">
        <v>1</v>
      </c>
      <c r="B10" s="13" t="s">
        <v>236</v>
      </c>
      <c r="C10" s="9" t="s">
        <v>231</v>
      </c>
      <c r="D10" s="9" t="s">
        <v>33</v>
      </c>
      <c r="E10" s="9">
        <v>3095.3</v>
      </c>
      <c r="F10" s="9">
        <v>3095.3</v>
      </c>
      <c r="G10" s="9" t="s">
        <v>280</v>
      </c>
      <c r="H10" s="78">
        <v>44742</v>
      </c>
      <c r="I10" s="78">
        <v>44902</v>
      </c>
      <c r="J10" s="17">
        <v>534.6</v>
      </c>
      <c r="K10" s="17">
        <f>401.242768-'3设备'!G9</f>
        <v>368.617074</v>
      </c>
      <c r="L10" s="9" t="s">
        <v>203</v>
      </c>
      <c r="M10" s="9" t="s">
        <v>238</v>
      </c>
      <c r="P10" s="2" t="s">
        <v>235</v>
      </c>
    </row>
    <row r="11" spans="1:16" s="16" customFormat="1">
      <c r="A11" s="7" t="s">
        <v>219</v>
      </c>
      <c r="B11" s="7" t="s">
        <v>229</v>
      </c>
      <c r="C11" s="7"/>
      <c r="D11" s="7"/>
      <c r="E11" s="71"/>
      <c r="F11" s="71"/>
      <c r="G11" s="71"/>
      <c r="H11" s="71"/>
      <c r="I11" s="71"/>
      <c r="J11" s="18">
        <v>14.8</v>
      </c>
      <c r="K11" s="18"/>
      <c r="L11" s="71"/>
      <c r="M11" s="71"/>
    </row>
    <row r="12" spans="1:16">
      <c r="A12" s="9">
        <v>1</v>
      </c>
      <c r="B12" s="13" t="s">
        <v>216</v>
      </c>
      <c r="C12" s="9"/>
      <c r="D12" s="9"/>
      <c r="E12" s="9"/>
      <c r="F12" s="9"/>
      <c r="G12" s="9"/>
      <c r="H12" s="68"/>
      <c r="I12" s="68"/>
      <c r="J12" s="17">
        <v>14.8</v>
      </c>
      <c r="K12" s="17"/>
      <c r="L12" s="9"/>
      <c r="M12" s="9"/>
    </row>
    <row r="13" spans="1:16" s="16" customFormat="1">
      <c r="A13" s="7" t="s">
        <v>220</v>
      </c>
      <c r="B13" s="7" t="s">
        <v>237</v>
      </c>
      <c r="C13" s="7"/>
      <c r="D13" s="7"/>
      <c r="E13" s="71"/>
      <c r="F13" s="71"/>
      <c r="G13" s="71"/>
      <c r="H13" s="71"/>
      <c r="I13" s="71"/>
      <c r="J13" s="18">
        <v>-0.4</v>
      </c>
      <c r="K13" s="18"/>
      <c r="L13" s="71"/>
      <c r="M13" s="71"/>
    </row>
    <row r="14" spans="1:16" s="16" customFormat="1">
      <c r="A14" s="7" t="s">
        <v>69</v>
      </c>
      <c r="B14" s="7" t="s">
        <v>269</v>
      </c>
      <c r="C14" s="7"/>
      <c r="D14" s="7"/>
      <c r="E14" s="71"/>
      <c r="F14" s="71"/>
      <c r="G14" s="71"/>
      <c r="H14" s="71"/>
      <c r="I14" s="71"/>
      <c r="J14" s="18">
        <v>42</v>
      </c>
      <c r="K14" s="18">
        <v>4.3996810000000002</v>
      </c>
      <c r="L14" s="71"/>
      <c r="M14" s="71"/>
    </row>
    <row r="15" spans="1:16" s="16" customFormat="1">
      <c r="A15" s="7" t="s">
        <v>218</v>
      </c>
      <c r="B15" s="7" t="s">
        <v>228</v>
      </c>
      <c r="C15" s="7"/>
      <c r="D15" s="7"/>
      <c r="E15" s="71"/>
      <c r="F15" s="71"/>
      <c r="G15" s="71"/>
      <c r="H15" s="71"/>
      <c r="I15" s="71"/>
      <c r="J15" s="18">
        <v>42.2</v>
      </c>
      <c r="K15" s="18">
        <v>4.3996810000000002</v>
      </c>
      <c r="L15" s="71"/>
      <c r="M15" s="71"/>
    </row>
    <row r="16" spans="1:16">
      <c r="A16" s="9">
        <v>1</v>
      </c>
      <c r="B16" s="13" t="s">
        <v>236</v>
      </c>
      <c r="C16" s="9"/>
      <c r="D16" s="9"/>
      <c r="E16" s="9"/>
      <c r="F16" s="9"/>
      <c r="G16" s="9"/>
      <c r="H16" s="68"/>
      <c r="I16" s="68"/>
      <c r="J16" s="17">
        <v>42.2</v>
      </c>
      <c r="K16" s="17">
        <v>4.3996810000000002</v>
      </c>
      <c r="L16" s="9"/>
      <c r="M16" s="9"/>
    </row>
    <row r="17" spans="1:13" s="16" customFormat="1">
      <c r="A17" s="7" t="s">
        <v>219</v>
      </c>
      <c r="B17" s="7" t="s">
        <v>237</v>
      </c>
      <c r="C17" s="7"/>
      <c r="D17" s="7"/>
      <c r="E17" s="71"/>
      <c r="F17" s="71"/>
      <c r="G17" s="71"/>
      <c r="H17" s="71"/>
      <c r="I17" s="71"/>
      <c r="J17" s="18">
        <v>-0.2</v>
      </c>
      <c r="K17" s="18"/>
      <c r="L17" s="71"/>
      <c r="M17" s="71"/>
    </row>
  </sheetData>
  <mergeCells count="11">
    <mergeCell ref="A2:M2"/>
    <mergeCell ref="M4:M5"/>
    <mergeCell ref="J4:J5"/>
    <mergeCell ref="K4:K5"/>
    <mergeCell ref="C4:C5"/>
    <mergeCell ref="A4:A5"/>
    <mergeCell ref="B4:B5"/>
    <mergeCell ref="D4:F4"/>
    <mergeCell ref="G4:G5"/>
    <mergeCell ref="H4:I4"/>
    <mergeCell ref="L4:L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FCE9-FDBC-4D76-8EDA-2D555E2BE1C5}">
  <sheetPr codeName="Sheet3">
    <tabColor rgb="FFFFFF00"/>
  </sheetPr>
  <dimension ref="A1:L10"/>
  <sheetViews>
    <sheetView showZeros="0" view="pageBreakPreview" zoomScaleNormal="100" zoomScaleSheetLayoutView="100" workbookViewId="0">
      <selection activeCell="F9" sqref="F9:G9"/>
    </sheetView>
  </sheetViews>
  <sheetFormatPr defaultRowHeight="14.4"/>
  <cols>
    <col min="1" max="1" width="6.21875" style="2" customWidth="1"/>
    <col min="2" max="2" width="24" style="2" customWidth="1"/>
    <col min="3" max="3" width="9.5546875" style="2" customWidth="1"/>
    <col min="4" max="4" width="7.21875" style="2" customWidth="1"/>
    <col min="5" max="5" width="11.77734375" style="2" customWidth="1"/>
    <col min="6" max="6" width="7.21875" style="2" customWidth="1"/>
    <col min="7" max="7" width="11.77734375" style="2" customWidth="1"/>
    <col min="8" max="8" width="7.21875" style="2" customWidth="1"/>
    <col min="9" max="9" width="11.77734375" style="2" customWidth="1"/>
    <col min="10" max="10" width="7.21875" style="2" customWidth="1"/>
    <col min="11" max="11" width="11.77734375" style="2" customWidth="1"/>
    <col min="12" max="12" width="6.77734375" style="2" customWidth="1"/>
    <col min="13" max="16384" width="8.88671875" style="2"/>
  </cols>
  <sheetData>
    <row r="1" spans="1:12" ht="17.399999999999999">
      <c r="A1" s="1" t="s">
        <v>38</v>
      </c>
    </row>
    <row r="2" spans="1:12" ht="20.399999999999999">
      <c r="A2" s="79" t="s">
        <v>39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J3" s="4" t="s">
        <v>18</v>
      </c>
      <c r="L3" s="4" t="s">
        <v>40</v>
      </c>
    </row>
    <row r="4" spans="1:12">
      <c r="A4" s="85" t="s">
        <v>2</v>
      </c>
      <c r="B4" s="85" t="s">
        <v>41</v>
      </c>
      <c r="C4" s="85" t="s">
        <v>30</v>
      </c>
      <c r="D4" s="85" t="s">
        <v>27</v>
      </c>
      <c r="E4" s="85"/>
      <c r="F4" s="85" t="s">
        <v>28</v>
      </c>
      <c r="G4" s="85"/>
      <c r="H4" s="85" t="s">
        <v>42</v>
      </c>
      <c r="I4" s="85"/>
      <c r="J4" s="85" t="s">
        <v>43</v>
      </c>
      <c r="K4" s="85"/>
      <c r="L4" s="85" t="s">
        <v>44</v>
      </c>
    </row>
    <row r="5" spans="1:12">
      <c r="A5" s="85"/>
      <c r="B5" s="85"/>
      <c r="C5" s="85"/>
      <c r="D5" s="7" t="s">
        <v>45</v>
      </c>
      <c r="E5" s="7" t="s">
        <v>46</v>
      </c>
      <c r="F5" s="7" t="s">
        <v>45</v>
      </c>
      <c r="G5" s="7" t="s">
        <v>46</v>
      </c>
      <c r="H5" s="7" t="s">
        <v>45</v>
      </c>
      <c r="I5" s="7" t="s">
        <v>46</v>
      </c>
      <c r="J5" s="7" t="s">
        <v>45</v>
      </c>
      <c r="K5" s="7" t="s">
        <v>46</v>
      </c>
      <c r="L5" s="85"/>
    </row>
    <row r="6" spans="1:12">
      <c r="A6" s="9">
        <v>1</v>
      </c>
      <c r="B6" s="9">
        <v>2</v>
      </c>
      <c r="C6" s="9">
        <v>3</v>
      </c>
      <c r="D6" s="9">
        <v>4</v>
      </c>
      <c r="E6" s="9">
        <v>5</v>
      </c>
      <c r="F6" s="9">
        <v>6</v>
      </c>
      <c r="G6" s="9">
        <v>7</v>
      </c>
      <c r="H6" s="9">
        <v>8</v>
      </c>
      <c r="I6" s="9">
        <v>9</v>
      </c>
      <c r="J6" s="9">
        <v>10</v>
      </c>
      <c r="K6" s="9">
        <v>11</v>
      </c>
      <c r="L6" s="9">
        <v>12</v>
      </c>
    </row>
    <row r="7" spans="1:12" s="16" customFormat="1">
      <c r="A7" s="11"/>
      <c r="B7" s="7" t="s">
        <v>47</v>
      </c>
      <c r="C7" s="7" t="s">
        <v>222</v>
      </c>
      <c r="D7" s="7">
        <f>D8+D9</f>
        <v>26</v>
      </c>
      <c r="E7" s="18">
        <f t="shared" ref="E7:G7" si="0">E8+E9</f>
        <v>193</v>
      </c>
      <c r="F7" s="7">
        <f t="shared" si="0"/>
        <v>46</v>
      </c>
      <c r="G7" s="18">
        <f t="shared" si="0"/>
        <v>180.23631599999999</v>
      </c>
      <c r="H7" s="6"/>
      <c r="I7" s="6"/>
      <c r="J7" s="6"/>
      <c r="K7" s="6"/>
      <c r="L7" s="6"/>
    </row>
    <row r="8" spans="1:12" s="16" customFormat="1">
      <c r="A8" s="7" t="s">
        <v>48</v>
      </c>
      <c r="B8" s="7" t="s">
        <v>49</v>
      </c>
      <c r="C8" s="7" t="s">
        <v>221</v>
      </c>
      <c r="D8" s="7">
        <f>'11工艺'!G6</f>
        <v>26</v>
      </c>
      <c r="E8" s="18">
        <f>'11工艺'!H6</f>
        <v>193</v>
      </c>
      <c r="F8" s="7">
        <f>'11工艺'!Q6</f>
        <v>26</v>
      </c>
      <c r="G8" s="18">
        <f>'11工艺'!R6</f>
        <v>147.61062200000001</v>
      </c>
      <c r="H8" s="7"/>
      <c r="I8" s="7"/>
      <c r="J8" s="7"/>
      <c r="K8" s="7"/>
      <c r="L8" s="7"/>
    </row>
    <row r="9" spans="1:12" s="16" customFormat="1">
      <c r="A9" s="7" t="s">
        <v>201</v>
      </c>
      <c r="B9" s="7" t="s">
        <v>223</v>
      </c>
      <c r="C9" s="7" t="s">
        <v>221</v>
      </c>
      <c r="D9" s="22">
        <f>'13公用'!G6</f>
        <v>0</v>
      </c>
      <c r="E9" s="18">
        <f>'13公用'!H6</f>
        <v>0</v>
      </c>
      <c r="F9" s="7">
        <f>'13公用'!Q6</f>
        <v>20</v>
      </c>
      <c r="G9" s="18">
        <f>'13公用'!R6</f>
        <v>32.625693999999989</v>
      </c>
      <c r="H9" s="6"/>
      <c r="I9" s="6"/>
      <c r="J9" s="6"/>
      <c r="K9" s="6"/>
      <c r="L9" s="6"/>
    </row>
    <row r="10" spans="1:12" s="16" customFormat="1" hidden="1">
      <c r="A10" s="7" t="s">
        <v>224</v>
      </c>
      <c r="B10" s="11" t="str">
        <f>'11工艺'!L9</f>
        <v>待抵扣进项税</v>
      </c>
      <c r="C10" s="7" t="s">
        <v>221</v>
      </c>
      <c r="D10" s="7">
        <f>'11工艺'!G9</f>
        <v>0</v>
      </c>
      <c r="E10" s="18">
        <f>'11工艺'!H9</f>
        <v>0</v>
      </c>
      <c r="F10" s="7">
        <f>'11工艺'!Q9</f>
        <v>0</v>
      </c>
      <c r="G10" s="18">
        <f>'11工艺'!R9</f>
        <v>0</v>
      </c>
      <c r="H10" s="6"/>
      <c r="I10" s="6"/>
      <c r="J10" s="6"/>
      <c r="K10" s="6"/>
      <c r="L10" s="6"/>
    </row>
  </sheetData>
  <mergeCells count="9">
    <mergeCell ref="H4:I4"/>
    <mergeCell ref="J4:K4"/>
    <mergeCell ref="L4:L5"/>
    <mergeCell ref="A2:L2"/>
    <mergeCell ref="A4:A5"/>
    <mergeCell ref="B4:B5"/>
    <mergeCell ref="C4:C5"/>
    <mergeCell ref="D4:E4"/>
    <mergeCell ref="F4:G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A79F-7C03-4A1F-8519-69E92B02EA77}">
  <sheetPr codeName="Sheet4"/>
  <dimension ref="A1:H7"/>
  <sheetViews>
    <sheetView view="pageBreakPreview" zoomScaleNormal="100" zoomScaleSheetLayoutView="100" workbookViewId="0">
      <selection activeCell="B6" sqref="B6"/>
    </sheetView>
  </sheetViews>
  <sheetFormatPr defaultRowHeight="14.4"/>
  <cols>
    <col min="1" max="4" width="8.88671875" style="2"/>
    <col min="5" max="7" width="16.33203125" style="2" customWidth="1"/>
    <col min="8" max="16384" width="8.88671875" style="2"/>
  </cols>
  <sheetData>
    <row r="1" spans="1:8" ht="17.399999999999999">
      <c r="A1" s="1" t="s">
        <v>53</v>
      </c>
    </row>
    <row r="2" spans="1:8" ht="20.399999999999999">
      <c r="A2" s="79" t="s">
        <v>52</v>
      </c>
      <c r="B2" s="79"/>
      <c r="C2" s="79"/>
      <c r="D2" s="79"/>
      <c r="E2" s="79"/>
      <c r="F2" s="79"/>
      <c r="G2" s="79"/>
      <c r="H2" s="79"/>
    </row>
    <row r="3" spans="1:8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F3" s="4"/>
      <c r="H3" s="4" t="s">
        <v>54</v>
      </c>
    </row>
    <row r="4" spans="1:8" ht="28.8">
      <c r="A4" s="7" t="s">
        <v>2</v>
      </c>
      <c r="B4" s="7" t="s">
        <v>16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14</v>
      </c>
    </row>
    <row r="5" spans="1:8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</row>
    <row r="6" spans="1:8">
      <c r="A6" s="9"/>
      <c r="B6" s="8" t="s">
        <v>202</v>
      </c>
      <c r="C6" s="9"/>
      <c r="D6" s="9"/>
      <c r="E6" s="9"/>
      <c r="F6" s="9"/>
      <c r="G6" s="9"/>
      <c r="H6" s="9"/>
    </row>
    <row r="7" spans="1:8">
      <c r="A7" s="9"/>
      <c r="B7" s="9"/>
      <c r="C7" s="9"/>
      <c r="D7" s="9"/>
      <c r="E7" s="9"/>
      <c r="F7" s="9"/>
      <c r="G7" s="9"/>
      <c r="H7" s="9"/>
    </row>
  </sheetData>
  <mergeCells count="1">
    <mergeCell ref="A2:H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14E8-448F-43EA-9D32-C0ED2C456D8A}">
  <sheetPr codeName="Sheet5"/>
  <dimension ref="A1:K23"/>
  <sheetViews>
    <sheetView view="pageBreakPreview" zoomScaleNormal="100" zoomScaleSheetLayoutView="100" workbookViewId="0">
      <selection activeCell="B7" sqref="B7"/>
    </sheetView>
  </sheetViews>
  <sheetFormatPr defaultRowHeight="14.4"/>
  <cols>
    <col min="1" max="16384" width="8.88671875" style="2"/>
  </cols>
  <sheetData>
    <row r="1" spans="1:11" ht="17.399999999999999">
      <c r="A1" s="1" t="s">
        <v>60</v>
      </c>
    </row>
    <row r="2" spans="1:11" ht="20.399999999999999">
      <c r="A2" s="79" t="s">
        <v>62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I3" s="4" t="s">
        <v>18</v>
      </c>
      <c r="K3" s="4" t="s">
        <v>61</v>
      </c>
    </row>
    <row r="4" spans="1:11" ht="15.6" customHeight="1">
      <c r="A4" s="85" t="s">
        <v>2</v>
      </c>
      <c r="B4" s="85" t="s">
        <v>77</v>
      </c>
      <c r="C4" s="85" t="s">
        <v>78</v>
      </c>
      <c r="D4" s="85" t="s">
        <v>63</v>
      </c>
      <c r="E4" s="85" t="s">
        <v>64</v>
      </c>
      <c r="F4" s="85" t="s">
        <v>30</v>
      </c>
      <c r="G4" s="85" t="s">
        <v>65</v>
      </c>
      <c r="H4" s="85"/>
      <c r="I4" s="85" t="s">
        <v>66</v>
      </c>
      <c r="J4" s="85"/>
      <c r="K4" s="85" t="s">
        <v>67</v>
      </c>
    </row>
    <row r="5" spans="1:11">
      <c r="A5" s="85"/>
      <c r="B5" s="85"/>
      <c r="C5" s="85"/>
      <c r="D5" s="85"/>
      <c r="E5" s="85"/>
      <c r="F5" s="85"/>
      <c r="G5" s="7" t="s">
        <v>45</v>
      </c>
      <c r="H5" s="7" t="s">
        <v>46</v>
      </c>
      <c r="I5" s="7" t="s">
        <v>45</v>
      </c>
      <c r="J5" s="7" t="s">
        <v>46</v>
      </c>
      <c r="K5" s="85"/>
    </row>
    <row r="6" spans="1:11">
      <c r="A6" s="9">
        <v>1</v>
      </c>
      <c r="B6" s="9">
        <v>2</v>
      </c>
      <c r="C6" s="9">
        <v>3</v>
      </c>
      <c r="D6" s="9">
        <v>4</v>
      </c>
      <c r="E6" s="9">
        <v>5</v>
      </c>
      <c r="F6" s="9">
        <v>6</v>
      </c>
      <c r="G6" s="9">
        <v>7</v>
      </c>
      <c r="H6" s="9">
        <v>8</v>
      </c>
      <c r="I6" s="9">
        <v>9</v>
      </c>
      <c r="J6" s="9">
        <v>10</v>
      </c>
      <c r="K6" s="9">
        <v>11</v>
      </c>
    </row>
    <row r="7" spans="1:11">
      <c r="A7" s="9"/>
      <c r="B7" s="8" t="s">
        <v>202</v>
      </c>
      <c r="C7" s="9"/>
      <c r="D7" s="9"/>
      <c r="E7" s="9"/>
      <c r="F7" s="9"/>
      <c r="G7" s="9"/>
      <c r="H7" s="9"/>
      <c r="I7" s="9"/>
      <c r="J7" s="9"/>
      <c r="K7" s="9"/>
    </row>
    <row r="8" spans="1:11">
      <c r="A8" s="7" t="s">
        <v>50</v>
      </c>
      <c r="B8" s="8" t="s">
        <v>68</v>
      </c>
      <c r="C8" s="7"/>
      <c r="D8" s="7"/>
      <c r="E8" s="7"/>
      <c r="F8" s="9"/>
      <c r="G8" s="9"/>
      <c r="H8" s="9"/>
      <c r="I8" s="9"/>
      <c r="J8" s="9"/>
      <c r="K8" s="9"/>
    </row>
    <row r="9" spans="1:11">
      <c r="A9" s="9">
        <v>1</v>
      </c>
      <c r="B9" s="9"/>
      <c r="C9" s="8"/>
      <c r="D9" s="8"/>
      <c r="E9" s="8"/>
      <c r="F9" s="8"/>
      <c r="G9" s="8"/>
      <c r="H9" s="8"/>
      <c r="I9" s="9"/>
      <c r="J9" s="9"/>
      <c r="K9" s="9"/>
    </row>
    <row r="10" spans="1:11">
      <c r="A10" s="9">
        <v>2</v>
      </c>
      <c r="B10" s="9"/>
      <c r="C10" s="8"/>
      <c r="D10" s="8"/>
      <c r="E10" s="8"/>
      <c r="F10" s="8"/>
      <c r="G10" s="8"/>
      <c r="H10" s="8"/>
      <c r="I10" s="9"/>
      <c r="J10" s="9"/>
      <c r="K10" s="9"/>
    </row>
    <row r="11" spans="1:11">
      <c r="A11" s="9">
        <v>3</v>
      </c>
      <c r="B11" s="9"/>
      <c r="C11" s="8"/>
      <c r="D11" s="8"/>
      <c r="E11" s="8"/>
      <c r="F11" s="8"/>
      <c r="G11" s="8"/>
      <c r="H11" s="8"/>
      <c r="I11" s="9"/>
      <c r="J11" s="9"/>
      <c r="K11" s="9"/>
    </row>
    <row r="12" spans="1:11">
      <c r="A12" s="9" t="s">
        <v>69</v>
      </c>
      <c r="B12" s="9" t="s">
        <v>70</v>
      </c>
      <c r="C12" s="8"/>
      <c r="D12" s="8"/>
      <c r="E12" s="8"/>
      <c r="F12" s="8"/>
      <c r="G12" s="8"/>
      <c r="H12" s="8"/>
      <c r="I12" s="9"/>
      <c r="J12" s="9"/>
      <c r="K12" s="9"/>
    </row>
    <row r="13" spans="1:11">
      <c r="A13" s="9">
        <v>1</v>
      </c>
      <c r="B13" s="9"/>
      <c r="C13" s="8"/>
      <c r="D13" s="8"/>
      <c r="E13" s="8"/>
      <c r="F13" s="8"/>
      <c r="G13" s="8"/>
      <c r="H13" s="8"/>
      <c r="I13" s="9"/>
      <c r="J13" s="9"/>
      <c r="K13" s="9"/>
    </row>
    <row r="14" spans="1:11">
      <c r="A14" s="9">
        <v>2</v>
      </c>
      <c r="B14" s="9"/>
      <c r="C14" s="8"/>
      <c r="D14" s="8"/>
      <c r="E14" s="8"/>
      <c r="F14" s="8"/>
      <c r="G14" s="8"/>
      <c r="H14" s="8"/>
      <c r="I14" s="9"/>
      <c r="J14" s="9"/>
      <c r="K14" s="9"/>
    </row>
    <row r="15" spans="1:11">
      <c r="A15" s="9" t="s">
        <v>71</v>
      </c>
      <c r="B15" s="9" t="s">
        <v>72</v>
      </c>
      <c r="C15" s="8"/>
      <c r="D15" s="8"/>
      <c r="E15" s="8"/>
      <c r="F15" s="8"/>
      <c r="G15" s="8"/>
      <c r="H15" s="8"/>
      <c r="I15" s="9"/>
      <c r="J15" s="9"/>
      <c r="K15" s="9"/>
    </row>
    <row r="16" spans="1:11">
      <c r="A16" s="9">
        <v>1</v>
      </c>
      <c r="B16" s="9"/>
      <c r="C16" s="8"/>
      <c r="D16" s="8"/>
      <c r="E16" s="8"/>
      <c r="F16" s="8"/>
      <c r="G16" s="8"/>
      <c r="H16" s="8"/>
      <c r="I16" s="9"/>
      <c r="J16" s="9"/>
      <c r="K16" s="9"/>
    </row>
    <row r="17" spans="1:11">
      <c r="A17" s="9">
        <v>2</v>
      </c>
      <c r="B17" s="9"/>
      <c r="C17" s="8"/>
      <c r="D17" s="8"/>
      <c r="E17" s="8"/>
      <c r="F17" s="8"/>
      <c r="G17" s="8"/>
      <c r="H17" s="8"/>
      <c r="I17" s="9"/>
      <c r="J17" s="9"/>
      <c r="K17" s="9"/>
    </row>
    <row r="18" spans="1:11">
      <c r="A18" s="9" t="s">
        <v>73</v>
      </c>
      <c r="B18" s="9" t="s">
        <v>74</v>
      </c>
      <c r="C18" s="8"/>
      <c r="D18" s="8"/>
      <c r="E18" s="8"/>
      <c r="F18" s="8"/>
      <c r="G18" s="8"/>
      <c r="H18" s="8"/>
      <c r="I18" s="9"/>
      <c r="J18" s="9"/>
      <c r="K18" s="9"/>
    </row>
    <row r="19" spans="1:11">
      <c r="A19" s="9">
        <v>1</v>
      </c>
      <c r="B19" s="9"/>
      <c r="C19" s="8"/>
      <c r="D19" s="8"/>
      <c r="E19" s="8"/>
      <c r="F19" s="8"/>
      <c r="G19" s="8"/>
      <c r="H19" s="8"/>
      <c r="I19" s="9"/>
      <c r="J19" s="9"/>
      <c r="K19" s="9"/>
    </row>
    <row r="20" spans="1:11">
      <c r="A20" s="9">
        <v>2</v>
      </c>
      <c r="B20" s="9"/>
      <c r="C20" s="8"/>
      <c r="D20" s="8"/>
      <c r="E20" s="8"/>
      <c r="F20" s="8"/>
      <c r="G20" s="8"/>
      <c r="H20" s="8"/>
      <c r="I20" s="9"/>
      <c r="J20" s="9"/>
      <c r="K20" s="9"/>
    </row>
    <row r="21" spans="1:11">
      <c r="A21" s="9" t="s">
        <v>75</v>
      </c>
      <c r="B21" s="9" t="s">
        <v>76</v>
      </c>
      <c r="C21" s="8"/>
      <c r="D21" s="8"/>
      <c r="E21" s="8"/>
      <c r="F21" s="8"/>
      <c r="G21" s="8"/>
      <c r="H21" s="8"/>
      <c r="I21" s="9"/>
      <c r="J21" s="9"/>
      <c r="K21" s="9"/>
    </row>
    <row r="22" spans="1:11">
      <c r="A22" s="9">
        <v>1</v>
      </c>
      <c r="B22" s="9"/>
      <c r="C22" s="8"/>
      <c r="D22" s="8"/>
      <c r="E22" s="8"/>
      <c r="F22" s="8"/>
      <c r="G22" s="8"/>
      <c r="H22" s="8"/>
      <c r="I22" s="9"/>
      <c r="J22" s="9"/>
      <c r="K22" s="9"/>
    </row>
    <row r="23" spans="1:11">
      <c r="A23" s="9">
        <v>2</v>
      </c>
      <c r="B23" s="9"/>
      <c r="C23" s="8"/>
      <c r="D23" s="8"/>
      <c r="E23" s="8"/>
      <c r="F23" s="8"/>
      <c r="G23" s="8"/>
      <c r="H23" s="8"/>
      <c r="I23" s="9"/>
      <c r="J23" s="9"/>
      <c r="K23" s="9"/>
    </row>
  </sheetData>
  <mergeCells count="10">
    <mergeCell ref="A2:K2"/>
    <mergeCell ref="A4:A5"/>
    <mergeCell ref="B4:B5"/>
    <mergeCell ref="C4:C5"/>
    <mergeCell ref="D4:D5"/>
    <mergeCell ref="E4:E5"/>
    <mergeCell ref="F4:F5"/>
    <mergeCell ref="G4:H4"/>
    <mergeCell ref="I4:J4"/>
    <mergeCell ref="K4:K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79CF-5084-4152-BEB0-92647C03F801}">
  <sheetPr codeName="Sheet6"/>
  <dimension ref="A1:H9"/>
  <sheetViews>
    <sheetView view="pageBreakPreview" zoomScaleNormal="100" zoomScaleSheetLayoutView="100" workbookViewId="0">
      <selection activeCell="B6" sqref="B6"/>
    </sheetView>
  </sheetViews>
  <sheetFormatPr defaultRowHeight="14.4"/>
  <cols>
    <col min="1" max="1" width="6.109375" style="2" customWidth="1"/>
    <col min="2" max="2" width="20.88671875" style="2" customWidth="1"/>
    <col min="3" max="3" width="10.5546875" style="2" customWidth="1"/>
    <col min="4" max="4" width="8.88671875" style="2"/>
    <col min="5" max="7" width="16.33203125" style="2" customWidth="1"/>
    <col min="8" max="16384" width="8.88671875" style="2"/>
  </cols>
  <sheetData>
    <row r="1" spans="1:8" ht="17.399999999999999">
      <c r="A1" s="1" t="s">
        <v>79</v>
      </c>
    </row>
    <row r="2" spans="1:8" ht="20.399999999999999">
      <c r="A2" s="79" t="s">
        <v>84</v>
      </c>
      <c r="B2" s="79"/>
      <c r="C2" s="79"/>
      <c r="D2" s="79"/>
      <c r="E2" s="79"/>
      <c r="F2" s="79"/>
      <c r="G2" s="79"/>
      <c r="H2" s="79"/>
    </row>
    <row r="3" spans="1:8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F3" s="4" t="s">
        <v>18</v>
      </c>
      <c r="H3" s="4" t="s">
        <v>80</v>
      </c>
    </row>
    <row r="4" spans="1:8">
      <c r="A4" s="7" t="s">
        <v>2</v>
      </c>
      <c r="B4" s="7" t="s">
        <v>23</v>
      </c>
      <c r="C4" s="7" t="s">
        <v>81</v>
      </c>
      <c r="D4" s="7" t="s">
        <v>30</v>
      </c>
      <c r="E4" s="7" t="s">
        <v>82</v>
      </c>
      <c r="F4" s="7" t="s">
        <v>5</v>
      </c>
      <c r="G4" s="7" t="s">
        <v>83</v>
      </c>
      <c r="H4" s="7" t="s">
        <v>14</v>
      </c>
    </row>
    <row r="5" spans="1:8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</row>
    <row r="6" spans="1:8">
      <c r="A6" s="9"/>
      <c r="B6" s="8" t="s">
        <v>202</v>
      </c>
      <c r="C6" s="9"/>
      <c r="D6" s="9"/>
      <c r="E6" s="9"/>
      <c r="F6" s="9"/>
      <c r="G6" s="9"/>
      <c r="H6" s="9"/>
    </row>
    <row r="7" spans="1:8">
      <c r="A7" s="9"/>
      <c r="B7" s="9"/>
      <c r="C7" s="9"/>
      <c r="D7" s="9"/>
      <c r="E7" s="9"/>
      <c r="F7" s="9"/>
      <c r="G7" s="9"/>
      <c r="H7" s="9"/>
    </row>
    <row r="8" spans="1:8">
      <c r="A8" s="9"/>
      <c r="B8" s="9"/>
      <c r="C8" s="9"/>
      <c r="D8" s="9"/>
      <c r="E8" s="9"/>
      <c r="F8" s="9"/>
      <c r="G8" s="9"/>
      <c r="H8" s="9"/>
    </row>
    <row r="9" spans="1:8">
      <c r="A9" s="9"/>
      <c r="B9" s="9"/>
      <c r="C9" s="9"/>
      <c r="D9" s="9"/>
      <c r="E9" s="9"/>
      <c r="F9" s="9"/>
      <c r="G9" s="9"/>
      <c r="H9" s="9"/>
    </row>
  </sheetData>
  <mergeCells count="1">
    <mergeCell ref="A2:H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26FB-1A6F-400C-A0A9-62A6E5019776}">
  <sheetPr codeName="Sheet7"/>
  <dimension ref="A1:G9"/>
  <sheetViews>
    <sheetView view="pageBreakPreview" zoomScaleNormal="100" zoomScaleSheetLayoutView="100" workbookViewId="0">
      <selection activeCell="C7" sqref="C7"/>
    </sheetView>
  </sheetViews>
  <sheetFormatPr defaultRowHeight="14.4"/>
  <cols>
    <col min="1" max="1" width="6.109375" style="2" customWidth="1"/>
    <col min="2" max="2" width="20.88671875" style="2" customWidth="1"/>
    <col min="3" max="3" width="14.109375" style="2" customWidth="1"/>
    <col min="4" max="4" width="8.88671875" style="2"/>
    <col min="5" max="7" width="16.33203125" style="2" customWidth="1"/>
    <col min="8" max="16384" width="8.88671875" style="2"/>
  </cols>
  <sheetData>
    <row r="1" spans="1:7" ht="17.399999999999999">
      <c r="A1" s="1" t="s">
        <v>86</v>
      </c>
    </row>
    <row r="2" spans="1:7" ht="20.399999999999999">
      <c r="A2" s="79" t="s">
        <v>85</v>
      </c>
      <c r="B2" s="79"/>
      <c r="C2" s="79"/>
      <c r="D2" s="79"/>
      <c r="E2" s="79"/>
      <c r="F2" s="79"/>
      <c r="G2" s="79"/>
    </row>
    <row r="3" spans="1:7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E3" s="4" t="s">
        <v>18</v>
      </c>
      <c r="G3" s="4" t="s">
        <v>109</v>
      </c>
    </row>
    <row r="4" spans="1:7">
      <c r="A4" s="7" t="s">
        <v>2</v>
      </c>
      <c r="B4" s="7" t="s">
        <v>87</v>
      </c>
      <c r="C4" s="7" t="s">
        <v>88</v>
      </c>
      <c r="D4" s="7" t="s">
        <v>30</v>
      </c>
      <c r="E4" s="7" t="s">
        <v>45</v>
      </c>
      <c r="F4" s="7" t="s">
        <v>46</v>
      </c>
      <c r="G4" s="7" t="s">
        <v>14</v>
      </c>
    </row>
    <row r="5" spans="1:7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</row>
    <row r="6" spans="1:7">
      <c r="A6" s="9"/>
      <c r="B6" s="8" t="s">
        <v>202</v>
      </c>
      <c r="C6" s="9"/>
      <c r="D6" s="9"/>
      <c r="E6" s="9"/>
      <c r="F6" s="9"/>
      <c r="G6" s="9"/>
    </row>
    <row r="7" spans="1:7">
      <c r="A7" s="9"/>
      <c r="B7" s="9"/>
      <c r="C7" s="9"/>
      <c r="D7" s="9"/>
      <c r="E7" s="9"/>
      <c r="F7" s="9"/>
      <c r="G7" s="9"/>
    </row>
    <row r="8" spans="1:7">
      <c r="A8" s="9"/>
      <c r="B8" s="9"/>
      <c r="C8" s="9"/>
      <c r="D8" s="9"/>
      <c r="E8" s="9"/>
      <c r="F8" s="9"/>
      <c r="G8" s="9"/>
    </row>
    <row r="9" spans="1:7">
      <c r="A9" s="9"/>
      <c r="B9" s="9"/>
      <c r="C9" s="9"/>
      <c r="D9" s="9"/>
      <c r="E9" s="9"/>
      <c r="F9" s="9"/>
      <c r="G9" s="9"/>
    </row>
  </sheetData>
  <mergeCells count="1">
    <mergeCell ref="A2:G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62FC-A1F3-4606-9665-7D1E9033E497}">
  <sheetPr codeName="Sheet8">
    <tabColor rgb="FF92D050"/>
  </sheetPr>
  <dimension ref="A1:O8"/>
  <sheetViews>
    <sheetView view="pageBreakPreview" zoomScale="115" zoomScaleNormal="100" zoomScaleSheetLayoutView="115" workbookViewId="0">
      <selection activeCell="K11" sqref="K11"/>
    </sheetView>
  </sheetViews>
  <sheetFormatPr defaultRowHeight="14.4"/>
  <cols>
    <col min="1" max="1" width="4" style="2" customWidth="1"/>
    <col min="2" max="2" width="10" style="2" customWidth="1"/>
    <col min="3" max="14" width="9" style="2" customWidth="1"/>
    <col min="15" max="15" width="5.33203125" style="2" customWidth="1"/>
    <col min="16" max="16384" width="8.88671875" style="2"/>
  </cols>
  <sheetData>
    <row r="1" spans="1:15" ht="17.399999999999999">
      <c r="A1" s="1" t="s">
        <v>89</v>
      </c>
    </row>
    <row r="2" spans="1:15" ht="20.399999999999999">
      <c r="A2" s="79" t="s">
        <v>91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O3" s="4" t="s">
        <v>90</v>
      </c>
    </row>
    <row r="4" spans="1:15">
      <c r="A4" s="85" t="s">
        <v>2</v>
      </c>
      <c r="B4" s="85" t="s">
        <v>92</v>
      </c>
      <c r="C4" s="85" t="s">
        <v>93</v>
      </c>
      <c r="D4" s="85"/>
      <c r="E4" s="85"/>
      <c r="F4" s="85"/>
      <c r="G4" s="85" t="s">
        <v>94</v>
      </c>
      <c r="H4" s="85"/>
      <c r="I4" s="85"/>
      <c r="J4" s="85"/>
      <c r="K4" s="85" t="s">
        <v>95</v>
      </c>
      <c r="L4" s="85"/>
      <c r="M4" s="85"/>
      <c r="N4" s="85"/>
      <c r="O4" s="85" t="s">
        <v>14</v>
      </c>
    </row>
    <row r="5" spans="1:15" ht="28.8">
      <c r="A5" s="85"/>
      <c r="B5" s="85"/>
      <c r="C5" s="7" t="s">
        <v>7</v>
      </c>
      <c r="D5" s="7" t="s">
        <v>96</v>
      </c>
      <c r="E5" s="7" t="s">
        <v>97</v>
      </c>
      <c r="F5" s="7" t="s">
        <v>98</v>
      </c>
      <c r="G5" s="7" t="s">
        <v>7</v>
      </c>
      <c r="H5" s="7" t="s">
        <v>96</v>
      </c>
      <c r="I5" s="7" t="s">
        <v>99</v>
      </c>
      <c r="J5" s="7" t="s">
        <v>100</v>
      </c>
      <c r="K5" s="7" t="s">
        <v>7</v>
      </c>
      <c r="L5" s="7" t="s">
        <v>96</v>
      </c>
      <c r="M5" s="7" t="s">
        <v>99</v>
      </c>
      <c r="N5" s="7" t="s">
        <v>101</v>
      </c>
      <c r="O5" s="85"/>
    </row>
    <row r="6" spans="1:15">
      <c r="A6" s="8">
        <v>1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</row>
    <row r="7" spans="1:15">
      <c r="A7" s="8">
        <v>1</v>
      </c>
      <c r="B7" s="9" t="s">
        <v>102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</sheetData>
  <mergeCells count="7">
    <mergeCell ref="K4:N4"/>
    <mergeCell ref="O4:O5"/>
    <mergeCell ref="A2:O2"/>
    <mergeCell ref="A4:A5"/>
    <mergeCell ref="B4:B5"/>
    <mergeCell ref="C4:F4"/>
    <mergeCell ref="G4:J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7384-6227-44F3-8061-077C490E1C0D}">
  <sheetPr codeName="Sheet9"/>
  <dimension ref="A1:E14"/>
  <sheetViews>
    <sheetView view="pageBreakPreview" zoomScaleNormal="100" zoomScaleSheetLayoutView="100" workbookViewId="0">
      <selection activeCell="D8" sqref="D8"/>
    </sheetView>
  </sheetViews>
  <sheetFormatPr defaultRowHeight="14.4"/>
  <cols>
    <col min="1" max="1" width="19.21875" style="2" customWidth="1"/>
    <col min="2" max="5" width="22.6640625" style="2" customWidth="1"/>
    <col min="6" max="16384" width="8.88671875" style="2"/>
  </cols>
  <sheetData>
    <row r="1" spans="1:5" ht="17.399999999999999">
      <c r="A1" s="1" t="s">
        <v>110</v>
      </c>
    </row>
    <row r="2" spans="1:5" ht="20.399999999999999">
      <c r="A2" s="79" t="s">
        <v>111</v>
      </c>
      <c r="B2" s="79"/>
      <c r="C2" s="79"/>
      <c r="D2" s="79"/>
      <c r="E2" s="79"/>
    </row>
    <row r="3" spans="1:5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E3" s="4" t="s">
        <v>113</v>
      </c>
    </row>
    <row r="4" spans="1:5">
      <c r="A4" s="86" t="s">
        <v>112</v>
      </c>
      <c r="B4" s="84" t="s">
        <v>103</v>
      </c>
      <c r="C4" s="84" t="s">
        <v>103</v>
      </c>
      <c r="D4" s="84" t="s">
        <v>103</v>
      </c>
      <c r="E4" s="85" t="s">
        <v>103</v>
      </c>
    </row>
    <row r="5" spans="1:5">
      <c r="A5" s="87"/>
      <c r="B5" s="84"/>
      <c r="C5" s="84"/>
      <c r="D5" s="84"/>
      <c r="E5" s="85"/>
    </row>
    <row r="6" spans="1:5">
      <c r="A6" s="13" t="s">
        <v>104</v>
      </c>
      <c r="B6" s="9"/>
      <c r="C6" s="9"/>
      <c r="D6" s="9"/>
      <c r="E6" s="9"/>
    </row>
    <row r="7" spans="1:5">
      <c r="A7" s="13" t="s">
        <v>105</v>
      </c>
      <c r="B7" s="9"/>
      <c r="C7" s="9"/>
      <c r="D7" s="9"/>
      <c r="E7" s="9"/>
    </row>
    <row r="8" spans="1:5">
      <c r="A8" s="13" t="s">
        <v>106</v>
      </c>
      <c r="B8" s="9"/>
      <c r="C8" s="9"/>
      <c r="D8" s="9"/>
      <c r="E8" s="9"/>
    </row>
    <row r="9" spans="1:5">
      <c r="A9" s="13" t="s">
        <v>107</v>
      </c>
      <c r="B9" s="9"/>
      <c r="C9" s="9"/>
      <c r="D9" s="9"/>
      <c r="E9" s="9"/>
    </row>
    <row r="10" spans="1:5">
      <c r="A10" s="13" t="s">
        <v>105</v>
      </c>
      <c r="B10" s="12"/>
      <c r="C10" s="12"/>
      <c r="D10" s="12"/>
      <c r="E10" s="12"/>
    </row>
    <row r="11" spans="1:5">
      <c r="A11" s="13" t="s">
        <v>106</v>
      </c>
      <c r="B11" s="12"/>
      <c r="C11" s="12"/>
      <c r="D11" s="12"/>
      <c r="E11" s="12"/>
    </row>
    <row r="12" spans="1:5">
      <c r="A12" s="13" t="s">
        <v>108</v>
      </c>
      <c r="B12" s="12"/>
      <c r="C12" s="12"/>
      <c r="D12" s="12"/>
      <c r="E12" s="12"/>
    </row>
    <row r="13" spans="1:5">
      <c r="A13" s="13" t="s">
        <v>105</v>
      </c>
      <c r="B13" s="12"/>
      <c r="C13" s="12"/>
      <c r="D13" s="12"/>
      <c r="E13" s="12"/>
    </row>
    <row r="14" spans="1:5">
      <c r="A14" s="13" t="s">
        <v>106</v>
      </c>
      <c r="B14" s="12"/>
      <c r="C14" s="12"/>
      <c r="D14" s="12"/>
      <c r="E14" s="12"/>
    </row>
  </sheetData>
  <mergeCells count="6">
    <mergeCell ref="A2:E2"/>
    <mergeCell ref="B4:B5"/>
    <mergeCell ref="C4:C5"/>
    <mergeCell ref="D4:D5"/>
    <mergeCell ref="E4:E5"/>
    <mergeCell ref="A4:A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B5AC-8343-4AFA-A50A-23C930277B0E}">
  <sheetPr codeName="Sheet10"/>
  <dimension ref="A1:H30"/>
  <sheetViews>
    <sheetView view="pageBreakPreview" zoomScaleNormal="100" zoomScaleSheetLayoutView="100" workbookViewId="0">
      <selection activeCell="C7" sqref="C7"/>
    </sheetView>
  </sheetViews>
  <sheetFormatPr defaultRowHeight="14.4"/>
  <cols>
    <col min="1" max="1" width="26.44140625" style="2" customWidth="1"/>
    <col min="2" max="8" width="12.88671875" style="2" customWidth="1"/>
    <col min="9" max="16384" width="8.88671875" style="2"/>
  </cols>
  <sheetData>
    <row r="1" spans="1:8" ht="17.399999999999999">
      <c r="A1" s="1" t="s">
        <v>114</v>
      </c>
    </row>
    <row r="2" spans="1:8" ht="20.399999999999999">
      <c r="A2" s="79" t="s">
        <v>117</v>
      </c>
      <c r="B2" s="79"/>
      <c r="C2" s="79"/>
      <c r="D2" s="79"/>
      <c r="E2" s="79"/>
      <c r="F2" s="79"/>
      <c r="G2" s="79"/>
      <c r="H2" s="79"/>
    </row>
    <row r="3" spans="1:8" s="3" customFormat="1" ht="13.8" customHeight="1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E3" s="88" t="s">
        <v>215</v>
      </c>
      <c r="F3" s="88"/>
      <c r="G3" s="88"/>
      <c r="H3" s="88"/>
    </row>
    <row r="4" spans="1:8" s="3" customFormat="1" ht="12">
      <c r="E4" s="3" t="s">
        <v>116</v>
      </c>
      <c r="F4" s="4"/>
      <c r="G4" s="4" t="s">
        <v>18</v>
      </c>
      <c r="H4" s="4" t="s">
        <v>115</v>
      </c>
    </row>
    <row r="5" spans="1:8" ht="28.8">
      <c r="A5" s="14" t="s">
        <v>143</v>
      </c>
      <c r="B5" s="7" t="s">
        <v>7</v>
      </c>
      <c r="C5" s="7" t="s">
        <v>103</v>
      </c>
      <c r="D5" s="7" t="s">
        <v>103</v>
      </c>
      <c r="E5" s="7" t="s">
        <v>103</v>
      </c>
      <c r="F5" s="7" t="s">
        <v>103</v>
      </c>
      <c r="G5" s="7" t="s">
        <v>103</v>
      </c>
      <c r="H5" s="7" t="s">
        <v>103</v>
      </c>
    </row>
    <row r="6" spans="1:8">
      <c r="A6" s="10" t="s">
        <v>118</v>
      </c>
      <c r="B6" s="9"/>
      <c r="C6" s="9"/>
      <c r="D6" s="9"/>
      <c r="E6" s="9"/>
      <c r="F6" s="9"/>
      <c r="G6" s="9"/>
      <c r="H6" s="9"/>
    </row>
    <row r="7" spans="1:8">
      <c r="A7" s="10" t="s">
        <v>119</v>
      </c>
      <c r="B7" s="9"/>
      <c r="C7" s="9"/>
      <c r="D7" s="9"/>
      <c r="E7" s="9"/>
      <c r="F7" s="9"/>
      <c r="G7" s="9"/>
      <c r="H7" s="9"/>
    </row>
    <row r="8" spans="1:8">
      <c r="A8" s="10" t="s">
        <v>120</v>
      </c>
      <c r="B8" s="9"/>
      <c r="C8" s="9"/>
      <c r="D8" s="9"/>
      <c r="E8" s="9"/>
      <c r="F8" s="9"/>
      <c r="G8" s="9"/>
      <c r="H8" s="9"/>
    </row>
    <row r="9" spans="1:8">
      <c r="A9" s="10" t="s">
        <v>121</v>
      </c>
      <c r="B9" s="9"/>
      <c r="C9" s="9"/>
      <c r="D9" s="9"/>
      <c r="E9" s="9"/>
      <c r="F9" s="9"/>
      <c r="G9" s="9"/>
      <c r="H9" s="9"/>
    </row>
    <row r="10" spans="1:8">
      <c r="A10" s="10" t="s">
        <v>122</v>
      </c>
      <c r="B10" s="9"/>
      <c r="C10" s="9"/>
      <c r="D10" s="9"/>
      <c r="E10" s="9"/>
      <c r="F10" s="9"/>
      <c r="G10" s="9"/>
      <c r="H10" s="9"/>
    </row>
    <row r="11" spans="1:8">
      <c r="A11" s="10" t="s">
        <v>123</v>
      </c>
      <c r="B11" s="9"/>
      <c r="C11" s="9"/>
      <c r="D11" s="9"/>
      <c r="E11" s="9"/>
      <c r="F11" s="9"/>
      <c r="G11" s="9"/>
      <c r="H11" s="9"/>
    </row>
    <row r="12" spans="1:8">
      <c r="A12" s="10" t="s">
        <v>124</v>
      </c>
      <c r="B12" s="9"/>
      <c r="C12" s="9"/>
      <c r="D12" s="9"/>
      <c r="E12" s="9"/>
      <c r="F12" s="9"/>
      <c r="G12" s="9"/>
      <c r="H12" s="9"/>
    </row>
    <row r="13" spans="1:8">
      <c r="A13" s="10" t="s">
        <v>125</v>
      </c>
      <c r="B13" s="9"/>
      <c r="C13" s="9"/>
      <c r="D13" s="9"/>
      <c r="E13" s="9"/>
      <c r="F13" s="9"/>
      <c r="G13" s="9"/>
      <c r="H13" s="9"/>
    </row>
    <row r="14" spans="1:8">
      <c r="A14" s="10" t="s">
        <v>126</v>
      </c>
      <c r="B14" s="9"/>
      <c r="C14" s="9"/>
      <c r="D14" s="9"/>
      <c r="E14" s="9"/>
      <c r="F14" s="9"/>
      <c r="G14" s="9"/>
      <c r="H14" s="9"/>
    </row>
    <row r="15" spans="1:8">
      <c r="A15" s="10" t="s">
        <v>127</v>
      </c>
      <c r="B15" s="9"/>
      <c r="C15" s="9"/>
      <c r="D15" s="9"/>
      <c r="E15" s="9"/>
      <c r="F15" s="9"/>
      <c r="G15" s="9"/>
      <c r="H15" s="9"/>
    </row>
    <row r="16" spans="1:8">
      <c r="A16" s="10" t="s">
        <v>128</v>
      </c>
      <c r="B16" s="9"/>
      <c r="C16" s="9"/>
      <c r="D16" s="9"/>
      <c r="E16" s="9"/>
      <c r="F16" s="9"/>
      <c r="G16" s="9"/>
      <c r="H16" s="9"/>
    </row>
    <row r="17" spans="1:8">
      <c r="A17" s="9" t="s">
        <v>129</v>
      </c>
      <c r="B17" s="9"/>
      <c r="C17" s="9"/>
      <c r="D17" s="9"/>
      <c r="E17" s="9"/>
      <c r="F17" s="9"/>
      <c r="G17" s="9"/>
      <c r="H17" s="9"/>
    </row>
    <row r="18" spans="1:8">
      <c r="A18" s="9" t="s">
        <v>130</v>
      </c>
      <c r="B18" s="9"/>
      <c r="C18" s="9"/>
      <c r="D18" s="9"/>
      <c r="E18" s="9"/>
      <c r="F18" s="9"/>
      <c r="G18" s="9"/>
      <c r="H18" s="9"/>
    </row>
    <row r="19" spans="1:8">
      <c r="A19" s="9" t="s">
        <v>131</v>
      </c>
      <c r="B19" s="9"/>
      <c r="C19" s="9"/>
      <c r="D19" s="9"/>
      <c r="E19" s="9"/>
      <c r="F19" s="9"/>
      <c r="G19" s="9"/>
      <c r="H19" s="9"/>
    </row>
    <row r="20" spans="1:8">
      <c r="A20" s="10" t="s">
        <v>132</v>
      </c>
      <c r="B20" s="9"/>
      <c r="C20" s="9"/>
      <c r="D20" s="9"/>
      <c r="E20" s="9"/>
      <c r="F20" s="9"/>
      <c r="G20" s="9"/>
      <c r="H20" s="9"/>
    </row>
    <row r="21" spans="1:8">
      <c r="A21" s="10" t="s">
        <v>133</v>
      </c>
      <c r="B21" s="9"/>
      <c r="C21" s="9"/>
      <c r="D21" s="9"/>
      <c r="E21" s="9"/>
      <c r="F21" s="9"/>
      <c r="G21" s="9"/>
      <c r="H21" s="9"/>
    </row>
    <row r="22" spans="1:8">
      <c r="A22" s="10" t="s">
        <v>134</v>
      </c>
      <c r="B22" s="9"/>
      <c r="C22" s="9"/>
      <c r="D22" s="9"/>
      <c r="E22" s="9"/>
      <c r="F22" s="9"/>
      <c r="G22" s="9"/>
      <c r="H22" s="9"/>
    </row>
    <row r="23" spans="1:8">
      <c r="A23" s="10" t="s">
        <v>135</v>
      </c>
      <c r="B23" s="9"/>
      <c r="C23" s="15"/>
      <c r="D23" s="15"/>
      <c r="E23" s="15"/>
      <c r="F23" s="15"/>
      <c r="G23" s="15"/>
      <c r="H23" s="15"/>
    </row>
    <row r="24" spans="1:8">
      <c r="A24" s="10" t="s">
        <v>136</v>
      </c>
      <c r="B24" s="9"/>
      <c r="C24" s="15"/>
      <c r="D24" s="15"/>
      <c r="E24" s="15"/>
      <c r="F24" s="15"/>
      <c r="G24" s="15"/>
      <c r="H24" s="15"/>
    </row>
    <row r="25" spans="1:8">
      <c r="A25" s="10" t="s">
        <v>137</v>
      </c>
      <c r="B25" s="9"/>
      <c r="C25" s="15"/>
      <c r="D25" s="15"/>
      <c r="E25" s="15"/>
      <c r="F25" s="15"/>
      <c r="G25" s="15"/>
      <c r="H25" s="15"/>
    </row>
    <row r="26" spans="1:8">
      <c r="A26" s="10" t="s">
        <v>138</v>
      </c>
      <c r="B26" s="9"/>
      <c r="C26" s="15"/>
      <c r="D26" s="15"/>
      <c r="E26" s="15"/>
      <c r="F26" s="15"/>
      <c r="G26" s="15"/>
      <c r="H26" s="15"/>
    </row>
    <row r="27" spans="1:8">
      <c r="A27" s="10" t="s">
        <v>139</v>
      </c>
      <c r="B27" s="9"/>
      <c r="C27" s="15"/>
      <c r="D27" s="15"/>
      <c r="E27" s="15"/>
      <c r="F27" s="15"/>
      <c r="G27" s="15"/>
      <c r="H27" s="15"/>
    </row>
    <row r="28" spans="1:8">
      <c r="A28" s="10" t="s">
        <v>140</v>
      </c>
      <c r="B28" s="9"/>
      <c r="C28" s="15"/>
      <c r="D28" s="15"/>
      <c r="E28" s="15"/>
      <c r="F28" s="15"/>
      <c r="G28" s="15"/>
      <c r="H28" s="15"/>
    </row>
    <row r="29" spans="1:8">
      <c r="A29" s="10" t="s">
        <v>141</v>
      </c>
      <c r="B29" s="9"/>
      <c r="C29" s="15"/>
      <c r="D29" s="15"/>
      <c r="E29" s="15"/>
      <c r="F29" s="15"/>
      <c r="G29" s="15"/>
      <c r="H29" s="15"/>
    </row>
    <row r="30" spans="1:8">
      <c r="A30" s="10" t="s">
        <v>142</v>
      </c>
      <c r="B30" s="9"/>
      <c r="C30" s="15"/>
      <c r="D30" s="15"/>
      <c r="E30" s="15"/>
      <c r="F30" s="15"/>
      <c r="G30" s="15"/>
      <c r="H30" s="15"/>
    </row>
  </sheetData>
  <mergeCells count="2">
    <mergeCell ref="A2:H2"/>
    <mergeCell ref="E3:H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blackAndWhite="1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7E77-F679-4D39-8E7D-F58C3E9E150F}">
  <sheetPr codeName="Sheet11">
    <tabColor rgb="FF00B050"/>
    <pageSetUpPr fitToPage="1"/>
  </sheetPr>
  <dimension ref="A1:W9"/>
  <sheetViews>
    <sheetView showZeros="0" view="pageBreakPreview" zoomScale="85" zoomScaleNormal="100" zoomScaleSheetLayoutView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" sqref="J1:J1048576"/>
    </sheetView>
  </sheetViews>
  <sheetFormatPr defaultRowHeight="14.4"/>
  <cols>
    <col min="1" max="1" width="4.77734375" style="2" customWidth="1"/>
    <col min="2" max="2" width="11.44140625" style="2" customWidth="1"/>
    <col min="3" max="3" width="8.21875" style="2" customWidth="1"/>
    <col min="4" max="4" width="16.88671875" style="2" customWidth="1"/>
    <col min="5" max="5" width="4.21875" style="2" customWidth="1"/>
    <col min="6" max="6" width="5.5546875" style="2" bestFit="1" customWidth="1"/>
    <col min="7" max="7" width="8.21875" style="2" customWidth="1"/>
    <col min="8" max="8" width="10.33203125" style="2" customWidth="1"/>
    <col min="9" max="9" width="8.21875" style="19" customWidth="1"/>
    <col min="10" max="10" width="8.21875" style="2" hidden="1" customWidth="1"/>
    <col min="11" max="11" width="3.77734375" style="2" customWidth="1"/>
    <col min="12" max="12" width="11.44140625" style="2" customWidth="1"/>
    <col min="13" max="13" width="8.21875" style="2" customWidth="1"/>
    <col min="14" max="14" width="16.88671875" style="2" customWidth="1"/>
    <col min="15" max="15" width="4.21875" style="2" customWidth="1"/>
    <col min="16" max="16" width="5.5546875" style="2" bestFit="1" customWidth="1"/>
    <col min="17" max="17" width="8.21875" style="2" customWidth="1"/>
    <col min="18" max="18" width="12.88671875" style="2" bestFit="1" customWidth="1"/>
    <col min="19" max="19" width="8.21875" style="19" customWidth="1"/>
    <col min="20" max="20" width="11.6640625" style="2" hidden="1" customWidth="1"/>
    <col min="21" max="21" width="3.77734375" style="2" customWidth="1"/>
    <col min="22" max="16384" width="8.88671875" style="2"/>
  </cols>
  <sheetData>
    <row r="1" spans="1:23" ht="17.399999999999999">
      <c r="A1" s="1" t="s">
        <v>158</v>
      </c>
    </row>
    <row r="2" spans="1:23" ht="20.399999999999999">
      <c r="A2" s="79" t="s">
        <v>157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3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I3" s="20"/>
      <c r="S3" s="20"/>
      <c r="U3" s="5" t="s">
        <v>159</v>
      </c>
    </row>
    <row r="4" spans="1:23">
      <c r="A4" s="85" t="s">
        <v>2</v>
      </c>
      <c r="B4" s="89" t="s">
        <v>161</v>
      </c>
      <c r="C4" s="90"/>
      <c r="D4" s="90"/>
      <c r="E4" s="90"/>
      <c r="F4" s="90"/>
      <c r="G4" s="90"/>
      <c r="H4" s="90"/>
      <c r="I4" s="90"/>
      <c r="J4" s="90"/>
      <c r="K4" s="91"/>
      <c r="L4" s="89" t="s">
        <v>162</v>
      </c>
      <c r="M4" s="90"/>
      <c r="N4" s="90"/>
      <c r="O4" s="90"/>
      <c r="P4" s="90"/>
      <c r="Q4" s="90"/>
      <c r="R4" s="90"/>
      <c r="S4" s="90"/>
      <c r="T4" s="90"/>
      <c r="U4" s="91"/>
    </row>
    <row r="5" spans="1:23" ht="28.8">
      <c r="A5" s="85"/>
      <c r="B5" s="7" t="s">
        <v>160</v>
      </c>
      <c r="C5" s="7" t="s">
        <v>163</v>
      </c>
      <c r="D5" s="7" t="s">
        <v>164</v>
      </c>
      <c r="E5" s="7" t="s">
        <v>167</v>
      </c>
      <c r="F5" s="7" t="s">
        <v>165</v>
      </c>
      <c r="G5" s="7" t="s">
        <v>45</v>
      </c>
      <c r="H5" s="7" t="s">
        <v>173</v>
      </c>
      <c r="I5" s="7" t="s">
        <v>153</v>
      </c>
      <c r="J5" s="7" t="s">
        <v>166</v>
      </c>
      <c r="K5" s="7" t="s">
        <v>14</v>
      </c>
      <c r="L5" s="7" t="s">
        <v>160</v>
      </c>
      <c r="M5" s="7" t="s">
        <v>163</v>
      </c>
      <c r="N5" s="7" t="s">
        <v>164</v>
      </c>
      <c r="O5" s="7" t="s">
        <v>167</v>
      </c>
      <c r="P5" s="7" t="s">
        <v>165</v>
      </c>
      <c r="Q5" s="7" t="s">
        <v>45</v>
      </c>
      <c r="R5" s="7" t="s">
        <v>173</v>
      </c>
      <c r="S5" s="7" t="s">
        <v>153</v>
      </c>
      <c r="T5" s="7" t="s">
        <v>166</v>
      </c>
      <c r="U5" s="7" t="s">
        <v>14</v>
      </c>
    </row>
    <row r="6" spans="1:23">
      <c r="A6" s="22" t="s">
        <v>226</v>
      </c>
      <c r="B6" s="22" t="s">
        <v>168</v>
      </c>
      <c r="C6" s="9"/>
      <c r="D6" s="29"/>
      <c r="E6" s="23"/>
      <c r="F6" s="9"/>
      <c r="G6" s="27">
        <f>G7+G8</f>
        <v>26</v>
      </c>
      <c r="H6" s="28">
        <f>H7+H8</f>
        <v>193</v>
      </c>
      <c r="I6" s="9"/>
      <c r="J6" s="9"/>
      <c r="K6" s="9"/>
      <c r="L6" s="22" t="s">
        <v>49</v>
      </c>
      <c r="M6" s="22"/>
      <c r="N6" s="30"/>
      <c r="O6" s="31"/>
      <c r="P6" s="9"/>
      <c r="Q6" s="27">
        <f>Q7+Q8</f>
        <v>26</v>
      </c>
      <c r="R6" s="28">
        <f>R7+R8</f>
        <v>147.61062200000001</v>
      </c>
      <c r="S6" s="9"/>
      <c r="T6" s="9"/>
      <c r="U6" s="9"/>
    </row>
    <row r="7" spans="1:23" ht="82.8" customHeight="1">
      <c r="A7" s="33">
        <v>1</v>
      </c>
      <c r="B7" s="24" t="s">
        <v>239</v>
      </c>
      <c r="C7" s="9"/>
      <c r="D7" s="24" t="s">
        <v>241</v>
      </c>
      <c r="E7" s="25" t="s">
        <v>51</v>
      </c>
      <c r="F7" s="9" t="s">
        <v>174</v>
      </c>
      <c r="G7" s="33">
        <v>22</v>
      </c>
      <c r="H7" s="34">
        <v>33</v>
      </c>
      <c r="I7" s="9"/>
      <c r="J7" s="9"/>
      <c r="K7" s="9"/>
      <c r="L7" s="26" t="s">
        <v>239</v>
      </c>
      <c r="M7" s="26"/>
      <c r="N7" s="35" t="s">
        <v>243</v>
      </c>
      <c r="O7" s="32" t="s">
        <v>51</v>
      </c>
      <c r="P7" s="9" t="s">
        <v>227</v>
      </c>
      <c r="Q7" s="33">
        <v>22</v>
      </c>
      <c r="R7" s="34">
        <v>23.893806000000001</v>
      </c>
      <c r="S7" s="9"/>
      <c r="T7" s="9"/>
      <c r="U7" s="9"/>
    </row>
    <row r="8" spans="1:23" ht="171" customHeight="1">
      <c r="A8" s="33">
        <v>2</v>
      </c>
      <c r="B8" s="24" t="s">
        <v>240</v>
      </c>
      <c r="C8" s="9"/>
      <c r="D8" s="24" t="s">
        <v>242</v>
      </c>
      <c r="E8" s="25" t="s">
        <v>51</v>
      </c>
      <c r="F8" s="9" t="s">
        <v>227</v>
      </c>
      <c r="G8" s="33">
        <v>4</v>
      </c>
      <c r="H8" s="34">
        <v>160</v>
      </c>
      <c r="I8" s="9"/>
      <c r="J8" s="9"/>
      <c r="K8" s="9"/>
      <c r="L8" s="26" t="s">
        <v>240</v>
      </c>
      <c r="M8" s="26"/>
      <c r="N8" s="35" t="s">
        <v>243</v>
      </c>
      <c r="O8" s="32" t="s">
        <v>51</v>
      </c>
      <c r="P8" s="9" t="s">
        <v>227</v>
      </c>
      <c r="Q8" s="33">
        <v>4</v>
      </c>
      <c r="R8" s="34">
        <v>123.71681599999999</v>
      </c>
      <c r="S8" s="9"/>
      <c r="T8" s="9"/>
      <c r="U8" s="9"/>
    </row>
    <row r="9" spans="1:23" s="16" customFormat="1" ht="28.8" hidden="1">
      <c r="A9" s="27" t="s">
        <v>225</v>
      </c>
      <c r="B9" s="30" t="s">
        <v>217</v>
      </c>
      <c r="C9" s="7"/>
      <c r="D9" s="29"/>
      <c r="E9" s="23"/>
      <c r="F9" s="7"/>
      <c r="G9" s="27"/>
      <c r="H9" s="28"/>
      <c r="I9" s="7"/>
      <c r="J9" s="7"/>
      <c r="K9" s="7"/>
      <c r="L9" s="30" t="s">
        <v>217</v>
      </c>
      <c r="M9" s="30"/>
      <c r="N9" s="36"/>
      <c r="O9" s="31"/>
      <c r="P9" s="7"/>
      <c r="Q9" s="27"/>
      <c r="R9" s="28"/>
      <c r="S9" s="7"/>
      <c r="T9" s="7"/>
      <c r="U9" s="7"/>
      <c r="W9" s="16">
        <v>402.73078961999937</v>
      </c>
    </row>
  </sheetData>
  <autoFilter ref="A5:U9" xr:uid="{B7E87E77-F679-4D39-8E7D-F58C3E9E150F}"/>
  <mergeCells count="4">
    <mergeCell ref="B4:K4"/>
    <mergeCell ref="L4:U4"/>
    <mergeCell ref="A2:U2"/>
    <mergeCell ref="A4:A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79" fitToHeight="0" orientation="landscape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60B9-7CFD-423A-B4EE-64DDB648018A}">
  <sheetPr codeName="Sheet12">
    <tabColor rgb="FF00B0F0"/>
    <pageSetUpPr fitToPage="1"/>
  </sheetPr>
  <dimension ref="A1:P6"/>
  <sheetViews>
    <sheetView view="pageBreakPreview" zoomScaleNormal="100" zoomScaleSheetLayoutView="100" workbookViewId="0">
      <selection activeCell="P6" sqref="P6"/>
    </sheetView>
  </sheetViews>
  <sheetFormatPr defaultRowHeight="14.4"/>
  <cols>
    <col min="1" max="1" width="4" style="2" customWidth="1"/>
    <col min="2" max="2" width="10" style="2" customWidth="1"/>
    <col min="3" max="3" width="8.77734375" style="2" bestFit="1" customWidth="1"/>
    <col min="4" max="4" width="7.5546875" style="2" customWidth="1"/>
    <col min="5" max="7" width="6.33203125" style="2" customWidth="1"/>
    <col min="8" max="8" width="8.77734375" style="2" bestFit="1" customWidth="1"/>
    <col min="9" max="9" width="8" style="2" customWidth="1"/>
    <col min="10" max="11" width="6.33203125" style="2" customWidth="1"/>
    <col min="12" max="12" width="10.6640625" style="2" customWidth="1"/>
    <col min="13" max="13" width="6.33203125" style="2" customWidth="1"/>
    <col min="14" max="14" width="7.77734375" style="2" customWidth="1"/>
    <col min="15" max="15" width="27.77734375" style="2" customWidth="1"/>
    <col min="16" max="16" width="5.33203125" style="2" customWidth="1"/>
    <col min="17" max="16384" width="8.88671875" style="2"/>
  </cols>
  <sheetData>
    <row r="1" spans="1:16" ht="17.399999999999999">
      <c r="A1" s="1" t="s">
        <v>175</v>
      </c>
    </row>
    <row r="2" spans="1:16" ht="20.399999999999999">
      <c r="A2" s="79" t="s">
        <v>176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P3" s="5" t="s">
        <v>177</v>
      </c>
    </row>
    <row r="4" spans="1:16" s="19" customFormat="1">
      <c r="A4" s="92" t="s">
        <v>2</v>
      </c>
      <c r="B4" s="92" t="s">
        <v>160</v>
      </c>
      <c r="C4" s="92" t="s">
        <v>161</v>
      </c>
      <c r="D4" s="92"/>
      <c r="E4" s="92"/>
      <c r="F4" s="92"/>
      <c r="G4" s="92"/>
      <c r="H4" s="92" t="s">
        <v>162</v>
      </c>
      <c r="I4" s="92"/>
      <c r="J4" s="92"/>
      <c r="K4" s="92"/>
      <c r="L4" s="92"/>
      <c r="M4" s="92"/>
      <c r="N4" s="92"/>
      <c r="O4" s="92"/>
      <c r="P4" s="92"/>
    </row>
    <row r="5" spans="1:16" s="19" customFormat="1" ht="28.8">
      <c r="A5" s="92"/>
      <c r="B5" s="92"/>
      <c r="C5" s="9" t="s">
        <v>178</v>
      </c>
      <c r="D5" s="9" t="s">
        <v>179</v>
      </c>
      <c r="E5" s="9" t="s">
        <v>180</v>
      </c>
      <c r="F5" s="9" t="s">
        <v>153</v>
      </c>
      <c r="G5" s="9" t="s">
        <v>14</v>
      </c>
      <c r="H5" s="9" t="s">
        <v>178</v>
      </c>
      <c r="I5" s="9" t="s">
        <v>179</v>
      </c>
      <c r="J5" s="9" t="s">
        <v>184</v>
      </c>
      <c r="K5" s="9" t="s">
        <v>154</v>
      </c>
      <c r="L5" s="9" t="s">
        <v>185</v>
      </c>
      <c r="M5" s="9" t="s">
        <v>181</v>
      </c>
      <c r="N5" s="9" t="s">
        <v>182</v>
      </c>
      <c r="O5" s="9" t="s">
        <v>183</v>
      </c>
      <c r="P5" s="9" t="s">
        <v>14</v>
      </c>
    </row>
    <row r="6" spans="1:16" s="19" customFormat="1" ht="91.8" customHeight="1">
      <c r="A6" s="75">
        <v>1</v>
      </c>
      <c r="B6" s="75" t="str">
        <f>'2建筑工程'!B10</f>
        <v>制氢设备组装车间</v>
      </c>
      <c r="C6" s="76">
        <f>'2建筑工程'!F9</f>
        <v>3095.3</v>
      </c>
      <c r="D6" s="75" t="str">
        <f>'2建筑工程'!G10</f>
        <v>门式刚架结构/单层，局部三层</v>
      </c>
      <c r="E6" s="75" t="s">
        <v>210</v>
      </c>
      <c r="F6" s="75" t="s">
        <v>204</v>
      </c>
      <c r="G6" s="75"/>
      <c r="H6" s="76">
        <f>'2建筑工程'!F10</f>
        <v>3095.3</v>
      </c>
      <c r="I6" s="75" t="str">
        <f>D6</f>
        <v>门式刚架结构/单层，局部三层</v>
      </c>
      <c r="J6" s="75" t="str">
        <f>E6</f>
        <v>派瑞科技产业园西区</v>
      </c>
      <c r="K6" s="75" t="str">
        <f>F6</f>
        <v>委托公开</v>
      </c>
      <c r="L6" s="75" t="s">
        <v>281</v>
      </c>
      <c r="M6" s="75"/>
      <c r="N6" s="75"/>
      <c r="O6" s="75" t="s">
        <v>282</v>
      </c>
      <c r="P6" s="75"/>
    </row>
  </sheetData>
  <mergeCells count="5">
    <mergeCell ref="B4:B5"/>
    <mergeCell ref="A2:P2"/>
    <mergeCell ref="C4:G4"/>
    <mergeCell ref="H4:P4"/>
    <mergeCell ref="A4:A5"/>
  </mergeCells>
  <phoneticPr fontId="1" type="noConversion"/>
  <printOptions horizontalCentered="1"/>
  <pageMargins left="0.70866141732283472" right="0.70866141732283472" top="0.38" bottom="0.41" header="0.31496062992125984" footer="0.31496062992125984"/>
  <pageSetup paperSize="9" scale="93" fitToHeight="0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3961-CB2B-41E0-AB49-0DB03D3E0542}">
  <sheetPr codeName="Sheet13">
    <tabColor rgb="FF0070C0"/>
    <pageSetUpPr fitToPage="1"/>
  </sheetPr>
  <dimension ref="A1:U26"/>
  <sheetViews>
    <sheetView showZeros="0" view="pageBreakPreview" zoomScale="70" zoomScaleNormal="100" zoomScaleSheetLayoutView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8" sqref="H18"/>
    </sheetView>
  </sheetViews>
  <sheetFormatPr defaultRowHeight="14.4"/>
  <cols>
    <col min="1" max="1" width="4.77734375" style="2" customWidth="1"/>
    <col min="2" max="2" width="11.44140625" style="2" customWidth="1"/>
    <col min="3" max="3" width="8.21875" style="2" hidden="1" customWidth="1"/>
    <col min="4" max="4" width="16.88671875" style="2" customWidth="1"/>
    <col min="5" max="5" width="4.21875" style="2" customWidth="1"/>
    <col min="6" max="6" width="5.5546875" style="2" hidden="1" customWidth="1"/>
    <col min="7" max="7" width="8.21875" style="2" customWidth="1"/>
    <col min="8" max="8" width="8.6640625" style="2" customWidth="1"/>
    <col min="9" max="9" width="8.21875" style="19" customWidth="1"/>
    <col min="10" max="10" width="8.21875" style="2" hidden="1" customWidth="1"/>
    <col min="11" max="11" width="3.77734375" style="2" customWidth="1"/>
    <col min="12" max="12" width="11.44140625" style="2" customWidth="1"/>
    <col min="13" max="13" width="8.21875" style="2" hidden="1" customWidth="1"/>
    <col min="14" max="14" width="16.88671875" style="2" customWidth="1"/>
    <col min="15" max="15" width="4.21875" style="2" customWidth="1"/>
    <col min="16" max="16" width="5.5546875" style="2" hidden="1" customWidth="1"/>
    <col min="17" max="17" width="8.21875" style="2" customWidth="1"/>
    <col min="18" max="18" width="8.6640625" style="2" customWidth="1"/>
    <col min="19" max="19" width="8.21875" style="19" customWidth="1"/>
    <col min="20" max="20" width="8.21875" style="2" hidden="1" customWidth="1"/>
    <col min="21" max="21" width="3.77734375" style="2" customWidth="1"/>
    <col min="22" max="16384" width="8.88671875" style="2"/>
  </cols>
  <sheetData>
    <row r="1" spans="1:21" ht="17.399999999999999">
      <c r="A1" s="1" t="s">
        <v>187</v>
      </c>
    </row>
    <row r="2" spans="1:21" ht="20.399999999999999">
      <c r="A2" s="79" t="s">
        <v>186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I3" s="20"/>
      <c r="S3" s="20"/>
      <c r="U3" s="5" t="s">
        <v>188</v>
      </c>
    </row>
    <row r="4" spans="1:21">
      <c r="A4" s="85" t="s">
        <v>2</v>
      </c>
      <c r="B4" s="89" t="s">
        <v>161</v>
      </c>
      <c r="C4" s="90"/>
      <c r="D4" s="90"/>
      <c r="E4" s="90"/>
      <c r="F4" s="90"/>
      <c r="G4" s="90"/>
      <c r="H4" s="90"/>
      <c r="I4" s="90"/>
      <c r="J4" s="90"/>
      <c r="K4" s="91"/>
      <c r="L4" s="89" t="s">
        <v>162</v>
      </c>
      <c r="M4" s="90"/>
      <c r="N4" s="90"/>
      <c r="O4" s="90"/>
      <c r="P4" s="90"/>
      <c r="Q4" s="90"/>
      <c r="R4" s="90"/>
      <c r="S4" s="90"/>
      <c r="T4" s="90"/>
      <c r="U4" s="91"/>
    </row>
    <row r="5" spans="1:21" ht="28.8">
      <c r="A5" s="85"/>
      <c r="B5" s="7" t="s">
        <v>160</v>
      </c>
      <c r="C5" s="7" t="s">
        <v>163</v>
      </c>
      <c r="D5" s="7" t="s">
        <v>164</v>
      </c>
      <c r="E5" s="7" t="s">
        <v>167</v>
      </c>
      <c r="F5" s="7" t="s">
        <v>165</v>
      </c>
      <c r="G5" s="7" t="s">
        <v>45</v>
      </c>
      <c r="H5" s="7" t="s">
        <v>173</v>
      </c>
      <c r="I5" s="7" t="s">
        <v>153</v>
      </c>
      <c r="J5" s="7" t="s">
        <v>166</v>
      </c>
      <c r="K5" s="7" t="s">
        <v>14</v>
      </c>
      <c r="L5" s="7" t="s">
        <v>160</v>
      </c>
      <c r="M5" s="7" t="s">
        <v>163</v>
      </c>
      <c r="N5" s="7" t="s">
        <v>164</v>
      </c>
      <c r="O5" s="7" t="s">
        <v>167</v>
      </c>
      <c r="P5" s="7" t="s">
        <v>165</v>
      </c>
      <c r="Q5" s="7" t="s">
        <v>45</v>
      </c>
      <c r="R5" s="7" t="s">
        <v>173</v>
      </c>
      <c r="S5" s="7" t="s">
        <v>153</v>
      </c>
      <c r="T5" s="7" t="s">
        <v>166</v>
      </c>
      <c r="U5" s="7" t="s">
        <v>14</v>
      </c>
    </row>
    <row r="6" spans="1:21">
      <c r="A6" s="23" t="s">
        <v>170</v>
      </c>
      <c r="B6" s="22" t="s">
        <v>171</v>
      </c>
      <c r="C6" s="12"/>
      <c r="D6" s="37"/>
      <c r="E6" s="31"/>
      <c r="F6" s="12"/>
      <c r="G6" s="31">
        <f>SUM(G7:G25)</f>
        <v>0</v>
      </c>
      <c r="H6" s="38">
        <f>SUM(H7:H25)</f>
        <v>0</v>
      </c>
      <c r="I6" s="21"/>
      <c r="J6" s="12"/>
      <c r="K6" s="12"/>
      <c r="L6" s="22" t="s">
        <v>172</v>
      </c>
      <c r="M6" s="22"/>
      <c r="N6" s="35"/>
      <c r="O6" s="31"/>
      <c r="P6" s="12"/>
      <c r="Q6" s="31">
        <f>SUM(Q7:Q25)</f>
        <v>20</v>
      </c>
      <c r="R6" s="38">
        <f>SUM(R7:R25)</f>
        <v>32.625693999999989</v>
      </c>
      <c r="S6" s="21"/>
      <c r="T6" s="12"/>
      <c r="U6" s="12"/>
    </row>
    <row r="7" spans="1:21">
      <c r="A7" s="33"/>
      <c r="B7" s="24"/>
      <c r="C7" s="9"/>
      <c r="D7" s="24"/>
      <c r="E7" s="25"/>
      <c r="F7" s="9"/>
      <c r="G7" s="33"/>
      <c r="H7" s="34"/>
      <c r="I7" s="9"/>
      <c r="J7" s="9"/>
      <c r="K7" s="9"/>
      <c r="L7" s="26" t="s">
        <v>244</v>
      </c>
      <c r="M7" s="26"/>
      <c r="N7" s="35" t="s">
        <v>249</v>
      </c>
      <c r="O7" s="32" t="s">
        <v>169</v>
      </c>
      <c r="P7" s="9"/>
      <c r="Q7" s="33">
        <v>1</v>
      </c>
      <c r="R7" s="34">
        <v>14.699114999999999</v>
      </c>
      <c r="S7" s="9"/>
      <c r="T7" s="9"/>
      <c r="U7" s="9"/>
    </row>
    <row r="8" spans="1:21">
      <c r="A8" s="33"/>
      <c r="B8" s="24"/>
      <c r="C8" s="9"/>
      <c r="D8" s="24"/>
      <c r="E8" s="25"/>
      <c r="F8" s="9"/>
      <c r="G8" s="33"/>
      <c r="H8" s="34"/>
      <c r="I8" s="9"/>
      <c r="J8" s="9"/>
      <c r="K8" s="9"/>
      <c r="L8" s="26" t="s">
        <v>244</v>
      </c>
      <c r="M8" s="26"/>
      <c r="N8" s="35" t="s">
        <v>250</v>
      </c>
      <c r="O8" s="32" t="s">
        <v>169</v>
      </c>
      <c r="P8" s="9"/>
      <c r="Q8" s="33">
        <v>1</v>
      </c>
      <c r="R8" s="34">
        <v>9.9911499999999993</v>
      </c>
      <c r="S8" s="9"/>
      <c r="T8" s="9"/>
      <c r="U8" s="9"/>
    </row>
    <row r="9" spans="1:21">
      <c r="A9" s="33"/>
      <c r="B9" s="24"/>
      <c r="C9" s="9"/>
      <c r="D9" s="24"/>
      <c r="E9" s="25"/>
      <c r="F9" s="9"/>
      <c r="G9" s="33"/>
      <c r="H9" s="34"/>
      <c r="I9" s="9"/>
      <c r="J9" s="9"/>
      <c r="K9" s="9"/>
      <c r="L9" s="26" t="s">
        <v>245</v>
      </c>
      <c r="M9" s="26"/>
      <c r="N9" s="35" t="s">
        <v>251</v>
      </c>
      <c r="O9" s="32" t="s">
        <v>169</v>
      </c>
      <c r="P9" s="9"/>
      <c r="Q9" s="33">
        <v>2</v>
      </c>
      <c r="R9" s="34">
        <v>1.5044249999999999</v>
      </c>
      <c r="S9" s="9"/>
      <c r="T9" s="9"/>
      <c r="U9" s="9"/>
    </row>
    <row r="10" spans="1:21">
      <c r="A10" s="33"/>
      <c r="B10" s="24"/>
      <c r="C10" s="9"/>
      <c r="D10" s="24"/>
      <c r="E10" s="25"/>
      <c r="F10" s="9"/>
      <c r="G10" s="33"/>
      <c r="H10" s="34"/>
      <c r="I10" s="9"/>
      <c r="J10" s="9"/>
      <c r="K10" s="9"/>
      <c r="L10" s="26" t="s">
        <v>246</v>
      </c>
      <c r="M10" s="26"/>
      <c r="N10" s="35" t="s">
        <v>252</v>
      </c>
      <c r="O10" s="32" t="s">
        <v>169</v>
      </c>
      <c r="P10" s="9"/>
      <c r="Q10" s="33">
        <v>1</v>
      </c>
      <c r="R10" s="34">
        <v>0.21629200000000001</v>
      </c>
      <c r="S10" s="9"/>
      <c r="T10" s="9"/>
      <c r="U10" s="9"/>
    </row>
    <row r="11" spans="1:21">
      <c r="A11" s="33"/>
      <c r="B11" s="24"/>
      <c r="C11" s="9"/>
      <c r="D11" s="24"/>
      <c r="E11" s="25"/>
      <c r="F11" s="9"/>
      <c r="G11" s="33"/>
      <c r="H11" s="34"/>
      <c r="I11" s="9"/>
      <c r="J11" s="9"/>
      <c r="K11" s="9"/>
      <c r="L11" s="26" t="s">
        <v>246</v>
      </c>
      <c r="M11" s="26"/>
      <c r="N11" s="35" t="s">
        <v>253</v>
      </c>
      <c r="O11" s="32" t="s">
        <v>169</v>
      </c>
      <c r="P11" s="9"/>
      <c r="Q11" s="33">
        <v>1</v>
      </c>
      <c r="R11" s="34">
        <v>0.21629200000000001</v>
      </c>
      <c r="S11" s="9"/>
      <c r="T11" s="9"/>
      <c r="U11" s="9"/>
    </row>
    <row r="12" spans="1:21">
      <c r="A12" s="33"/>
      <c r="B12" s="24"/>
      <c r="C12" s="9"/>
      <c r="D12" s="24"/>
      <c r="E12" s="25"/>
      <c r="F12" s="9"/>
      <c r="G12" s="33"/>
      <c r="H12" s="34"/>
      <c r="I12" s="9"/>
      <c r="J12" s="9"/>
      <c r="K12" s="9"/>
      <c r="L12" s="26" t="s">
        <v>246</v>
      </c>
      <c r="M12" s="26"/>
      <c r="N12" s="35" t="s">
        <v>254</v>
      </c>
      <c r="O12" s="32" t="s">
        <v>169</v>
      </c>
      <c r="P12" s="9"/>
      <c r="Q12" s="33">
        <v>1</v>
      </c>
      <c r="R12" s="34">
        <v>0.21629200000000001</v>
      </c>
      <c r="S12" s="9"/>
      <c r="T12" s="9"/>
      <c r="U12" s="9"/>
    </row>
    <row r="13" spans="1:21">
      <c r="A13" s="33"/>
      <c r="B13" s="24"/>
      <c r="C13" s="9"/>
      <c r="D13" s="24"/>
      <c r="E13" s="25"/>
      <c r="F13" s="9"/>
      <c r="G13" s="33"/>
      <c r="H13" s="34"/>
      <c r="I13" s="9"/>
      <c r="J13" s="9"/>
      <c r="K13" s="9"/>
      <c r="L13" s="26" t="s">
        <v>246</v>
      </c>
      <c r="M13" s="26"/>
      <c r="N13" s="35" t="s">
        <v>255</v>
      </c>
      <c r="O13" s="32" t="s">
        <v>169</v>
      </c>
      <c r="P13" s="9"/>
      <c r="Q13" s="33">
        <v>1</v>
      </c>
      <c r="R13" s="34">
        <v>0.21629200000000001</v>
      </c>
      <c r="S13" s="9"/>
      <c r="T13" s="9"/>
      <c r="U13" s="9"/>
    </row>
    <row r="14" spans="1:21">
      <c r="A14" s="33"/>
      <c r="B14" s="24"/>
      <c r="C14" s="9"/>
      <c r="D14" s="24"/>
      <c r="E14" s="25"/>
      <c r="F14" s="9"/>
      <c r="G14" s="33"/>
      <c r="H14" s="34"/>
      <c r="I14" s="9"/>
      <c r="J14" s="9"/>
      <c r="K14" s="9"/>
      <c r="L14" s="26" t="s">
        <v>246</v>
      </c>
      <c r="M14" s="26"/>
      <c r="N14" s="35" t="s">
        <v>256</v>
      </c>
      <c r="O14" s="32" t="s">
        <v>169</v>
      </c>
      <c r="P14" s="9"/>
      <c r="Q14" s="33">
        <v>1</v>
      </c>
      <c r="R14" s="34">
        <v>0.21629200000000001</v>
      </c>
      <c r="S14" s="9"/>
      <c r="T14" s="9"/>
      <c r="U14" s="9"/>
    </row>
    <row r="15" spans="1:21">
      <c r="A15" s="33"/>
      <c r="B15" s="24"/>
      <c r="C15" s="9"/>
      <c r="D15" s="24"/>
      <c r="E15" s="25"/>
      <c r="F15" s="9"/>
      <c r="G15" s="33"/>
      <c r="H15" s="34"/>
      <c r="I15" s="9"/>
      <c r="J15" s="9"/>
      <c r="K15" s="9"/>
      <c r="L15" s="26" t="s">
        <v>246</v>
      </c>
      <c r="M15" s="26"/>
      <c r="N15" s="35" t="s">
        <v>257</v>
      </c>
      <c r="O15" s="32" t="s">
        <v>169</v>
      </c>
      <c r="P15" s="9"/>
      <c r="Q15" s="33">
        <v>1</v>
      </c>
      <c r="R15" s="34">
        <v>0.30721100000000001</v>
      </c>
      <c r="S15" s="9"/>
      <c r="T15" s="9"/>
      <c r="U15" s="9"/>
    </row>
    <row r="16" spans="1:21">
      <c r="A16" s="33"/>
      <c r="B16" s="24"/>
      <c r="C16" s="9"/>
      <c r="D16" s="24"/>
      <c r="E16" s="25"/>
      <c r="F16" s="9"/>
      <c r="G16" s="33"/>
      <c r="H16" s="34"/>
      <c r="I16" s="9"/>
      <c r="J16" s="9"/>
      <c r="K16" s="9"/>
      <c r="L16" s="26" t="s">
        <v>246</v>
      </c>
      <c r="M16" s="26"/>
      <c r="N16" s="35" t="s">
        <v>258</v>
      </c>
      <c r="O16" s="32" t="s">
        <v>169</v>
      </c>
      <c r="P16" s="9"/>
      <c r="Q16" s="33">
        <v>1</v>
      </c>
      <c r="R16" s="34">
        <v>0.30721100000000001</v>
      </c>
      <c r="S16" s="9"/>
      <c r="T16" s="9"/>
      <c r="U16" s="9"/>
    </row>
    <row r="17" spans="1:21">
      <c r="A17" s="33"/>
      <c r="B17" s="24"/>
      <c r="C17" s="9"/>
      <c r="D17" s="24"/>
      <c r="E17" s="25"/>
      <c r="F17" s="9"/>
      <c r="G17" s="33"/>
      <c r="H17" s="34"/>
      <c r="I17" s="9"/>
      <c r="J17" s="9"/>
      <c r="K17" s="9"/>
      <c r="L17" s="26" t="s">
        <v>246</v>
      </c>
      <c r="M17" s="26"/>
      <c r="N17" s="35" t="s">
        <v>258</v>
      </c>
      <c r="O17" s="32" t="s">
        <v>169</v>
      </c>
      <c r="P17" s="9"/>
      <c r="Q17" s="33">
        <v>1</v>
      </c>
      <c r="R17" s="34">
        <v>0.30721100000000001</v>
      </c>
      <c r="S17" s="9"/>
      <c r="T17" s="9"/>
      <c r="U17" s="9"/>
    </row>
    <row r="18" spans="1:21" ht="28.8">
      <c r="A18" s="33"/>
      <c r="B18" s="24"/>
      <c r="C18" s="9"/>
      <c r="D18" s="24"/>
      <c r="E18" s="25"/>
      <c r="F18" s="9"/>
      <c r="G18" s="33"/>
      <c r="H18" s="34"/>
      <c r="I18" s="9"/>
      <c r="J18" s="9"/>
      <c r="K18" s="9"/>
      <c r="L18" s="26" t="s">
        <v>247</v>
      </c>
      <c r="M18" s="26"/>
      <c r="N18" s="35" t="s">
        <v>259</v>
      </c>
      <c r="O18" s="32" t="s">
        <v>169</v>
      </c>
      <c r="P18" s="9"/>
      <c r="Q18" s="33">
        <v>1</v>
      </c>
      <c r="R18" s="34">
        <v>0.45727399999999996</v>
      </c>
      <c r="S18" s="9"/>
      <c r="T18" s="9"/>
      <c r="U18" s="9"/>
    </row>
    <row r="19" spans="1:21" ht="28.8">
      <c r="A19" s="33"/>
      <c r="B19" s="24"/>
      <c r="C19" s="9"/>
      <c r="D19" s="24"/>
      <c r="E19" s="25"/>
      <c r="F19" s="9"/>
      <c r="G19" s="33"/>
      <c r="H19" s="34"/>
      <c r="I19" s="9"/>
      <c r="J19" s="9"/>
      <c r="K19" s="9"/>
      <c r="L19" s="26" t="s">
        <v>247</v>
      </c>
      <c r="M19" s="26"/>
      <c r="N19" s="35" t="s">
        <v>260</v>
      </c>
      <c r="O19" s="32" t="s">
        <v>169</v>
      </c>
      <c r="P19" s="9"/>
      <c r="Q19" s="33">
        <v>1</v>
      </c>
      <c r="R19" s="34">
        <v>0.45727399999999996</v>
      </c>
      <c r="S19" s="9"/>
      <c r="T19" s="9"/>
      <c r="U19" s="9"/>
    </row>
    <row r="20" spans="1:21">
      <c r="A20" s="33"/>
      <c r="B20" s="24"/>
      <c r="C20" s="9"/>
      <c r="D20" s="24"/>
      <c r="E20" s="25"/>
      <c r="F20" s="9"/>
      <c r="G20" s="33"/>
      <c r="H20" s="34"/>
      <c r="I20" s="9"/>
      <c r="J20" s="9"/>
      <c r="K20" s="9"/>
      <c r="L20" s="26" t="s">
        <v>248</v>
      </c>
      <c r="M20" s="26"/>
      <c r="N20" s="35" t="s">
        <v>261</v>
      </c>
      <c r="O20" s="32" t="s">
        <v>169</v>
      </c>
      <c r="P20" s="9"/>
      <c r="Q20" s="33">
        <v>1</v>
      </c>
      <c r="R20" s="34">
        <v>0.66078999999999999</v>
      </c>
      <c r="S20" s="9"/>
      <c r="T20" s="9"/>
      <c r="U20" s="9"/>
    </row>
    <row r="21" spans="1:21">
      <c r="A21" s="33"/>
      <c r="B21" s="24"/>
      <c r="C21" s="9"/>
      <c r="D21" s="24"/>
      <c r="E21" s="25"/>
      <c r="F21" s="9"/>
      <c r="G21" s="33"/>
      <c r="H21" s="34"/>
      <c r="I21" s="9"/>
      <c r="J21" s="9"/>
      <c r="K21" s="9"/>
      <c r="L21" s="26" t="s">
        <v>248</v>
      </c>
      <c r="M21" s="26"/>
      <c r="N21" s="35" t="s">
        <v>262</v>
      </c>
      <c r="O21" s="32" t="s">
        <v>169</v>
      </c>
      <c r="P21" s="9"/>
      <c r="Q21" s="33">
        <v>1</v>
      </c>
      <c r="R21" s="34">
        <v>0.66078999999999999</v>
      </c>
      <c r="S21" s="9"/>
      <c r="T21" s="9"/>
      <c r="U21" s="9"/>
    </row>
    <row r="22" spans="1:21">
      <c r="A22" s="33"/>
      <c r="B22" s="24"/>
      <c r="C22" s="9"/>
      <c r="D22" s="24"/>
      <c r="E22" s="25"/>
      <c r="F22" s="9"/>
      <c r="G22" s="33"/>
      <c r="H22" s="34"/>
      <c r="I22" s="9"/>
      <c r="J22" s="9"/>
      <c r="K22" s="9"/>
      <c r="L22" s="26" t="s">
        <v>248</v>
      </c>
      <c r="M22" s="26"/>
      <c r="N22" s="35" t="s">
        <v>263</v>
      </c>
      <c r="O22" s="32" t="s">
        <v>169</v>
      </c>
      <c r="P22" s="9"/>
      <c r="Q22" s="33">
        <v>1</v>
      </c>
      <c r="R22" s="34">
        <v>0.66078999999999999</v>
      </c>
      <c r="S22" s="9"/>
      <c r="T22" s="9"/>
      <c r="U22" s="9"/>
    </row>
    <row r="23" spans="1:21">
      <c r="A23" s="33"/>
      <c r="B23" s="24"/>
      <c r="C23" s="9"/>
      <c r="D23" s="24"/>
      <c r="E23" s="25"/>
      <c r="F23" s="9"/>
      <c r="G23" s="33"/>
      <c r="H23" s="34"/>
      <c r="I23" s="9"/>
      <c r="J23" s="9"/>
      <c r="K23" s="9"/>
      <c r="L23" s="26" t="s">
        <v>248</v>
      </c>
      <c r="M23" s="26"/>
      <c r="N23" s="35" t="s">
        <v>264</v>
      </c>
      <c r="O23" s="32" t="s">
        <v>169</v>
      </c>
      <c r="P23" s="9"/>
      <c r="Q23" s="33">
        <v>1</v>
      </c>
      <c r="R23" s="34">
        <v>0.51033100000000009</v>
      </c>
      <c r="S23" s="9"/>
      <c r="T23" s="9"/>
      <c r="U23" s="9"/>
    </row>
    <row r="24" spans="1:21">
      <c r="A24" s="33"/>
      <c r="B24" s="24"/>
      <c r="C24" s="9"/>
      <c r="D24" s="24"/>
      <c r="E24" s="25"/>
      <c r="F24" s="9"/>
      <c r="G24" s="33"/>
      <c r="H24" s="73"/>
      <c r="I24" s="9"/>
      <c r="J24" s="9"/>
      <c r="K24" s="9"/>
      <c r="L24" s="26" t="s">
        <v>248</v>
      </c>
      <c r="M24" s="26"/>
      <c r="N24" s="35" t="s">
        <v>265</v>
      </c>
      <c r="O24" s="32" t="s">
        <v>169</v>
      </c>
      <c r="P24" s="9"/>
      <c r="Q24" s="33">
        <v>1</v>
      </c>
      <c r="R24" s="34">
        <v>0.51033100000000009</v>
      </c>
      <c r="S24" s="9"/>
      <c r="T24" s="9"/>
      <c r="U24" s="9"/>
    </row>
    <row r="25" spans="1:21">
      <c r="A25" s="33"/>
      <c r="B25" s="24"/>
      <c r="C25" s="9"/>
      <c r="D25" s="24"/>
      <c r="E25" s="25"/>
      <c r="F25" s="9"/>
      <c r="G25" s="33"/>
      <c r="H25" s="72"/>
      <c r="I25" s="9"/>
      <c r="J25" s="9"/>
      <c r="K25" s="9"/>
      <c r="L25" s="26" t="s">
        <v>248</v>
      </c>
      <c r="M25" s="26"/>
      <c r="N25" s="35" t="s">
        <v>266</v>
      </c>
      <c r="O25" s="32" t="s">
        <v>169</v>
      </c>
      <c r="P25" s="9"/>
      <c r="Q25" s="33">
        <v>1</v>
      </c>
      <c r="R25" s="34">
        <v>0.51033100000000009</v>
      </c>
      <c r="S25" s="9"/>
      <c r="T25" s="9"/>
      <c r="U25" s="9"/>
    </row>
    <row r="26" spans="1:21" s="16" customFormat="1" ht="28.8">
      <c r="A26" s="27" t="s">
        <v>267</v>
      </c>
      <c r="B26" s="29" t="s">
        <v>268</v>
      </c>
      <c r="C26" s="7"/>
      <c r="D26" s="29"/>
      <c r="E26" s="23"/>
      <c r="F26" s="7"/>
      <c r="G26" s="27"/>
      <c r="H26" s="77"/>
      <c r="I26" s="7"/>
      <c r="J26" s="7"/>
      <c r="K26" s="7"/>
      <c r="L26" s="29" t="s">
        <v>268</v>
      </c>
      <c r="M26" s="30"/>
      <c r="N26" s="36"/>
      <c r="O26" s="31"/>
      <c r="P26" s="7"/>
      <c r="Q26" s="27"/>
      <c r="R26" s="28">
        <v>4.3996810000000002</v>
      </c>
      <c r="S26" s="7"/>
      <c r="T26" s="7"/>
      <c r="U26" s="7"/>
    </row>
  </sheetData>
  <autoFilter ref="A5:U25" xr:uid="{2F613961-CB2B-41E0-AB49-0DB03D3E0542}"/>
  <mergeCells count="4">
    <mergeCell ref="A2:U2"/>
    <mergeCell ref="A4:A5"/>
    <mergeCell ref="B4:K4"/>
    <mergeCell ref="L4:U4"/>
  </mergeCells>
  <phoneticPr fontId="1" type="noConversion"/>
  <printOptions horizontalCentered="1"/>
  <pageMargins left="0.70866141732283472" right="0.70866141732283472" top="0.74803149606299213" bottom="0.53" header="0.31496062992125984" footer="0.31496062992125984"/>
  <pageSetup paperSize="8" fitToHeight="0" orientation="landscape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EDF7-37A1-407D-974A-4F1A03F71405}">
  <sheetPr codeName="Sheet14">
    <tabColor rgb="FF002060"/>
  </sheetPr>
  <dimension ref="A1:V165"/>
  <sheetViews>
    <sheetView showZeros="0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U6" sqref="U6"/>
    </sheetView>
  </sheetViews>
  <sheetFormatPr defaultRowHeight="14.4"/>
  <cols>
    <col min="1" max="1" width="4.77734375" style="2" customWidth="1"/>
    <col min="2" max="2" width="11.44140625" style="2" customWidth="1"/>
    <col min="3" max="3" width="8.21875" style="2" hidden="1" customWidth="1"/>
    <col min="4" max="4" width="16.88671875" style="2" customWidth="1"/>
    <col min="5" max="5" width="4.21875" style="2" customWidth="1"/>
    <col min="6" max="6" width="5.5546875" style="2" bestFit="1" customWidth="1"/>
    <col min="7" max="7" width="8.21875" style="2" customWidth="1"/>
    <col min="8" max="8" width="8.6640625" style="2" customWidth="1"/>
    <col min="9" max="9" width="8.21875" style="19" customWidth="1"/>
    <col min="10" max="10" width="8.21875" style="2" customWidth="1"/>
    <col min="11" max="11" width="3.77734375" style="2" customWidth="1"/>
    <col min="12" max="12" width="11.44140625" style="2" customWidth="1"/>
    <col min="13" max="13" width="8.21875" style="2" hidden="1" customWidth="1"/>
    <col min="14" max="14" width="16.88671875" style="2" customWidth="1"/>
    <col min="15" max="15" width="4.21875" style="2" customWidth="1"/>
    <col min="16" max="16" width="5.5546875" style="2" bestFit="1" customWidth="1"/>
    <col min="17" max="17" width="8.21875" style="2" customWidth="1"/>
    <col min="18" max="18" width="8.6640625" style="2" customWidth="1"/>
    <col min="19" max="19" width="8.21875" style="19" customWidth="1"/>
    <col min="20" max="20" width="8.21875" style="2" customWidth="1"/>
    <col min="21" max="21" width="10" style="2" customWidth="1"/>
    <col min="22" max="22" width="3.77734375" style="2" customWidth="1"/>
    <col min="23" max="16384" width="8.88671875" style="2"/>
  </cols>
  <sheetData>
    <row r="1" spans="1:22" ht="17.399999999999999">
      <c r="A1" s="1" t="s">
        <v>193</v>
      </c>
    </row>
    <row r="2" spans="1:22" ht="20.399999999999999">
      <c r="A2" s="79" t="s">
        <v>189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I3" s="20"/>
      <c r="S3" s="20"/>
      <c r="V3" s="5" t="s">
        <v>194</v>
      </c>
    </row>
    <row r="4" spans="1:22">
      <c r="A4" s="85" t="s">
        <v>2</v>
      </c>
      <c r="B4" s="89" t="s">
        <v>161</v>
      </c>
      <c r="C4" s="90"/>
      <c r="D4" s="90"/>
      <c r="E4" s="90"/>
      <c r="F4" s="90"/>
      <c r="G4" s="90"/>
      <c r="H4" s="90"/>
      <c r="I4" s="90"/>
      <c r="J4" s="90"/>
      <c r="K4" s="91"/>
      <c r="L4" s="89" t="s">
        <v>162</v>
      </c>
      <c r="M4" s="90"/>
      <c r="N4" s="90"/>
      <c r="O4" s="90"/>
      <c r="P4" s="90"/>
      <c r="Q4" s="90"/>
      <c r="R4" s="90"/>
      <c r="S4" s="90"/>
      <c r="T4" s="90"/>
      <c r="U4" s="90"/>
      <c r="V4" s="91"/>
    </row>
    <row r="5" spans="1:22" ht="28.8">
      <c r="A5" s="85"/>
      <c r="B5" s="7" t="s">
        <v>160</v>
      </c>
      <c r="C5" s="7" t="s">
        <v>163</v>
      </c>
      <c r="D5" s="7" t="s">
        <v>164</v>
      </c>
      <c r="E5" s="7" t="s">
        <v>167</v>
      </c>
      <c r="F5" s="7" t="s">
        <v>165</v>
      </c>
      <c r="G5" s="7" t="s">
        <v>45</v>
      </c>
      <c r="H5" s="7" t="s">
        <v>173</v>
      </c>
      <c r="I5" s="7" t="s">
        <v>153</v>
      </c>
      <c r="J5" s="7" t="s">
        <v>166</v>
      </c>
      <c r="K5" s="7" t="s">
        <v>14</v>
      </c>
      <c r="L5" s="7" t="s">
        <v>160</v>
      </c>
      <c r="M5" s="7" t="s">
        <v>163</v>
      </c>
      <c r="N5" s="7" t="s">
        <v>164</v>
      </c>
      <c r="O5" s="7" t="s">
        <v>167</v>
      </c>
      <c r="P5" s="7" t="s">
        <v>165</v>
      </c>
      <c r="Q5" s="7" t="s">
        <v>45</v>
      </c>
      <c r="R5" s="7" t="s">
        <v>173</v>
      </c>
      <c r="S5" s="7" t="s">
        <v>153</v>
      </c>
      <c r="T5" s="7" t="s">
        <v>166</v>
      </c>
      <c r="U5" s="7" t="s">
        <v>190</v>
      </c>
      <c r="V5" s="7" t="s">
        <v>14</v>
      </c>
    </row>
    <row r="6" spans="1:22">
      <c r="A6" s="39" t="e">
        <f>'11工艺'!#REF!</f>
        <v>#REF!</v>
      </c>
      <c r="B6" s="40" t="e">
        <f>'11工艺'!#REF!</f>
        <v>#REF!</v>
      </c>
      <c r="C6" s="41" t="e">
        <f>'11工艺'!#REF!</f>
        <v>#REF!</v>
      </c>
      <c r="D6" s="39" t="e">
        <f>'11工艺'!#REF!</f>
        <v>#REF!</v>
      </c>
      <c r="E6" s="39" t="e">
        <f>'11工艺'!#REF!</f>
        <v>#REF!</v>
      </c>
      <c r="F6" s="41" t="e">
        <f>'11工艺'!#REF!</f>
        <v>#REF!</v>
      </c>
      <c r="G6" s="42" t="e">
        <f>'11工艺'!#REF!</f>
        <v>#REF!</v>
      </c>
      <c r="H6" s="43" t="e">
        <f>'11工艺'!#REF!</f>
        <v>#REF!</v>
      </c>
      <c r="I6" s="41" t="e">
        <f>'11工艺'!#REF!</f>
        <v>#REF!</v>
      </c>
      <c r="J6" s="41" t="e">
        <f>'11工艺'!#REF!</f>
        <v>#REF!</v>
      </c>
      <c r="K6" s="41" t="e">
        <f>'11工艺'!#REF!</f>
        <v>#REF!</v>
      </c>
      <c r="L6" s="40" t="e">
        <f>'11工艺'!#REF!</f>
        <v>#REF!</v>
      </c>
      <c r="M6" s="40" t="e">
        <f>'11工艺'!#REF!</f>
        <v>#REF!</v>
      </c>
      <c r="N6" s="44" t="e">
        <f>'11工艺'!#REF!</f>
        <v>#REF!</v>
      </c>
      <c r="O6" s="39" t="e">
        <f>'11工艺'!#REF!</f>
        <v>#REF!</v>
      </c>
      <c r="P6" s="41" t="e">
        <f>'11工艺'!#REF!</f>
        <v>#REF!</v>
      </c>
      <c r="Q6" s="42" t="e">
        <f>'11工艺'!#REF!</f>
        <v>#REF!</v>
      </c>
      <c r="R6" s="43" t="e">
        <f>'11工艺'!#REF!</f>
        <v>#REF!</v>
      </c>
      <c r="S6" s="41" t="e">
        <f>'11工艺'!#REF!</f>
        <v>#REF!</v>
      </c>
      <c r="T6" s="41" t="e">
        <f>'11工艺'!#REF!</f>
        <v>#REF!</v>
      </c>
      <c r="U6" s="41"/>
      <c r="V6" s="41" t="e">
        <f>'11工艺'!#REF!</f>
        <v>#REF!</v>
      </c>
    </row>
    <row r="7" spans="1:22">
      <c r="A7" s="40" t="str">
        <f>'11工艺'!A6</f>
        <v>I</v>
      </c>
      <c r="B7" s="40" t="str">
        <f>'11工艺'!B6</f>
        <v>工艺设备</v>
      </c>
      <c r="C7" s="41">
        <f>'11工艺'!C6</f>
        <v>0</v>
      </c>
      <c r="D7" s="45">
        <f>'11工艺'!D6</f>
        <v>0</v>
      </c>
      <c r="E7" s="46">
        <f>'11工艺'!E6</f>
        <v>0</v>
      </c>
      <c r="F7" s="41">
        <f>'11工艺'!F6</f>
        <v>0</v>
      </c>
      <c r="G7" s="42">
        <f>'11工艺'!G6</f>
        <v>26</v>
      </c>
      <c r="H7" s="43">
        <f>'11工艺'!H6</f>
        <v>193</v>
      </c>
      <c r="I7" s="41">
        <f>'11工艺'!I6</f>
        <v>0</v>
      </c>
      <c r="J7" s="41">
        <f>'11工艺'!J6</f>
        <v>0</v>
      </c>
      <c r="K7" s="41">
        <f>'11工艺'!K6</f>
        <v>0</v>
      </c>
      <c r="L7" s="40" t="str">
        <f>'11工艺'!L6</f>
        <v>工艺设备</v>
      </c>
      <c r="M7" s="40">
        <f>'11工艺'!M6</f>
        <v>0</v>
      </c>
      <c r="N7" s="47">
        <f>'11工艺'!N6</f>
        <v>0</v>
      </c>
      <c r="O7" s="48">
        <f>'11工艺'!O6</f>
        <v>0</v>
      </c>
      <c r="P7" s="41">
        <f>'11工艺'!P6</f>
        <v>0</v>
      </c>
      <c r="Q7" s="42">
        <f>'11工艺'!Q6</f>
        <v>26</v>
      </c>
      <c r="R7" s="43">
        <f>'11工艺'!R6</f>
        <v>147.61062200000001</v>
      </c>
      <c r="S7" s="41">
        <f>'11工艺'!S6</f>
        <v>0</v>
      </c>
      <c r="T7" s="41">
        <f>'11工艺'!T6</f>
        <v>0</v>
      </c>
      <c r="U7" s="41"/>
      <c r="V7" s="41">
        <f>'11工艺'!U6</f>
        <v>0</v>
      </c>
    </row>
    <row r="8" spans="1:22">
      <c r="A8" s="42" t="e">
        <f>'11工艺'!#REF!</f>
        <v>#REF!</v>
      </c>
      <c r="B8" s="40" t="e">
        <f>'11工艺'!#REF!</f>
        <v>#REF!</v>
      </c>
      <c r="C8" s="41" t="e">
        <f>'11工艺'!#REF!</f>
        <v>#REF!</v>
      </c>
      <c r="D8" s="45" t="e">
        <f>'11工艺'!#REF!</f>
        <v>#REF!</v>
      </c>
      <c r="E8" s="46" t="e">
        <f>'11工艺'!#REF!</f>
        <v>#REF!</v>
      </c>
      <c r="F8" s="41" t="e">
        <f>'11工艺'!#REF!</f>
        <v>#REF!</v>
      </c>
      <c r="G8" s="42" t="e">
        <f>'11工艺'!#REF!</f>
        <v>#REF!</v>
      </c>
      <c r="H8" s="43" t="e">
        <f>'11工艺'!#REF!</f>
        <v>#REF!</v>
      </c>
      <c r="I8" s="41" t="e">
        <f>'11工艺'!#REF!</f>
        <v>#REF!</v>
      </c>
      <c r="J8" s="41" t="e">
        <f>'11工艺'!#REF!</f>
        <v>#REF!</v>
      </c>
      <c r="K8" s="41" t="e">
        <f>'11工艺'!#REF!</f>
        <v>#REF!</v>
      </c>
      <c r="L8" s="40" t="e">
        <f>'11工艺'!#REF!</f>
        <v>#REF!</v>
      </c>
      <c r="M8" s="40" t="e">
        <f>'11工艺'!#REF!</f>
        <v>#REF!</v>
      </c>
      <c r="N8" s="44" t="e">
        <f>'11工艺'!#REF!</f>
        <v>#REF!</v>
      </c>
      <c r="O8" s="49" t="e">
        <f>'11工艺'!#REF!</f>
        <v>#REF!</v>
      </c>
      <c r="P8" s="41" t="e">
        <f>'11工艺'!#REF!</f>
        <v>#REF!</v>
      </c>
      <c r="Q8" s="42" t="e">
        <f>'11工艺'!#REF!</f>
        <v>#REF!</v>
      </c>
      <c r="R8" s="43" t="e">
        <f>'11工艺'!#REF!</f>
        <v>#REF!</v>
      </c>
      <c r="S8" s="41" t="e">
        <f>'11工艺'!#REF!</f>
        <v>#REF!</v>
      </c>
      <c r="T8" s="41" t="e">
        <f>'11工艺'!#REF!</f>
        <v>#REF!</v>
      </c>
      <c r="U8" s="41"/>
      <c r="V8" s="41" t="e">
        <f>'11工艺'!#REF!</f>
        <v>#REF!</v>
      </c>
    </row>
    <row r="9" spans="1:22">
      <c r="A9" s="50" t="e">
        <f>'11工艺'!#REF!</f>
        <v>#REF!</v>
      </c>
      <c r="B9" s="51" t="e">
        <f>'11工艺'!#REF!</f>
        <v>#REF!</v>
      </c>
      <c r="C9" s="41" t="e">
        <f>'11工艺'!#REF!</f>
        <v>#REF!</v>
      </c>
      <c r="D9" s="51" t="e">
        <f>'11工艺'!#REF!</f>
        <v>#REF!</v>
      </c>
      <c r="E9" s="52" t="e">
        <f>'11工艺'!#REF!</f>
        <v>#REF!</v>
      </c>
      <c r="F9" s="41" t="e">
        <f>'11工艺'!#REF!</f>
        <v>#REF!</v>
      </c>
      <c r="G9" s="50" t="e">
        <f>'11工艺'!#REF!</f>
        <v>#REF!</v>
      </c>
      <c r="H9" s="53" t="e">
        <f>'11工艺'!#REF!</f>
        <v>#REF!</v>
      </c>
      <c r="I9" s="41" t="e">
        <f>'11工艺'!#REF!</f>
        <v>#REF!</v>
      </c>
      <c r="J9" s="41" t="e">
        <f>'11工艺'!#REF!</f>
        <v>#REF!</v>
      </c>
      <c r="K9" s="41" t="e">
        <f>'11工艺'!#REF!</f>
        <v>#REF!</v>
      </c>
      <c r="L9" s="44" t="e">
        <f>'11工艺'!#REF!</f>
        <v>#REF!</v>
      </c>
      <c r="M9" s="44" t="e">
        <f>'11工艺'!#REF!</f>
        <v>#REF!</v>
      </c>
      <c r="N9" s="54" t="e">
        <f>'11工艺'!#REF!</f>
        <v>#REF!</v>
      </c>
      <c r="O9" s="49" t="e">
        <f>'11工艺'!#REF!</f>
        <v>#REF!</v>
      </c>
      <c r="P9" s="41" t="e">
        <f>'11工艺'!#REF!</f>
        <v>#REF!</v>
      </c>
      <c r="Q9" s="50" t="e">
        <f>'11工艺'!#REF!</f>
        <v>#REF!</v>
      </c>
      <c r="R9" s="53" t="e">
        <f>'11工艺'!#REF!</f>
        <v>#REF!</v>
      </c>
      <c r="S9" s="41" t="e">
        <f>'11工艺'!#REF!</f>
        <v>#REF!</v>
      </c>
      <c r="T9" s="41" t="e">
        <f>'11工艺'!#REF!</f>
        <v>#REF!</v>
      </c>
      <c r="U9" s="41"/>
      <c r="V9" s="41" t="e">
        <f>'11工艺'!#REF!</f>
        <v>#REF!</v>
      </c>
    </row>
    <row r="10" spans="1:22">
      <c r="A10" s="50" t="e">
        <f>'11工艺'!#REF!</f>
        <v>#REF!</v>
      </c>
      <c r="B10" s="51" t="e">
        <f>'11工艺'!#REF!</f>
        <v>#REF!</v>
      </c>
      <c r="C10" s="41" t="e">
        <f>'11工艺'!#REF!</f>
        <v>#REF!</v>
      </c>
      <c r="D10" s="51" t="e">
        <f>'11工艺'!#REF!</f>
        <v>#REF!</v>
      </c>
      <c r="E10" s="52" t="e">
        <f>'11工艺'!#REF!</f>
        <v>#REF!</v>
      </c>
      <c r="F10" s="41" t="e">
        <f>'11工艺'!#REF!</f>
        <v>#REF!</v>
      </c>
      <c r="G10" s="50" t="e">
        <f>'11工艺'!#REF!</f>
        <v>#REF!</v>
      </c>
      <c r="H10" s="53" t="e">
        <f>'11工艺'!#REF!</f>
        <v>#REF!</v>
      </c>
      <c r="I10" s="41" t="e">
        <f>'11工艺'!#REF!</f>
        <v>#REF!</v>
      </c>
      <c r="J10" s="41" t="e">
        <f>'11工艺'!#REF!</f>
        <v>#REF!</v>
      </c>
      <c r="K10" s="41" t="e">
        <f>'11工艺'!#REF!</f>
        <v>#REF!</v>
      </c>
      <c r="L10" s="44" t="e">
        <f>'11工艺'!#REF!</f>
        <v>#REF!</v>
      </c>
      <c r="M10" s="44" t="e">
        <f>'11工艺'!#REF!</f>
        <v>#REF!</v>
      </c>
      <c r="N10" s="54" t="e">
        <f>'11工艺'!#REF!</f>
        <v>#REF!</v>
      </c>
      <c r="O10" s="49" t="e">
        <f>'11工艺'!#REF!</f>
        <v>#REF!</v>
      </c>
      <c r="P10" s="41" t="e">
        <f>'11工艺'!#REF!</f>
        <v>#REF!</v>
      </c>
      <c r="Q10" s="50" t="e">
        <f>'11工艺'!#REF!</f>
        <v>#REF!</v>
      </c>
      <c r="R10" s="53" t="e">
        <f>'11工艺'!#REF!</f>
        <v>#REF!</v>
      </c>
      <c r="S10" s="41" t="e">
        <f>'11工艺'!#REF!</f>
        <v>#REF!</v>
      </c>
      <c r="T10" s="41" t="e">
        <f>'11工艺'!#REF!</f>
        <v>#REF!</v>
      </c>
      <c r="U10" s="41"/>
      <c r="V10" s="41" t="e">
        <f>'11工艺'!#REF!</f>
        <v>#REF!</v>
      </c>
    </row>
    <row r="11" spans="1:22" ht="72">
      <c r="A11" s="50">
        <f>'11工艺'!A7</f>
        <v>1</v>
      </c>
      <c r="B11" s="51" t="str">
        <f>'11工艺'!B7</f>
        <v>通风柜</v>
      </c>
      <c r="C11" s="41">
        <f>'11工艺'!C7</f>
        <v>0</v>
      </c>
      <c r="D11" s="51" t="str">
        <f>'11工艺'!D7</f>
        <v>尺寸1800mm*850mm*2350mm;风速0.4-0.5m/s；风量2400m³/h</v>
      </c>
      <c r="E11" s="52" t="str">
        <f>'11工艺'!E7</f>
        <v>套</v>
      </c>
      <c r="F11" s="41" t="str">
        <f>'11工艺'!F7</f>
        <v>国产</v>
      </c>
      <c r="G11" s="50">
        <f>'11工艺'!G7</f>
        <v>22</v>
      </c>
      <c r="H11" s="53">
        <f>'11工艺'!H7</f>
        <v>33</v>
      </c>
      <c r="I11" s="41">
        <f>'11工艺'!I7</f>
        <v>0</v>
      </c>
      <c r="J11" s="41">
        <f>'11工艺'!J7</f>
        <v>0</v>
      </c>
      <c r="K11" s="41">
        <f>'11工艺'!K7</f>
        <v>0</v>
      </c>
      <c r="L11" s="44" t="str">
        <f>'11工艺'!L7</f>
        <v>通风柜</v>
      </c>
      <c r="M11" s="44">
        <f>'11工艺'!M7</f>
        <v>0</v>
      </c>
      <c r="N11" s="54" t="str">
        <f>'11工艺'!N7</f>
        <v>非标</v>
      </c>
      <c r="O11" s="49" t="str">
        <f>'11工艺'!O7</f>
        <v>套</v>
      </c>
      <c r="P11" s="41" t="str">
        <f>'11工艺'!P7</f>
        <v>国产</v>
      </c>
      <c r="Q11" s="50">
        <f>'11工艺'!Q7</f>
        <v>22</v>
      </c>
      <c r="R11" s="53">
        <f>'11工艺'!R7</f>
        <v>23.893806000000001</v>
      </c>
      <c r="S11" s="41">
        <f>'11工艺'!S7</f>
        <v>0</v>
      </c>
      <c r="T11" s="41">
        <f>'11工艺'!T7</f>
        <v>0</v>
      </c>
      <c r="U11" s="41"/>
      <c r="V11" s="41">
        <f>'11工艺'!U7</f>
        <v>0</v>
      </c>
    </row>
    <row r="12" spans="1:22" ht="144">
      <c r="A12" s="42">
        <f>'11工艺'!A8</f>
        <v>2</v>
      </c>
      <c r="B12" s="40" t="str">
        <f>'11工艺'!B8</f>
        <v>振动测试台</v>
      </c>
      <c r="C12" s="41">
        <f>'11工艺'!C8</f>
        <v>0</v>
      </c>
      <c r="D12" s="45" t="str">
        <f>'11工艺'!D8</f>
        <v>尺寸（长×宽）：4m×4m，其高度≥400mm；测试台如有拼接，其整体平整度≤0.1mm，水平度≤0.2mm/m；测试台（铸钢件+钢筋混凝土）固有频率≥70Hz</v>
      </c>
      <c r="E12" s="46" t="str">
        <f>'11工艺'!E8</f>
        <v>套</v>
      </c>
      <c r="F12" s="41" t="str">
        <f>'11工艺'!F8</f>
        <v>国产</v>
      </c>
      <c r="G12" s="42">
        <f>'11工艺'!G8</f>
        <v>4</v>
      </c>
      <c r="H12" s="43">
        <f>'11工艺'!H8</f>
        <v>160</v>
      </c>
      <c r="I12" s="41">
        <f>'11工艺'!I8</f>
        <v>0</v>
      </c>
      <c r="J12" s="41">
        <f>'11工艺'!J8</f>
        <v>0</v>
      </c>
      <c r="K12" s="41">
        <f>'11工艺'!K8</f>
        <v>0</v>
      </c>
      <c r="L12" s="40" t="str">
        <f>'11工艺'!L8</f>
        <v>振动测试台</v>
      </c>
      <c r="M12" s="40">
        <f>'11工艺'!M8</f>
        <v>0</v>
      </c>
      <c r="N12" s="44" t="str">
        <f>'11工艺'!N8</f>
        <v>非标</v>
      </c>
      <c r="O12" s="49" t="str">
        <f>'11工艺'!O8</f>
        <v>套</v>
      </c>
      <c r="P12" s="41" t="str">
        <f>'11工艺'!P8</f>
        <v>国产</v>
      </c>
      <c r="Q12" s="42">
        <f>'11工艺'!Q8</f>
        <v>4</v>
      </c>
      <c r="R12" s="43">
        <f>'11工艺'!R8</f>
        <v>123.71681599999999</v>
      </c>
      <c r="S12" s="41">
        <f>'11工艺'!S8</f>
        <v>0</v>
      </c>
      <c r="T12" s="41">
        <f>'11工艺'!T8</f>
        <v>0</v>
      </c>
      <c r="U12" s="41"/>
      <c r="V12" s="41">
        <f>'11工艺'!U8</f>
        <v>0</v>
      </c>
    </row>
    <row r="13" spans="1:22">
      <c r="A13" s="50" t="e">
        <f>'11工艺'!#REF!</f>
        <v>#REF!</v>
      </c>
      <c r="B13" s="51" t="e">
        <f>'11工艺'!#REF!</f>
        <v>#REF!</v>
      </c>
      <c r="C13" s="41" t="e">
        <f>'11工艺'!#REF!</f>
        <v>#REF!</v>
      </c>
      <c r="D13" s="51" t="e">
        <f>'11工艺'!#REF!</f>
        <v>#REF!</v>
      </c>
      <c r="E13" s="52" t="e">
        <f>'11工艺'!#REF!</f>
        <v>#REF!</v>
      </c>
      <c r="F13" s="41" t="e">
        <f>'11工艺'!#REF!</f>
        <v>#REF!</v>
      </c>
      <c r="G13" s="50" t="e">
        <f>'11工艺'!#REF!</f>
        <v>#REF!</v>
      </c>
      <c r="H13" s="53" t="e">
        <f>'11工艺'!#REF!</f>
        <v>#REF!</v>
      </c>
      <c r="I13" s="41" t="e">
        <f>'11工艺'!#REF!</f>
        <v>#REF!</v>
      </c>
      <c r="J13" s="41" t="e">
        <f>'11工艺'!#REF!</f>
        <v>#REF!</v>
      </c>
      <c r="K13" s="41" t="e">
        <f>'11工艺'!#REF!</f>
        <v>#REF!</v>
      </c>
      <c r="L13" s="44" t="e">
        <f>'11工艺'!#REF!</f>
        <v>#REF!</v>
      </c>
      <c r="M13" s="44" t="e">
        <f>'11工艺'!#REF!</f>
        <v>#REF!</v>
      </c>
      <c r="N13" s="44" t="e">
        <f>'11工艺'!#REF!</f>
        <v>#REF!</v>
      </c>
      <c r="O13" s="49" t="e">
        <f>'11工艺'!#REF!</f>
        <v>#REF!</v>
      </c>
      <c r="P13" s="41" t="e">
        <f>'11工艺'!#REF!</f>
        <v>#REF!</v>
      </c>
      <c r="Q13" s="50" t="e">
        <f>'11工艺'!#REF!</f>
        <v>#REF!</v>
      </c>
      <c r="R13" s="53" t="e">
        <f>'11工艺'!#REF!</f>
        <v>#REF!</v>
      </c>
      <c r="S13" s="41" t="e">
        <f>'11工艺'!#REF!</f>
        <v>#REF!</v>
      </c>
      <c r="T13" s="41" t="e">
        <f>'11工艺'!#REF!</f>
        <v>#REF!</v>
      </c>
      <c r="U13" s="41"/>
      <c r="V13" s="41" t="e">
        <f>'11工艺'!#REF!</f>
        <v>#REF!</v>
      </c>
    </row>
    <row r="14" spans="1:22">
      <c r="A14" s="50" t="e">
        <f>'11工艺'!#REF!</f>
        <v>#REF!</v>
      </c>
      <c r="B14" s="51" t="e">
        <f>'11工艺'!#REF!</f>
        <v>#REF!</v>
      </c>
      <c r="C14" s="41" t="e">
        <f>'11工艺'!#REF!</f>
        <v>#REF!</v>
      </c>
      <c r="D14" s="51" t="e">
        <f>'11工艺'!#REF!</f>
        <v>#REF!</v>
      </c>
      <c r="E14" s="52" t="e">
        <f>'11工艺'!#REF!</f>
        <v>#REF!</v>
      </c>
      <c r="F14" s="41" t="e">
        <f>'11工艺'!#REF!</f>
        <v>#REF!</v>
      </c>
      <c r="G14" s="50" t="e">
        <f>'11工艺'!#REF!</f>
        <v>#REF!</v>
      </c>
      <c r="H14" s="53" t="e">
        <f>'11工艺'!#REF!</f>
        <v>#REF!</v>
      </c>
      <c r="I14" s="41" t="e">
        <f>'11工艺'!#REF!</f>
        <v>#REF!</v>
      </c>
      <c r="J14" s="41" t="e">
        <f>'11工艺'!#REF!</f>
        <v>#REF!</v>
      </c>
      <c r="K14" s="41" t="e">
        <f>'11工艺'!#REF!</f>
        <v>#REF!</v>
      </c>
      <c r="L14" s="44" t="e">
        <f>'11工艺'!#REF!</f>
        <v>#REF!</v>
      </c>
      <c r="M14" s="44" t="e">
        <f>'11工艺'!#REF!</f>
        <v>#REF!</v>
      </c>
      <c r="N14" s="54" t="e">
        <f>'11工艺'!#REF!</f>
        <v>#REF!</v>
      </c>
      <c r="O14" s="49" t="e">
        <f>'11工艺'!#REF!</f>
        <v>#REF!</v>
      </c>
      <c r="P14" s="41" t="e">
        <f>'11工艺'!#REF!</f>
        <v>#REF!</v>
      </c>
      <c r="Q14" s="50" t="e">
        <f>'11工艺'!#REF!</f>
        <v>#REF!</v>
      </c>
      <c r="R14" s="53" t="e">
        <f>'11工艺'!#REF!</f>
        <v>#REF!</v>
      </c>
      <c r="S14" s="41" t="e">
        <f>'11工艺'!#REF!</f>
        <v>#REF!</v>
      </c>
      <c r="T14" s="41" t="e">
        <f>'11工艺'!#REF!</f>
        <v>#REF!</v>
      </c>
      <c r="U14" s="41"/>
      <c r="V14" s="41" t="e">
        <f>'11工艺'!#REF!</f>
        <v>#REF!</v>
      </c>
    </row>
    <row r="15" spans="1:22">
      <c r="A15" s="50" t="e">
        <f>'11工艺'!#REF!</f>
        <v>#REF!</v>
      </c>
      <c r="B15" s="51" t="e">
        <f>'11工艺'!#REF!</f>
        <v>#REF!</v>
      </c>
      <c r="C15" s="55" t="e">
        <f>'11工艺'!#REF!</f>
        <v>#REF!</v>
      </c>
      <c r="D15" s="51" t="e">
        <f>'11工艺'!#REF!</f>
        <v>#REF!</v>
      </c>
      <c r="E15" s="52" t="e">
        <f>'11工艺'!#REF!</f>
        <v>#REF!</v>
      </c>
      <c r="F15" s="41" t="e">
        <f>'11工艺'!#REF!</f>
        <v>#REF!</v>
      </c>
      <c r="G15" s="50" t="e">
        <f>'11工艺'!#REF!</f>
        <v>#REF!</v>
      </c>
      <c r="H15" s="53" t="e">
        <f>'11工艺'!#REF!</f>
        <v>#REF!</v>
      </c>
      <c r="I15" s="51" t="e">
        <f>'11工艺'!#REF!</f>
        <v>#REF!</v>
      </c>
      <c r="J15" s="55" t="e">
        <f>'11工艺'!#REF!</f>
        <v>#REF!</v>
      </c>
      <c r="K15" s="55" t="e">
        <f>'11工艺'!#REF!</f>
        <v>#REF!</v>
      </c>
      <c r="L15" s="44" t="e">
        <f>'11工艺'!#REF!</f>
        <v>#REF!</v>
      </c>
      <c r="M15" s="44" t="e">
        <f>'11工艺'!#REF!</f>
        <v>#REF!</v>
      </c>
      <c r="N15" s="54" t="e">
        <f>'11工艺'!#REF!</f>
        <v>#REF!</v>
      </c>
      <c r="O15" s="49" t="e">
        <f>'11工艺'!#REF!</f>
        <v>#REF!</v>
      </c>
      <c r="P15" s="41" t="e">
        <f>'11工艺'!#REF!</f>
        <v>#REF!</v>
      </c>
      <c r="Q15" s="50" t="e">
        <f>'11工艺'!#REF!</f>
        <v>#REF!</v>
      </c>
      <c r="R15" s="53" t="e">
        <f>'11工艺'!#REF!</f>
        <v>#REF!</v>
      </c>
      <c r="S15" s="51" t="e">
        <f>'11工艺'!#REF!</f>
        <v>#REF!</v>
      </c>
      <c r="T15" s="55" t="e">
        <f>'11工艺'!#REF!</f>
        <v>#REF!</v>
      </c>
      <c r="U15" s="55"/>
      <c r="V15" s="55" t="e">
        <f>'11工艺'!#REF!</f>
        <v>#REF!</v>
      </c>
    </row>
    <row r="16" spans="1:22">
      <c r="A16" s="50" t="e">
        <f>'11工艺'!#REF!</f>
        <v>#REF!</v>
      </c>
      <c r="B16" s="51" t="e">
        <f>'11工艺'!#REF!</f>
        <v>#REF!</v>
      </c>
      <c r="C16" s="55" t="e">
        <f>'11工艺'!#REF!</f>
        <v>#REF!</v>
      </c>
      <c r="D16" s="51" t="e">
        <f>'11工艺'!#REF!</f>
        <v>#REF!</v>
      </c>
      <c r="E16" s="52" t="e">
        <f>'11工艺'!#REF!</f>
        <v>#REF!</v>
      </c>
      <c r="F16" s="41" t="e">
        <f>'11工艺'!#REF!</f>
        <v>#REF!</v>
      </c>
      <c r="G16" s="50" t="e">
        <f>'11工艺'!#REF!</f>
        <v>#REF!</v>
      </c>
      <c r="H16" s="53" t="e">
        <f>'11工艺'!#REF!</f>
        <v>#REF!</v>
      </c>
      <c r="I16" s="51" t="e">
        <f>'11工艺'!#REF!</f>
        <v>#REF!</v>
      </c>
      <c r="J16" s="55" t="e">
        <f>'11工艺'!#REF!</f>
        <v>#REF!</v>
      </c>
      <c r="K16" s="55" t="e">
        <f>'11工艺'!#REF!</f>
        <v>#REF!</v>
      </c>
      <c r="L16" s="44" t="e">
        <f>'11工艺'!#REF!</f>
        <v>#REF!</v>
      </c>
      <c r="M16" s="44" t="e">
        <f>'11工艺'!#REF!</f>
        <v>#REF!</v>
      </c>
      <c r="N16" s="54" t="e">
        <f>'11工艺'!#REF!</f>
        <v>#REF!</v>
      </c>
      <c r="O16" s="49" t="e">
        <f>'11工艺'!#REF!</f>
        <v>#REF!</v>
      </c>
      <c r="P16" s="41" t="e">
        <f>'11工艺'!#REF!</f>
        <v>#REF!</v>
      </c>
      <c r="Q16" s="50" t="e">
        <f>'11工艺'!#REF!</f>
        <v>#REF!</v>
      </c>
      <c r="R16" s="53" t="e">
        <f>'11工艺'!#REF!</f>
        <v>#REF!</v>
      </c>
      <c r="S16" s="51" t="e">
        <f>'11工艺'!#REF!</f>
        <v>#REF!</v>
      </c>
      <c r="T16" s="55" t="e">
        <f>'11工艺'!#REF!</f>
        <v>#REF!</v>
      </c>
      <c r="U16" s="55"/>
      <c r="V16" s="55" t="e">
        <f>'11工艺'!#REF!</f>
        <v>#REF!</v>
      </c>
    </row>
    <row r="17" spans="1:22">
      <c r="A17" s="50" t="e">
        <f>'11工艺'!#REF!</f>
        <v>#REF!</v>
      </c>
      <c r="B17" s="51" t="e">
        <f>'11工艺'!#REF!</f>
        <v>#REF!</v>
      </c>
      <c r="C17" s="55" t="e">
        <f>'11工艺'!#REF!</f>
        <v>#REF!</v>
      </c>
      <c r="D17" s="51" t="e">
        <f>'11工艺'!#REF!</f>
        <v>#REF!</v>
      </c>
      <c r="E17" s="52" t="e">
        <f>'11工艺'!#REF!</f>
        <v>#REF!</v>
      </c>
      <c r="F17" s="41" t="e">
        <f>'11工艺'!#REF!</f>
        <v>#REF!</v>
      </c>
      <c r="G17" s="50" t="e">
        <f>'11工艺'!#REF!</f>
        <v>#REF!</v>
      </c>
      <c r="H17" s="53" t="e">
        <f>'11工艺'!#REF!</f>
        <v>#REF!</v>
      </c>
      <c r="I17" s="51" t="e">
        <f>'11工艺'!#REF!</f>
        <v>#REF!</v>
      </c>
      <c r="J17" s="55" t="e">
        <f>'11工艺'!#REF!</f>
        <v>#REF!</v>
      </c>
      <c r="K17" s="55" t="e">
        <f>'11工艺'!#REF!</f>
        <v>#REF!</v>
      </c>
      <c r="L17" s="44" t="e">
        <f>'11工艺'!#REF!</f>
        <v>#REF!</v>
      </c>
      <c r="M17" s="44" t="e">
        <f>'11工艺'!#REF!</f>
        <v>#REF!</v>
      </c>
      <c r="N17" s="54" t="e">
        <f>'11工艺'!#REF!</f>
        <v>#REF!</v>
      </c>
      <c r="O17" s="49" t="e">
        <f>'11工艺'!#REF!</f>
        <v>#REF!</v>
      </c>
      <c r="P17" s="41" t="e">
        <f>'11工艺'!#REF!</f>
        <v>#REF!</v>
      </c>
      <c r="Q17" s="50" t="e">
        <f>'11工艺'!#REF!</f>
        <v>#REF!</v>
      </c>
      <c r="R17" s="53" t="e">
        <f>'11工艺'!#REF!</f>
        <v>#REF!</v>
      </c>
      <c r="S17" s="51" t="e">
        <f>'11工艺'!#REF!</f>
        <v>#REF!</v>
      </c>
      <c r="T17" s="55" t="e">
        <f>'11工艺'!#REF!</f>
        <v>#REF!</v>
      </c>
      <c r="U17" s="55"/>
      <c r="V17" s="55" t="e">
        <f>'11工艺'!#REF!</f>
        <v>#REF!</v>
      </c>
    </row>
    <row r="18" spans="1:22">
      <c r="A18" s="50" t="e">
        <f>'11工艺'!#REF!</f>
        <v>#REF!</v>
      </c>
      <c r="B18" s="51" t="e">
        <f>'11工艺'!#REF!</f>
        <v>#REF!</v>
      </c>
      <c r="C18" s="55" t="e">
        <f>'11工艺'!#REF!</f>
        <v>#REF!</v>
      </c>
      <c r="D18" s="51" t="e">
        <f>'11工艺'!#REF!</f>
        <v>#REF!</v>
      </c>
      <c r="E18" s="52" t="e">
        <f>'11工艺'!#REF!</f>
        <v>#REF!</v>
      </c>
      <c r="F18" s="41" t="e">
        <f>'11工艺'!#REF!</f>
        <v>#REF!</v>
      </c>
      <c r="G18" s="50" t="e">
        <f>'11工艺'!#REF!</f>
        <v>#REF!</v>
      </c>
      <c r="H18" s="53" t="e">
        <f>'11工艺'!#REF!</f>
        <v>#REF!</v>
      </c>
      <c r="I18" s="51" t="e">
        <f>'11工艺'!#REF!</f>
        <v>#REF!</v>
      </c>
      <c r="J18" s="55" t="e">
        <f>'11工艺'!#REF!</f>
        <v>#REF!</v>
      </c>
      <c r="K18" s="55" t="e">
        <f>'11工艺'!#REF!</f>
        <v>#REF!</v>
      </c>
      <c r="L18" s="44" t="e">
        <f>'11工艺'!#REF!</f>
        <v>#REF!</v>
      </c>
      <c r="M18" s="44" t="e">
        <f>'11工艺'!#REF!</f>
        <v>#REF!</v>
      </c>
      <c r="N18" s="54" t="e">
        <f>'11工艺'!#REF!</f>
        <v>#REF!</v>
      </c>
      <c r="O18" s="49" t="e">
        <f>'11工艺'!#REF!</f>
        <v>#REF!</v>
      </c>
      <c r="P18" s="41" t="e">
        <f>'11工艺'!#REF!</f>
        <v>#REF!</v>
      </c>
      <c r="Q18" s="50" t="e">
        <f>'11工艺'!#REF!</f>
        <v>#REF!</v>
      </c>
      <c r="R18" s="53" t="e">
        <f>'11工艺'!#REF!</f>
        <v>#REF!</v>
      </c>
      <c r="S18" s="51" t="e">
        <f>'11工艺'!#REF!</f>
        <v>#REF!</v>
      </c>
      <c r="T18" s="55" t="e">
        <f>'11工艺'!#REF!</f>
        <v>#REF!</v>
      </c>
      <c r="U18" s="55"/>
      <c r="V18" s="55" t="e">
        <f>'11工艺'!#REF!</f>
        <v>#REF!</v>
      </c>
    </row>
    <row r="19" spans="1:22">
      <c r="A19" s="50" t="e">
        <f>'11工艺'!#REF!</f>
        <v>#REF!</v>
      </c>
      <c r="B19" s="51" t="e">
        <f>'11工艺'!#REF!</f>
        <v>#REF!</v>
      </c>
      <c r="C19" s="55" t="e">
        <f>'11工艺'!#REF!</f>
        <v>#REF!</v>
      </c>
      <c r="D19" s="51" t="e">
        <f>'11工艺'!#REF!</f>
        <v>#REF!</v>
      </c>
      <c r="E19" s="52" t="e">
        <f>'11工艺'!#REF!</f>
        <v>#REF!</v>
      </c>
      <c r="F19" s="41" t="e">
        <f>'11工艺'!#REF!</f>
        <v>#REF!</v>
      </c>
      <c r="G19" s="50" t="e">
        <f>'11工艺'!#REF!</f>
        <v>#REF!</v>
      </c>
      <c r="H19" s="53" t="e">
        <f>'11工艺'!#REF!</f>
        <v>#REF!</v>
      </c>
      <c r="I19" s="51" t="e">
        <f>'11工艺'!#REF!</f>
        <v>#REF!</v>
      </c>
      <c r="J19" s="55" t="e">
        <f>'11工艺'!#REF!</f>
        <v>#REF!</v>
      </c>
      <c r="K19" s="55" t="e">
        <f>'11工艺'!#REF!</f>
        <v>#REF!</v>
      </c>
      <c r="L19" s="44" t="e">
        <f>'11工艺'!#REF!</f>
        <v>#REF!</v>
      </c>
      <c r="M19" s="44" t="e">
        <f>'11工艺'!#REF!</f>
        <v>#REF!</v>
      </c>
      <c r="N19" s="54" t="e">
        <f>'11工艺'!#REF!</f>
        <v>#REF!</v>
      </c>
      <c r="O19" s="49" t="e">
        <f>'11工艺'!#REF!</f>
        <v>#REF!</v>
      </c>
      <c r="P19" s="41" t="e">
        <f>'11工艺'!#REF!</f>
        <v>#REF!</v>
      </c>
      <c r="Q19" s="50" t="e">
        <f>'11工艺'!#REF!</f>
        <v>#REF!</v>
      </c>
      <c r="R19" s="53" t="e">
        <f>'11工艺'!#REF!</f>
        <v>#REF!</v>
      </c>
      <c r="S19" s="51" t="e">
        <f>'11工艺'!#REF!</f>
        <v>#REF!</v>
      </c>
      <c r="T19" s="55" t="e">
        <f>'11工艺'!#REF!</f>
        <v>#REF!</v>
      </c>
      <c r="U19" s="55"/>
      <c r="V19" s="55" t="e">
        <f>'11工艺'!#REF!</f>
        <v>#REF!</v>
      </c>
    </row>
    <row r="20" spans="1:22">
      <c r="A20" s="50" t="e">
        <f>'11工艺'!#REF!</f>
        <v>#REF!</v>
      </c>
      <c r="B20" s="51" t="e">
        <f>'11工艺'!#REF!</f>
        <v>#REF!</v>
      </c>
      <c r="C20" s="55" t="e">
        <f>'11工艺'!#REF!</f>
        <v>#REF!</v>
      </c>
      <c r="D20" s="51" t="e">
        <f>'11工艺'!#REF!</f>
        <v>#REF!</v>
      </c>
      <c r="E20" s="52" t="e">
        <f>'11工艺'!#REF!</f>
        <v>#REF!</v>
      </c>
      <c r="F20" s="41" t="e">
        <f>'11工艺'!#REF!</f>
        <v>#REF!</v>
      </c>
      <c r="G20" s="50" t="e">
        <f>'11工艺'!#REF!</f>
        <v>#REF!</v>
      </c>
      <c r="H20" s="53" t="e">
        <f>'11工艺'!#REF!</f>
        <v>#REF!</v>
      </c>
      <c r="I20" s="51" t="e">
        <f>'11工艺'!#REF!</f>
        <v>#REF!</v>
      </c>
      <c r="J20" s="55" t="e">
        <f>'11工艺'!#REF!</f>
        <v>#REF!</v>
      </c>
      <c r="K20" s="55" t="e">
        <f>'11工艺'!#REF!</f>
        <v>#REF!</v>
      </c>
      <c r="L20" s="44" t="e">
        <f>'11工艺'!#REF!</f>
        <v>#REF!</v>
      </c>
      <c r="M20" s="44" t="e">
        <f>'11工艺'!#REF!</f>
        <v>#REF!</v>
      </c>
      <c r="N20" s="54" t="e">
        <f>'11工艺'!#REF!</f>
        <v>#REF!</v>
      </c>
      <c r="O20" s="49" t="e">
        <f>'11工艺'!#REF!</f>
        <v>#REF!</v>
      </c>
      <c r="P20" s="41" t="e">
        <f>'11工艺'!#REF!</f>
        <v>#REF!</v>
      </c>
      <c r="Q20" s="50" t="e">
        <f>'11工艺'!#REF!</f>
        <v>#REF!</v>
      </c>
      <c r="R20" s="53" t="e">
        <f>'11工艺'!#REF!</f>
        <v>#REF!</v>
      </c>
      <c r="S20" s="51" t="e">
        <f>'11工艺'!#REF!</f>
        <v>#REF!</v>
      </c>
      <c r="T20" s="55" t="e">
        <f>'11工艺'!#REF!</f>
        <v>#REF!</v>
      </c>
      <c r="U20" s="55"/>
      <c r="V20" s="55" t="e">
        <f>'11工艺'!#REF!</f>
        <v>#REF!</v>
      </c>
    </row>
    <row r="21" spans="1:22">
      <c r="A21" s="50" t="e">
        <f>'11工艺'!#REF!</f>
        <v>#REF!</v>
      </c>
      <c r="B21" s="51" t="e">
        <f>'11工艺'!#REF!</f>
        <v>#REF!</v>
      </c>
      <c r="C21" s="55" t="e">
        <f>'11工艺'!#REF!</f>
        <v>#REF!</v>
      </c>
      <c r="D21" s="51" t="e">
        <f>'11工艺'!#REF!</f>
        <v>#REF!</v>
      </c>
      <c r="E21" s="52" t="e">
        <f>'11工艺'!#REF!</f>
        <v>#REF!</v>
      </c>
      <c r="F21" s="41" t="e">
        <f>'11工艺'!#REF!</f>
        <v>#REF!</v>
      </c>
      <c r="G21" s="50" t="e">
        <f>'11工艺'!#REF!</f>
        <v>#REF!</v>
      </c>
      <c r="H21" s="53" t="e">
        <f>'11工艺'!#REF!</f>
        <v>#REF!</v>
      </c>
      <c r="I21" s="51" t="e">
        <f>'11工艺'!#REF!</f>
        <v>#REF!</v>
      </c>
      <c r="J21" s="55" t="e">
        <f>'11工艺'!#REF!</f>
        <v>#REF!</v>
      </c>
      <c r="K21" s="55" t="e">
        <f>'11工艺'!#REF!</f>
        <v>#REF!</v>
      </c>
      <c r="L21" s="44" t="e">
        <f>'11工艺'!#REF!</f>
        <v>#REF!</v>
      </c>
      <c r="M21" s="44" t="e">
        <f>'11工艺'!#REF!</f>
        <v>#REF!</v>
      </c>
      <c r="N21" s="54" t="e">
        <f>'11工艺'!#REF!</f>
        <v>#REF!</v>
      </c>
      <c r="O21" s="49" t="e">
        <f>'11工艺'!#REF!</f>
        <v>#REF!</v>
      </c>
      <c r="P21" s="41" t="e">
        <f>'11工艺'!#REF!</f>
        <v>#REF!</v>
      </c>
      <c r="Q21" s="50" t="e">
        <f>'11工艺'!#REF!</f>
        <v>#REF!</v>
      </c>
      <c r="R21" s="53" t="e">
        <f>'11工艺'!#REF!</f>
        <v>#REF!</v>
      </c>
      <c r="S21" s="51" t="e">
        <f>'11工艺'!#REF!</f>
        <v>#REF!</v>
      </c>
      <c r="T21" s="55" t="e">
        <f>'11工艺'!#REF!</f>
        <v>#REF!</v>
      </c>
      <c r="U21" s="55"/>
      <c r="V21" s="55" t="e">
        <f>'11工艺'!#REF!</f>
        <v>#REF!</v>
      </c>
    </row>
    <row r="22" spans="1:22">
      <c r="A22" s="50" t="e">
        <f>'11工艺'!#REF!</f>
        <v>#REF!</v>
      </c>
      <c r="B22" s="51" t="e">
        <f>'11工艺'!#REF!</f>
        <v>#REF!</v>
      </c>
      <c r="C22" s="55" t="e">
        <f>'11工艺'!#REF!</f>
        <v>#REF!</v>
      </c>
      <c r="D22" s="51" t="e">
        <f>'11工艺'!#REF!</f>
        <v>#REF!</v>
      </c>
      <c r="E22" s="52" t="e">
        <f>'11工艺'!#REF!</f>
        <v>#REF!</v>
      </c>
      <c r="F22" s="41" t="e">
        <f>'11工艺'!#REF!</f>
        <v>#REF!</v>
      </c>
      <c r="G22" s="50" t="e">
        <f>'11工艺'!#REF!</f>
        <v>#REF!</v>
      </c>
      <c r="H22" s="53" t="e">
        <f>'11工艺'!#REF!</f>
        <v>#REF!</v>
      </c>
      <c r="I22" s="51" t="e">
        <f>'11工艺'!#REF!</f>
        <v>#REF!</v>
      </c>
      <c r="J22" s="55" t="e">
        <f>'11工艺'!#REF!</f>
        <v>#REF!</v>
      </c>
      <c r="K22" s="55" t="e">
        <f>'11工艺'!#REF!</f>
        <v>#REF!</v>
      </c>
      <c r="L22" s="44" t="e">
        <f>'11工艺'!#REF!</f>
        <v>#REF!</v>
      </c>
      <c r="M22" s="44" t="e">
        <f>'11工艺'!#REF!</f>
        <v>#REF!</v>
      </c>
      <c r="N22" s="54" t="e">
        <f>'11工艺'!#REF!</f>
        <v>#REF!</v>
      </c>
      <c r="O22" s="49" t="e">
        <f>'11工艺'!#REF!</f>
        <v>#REF!</v>
      </c>
      <c r="P22" s="41" t="e">
        <f>'11工艺'!#REF!</f>
        <v>#REF!</v>
      </c>
      <c r="Q22" s="50" t="e">
        <f>'11工艺'!#REF!</f>
        <v>#REF!</v>
      </c>
      <c r="R22" s="53" t="e">
        <f>'11工艺'!#REF!</f>
        <v>#REF!</v>
      </c>
      <c r="S22" s="51" t="e">
        <f>'11工艺'!#REF!</f>
        <v>#REF!</v>
      </c>
      <c r="T22" s="55" t="e">
        <f>'11工艺'!#REF!</f>
        <v>#REF!</v>
      </c>
      <c r="U22" s="55"/>
      <c r="V22" s="55" t="e">
        <f>'11工艺'!#REF!</f>
        <v>#REF!</v>
      </c>
    </row>
    <row r="23" spans="1:22">
      <c r="A23" s="50" t="e">
        <f>'11工艺'!#REF!</f>
        <v>#REF!</v>
      </c>
      <c r="B23" s="51" t="e">
        <f>'11工艺'!#REF!</f>
        <v>#REF!</v>
      </c>
      <c r="C23" s="55" t="e">
        <f>'11工艺'!#REF!</f>
        <v>#REF!</v>
      </c>
      <c r="D23" s="51" t="e">
        <f>'11工艺'!#REF!</f>
        <v>#REF!</v>
      </c>
      <c r="E23" s="52" t="e">
        <f>'11工艺'!#REF!</f>
        <v>#REF!</v>
      </c>
      <c r="F23" s="41" t="e">
        <f>'11工艺'!#REF!</f>
        <v>#REF!</v>
      </c>
      <c r="G23" s="50" t="e">
        <f>'11工艺'!#REF!</f>
        <v>#REF!</v>
      </c>
      <c r="H23" s="53" t="e">
        <f>'11工艺'!#REF!</f>
        <v>#REF!</v>
      </c>
      <c r="I23" s="51" t="e">
        <f>'11工艺'!#REF!</f>
        <v>#REF!</v>
      </c>
      <c r="J23" s="55" t="e">
        <f>'11工艺'!#REF!</f>
        <v>#REF!</v>
      </c>
      <c r="K23" s="55" t="e">
        <f>'11工艺'!#REF!</f>
        <v>#REF!</v>
      </c>
      <c r="L23" s="44" t="e">
        <f>'11工艺'!#REF!</f>
        <v>#REF!</v>
      </c>
      <c r="M23" s="44" t="e">
        <f>'11工艺'!#REF!</f>
        <v>#REF!</v>
      </c>
      <c r="N23" s="54" t="e">
        <f>'11工艺'!#REF!</f>
        <v>#REF!</v>
      </c>
      <c r="O23" s="49" t="e">
        <f>'11工艺'!#REF!</f>
        <v>#REF!</v>
      </c>
      <c r="P23" s="41" t="e">
        <f>'11工艺'!#REF!</f>
        <v>#REF!</v>
      </c>
      <c r="Q23" s="50" t="e">
        <f>'11工艺'!#REF!</f>
        <v>#REF!</v>
      </c>
      <c r="R23" s="53" t="e">
        <f>'11工艺'!#REF!</f>
        <v>#REF!</v>
      </c>
      <c r="S23" s="51" t="e">
        <f>'11工艺'!#REF!</f>
        <v>#REF!</v>
      </c>
      <c r="T23" s="55" t="e">
        <f>'11工艺'!#REF!</f>
        <v>#REF!</v>
      </c>
      <c r="U23" s="55"/>
      <c r="V23" s="55" t="e">
        <f>'11工艺'!#REF!</f>
        <v>#REF!</v>
      </c>
    </row>
    <row r="24" spans="1:22">
      <c r="A24" s="50" t="e">
        <f>'11工艺'!#REF!</f>
        <v>#REF!</v>
      </c>
      <c r="B24" s="51" t="e">
        <f>'11工艺'!#REF!</f>
        <v>#REF!</v>
      </c>
      <c r="C24" s="55" t="e">
        <f>'11工艺'!#REF!</f>
        <v>#REF!</v>
      </c>
      <c r="D24" s="51" t="e">
        <f>'11工艺'!#REF!</f>
        <v>#REF!</v>
      </c>
      <c r="E24" s="52" t="e">
        <f>'11工艺'!#REF!</f>
        <v>#REF!</v>
      </c>
      <c r="F24" s="41" t="e">
        <f>'11工艺'!#REF!</f>
        <v>#REF!</v>
      </c>
      <c r="G24" s="50" t="e">
        <f>'11工艺'!#REF!</f>
        <v>#REF!</v>
      </c>
      <c r="H24" s="53" t="e">
        <f>'11工艺'!#REF!</f>
        <v>#REF!</v>
      </c>
      <c r="I24" s="51" t="e">
        <f>'11工艺'!#REF!</f>
        <v>#REF!</v>
      </c>
      <c r="J24" s="55" t="e">
        <f>'11工艺'!#REF!</f>
        <v>#REF!</v>
      </c>
      <c r="K24" s="55" t="e">
        <f>'11工艺'!#REF!</f>
        <v>#REF!</v>
      </c>
      <c r="L24" s="44" t="e">
        <f>'11工艺'!#REF!</f>
        <v>#REF!</v>
      </c>
      <c r="M24" s="44" t="e">
        <f>'11工艺'!#REF!</f>
        <v>#REF!</v>
      </c>
      <c r="N24" s="54" t="e">
        <f>'11工艺'!#REF!</f>
        <v>#REF!</v>
      </c>
      <c r="O24" s="49" t="e">
        <f>'11工艺'!#REF!</f>
        <v>#REF!</v>
      </c>
      <c r="P24" s="41" t="e">
        <f>'11工艺'!#REF!</f>
        <v>#REF!</v>
      </c>
      <c r="Q24" s="50" t="e">
        <f>'11工艺'!#REF!</f>
        <v>#REF!</v>
      </c>
      <c r="R24" s="53" t="e">
        <f>'11工艺'!#REF!</f>
        <v>#REF!</v>
      </c>
      <c r="S24" s="51" t="e">
        <f>'11工艺'!#REF!</f>
        <v>#REF!</v>
      </c>
      <c r="T24" s="55" t="e">
        <f>'11工艺'!#REF!</f>
        <v>#REF!</v>
      </c>
      <c r="U24" s="55"/>
      <c r="V24" s="55" t="e">
        <f>'11工艺'!#REF!</f>
        <v>#REF!</v>
      </c>
    </row>
    <row r="25" spans="1:22">
      <c r="A25" s="50" t="e">
        <f>'11工艺'!#REF!</f>
        <v>#REF!</v>
      </c>
      <c r="B25" s="51" t="e">
        <f>'11工艺'!#REF!</f>
        <v>#REF!</v>
      </c>
      <c r="C25" s="55" t="e">
        <f>'11工艺'!#REF!</f>
        <v>#REF!</v>
      </c>
      <c r="D25" s="51" t="e">
        <f>'11工艺'!#REF!</f>
        <v>#REF!</v>
      </c>
      <c r="E25" s="52" t="e">
        <f>'11工艺'!#REF!</f>
        <v>#REF!</v>
      </c>
      <c r="F25" s="55" t="e">
        <f>'11工艺'!#REF!</f>
        <v>#REF!</v>
      </c>
      <c r="G25" s="50" t="e">
        <f>'11工艺'!#REF!</f>
        <v>#REF!</v>
      </c>
      <c r="H25" s="53" t="e">
        <f>'11工艺'!#REF!</f>
        <v>#REF!</v>
      </c>
      <c r="I25" s="51" t="e">
        <f>'11工艺'!#REF!</f>
        <v>#REF!</v>
      </c>
      <c r="J25" s="55" t="e">
        <f>'11工艺'!#REF!</f>
        <v>#REF!</v>
      </c>
      <c r="K25" s="55" t="e">
        <f>'11工艺'!#REF!</f>
        <v>#REF!</v>
      </c>
      <c r="L25" s="44" t="e">
        <f>'11工艺'!#REF!</f>
        <v>#REF!</v>
      </c>
      <c r="M25" s="44" t="e">
        <f>'11工艺'!#REF!</f>
        <v>#REF!</v>
      </c>
      <c r="N25" s="54" t="e">
        <f>'11工艺'!#REF!</f>
        <v>#REF!</v>
      </c>
      <c r="O25" s="49" t="e">
        <f>'11工艺'!#REF!</f>
        <v>#REF!</v>
      </c>
      <c r="P25" s="55" t="e">
        <f>'11工艺'!#REF!</f>
        <v>#REF!</v>
      </c>
      <c r="Q25" s="50" t="e">
        <f>'11工艺'!#REF!</f>
        <v>#REF!</v>
      </c>
      <c r="R25" s="53" t="e">
        <f>'11工艺'!#REF!</f>
        <v>#REF!</v>
      </c>
      <c r="S25" s="51" t="e">
        <f>'11工艺'!#REF!</f>
        <v>#REF!</v>
      </c>
      <c r="T25" s="55" t="e">
        <f>'11工艺'!#REF!</f>
        <v>#REF!</v>
      </c>
      <c r="U25" s="55"/>
      <c r="V25" s="55" t="e">
        <f>'11工艺'!#REF!</f>
        <v>#REF!</v>
      </c>
    </row>
    <row r="26" spans="1:22">
      <c r="A26" s="50" t="e">
        <f>'11工艺'!#REF!</f>
        <v>#REF!</v>
      </c>
      <c r="B26" s="51" t="e">
        <f>'11工艺'!#REF!</f>
        <v>#REF!</v>
      </c>
      <c r="C26" s="55" t="e">
        <f>'11工艺'!#REF!</f>
        <v>#REF!</v>
      </c>
      <c r="D26" s="51" t="e">
        <f>'11工艺'!#REF!</f>
        <v>#REF!</v>
      </c>
      <c r="E26" s="52" t="e">
        <f>'11工艺'!#REF!</f>
        <v>#REF!</v>
      </c>
      <c r="F26" s="41" t="e">
        <f>'11工艺'!#REF!</f>
        <v>#REF!</v>
      </c>
      <c r="G26" s="50" t="e">
        <f>'11工艺'!#REF!</f>
        <v>#REF!</v>
      </c>
      <c r="H26" s="53" t="e">
        <f>'11工艺'!#REF!</f>
        <v>#REF!</v>
      </c>
      <c r="I26" s="51" t="e">
        <f>'11工艺'!#REF!</f>
        <v>#REF!</v>
      </c>
      <c r="J26" s="55" t="e">
        <f>'11工艺'!#REF!</f>
        <v>#REF!</v>
      </c>
      <c r="K26" s="55" t="e">
        <f>'11工艺'!#REF!</f>
        <v>#REF!</v>
      </c>
      <c r="L26" s="44" t="e">
        <f>'11工艺'!#REF!</f>
        <v>#REF!</v>
      </c>
      <c r="M26" s="44" t="e">
        <f>'11工艺'!#REF!</f>
        <v>#REF!</v>
      </c>
      <c r="N26" s="54" t="e">
        <f>'11工艺'!#REF!</f>
        <v>#REF!</v>
      </c>
      <c r="O26" s="49" t="e">
        <f>'11工艺'!#REF!</f>
        <v>#REF!</v>
      </c>
      <c r="P26" s="41" t="e">
        <f>'11工艺'!#REF!</f>
        <v>#REF!</v>
      </c>
      <c r="Q26" s="50" t="e">
        <f>'11工艺'!#REF!</f>
        <v>#REF!</v>
      </c>
      <c r="R26" s="53" t="e">
        <f>'11工艺'!#REF!</f>
        <v>#REF!</v>
      </c>
      <c r="S26" s="51" t="e">
        <f>'11工艺'!#REF!</f>
        <v>#REF!</v>
      </c>
      <c r="T26" s="55" t="e">
        <f>'11工艺'!#REF!</f>
        <v>#REF!</v>
      </c>
      <c r="U26" s="55"/>
      <c r="V26" s="55" t="e">
        <f>'11工艺'!#REF!</f>
        <v>#REF!</v>
      </c>
    </row>
    <row r="27" spans="1:22">
      <c r="A27" s="50" t="e">
        <f>'11工艺'!#REF!</f>
        <v>#REF!</v>
      </c>
      <c r="B27" s="51" t="e">
        <f>'11工艺'!#REF!</f>
        <v>#REF!</v>
      </c>
      <c r="C27" s="55" t="e">
        <f>'11工艺'!#REF!</f>
        <v>#REF!</v>
      </c>
      <c r="D27" s="51" t="e">
        <f>'11工艺'!#REF!</f>
        <v>#REF!</v>
      </c>
      <c r="E27" s="52" t="e">
        <f>'11工艺'!#REF!</f>
        <v>#REF!</v>
      </c>
      <c r="F27" s="41" t="e">
        <f>'11工艺'!#REF!</f>
        <v>#REF!</v>
      </c>
      <c r="G27" s="50" t="e">
        <f>'11工艺'!#REF!</f>
        <v>#REF!</v>
      </c>
      <c r="H27" s="53" t="e">
        <f>'11工艺'!#REF!</f>
        <v>#REF!</v>
      </c>
      <c r="I27" s="51" t="e">
        <f>'11工艺'!#REF!</f>
        <v>#REF!</v>
      </c>
      <c r="J27" s="55" t="e">
        <f>'11工艺'!#REF!</f>
        <v>#REF!</v>
      </c>
      <c r="K27" s="55" t="e">
        <f>'11工艺'!#REF!</f>
        <v>#REF!</v>
      </c>
      <c r="L27" s="44" t="e">
        <f>'11工艺'!#REF!</f>
        <v>#REF!</v>
      </c>
      <c r="M27" s="44" t="e">
        <f>'11工艺'!#REF!</f>
        <v>#REF!</v>
      </c>
      <c r="N27" s="54" t="e">
        <f>'11工艺'!#REF!</f>
        <v>#REF!</v>
      </c>
      <c r="O27" s="49" t="e">
        <f>'11工艺'!#REF!</f>
        <v>#REF!</v>
      </c>
      <c r="P27" s="41" t="e">
        <f>'11工艺'!#REF!</f>
        <v>#REF!</v>
      </c>
      <c r="Q27" s="50" t="e">
        <f>'11工艺'!#REF!</f>
        <v>#REF!</v>
      </c>
      <c r="R27" s="53" t="e">
        <f>'11工艺'!#REF!</f>
        <v>#REF!</v>
      </c>
      <c r="S27" s="51" t="e">
        <f>'11工艺'!#REF!</f>
        <v>#REF!</v>
      </c>
      <c r="T27" s="55" t="e">
        <f>'11工艺'!#REF!</f>
        <v>#REF!</v>
      </c>
      <c r="U27" s="55"/>
      <c r="V27" s="55" t="e">
        <f>'11工艺'!#REF!</f>
        <v>#REF!</v>
      </c>
    </row>
    <row r="28" spans="1:22">
      <c r="A28" s="50" t="e">
        <f>'11工艺'!#REF!</f>
        <v>#REF!</v>
      </c>
      <c r="B28" s="51" t="e">
        <f>'11工艺'!#REF!</f>
        <v>#REF!</v>
      </c>
      <c r="C28" s="55" t="e">
        <f>'11工艺'!#REF!</f>
        <v>#REF!</v>
      </c>
      <c r="D28" s="51" t="e">
        <f>'11工艺'!#REF!</f>
        <v>#REF!</v>
      </c>
      <c r="E28" s="52" t="e">
        <f>'11工艺'!#REF!</f>
        <v>#REF!</v>
      </c>
      <c r="F28" s="41" t="e">
        <f>'11工艺'!#REF!</f>
        <v>#REF!</v>
      </c>
      <c r="G28" s="50" t="e">
        <f>'11工艺'!#REF!</f>
        <v>#REF!</v>
      </c>
      <c r="H28" s="53" t="e">
        <f>'11工艺'!#REF!</f>
        <v>#REF!</v>
      </c>
      <c r="I28" s="51" t="e">
        <f>'11工艺'!#REF!</f>
        <v>#REF!</v>
      </c>
      <c r="J28" s="55" t="e">
        <f>'11工艺'!#REF!</f>
        <v>#REF!</v>
      </c>
      <c r="K28" s="55" t="e">
        <f>'11工艺'!#REF!</f>
        <v>#REF!</v>
      </c>
      <c r="L28" s="44" t="e">
        <f>'11工艺'!#REF!</f>
        <v>#REF!</v>
      </c>
      <c r="M28" s="44" t="e">
        <f>'11工艺'!#REF!</f>
        <v>#REF!</v>
      </c>
      <c r="N28" s="54" t="e">
        <f>'11工艺'!#REF!</f>
        <v>#REF!</v>
      </c>
      <c r="O28" s="49" t="e">
        <f>'11工艺'!#REF!</f>
        <v>#REF!</v>
      </c>
      <c r="P28" s="41" t="e">
        <f>'11工艺'!#REF!</f>
        <v>#REF!</v>
      </c>
      <c r="Q28" s="50" t="e">
        <f>'11工艺'!#REF!</f>
        <v>#REF!</v>
      </c>
      <c r="R28" s="53" t="e">
        <f>'11工艺'!#REF!</f>
        <v>#REF!</v>
      </c>
      <c r="S28" s="51" t="e">
        <f>'11工艺'!#REF!</f>
        <v>#REF!</v>
      </c>
      <c r="T28" s="55" t="e">
        <f>'11工艺'!#REF!</f>
        <v>#REF!</v>
      </c>
      <c r="U28" s="55"/>
      <c r="V28" s="55" t="e">
        <f>'11工艺'!#REF!</f>
        <v>#REF!</v>
      </c>
    </row>
    <row r="29" spans="1:22">
      <c r="A29" s="50" t="e">
        <f>'11工艺'!#REF!</f>
        <v>#REF!</v>
      </c>
      <c r="B29" s="51" t="e">
        <f>'11工艺'!#REF!</f>
        <v>#REF!</v>
      </c>
      <c r="C29" s="55" t="e">
        <f>'11工艺'!#REF!</f>
        <v>#REF!</v>
      </c>
      <c r="D29" s="51" t="e">
        <f>'11工艺'!#REF!</f>
        <v>#REF!</v>
      </c>
      <c r="E29" s="52" t="e">
        <f>'11工艺'!#REF!</f>
        <v>#REF!</v>
      </c>
      <c r="F29" s="41" t="e">
        <f>'11工艺'!#REF!</f>
        <v>#REF!</v>
      </c>
      <c r="G29" s="50" t="e">
        <f>'11工艺'!#REF!</f>
        <v>#REF!</v>
      </c>
      <c r="H29" s="53" t="e">
        <f>'11工艺'!#REF!</f>
        <v>#REF!</v>
      </c>
      <c r="I29" s="51" t="e">
        <f>'11工艺'!#REF!</f>
        <v>#REF!</v>
      </c>
      <c r="J29" s="55" t="e">
        <f>'11工艺'!#REF!</f>
        <v>#REF!</v>
      </c>
      <c r="K29" s="55" t="e">
        <f>'11工艺'!#REF!</f>
        <v>#REF!</v>
      </c>
      <c r="L29" s="44" t="e">
        <f>'11工艺'!#REF!</f>
        <v>#REF!</v>
      </c>
      <c r="M29" s="44" t="e">
        <f>'11工艺'!#REF!</f>
        <v>#REF!</v>
      </c>
      <c r="N29" s="54" t="e">
        <f>'11工艺'!#REF!</f>
        <v>#REF!</v>
      </c>
      <c r="O29" s="49" t="e">
        <f>'11工艺'!#REF!</f>
        <v>#REF!</v>
      </c>
      <c r="P29" s="41" t="e">
        <f>'11工艺'!#REF!</f>
        <v>#REF!</v>
      </c>
      <c r="Q29" s="50" t="e">
        <f>'11工艺'!#REF!</f>
        <v>#REF!</v>
      </c>
      <c r="R29" s="53" t="e">
        <f>'11工艺'!#REF!</f>
        <v>#REF!</v>
      </c>
      <c r="S29" s="51" t="e">
        <f>'11工艺'!#REF!</f>
        <v>#REF!</v>
      </c>
      <c r="T29" s="55" t="e">
        <f>'11工艺'!#REF!</f>
        <v>#REF!</v>
      </c>
      <c r="U29" s="55"/>
      <c r="V29" s="55" t="e">
        <f>'11工艺'!#REF!</f>
        <v>#REF!</v>
      </c>
    </row>
    <row r="30" spans="1:22">
      <c r="A30" s="50" t="e">
        <f>'11工艺'!#REF!</f>
        <v>#REF!</v>
      </c>
      <c r="B30" s="51" t="e">
        <f>'11工艺'!#REF!</f>
        <v>#REF!</v>
      </c>
      <c r="C30" s="55" t="e">
        <f>'11工艺'!#REF!</f>
        <v>#REF!</v>
      </c>
      <c r="D30" s="51" t="e">
        <f>'11工艺'!#REF!</f>
        <v>#REF!</v>
      </c>
      <c r="E30" s="52" t="e">
        <f>'11工艺'!#REF!</f>
        <v>#REF!</v>
      </c>
      <c r="F30" s="55" t="e">
        <f>'11工艺'!#REF!</f>
        <v>#REF!</v>
      </c>
      <c r="G30" s="50" t="e">
        <f>'11工艺'!#REF!</f>
        <v>#REF!</v>
      </c>
      <c r="H30" s="53" t="e">
        <f>'11工艺'!#REF!</f>
        <v>#REF!</v>
      </c>
      <c r="I30" s="51" t="e">
        <f>'11工艺'!#REF!</f>
        <v>#REF!</v>
      </c>
      <c r="J30" s="55" t="e">
        <f>'11工艺'!#REF!</f>
        <v>#REF!</v>
      </c>
      <c r="K30" s="55" t="e">
        <f>'11工艺'!#REF!</f>
        <v>#REF!</v>
      </c>
      <c r="L30" s="44" t="e">
        <f>'11工艺'!#REF!</f>
        <v>#REF!</v>
      </c>
      <c r="M30" s="44" t="e">
        <f>'11工艺'!#REF!</f>
        <v>#REF!</v>
      </c>
      <c r="N30" s="54" t="e">
        <f>'11工艺'!#REF!</f>
        <v>#REF!</v>
      </c>
      <c r="O30" s="49" t="e">
        <f>'11工艺'!#REF!</f>
        <v>#REF!</v>
      </c>
      <c r="P30" s="55" t="e">
        <f>'11工艺'!#REF!</f>
        <v>#REF!</v>
      </c>
      <c r="Q30" s="50" t="e">
        <f>'11工艺'!#REF!</f>
        <v>#REF!</v>
      </c>
      <c r="R30" s="53" t="e">
        <f>'11工艺'!#REF!</f>
        <v>#REF!</v>
      </c>
      <c r="S30" s="51" t="e">
        <f>'11工艺'!#REF!</f>
        <v>#REF!</v>
      </c>
      <c r="T30" s="55" t="e">
        <f>'11工艺'!#REF!</f>
        <v>#REF!</v>
      </c>
      <c r="U30" s="55"/>
      <c r="V30" s="55" t="e">
        <f>'11工艺'!#REF!</f>
        <v>#REF!</v>
      </c>
    </row>
    <row r="31" spans="1:22">
      <c r="A31" s="50" t="e">
        <f>'11工艺'!#REF!</f>
        <v>#REF!</v>
      </c>
      <c r="B31" s="51" t="e">
        <f>'11工艺'!#REF!</f>
        <v>#REF!</v>
      </c>
      <c r="C31" s="55" t="e">
        <f>'11工艺'!#REF!</f>
        <v>#REF!</v>
      </c>
      <c r="D31" s="51" t="e">
        <f>'11工艺'!#REF!</f>
        <v>#REF!</v>
      </c>
      <c r="E31" s="52" t="e">
        <f>'11工艺'!#REF!</f>
        <v>#REF!</v>
      </c>
      <c r="F31" s="41" t="e">
        <f>'11工艺'!#REF!</f>
        <v>#REF!</v>
      </c>
      <c r="G31" s="50" t="e">
        <f>'11工艺'!#REF!</f>
        <v>#REF!</v>
      </c>
      <c r="H31" s="53" t="e">
        <f>'11工艺'!#REF!</f>
        <v>#REF!</v>
      </c>
      <c r="I31" s="51" t="e">
        <f>'11工艺'!#REF!</f>
        <v>#REF!</v>
      </c>
      <c r="J31" s="55" t="e">
        <f>'11工艺'!#REF!</f>
        <v>#REF!</v>
      </c>
      <c r="K31" s="55" t="e">
        <f>'11工艺'!#REF!</f>
        <v>#REF!</v>
      </c>
      <c r="L31" s="44" t="e">
        <f>'11工艺'!#REF!</f>
        <v>#REF!</v>
      </c>
      <c r="M31" s="44" t="e">
        <f>'11工艺'!#REF!</f>
        <v>#REF!</v>
      </c>
      <c r="N31" s="54" t="e">
        <f>'11工艺'!#REF!</f>
        <v>#REF!</v>
      </c>
      <c r="O31" s="49" t="e">
        <f>'11工艺'!#REF!</f>
        <v>#REF!</v>
      </c>
      <c r="P31" s="41" t="e">
        <f>'11工艺'!#REF!</f>
        <v>#REF!</v>
      </c>
      <c r="Q31" s="50" t="e">
        <f>'11工艺'!#REF!</f>
        <v>#REF!</v>
      </c>
      <c r="R31" s="53" t="e">
        <f>'11工艺'!#REF!</f>
        <v>#REF!</v>
      </c>
      <c r="S31" s="51" t="e">
        <f>'11工艺'!#REF!</f>
        <v>#REF!</v>
      </c>
      <c r="T31" s="55" t="e">
        <f>'11工艺'!#REF!</f>
        <v>#REF!</v>
      </c>
      <c r="U31" s="55"/>
      <c r="V31" s="55" t="e">
        <f>'11工艺'!#REF!</f>
        <v>#REF!</v>
      </c>
    </row>
    <row r="32" spans="1:22">
      <c r="A32" s="50" t="e">
        <f>'11工艺'!#REF!</f>
        <v>#REF!</v>
      </c>
      <c r="B32" s="51" t="e">
        <f>'11工艺'!#REF!</f>
        <v>#REF!</v>
      </c>
      <c r="C32" s="55" t="e">
        <f>'11工艺'!#REF!</f>
        <v>#REF!</v>
      </c>
      <c r="D32" s="51" t="e">
        <f>'11工艺'!#REF!</f>
        <v>#REF!</v>
      </c>
      <c r="E32" s="52" t="e">
        <f>'11工艺'!#REF!</f>
        <v>#REF!</v>
      </c>
      <c r="F32" s="41" t="e">
        <f>'11工艺'!#REF!</f>
        <v>#REF!</v>
      </c>
      <c r="G32" s="50" t="e">
        <f>'11工艺'!#REF!</f>
        <v>#REF!</v>
      </c>
      <c r="H32" s="53" t="e">
        <f>'11工艺'!#REF!</f>
        <v>#REF!</v>
      </c>
      <c r="I32" s="51" t="e">
        <f>'11工艺'!#REF!</f>
        <v>#REF!</v>
      </c>
      <c r="J32" s="55" t="e">
        <f>'11工艺'!#REF!</f>
        <v>#REF!</v>
      </c>
      <c r="K32" s="55" t="e">
        <f>'11工艺'!#REF!</f>
        <v>#REF!</v>
      </c>
      <c r="L32" s="44" t="e">
        <f>'11工艺'!#REF!</f>
        <v>#REF!</v>
      </c>
      <c r="M32" s="44" t="e">
        <f>'11工艺'!#REF!</f>
        <v>#REF!</v>
      </c>
      <c r="N32" s="54" t="e">
        <f>'11工艺'!#REF!</f>
        <v>#REF!</v>
      </c>
      <c r="O32" s="49" t="e">
        <f>'11工艺'!#REF!</f>
        <v>#REF!</v>
      </c>
      <c r="P32" s="41" t="e">
        <f>'11工艺'!#REF!</f>
        <v>#REF!</v>
      </c>
      <c r="Q32" s="50" t="e">
        <f>'11工艺'!#REF!</f>
        <v>#REF!</v>
      </c>
      <c r="R32" s="53" t="e">
        <f>'11工艺'!#REF!</f>
        <v>#REF!</v>
      </c>
      <c r="S32" s="51" t="e">
        <f>'11工艺'!#REF!</f>
        <v>#REF!</v>
      </c>
      <c r="T32" s="55" t="e">
        <f>'11工艺'!#REF!</f>
        <v>#REF!</v>
      </c>
      <c r="U32" s="55"/>
      <c r="V32" s="55" t="e">
        <f>'11工艺'!#REF!</f>
        <v>#REF!</v>
      </c>
    </row>
    <row r="33" spans="1:22">
      <c r="A33" s="50" t="e">
        <f>'11工艺'!#REF!</f>
        <v>#REF!</v>
      </c>
      <c r="B33" s="51" t="e">
        <f>'11工艺'!#REF!</f>
        <v>#REF!</v>
      </c>
      <c r="C33" s="55" t="e">
        <f>'11工艺'!#REF!</f>
        <v>#REF!</v>
      </c>
      <c r="D33" s="51" t="e">
        <f>'11工艺'!#REF!</f>
        <v>#REF!</v>
      </c>
      <c r="E33" s="52" t="e">
        <f>'11工艺'!#REF!</f>
        <v>#REF!</v>
      </c>
      <c r="F33" s="41" t="e">
        <f>'11工艺'!#REF!</f>
        <v>#REF!</v>
      </c>
      <c r="G33" s="50" t="e">
        <f>'11工艺'!#REF!</f>
        <v>#REF!</v>
      </c>
      <c r="H33" s="53" t="e">
        <f>'11工艺'!#REF!</f>
        <v>#REF!</v>
      </c>
      <c r="I33" s="51" t="e">
        <f>'11工艺'!#REF!</f>
        <v>#REF!</v>
      </c>
      <c r="J33" s="55" t="e">
        <f>'11工艺'!#REF!</f>
        <v>#REF!</v>
      </c>
      <c r="K33" s="55" t="e">
        <f>'11工艺'!#REF!</f>
        <v>#REF!</v>
      </c>
      <c r="L33" s="44" t="e">
        <f>'11工艺'!#REF!</f>
        <v>#REF!</v>
      </c>
      <c r="M33" s="44" t="e">
        <f>'11工艺'!#REF!</f>
        <v>#REF!</v>
      </c>
      <c r="N33" s="54" t="e">
        <f>'11工艺'!#REF!</f>
        <v>#REF!</v>
      </c>
      <c r="O33" s="49" t="e">
        <f>'11工艺'!#REF!</f>
        <v>#REF!</v>
      </c>
      <c r="P33" s="41" t="e">
        <f>'11工艺'!#REF!</f>
        <v>#REF!</v>
      </c>
      <c r="Q33" s="50" t="e">
        <f>'11工艺'!#REF!</f>
        <v>#REF!</v>
      </c>
      <c r="R33" s="53" t="e">
        <f>'11工艺'!#REF!</f>
        <v>#REF!</v>
      </c>
      <c r="S33" s="51" t="e">
        <f>'11工艺'!#REF!</f>
        <v>#REF!</v>
      </c>
      <c r="T33" s="55" t="e">
        <f>'11工艺'!#REF!</f>
        <v>#REF!</v>
      </c>
      <c r="U33" s="55"/>
      <c r="V33" s="55" t="e">
        <f>'11工艺'!#REF!</f>
        <v>#REF!</v>
      </c>
    </row>
    <row r="34" spans="1:22">
      <c r="A34" s="50" t="e">
        <f>'11工艺'!#REF!</f>
        <v>#REF!</v>
      </c>
      <c r="B34" s="51" t="e">
        <f>'11工艺'!#REF!</f>
        <v>#REF!</v>
      </c>
      <c r="C34" s="55" t="e">
        <f>'11工艺'!#REF!</f>
        <v>#REF!</v>
      </c>
      <c r="D34" s="51" t="e">
        <f>'11工艺'!#REF!</f>
        <v>#REF!</v>
      </c>
      <c r="E34" s="52" t="e">
        <f>'11工艺'!#REF!</f>
        <v>#REF!</v>
      </c>
      <c r="F34" s="41" t="e">
        <f>'11工艺'!#REF!</f>
        <v>#REF!</v>
      </c>
      <c r="G34" s="50" t="e">
        <f>'11工艺'!#REF!</f>
        <v>#REF!</v>
      </c>
      <c r="H34" s="53" t="e">
        <f>'11工艺'!#REF!</f>
        <v>#REF!</v>
      </c>
      <c r="I34" s="51" t="e">
        <f>'11工艺'!#REF!</f>
        <v>#REF!</v>
      </c>
      <c r="J34" s="55" t="e">
        <f>'11工艺'!#REF!</f>
        <v>#REF!</v>
      </c>
      <c r="K34" s="55" t="e">
        <f>'11工艺'!#REF!</f>
        <v>#REF!</v>
      </c>
      <c r="L34" s="44" t="e">
        <f>'11工艺'!#REF!</f>
        <v>#REF!</v>
      </c>
      <c r="M34" s="44" t="e">
        <f>'11工艺'!#REF!</f>
        <v>#REF!</v>
      </c>
      <c r="N34" s="54" t="e">
        <f>'11工艺'!#REF!</f>
        <v>#REF!</v>
      </c>
      <c r="O34" s="49" t="e">
        <f>'11工艺'!#REF!</f>
        <v>#REF!</v>
      </c>
      <c r="P34" s="41" t="e">
        <f>'11工艺'!#REF!</f>
        <v>#REF!</v>
      </c>
      <c r="Q34" s="50" t="e">
        <f>'11工艺'!#REF!</f>
        <v>#REF!</v>
      </c>
      <c r="R34" s="53" t="e">
        <f>'11工艺'!#REF!</f>
        <v>#REF!</v>
      </c>
      <c r="S34" s="51" t="e">
        <f>'11工艺'!#REF!</f>
        <v>#REF!</v>
      </c>
      <c r="T34" s="55" t="e">
        <f>'11工艺'!#REF!</f>
        <v>#REF!</v>
      </c>
      <c r="U34" s="55"/>
      <c r="V34" s="55" t="e">
        <f>'11工艺'!#REF!</f>
        <v>#REF!</v>
      </c>
    </row>
    <row r="35" spans="1:22">
      <c r="A35" s="50" t="e">
        <f>'11工艺'!#REF!</f>
        <v>#REF!</v>
      </c>
      <c r="B35" s="51" t="e">
        <f>'11工艺'!#REF!</f>
        <v>#REF!</v>
      </c>
      <c r="C35" s="55" t="e">
        <f>'11工艺'!#REF!</f>
        <v>#REF!</v>
      </c>
      <c r="D35" s="51" t="e">
        <f>'11工艺'!#REF!</f>
        <v>#REF!</v>
      </c>
      <c r="E35" s="52" t="e">
        <f>'11工艺'!#REF!</f>
        <v>#REF!</v>
      </c>
      <c r="F35" s="41" t="e">
        <f>'11工艺'!#REF!</f>
        <v>#REF!</v>
      </c>
      <c r="G35" s="50" t="e">
        <f>'11工艺'!#REF!</f>
        <v>#REF!</v>
      </c>
      <c r="H35" s="53" t="e">
        <f>'11工艺'!#REF!</f>
        <v>#REF!</v>
      </c>
      <c r="I35" s="51" t="e">
        <f>'11工艺'!#REF!</f>
        <v>#REF!</v>
      </c>
      <c r="J35" s="55" t="e">
        <f>'11工艺'!#REF!</f>
        <v>#REF!</v>
      </c>
      <c r="K35" s="55" t="e">
        <f>'11工艺'!#REF!</f>
        <v>#REF!</v>
      </c>
      <c r="L35" s="44" t="e">
        <f>'11工艺'!#REF!</f>
        <v>#REF!</v>
      </c>
      <c r="M35" s="44" t="e">
        <f>'11工艺'!#REF!</f>
        <v>#REF!</v>
      </c>
      <c r="N35" s="54" t="e">
        <f>'11工艺'!#REF!</f>
        <v>#REF!</v>
      </c>
      <c r="O35" s="49" t="e">
        <f>'11工艺'!#REF!</f>
        <v>#REF!</v>
      </c>
      <c r="P35" s="41" t="e">
        <f>'11工艺'!#REF!</f>
        <v>#REF!</v>
      </c>
      <c r="Q35" s="50" t="e">
        <f>'11工艺'!#REF!</f>
        <v>#REF!</v>
      </c>
      <c r="R35" s="53" t="e">
        <f>'11工艺'!#REF!</f>
        <v>#REF!</v>
      </c>
      <c r="S35" s="51" t="e">
        <f>'11工艺'!#REF!</f>
        <v>#REF!</v>
      </c>
      <c r="T35" s="55" t="e">
        <f>'11工艺'!#REF!</f>
        <v>#REF!</v>
      </c>
      <c r="U35" s="55"/>
      <c r="V35" s="55" t="e">
        <f>'11工艺'!#REF!</f>
        <v>#REF!</v>
      </c>
    </row>
    <row r="36" spans="1:22">
      <c r="A36" s="50" t="e">
        <f>'11工艺'!#REF!</f>
        <v>#REF!</v>
      </c>
      <c r="B36" s="51" t="e">
        <f>'11工艺'!#REF!</f>
        <v>#REF!</v>
      </c>
      <c r="C36" s="55" t="e">
        <f>'11工艺'!#REF!</f>
        <v>#REF!</v>
      </c>
      <c r="D36" s="51" t="e">
        <f>'11工艺'!#REF!</f>
        <v>#REF!</v>
      </c>
      <c r="E36" s="52" t="e">
        <f>'11工艺'!#REF!</f>
        <v>#REF!</v>
      </c>
      <c r="F36" s="41" t="e">
        <f>'11工艺'!#REF!</f>
        <v>#REF!</v>
      </c>
      <c r="G36" s="50" t="e">
        <f>'11工艺'!#REF!</f>
        <v>#REF!</v>
      </c>
      <c r="H36" s="53" t="e">
        <f>'11工艺'!#REF!</f>
        <v>#REF!</v>
      </c>
      <c r="I36" s="51" t="e">
        <f>'11工艺'!#REF!</f>
        <v>#REF!</v>
      </c>
      <c r="J36" s="55" t="e">
        <f>'11工艺'!#REF!</f>
        <v>#REF!</v>
      </c>
      <c r="K36" s="55" t="e">
        <f>'11工艺'!#REF!</f>
        <v>#REF!</v>
      </c>
      <c r="L36" s="44" t="e">
        <f>'11工艺'!#REF!</f>
        <v>#REF!</v>
      </c>
      <c r="M36" s="44" t="e">
        <f>'11工艺'!#REF!</f>
        <v>#REF!</v>
      </c>
      <c r="N36" s="54" t="e">
        <f>'11工艺'!#REF!</f>
        <v>#REF!</v>
      </c>
      <c r="O36" s="49" t="e">
        <f>'11工艺'!#REF!</f>
        <v>#REF!</v>
      </c>
      <c r="P36" s="41" t="e">
        <f>'11工艺'!#REF!</f>
        <v>#REF!</v>
      </c>
      <c r="Q36" s="50" t="e">
        <f>'11工艺'!#REF!</f>
        <v>#REF!</v>
      </c>
      <c r="R36" s="53" t="e">
        <f>'11工艺'!#REF!</f>
        <v>#REF!</v>
      </c>
      <c r="S36" s="51" t="e">
        <f>'11工艺'!#REF!</f>
        <v>#REF!</v>
      </c>
      <c r="T36" s="55" t="e">
        <f>'11工艺'!#REF!</f>
        <v>#REF!</v>
      </c>
      <c r="U36" s="55"/>
      <c r="V36" s="55" t="e">
        <f>'11工艺'!#REF!</f>
        <v>#REF!</v>
      </c>
    </row>
    <row r="37" spans="1:22">
      <c r="A37" s="50" t="e">
        <f>'11工艺'!#REF!</f>
        <v>#REF!</v>
      </c>
      <c r="B37" s="51" t="e">
        <f>'11工艺'!#REF!</f>
        <v>#REF!</v>
      </c>
      <c r="C37" s="55" t="e">
        <f>'11工艺'!#REF!</f>
        <v>#REF!</v>
      </c>
      <c r="D37" s="51" t="e">
        <f>'11工艺'!#REF!</f>
        <v>#REF!</v>
      </c>
      <c r="E37" s="52" t="e">
        <f>'11工艺'!#REF!</f>
        <v>#REF!</v>
      </c>
      <c r="F37" s="41" t="e">
        <f>'11工艺'!#REF!</f>
        <v>#REF!</v>
      </c>
      <c r="G37" s="50" t="e">
        <f>'11工艺'!#REF!</f>
        <v>#REF!</v>
      </c>
      <c r="H37" s="53" t="e">
        <f>'11工艺'!#REF!</f>
        <v>#REF!</v>
      </c>
      <c r="I37" s="51" t="e">
        <f>'11工艺'!#REF!</f>
        <v>#REF!</v>
      </c>
      <c r="J37" s="55" t="e">
        <f>'11工艺'!#REF!</f>
        <v>#REF!</v>
      </c>
      <c r="K37" s="55" t="e">
        <f>'11工艺'!#REF!</f>
        <v>#REF!</v>
      </c>
      <c r="L37" s="44" t="e">
        <f>'11工艺'!#REF!</f>
        <v>#REF!</v>
      </c>
      <c r="M37" s="44" t="e">
        <f>'11工艺'!#REF!</f>
        <v>#REF!</v>
      </c>
      <c r="N37" s="54" t="e">
        <f>'11工艺'!#REF!</f>
        <v>#REF!</v>
      </c>
      <c r="O37" s="49" t="e">
        <f>'11工艺'!#REF!</f>
        <v>#REF!</v>
      </c>
      <c r="P37" s="41" t="e">
        <f>'11工艺'!#REF!</f>
        <v>#REF!</v>
      </c>
      <c r="Q37" s="50" t="e">
        <f>'11工艺'!#REF!</f>
        <v>#REF!</v>
      </c>
      <c r="R37" s="53" t="e">
        <f>'11工艺'!#REF!</f>
        <v>#REF!</v>
      </c>
      <c r="S37" s="51" t="e">
        <f>'11工艺'!#REF!</f>
        <v>#REF!</v>
      </c>
      <c r="T37" s="55" t="e">
        <f>'11工艺'!#REF!</f>
        <v>#REF!</v>
      </c>
      <c r="U37" s="55"/>
      <c r="V37" s="55" t="e">
        <f>'11工艺'!#REF!</f>
        <v>#REF!</v>
      </c>
    </row>
    <row r="38" spans="1:22">
      <c r="A38" s="50" t="e">
        <f>'11工艺'!#REF!</f>
        <v>#REF!</v>
      </c>
      <c r="B38" s="51" t="e">
        <f>'11工艺'!#REF!</f>
        <v>#REF!</v>
      </c>
      <c r="C38" s="55" t="e">
        <f>'11工艺'!#REF!</f>
        <v>#REF!</v>
      </c>
      <c r="D38" s="51" t="e">
        <f>'11工艺'!#REF!</f>
        <v>#REF!</v>
      </c>
      <c r="E38" s="52" t="e">
        <f>'11工艺'!#REF!</f>
        <v>#REF!</v>
      </c>
      <c r="F38" s="41" t="e">
        <f>'11工艺'!#REF!</f>
        <v>#REF!</v>
      </c>
      <c r="G38" s="50" t="e">
        <f>'11工艺'!#REF!</f>
        <v>#REF!</v>
      </c>
      <c r="H38" s="53" t="e">
        <f>'11工艺'!#REF!</f>
        <v>#REF!</v>
      </c>
      <c r="I38" s="51" t="e">
        <f>'11工艺'!#REF!</f>
        <v>#REF!</v>
      </c>
      <c r="J38" s="55" t="e">
        <f>'11工艺'!#REF!</f>
        <v>#REF!</v>
      </c>
      <c r="K38" s="55" t="e">
        <f>'11工艺'!#REF!</f>
        <v>#REF!</v>
      </c>
      <c r="L38" s="44" t="e">
        <f>'11工艺'!#REF!</f>
        <v>#REF!</v>
      </c>
      <c r="M38" s="44" t="e">
        <f>'11工艺'!#REF!</f>
        <v>#REF!</v>
      </c>
      <c r="N38" s="54" t="e">
        <f>'11工艺'!#REF!</f>
        <v>#REF!</v>
      </c>
      <c r="O38" s="49" t="e">
        <f>'11工艺'!#REF!</f>
        <v>#REF!</v>
      </c>
      <c r="P38" s="41" t="e">
        <f>'11工艺'!#REF!</f>
        <v>#REF!</v>
      </c>
      <c r="Q38" s="50" t="e">
        <f>'11工艺'!#REF!</f>
        <v>#REF!</v>
      </c>
      <c r="R38" s="53" t="e">
        <f>'11工艺'!#REF!</f>
        <v>#REF!</v>
      </c>
      <c r="S38" s="51" t="e">
        <f>'11工艺'!#REF!</f>
        <v>#REF!</v>
      </c>
      <c r="T38" s="55" t="e">
        <f>'11工艺'!#REF!</f>
        <v>#REF!</v>
      </c>
      <c r="U38" s="55"/>
      <c r="V38" s="55" t="e">
        <f>'11工艺'!#REF!</f>
        <v>#REF!</v>
      </c>
    </row>
    <row r="39" spans="1:22">
      <c r="A39" s="50" t="e">
        <f>'11工艺'!#REF!</f>
        <v>#REF!</v>
      </c>
      <c r="B39" s="51" t="e">
        <f>'11工艺'!#REF!</f>
        <v>#REF!</v>
      </c>
      <c r="C39" s="55" t="e">
        <f>'11工艺'!#REF!</f>
        <v>#REF!</v>
      </c>
      <c r="D39" s="51" t="e">
        <f>'11工艺'!#REF!</f>
        <v>#REF!</v>
      </c>
      <c r="E39" s="52" t="e">
        <f>'11工艺'!#REF!</f>
        <v>#REF!</v>
      </c>
      <c r="F39" s="41" t="e">
        <f>'11工艺'!#REF!</f>
        <v>#REF!</v>
      </c>
      <c r="G39" s="50" t="e">
        <f>'11工艺'!#REF!</f>
        <v>#REF!</v>
      </c>
      <c r="H39" s="53" t="e">
        <f>'11工艺'!#REF!</f>
        <v>#REF!</v>
      </c>
      <c r="I39" s="51" t="e">
        <f>'11工艺'!#REF!</f>
        <v>#REF!</v>
      </c>
      <c r="J39" s="55" t="e">
        <f>'11工艺'!#REF!</f>
        <v>#REF!</v>
      </c>
      <c r="K39" s="55" t="e">
        <f>'11工艺'!#REF!</f>
        <v>#REF!</v>
      </c>
      <c r="L39" s="44" t="e">
        <f>'11工艺'!#REF!</f>
        <v>#REF!</v>
      </c>
      <c r="M39" s="44" t="e">
        <f>'11工艺'!#REF!</f>
        <v>#REF!</v>
      </c>
      <c r="N39" s="54" t="e">
        <f>'11工艺'!#REF!</f>
        <v>#REF!</v>
      </c>
      <c r="O39" s="49" t="e">
        <f>'11工艺'!#REF!</f>
        <v>#REF!</v>
      </c>
      <c r="P39" s="41" t="e">
        <f>'11工艺'!#REF!</f>
        <v>#REF!</v>
      </c>
      <c r="Q39" s="50" t="e">
        <f>'11工艺'!#REF!</f>
        <v>#REF!</v>
      </c>
      <c r="R39" s="53" t="e">
        <f>'11工艺'!#REF!</f>
        <v>#REF!</v>
      </c>
      <c r="S39" s="51" t="e">
        <f>'11工艺'!#REF!</f>
        <v>#REF!</v>
      </c>
      <c r="T39" s="55" t="e">
        <f>'11工艺'!#REF!</f>
        <v>#REF!</v>
      </c>
      <c r="U39" s="55"/>
      <c r="V39" s="55" t="e">
        <f>'11工艺'!#REF!</f>
        <v>#REF!</v>
      </c>
    </row>
    <row r="40" spans="1:22">
      <c r="A40" s="50" t="e">
        <f>'11工艺'!#REF!</f>
        <v>#REF!</v>
      </c>
      <c r="B40" s="51" t="e">
        <f>'11工艺'!#REF!</f>
        <v>#REF!</v>
      </c>
      <c r="C40" s="55" t="e">
        <f>'11工艺'!#REF!</f>
        <v>#REF!</v>
      </c>
      <c r="D40" s="51" t="e">
        <f>'11工艺'!#REF!</f>
        <v>#REF!</v>
      </c>
      <c r="E40" s="52" t="e">
        <f>'11工艺'!#REF!</f>
        <v>#REF!</v>
      </c>
      <c r="F40" s="41" t="e">
        <f>'11工艺'!#REF!</f>
        <v>#REF!</v>
      </c>
      <c r="G40" s="50" t="e">
        <f>'11工艺'!#REF!</f>
        <v>#REF!</v>
      </c>
      <c r="H40" s="53" t="e">
        <f>'11工艺'!#REF!</f>
        <v>#REF!</v>
      </c>
      <c r="I40" s="51" t="e">
        <f>'11工艺'!#REF!</f>
        <v>#REF!</v>
      </c>
      <c r="J40" s="55" t="e">
        <f>'11工艺'!#REF!</f>
        <v>#REF!</v>
      </c>
      <c r="K40" s="55" t="e">
        <f>'11工艺'!#REF!</f>
        <v>#REF!</v>
      </c>
      <c r="L40" s="44" t="e">
        <f>'11工艺'!#REF!</f>
        <v>#REF!</v>
      </c>
      <c r="M40" s="44" t="e">
        <f>'11工艺'!#REF!</f>
        <v>#REF!</v>
      </c>
      <c r="N40" s="54" t="e">
        <f>'11工艺'!#REF!</f>
        <v>#REF!</v>
      </c>
      <c r="O40" s="49" t="e">
        <f>'11工艺'!#REF!</f>
        <v>#REF!</v>
      </c>
      <c r="P40" s="41" t="e">
        <f>'11工艺'!#REF!</f>
        <v>#REF!</v>
      </c>
      <c r="Q40" s="50" t="e">
        <f>'11工艺'!#REF!</f>
        <v>#REF!</v>
      </c>
      <c r="R40" s="53" t="e">
        <f>'11工艺'!#REF!</f>
        <v>#REF!</v>
      </c>
      <c r="S40" s="51" t="e">
        <f>'11工艺'!#REF!</f>
        <v>#REF!</v>
      </c>
      <c r="T40" s="55" t="e">
        <f>'11工艺'!#REF!</f>
        <v>#REF!</v>
      </c>
      <c r="U40" s="55"/>
      <c r="V40" s="55" t="e">
        <f>'11工艺'!#REF!</f>
        <v>#REF!</v>
      </c>
    </row>
    <row r="41" spans="1:22">
      <c r="A41" s="50" t="e">
        <f>'11工艺'!#REF!</f>
        <v>#REF!</v>
      </c>
      <c r="B41" s="51" t="e">
        <f>'11工艺'!#REF!</f>
        <v>#REF!</v>
      </c>
      <c r="C41" s="55" t="e">
        <f>'11工艺'!#REF!</f>
        <v>#REF!</v>
      </c>
      <c r="D41" s="51" t="e">
        <f>'11工艺'!#REF!</f>
        <v>#REF!</v>
      </c>
      <c r="E41" s="52" t="e">
        <f>'11工艺'!#REF!</f>
        <v>#REF!</v>
      </c>
      <c r="F41" s="41" t="e">
        <f>'11工艺'!#REF!</f>
        <v>#REF!</v>
      </c>
      <c r="G41" s="50" t="e">
        <f>'11工艺'!#REF!</f>
        <v>#REF!</v>
      </c>
      <c r="H41" s="53" t="e">
        <f>'11工艺'!#REF!</f>
        <v>#REF!</v>
      </c>
      <c r="I41" s="51" t="e">
        <f>'11工艺'!#REF!</f>
        <v>#REF!</v>
      </c>
      <c r="J41" s="55" t="e">
        <f>'11工艺'!#REF!</f>
        <v>#REF!</v>
      </c>
      <c r="K41" s="55" t="e">
        <f>'11工艺'!#REF!</f>
        <v>#REF!</v>
      </c>
      <c r="L41" s="44" t="e">
        <f>'11工艺'!#REF!</f>
        <v>#REF!</v>
      </c>
      <c r="M41" s="44" t="e">
        <f>'11工艺'!#REF!</f>
        <v>#REF!</v>
      </c>
      <c r="N41" s="54" t="e">
        <f>'11工艺'!#REF!</f>
        <v>#REF!</v>
      </c>
      <c r="O41" s="49" t="e">
        <f>'11工艺'!#REF!</f>
        <v>#REF!</v>
      </c>
      <c r="P41" s="41" t="e">
        <f>'11工艺'!#REF!</f>
        <v>#REF!</v>
      </c>
      <c r="Q41" s="50" t="e">
        <f>'11工艺'!#REF!</f>
        <v>#REF!</v>
      </c>
      <c r="R41" s="53" t="e">
        <f>'11工艺'!#REF!</f>
        <v>#REF!</v>
      </c>
      <c r="S41" s="51" t="e">
        <f>'11工艺'!#REF!</f>
        <v>#REF!</v>
      </c>
      <c r="T41" s="55" t="e">
        <f>'11工艺'!#REF!</f>
        <v>#REF!</v>
      </c>
      <c r="U41" s="55"/>
      <c r="V41" s="55" t="e">
        <f>'11工艺'!#REF!</f>
        <v>#REF!</v>
      </c>
    </row>
    <row r="42" spans="1:22">
      <c r="A42" s="50" t="e">
        <f>'11工艺'!#REF!</f>
        <v>#REF!</v>
      </c>
      <c r="B42" s="51" t="e">
        <f>'11工艺'!#REF!</f>
        <v>#REF!</v>
      </c>
      <c r="C42" s="55" t="e">
        <f>'11工艺'!#REF!</f>
        <v>#REF!</v>
      </c>
      <c r="D42" s="51" t="e">
        <f>'11工艺'!#REF!</f>
        <v>#REF!</v>
      </c>
      <c r="E42" s="52" t="e">
        <f>'11工艺'!#REF!</f>
        <v>#REF!</v>
      </c>
      <c r="F42" s="41" t="e">
        <f>'11工艺'!#REF!</f>
        <v>#REF!</v>
      </c>
      <c r="G42" s="50" t="e">
        <f>'11工艺'!#REF!</f>
        <v>#REF!</v>
      </c>
      <c r="H42" s="53" t="e">
        <f>'11工艺'!#REF!</f>
        <v>#REF!</v>
      </c>
      <c r="I42" s="51" t="e">
        <f>'11工艺'!#REF!</f>
        <v>#REF!</v>
      </c>
      <c r="J42" s="55" t="e">
        <f>'11工艺'!#REF!</f>
        <v>#REF!</v>
      </c>
      <c r="K42" s="55" t="e">
        <f>'11工艺'!#REF!</f>
        <v>#REF!</v>
      </c>
      <c r="L42" s="44" t="e">
        <f>'11工艺'!#REF!</f>
        <v>#REF!</v>
      </c>
      <c r="M42" s="44" t="e">
        <f>'11工艺'!#REF!</f>
        <v>#REF!</v>
      </c>
      <c r="N42" s="54" t="e">
        <f>'11工艺'!#REF!</f>
        <v>#REF!</v>
      </c>
      <c r="O42" s="49" t="e">
        <f>'11工艺'!#REF!</f>
        <v>#REF!</v>
      </c>
      <c r="P42" s="41" t="e">
        <f>'11工艺'!#REF!</f>
        <v>#REF!</v>
      </c>
      <c r="Q42" s="50" t="e">
        <f>'11工艺'!#REF!</f>
        <v>#REF!</v>
      </c>
      <c r="R42" s="53" t="e">
        <f>'11工艺'!#REF!</f>
        <v>#REF!</v>
      </c>
      <c r="S42" s="51" t="e">
        <f>'11工艺'!#REF!</f>
        <v>#REF!</v>
      </c>
      <c r="T42" s="55" t="e">
        <f>'11工艺'!#REF!</f>
        <v>#REF!</v>
      </c>
      <c r="U42" s="55"/>
      <c r="V42" s="55" t="e">
        <f>'11工艺'!#REF!</f>
        <v>#REF!</v>
      </c>
    </row>
    <row r="43" spans="1:22">
      <c r="A43" s="50" t="e">
        <f>'11工艺'!#REF!</f>
        <v>#REF!</v>
      </c>
      <c r="B43" s="51" t="e">
        <f>'11工艺'!#REF!</f>
        <v>#REF!</v>
      </c>
      <c r="C43" s="55" t="e">
        <f>'11工艺'!#REF!</f>
        <v>#REF!</v>
      </c>
      <c r="D43" s="51" t="e">
        <f>'11工艺'!#REF!</f>
        <v>#REF!</v>
      </c>
      <c r="E43" s="52" t="e">
        <f>'11工艺'!#REF!</f>
        <v>#REF!</v>
      </c>
      <c r="F43" s="41" t="e">
        <f>'11工艺'!#REF!</f>
        <v>#REF!</v>
      </c>
      <c r="G43" s="50" t="e">
        <f>'11工艺'!#REF!</f>
        <v>#REF!</v>
      </c>
      <c r="H43" s="53" t="e">
        <f>'11工艺'!#REF!</f>
        <v>#REF!</v>
      </c>
      <c r="I43" s="51" t="e">
        <f>'11工艺'!#REF!</f>
        <v>#REF!</v>
      </c>
      <c r="J43" s="55" t="e">
        <f>'11工艺'!#REF!</f>
        <v>#REF!</v>
      </c>
      <c r="K43" s="55" t="e">
        <f>'11工艺'!#REF!</f>
        <v>#REF!</v>
      </c>
      <c r="L43" s="44" t="e">
        <f>'11工艺'!#REF!</f>
        <v>#REF!</v>
      </c>
      <c r="M43" s="44" t="e">
        <f>'11工艺'!#REF!</f>
        <v>#REF!</v>
      </c>
      <c r="N43" s="54" t="e">
        <f>'11工艺'!#REF!</f>
        <v>#REF!</v>
      </c>
      <c r="O43" s="49" t="e">
        <f>'11工艺'!#REF!</f>
        <v>#REF!</v>
      </c>
      <c r="P43" s="41" t="e">
        <f>'11工艺'!#REF!</f>
        <v>#REF!</v>
      </c>
      <c r="Q43" s="50" t="e">
        <f>'11工艺'!#REF!</f>
        <v>#REF!</v>
      </c>
      <c r="R43" s="53" t="e">
        <f>'11工艺'!#REF!</f>
        <v>#REF!</v>
      </c>
      <c r="S43" s="51" t="e">
        <f>'11工艺'!#REF!</f>
        <v>#REF!</v>
      </c>
      <c r="T43" s="55" t="e">
        <f>'11工艺'!#REF!</f>
        <v>#REF!</v>
      </c>
      <c r="U43" s="55"/>
      <c r="V43" s="55" t="e">
        <f>'11工艺'!#REF!</f>
        <v>#REF!</v>
      </c>
    </row>
    <row r="44" spans="1:22">
      <c r="A44" s="50" t="e">
        <f>'11工艺'!#REF!</f>
        <v>#REF!</v>
      </c>
      <c r="B44" s="51" t="e">
        <f>'11工艺'!#REF!</f>
        <v>#REF!</v>
      </c>
      <c r="C44" s="55" t="e">
        <f>'11工艺'!#REF!</f>
        <v>#REF!</v>
      </c>
      <c r="D44" s="51" t="e">
        <f>'11工艺'!#REF!</f>
        <v>#REF!</v>
      </c>
      <c r="E44" s="52" t="e">
        <f>'11工艺'!#REF!</f>
        <v>#REF!</v>
      </c>
      <c r="F44" s="41" t="e">
        <f>'11工艺'!#REF!</f>
        <v>#REF!</v>
      </c>
      <c r="G44" s="50" t="e">
        <f>'11工艺'!#REF!</f>
        <v>#REF!</v>
      </c>
      <c r="H44" s="53" t="e">
        <f>'11工艺'!#REF!</f>
        <v>#REF!</v>
      </c>
      <c r="I44" s="51" t="e">
        <f>'11工艺'!#REF!</f>
        <v>#REF!</v>
      </c>
      <c r="J44" s="55" t="e">
        <f>'11工艺'!#REF!</f>
        <v>#REF!</v>
      </c>
      <c r="K44" s="55" t="e">
        <f>'11工艺'!#REF!</f>
        <v>#REF!</v>
      </c>
      <c r="L44" s="44" t="e">
        <f>'11工艺'!#REF!</f>
        <v>#REF!</v>
      </c>
      <c r="M44" s="44" t="e">
        <f>'11工艺'!#REF!</f>
        <v>#REF!</v>
      </c>
      <c r="N44" s="54" t="e">
        <f>'11工艺'!#REF!</f>
        <v>#REF!</v>
      </c>
      <c r="O44" s="49" t="e">
        <f>'11工艺'!#REF!</f>
        <v>#REF!</v>
      </c>
      <c r="P44" s="41" t="e">
        <f>'11工艺'!#REF!</f>
        <v>#REF!</v>
      </c>
      <c r="Q44" s="50" t="e">
        <f>'11工艺'!#REF!</f>
        <v>#REF!</v>
      </c>
      <c r="R44" s="53" t="e">
        <f>'11工艺'!#REF!</f>
        <v>#REF!</v>
      </c>
      <c r="S44" s="51" t="e">
        <f>'11工艺'!#REF!</f>
        <v>#REF!</v>
      </c>
      <c r="T44" s="55" t="e">
        <f>'11工艺'!#REF!</f>
        <v>#REF!</v>
      </c>
      <c r="U44" s="55"/>
      <c r="V44" s="55" t="e">
        <f>'11工艺'!#REF!</f>
        <v>#REF!</v>
      </c>
    </row>
    <row r="45" spans="1:22">
      <c r="A45" s="50" t="e">
        <f>'11工艺'!#REF!</f>
        <v>#REF!</v>
      </c>
      <c r="B45" s="51" t="e">
        <f>'11工艺'!#REF!</f>
        <v>#REF!</v>
      </c>
      <c r="C45" s="55" t="e">
        <f>'11工艺'!#REF!</f>
        <v>#REF!</v>
      </c>
      <c r="D45" s="51" t="e">
        <f>'11工艺'!#REF!</f>
        <v>#REF!</v>
      </c>
      <c r="E45" s="52" t="e">
        <f>'11工艺'!#REF!</f>
        <v>#REF!</v>
      </c>
      <c r="F45" s="41" t="e">
        <f>'11工艺'!#REF!</f>
        <v>#REF!</v>
      </c>
      <c r="G45" s="50" t="e">
        <f>'11工艺'!#REF!</f>
        <v>#REF!</v>
      </c>
      <c r="H45" s="53" t="e">
        <f>'11工艺'!#REF!</f>
        <v>#REF!</v>
      </c>
      <c r="I45" s="51" t="e">
        <f>'11工艺'!#REF!</f>
        <v>#REF!</v>
      </c>
      <c r="J45" s="55" t="e">
        <f>'11工艺'!#REF!</f>
        <v>#REF!</v>
      </c>
      <c r="K45" s="55" t="e">
        <f>'11工艺'!#REF!</f>
        <v>#REF!</v>
      </c>
      <c r="L45" s="44" t="e">
        <f>'11工艺'!#REF!</f>
        <v>#REF!</v>
      </c>
      <c r="M45" s="44" t="e">
        <f>'11工艺'!#REF!</f>
        <v>#REF!</v>
      </c>
      <c r="N45" s="54" t="e">
        <f>'11工艺'!#REF!</f>
        <v>#REF!</v>
      </c>
      <c r="O45" s="49" t="e">
        <f>'11工艺'!#REF!</f>
        <v>#REF!</v>
      </c>
      <c r="P45" s="41" t="e">
        <f>'11工艺'!#REF!</f>
        <v>#REF!</v>
      </c>
      <c r="Q45" s="50" t="e">
        <f>'11工艺'!#REF!</f>
        <v>#REF!</v>
      </c>
      <c r="R45" s="53" t="e">
        <f>'11工艺'!#REF!</f>
        <v>#REF!</v>
      </c>
      <c r="S45" s="51" t="e">
        <f>'11工艺'!#REF!</f>
        <v>#REF!</v>
      </c>
      <c r="T45" s="55" t="e">
        <f>'11工艺'!#REF!</f>
        <v>#REF!</v>
      </c>
      <c r="U45" s="55"/>
      <c r="V45" s="55" t="e">
        <f>'11工艺'!#REF!</f>
        <v>#REF!</v>
      </c>
    </row>
    <row r="46" spans="1:22">
      <c r="A46" s="50" t="e">
        <f>'11工艺'!#REF!</f>
        <v>#REF!</v>
      </c>
      <c r="B46" s="51" t="e">
        <f>'11工艺'!#REF!</f>
        <v>#REF!</v>
      </c>
      <c r="C46" s="55" t="e">
        <f>'11工艺'!#REF!</f>
        <v>#REF!</v>
      </c>
      <c r="D46" s="51" t="e">
        <f>'11工艺'!#REF!</f>
        <v>#REF!</v>
      </c>
      <c r="E46" s="52" t="e">
        <f>'11工艺'!#REF!</f>
        <v>#REF!</v>
      </c>
      <c r="F46" s="41" t="e">
        <f>'11工艺'!#REF!</f>
        <v>#REF!</v>
      </c>
      <c r="G46" s="50" t="e">
        <f>'11工艺'!#REF!</f>
        <v>#REF!</v>
      </c>
      <c r="H46" s="53" t="e">
        <f>'11工艺'!#REF!</f>
        <v>#REF!</v>
      </c>
      <c r="I46" s="51" t="e">
        <f>'11工艺'!#REF!</f>
        <v>#REF!</v>
      </c>
      <c r="J46" s="55" t="e">
        <f>'11工艺'!#REF!</f>
        <v>#REF!</v>
      </c>
      <c r="K46" s="55" t="e">
        <f>'11工艺'!#REF!</f>
        <v>#REF!</v>
      </c>
      <c r="L46" s="44" t="e">
        <f>'11工艺'!#REF!</f>
        <v>#REF!</v>
      </c>
      <c r="M46" s="44" t="e">
        <f>'11工艺'!#REF!</f>
        <v>#REF!</v>
      </c>
      <c r="N46" s="54" t="e">
        <f>'11工艺'!#REF!</f>
        <v>#REF!</v>
      </c>
      <c r="O46" s="49" t="e">
        <f>'11工艺'!#REF!</f>
        <v>#REF!</v>
      </c>
      <c r="P46" s="41" t="e">
        <f>'11工艺'!#REF!</f>
        <v>#REF!</v>
      </c>
      <c r="Q46" s="50" t="e">
        <f>'11工艺'!#REF!</f>
        <v>#REF!</v>
      </c>
      <c r="R46" s="53" t="e">
        <f>'11工艺'!#REF!</f>
        <v>#REF!</v>
      </c>
      <c r="S46" s="51" t="e">
        <f>'11工艺'!#REF!</f>
        <v>#REF!</v>
      </c>
      <c r="T46" s="55" t="e">
        <f>'11工艺'!#REF!</f>
        <v>#REF!</v>
      </c>
      <c r="U46" s="55"/>
      <c r="V46" s="55" t="e">
        <f>'11工艺'!#REF!</f>
        <v>#REF!</v>
      </c>
    </row>
    <row r="47" spans="1:22">
      <c r="A47" s="50" t="e">
        <f>'11工艺'!#REF!</f>
        <v>#REF!</v>
      </c>
      <c r="B47" s="51" t="e">
        <f>'11工艺'!#REF!</f>
        <v>#REF!</v>
      </c>
      <c r="C47" s="55" t="e">
        <f>'11工艺'!#REF!</f>
        <v>#REF!</v>
      </c>
      <c r="D47" s="51" t="e">
        <f>'11工艺'!#REF!</f>
        <v>#REF!</v>
      </c>
      <c r="E47" s="52" t="e">
        <f>'11工艺'!#REF!</f>
        <v>#REF!</v>
      </c>
      <c r="F47" s="41" t="e">
        <f>'11工艺'!#REF!</f>
        <v>#REF!</v>
      </c>
      <c r="G47" s="50" t="e">
        <f>'11工艺'!#REF!</f>
        <v>#REF!</v>
      </c>
      <c r="H47" s="53" t="e">
        <f>'11工艺'!#REF!</f>
        <v>#REF!</v>
      </c>
      <c r="I47" s="51" t="e">
        <f>'11工艺'!#REF!</f>
        <v>#REF!</v>
      </c>
      <c r="J47" s="55" t="e">
        <f>'11工艺'!#REF!</f>
        <v>#REF!</v>
      </c>
      <c r="K47" s="55" t="e">
        <f>'11工艺'!#REF!</f>
        <v>#REF!</v>
      </c>
      <c r="L47" s="44" t="e">
        <f>'11工艺'!#REF!</f>
        <v>#REF!</v>
      </c>
      <c r="M47" s="44" t="e">
        <f>'11工艺'!#REF!</f>
        <v>#REF!</v>
      </c>
      <c r="N47" s="54" t="e">
        <f>'11工艺'!#REF!</f>
        <v>#REF!</v>
      </c>
      <c r="O47" s="49" t="e">
        <f>'11工艺'!#REF!</f>
        <v>#REF!</v>
      </c>
      <c r="P47" s="41" t="e">
        <f>'11工艺'!#REF!</f>
        <v>#REF!</v>
      </c>
      <c r="Q47" s="50" t="e">
        <f>'11工艺'!#REF!</f>
        <v>#REF!</v>
      </c>
      <c r="R47" s="53" t="e">
        <f>'11工艺'!#REF!</f>
        <v>#REF!</v>
      </c>
      <c r="S47" s="51" t="e">
        <f>'11工艺'!#REF!</f>
        <v>#REF!</v>
      </c>
      <c r="T47" s="55" t="e">
        <f>'11工艺'!#REF!</f>
        <v>#REF!</v>
      </c>
      <c r="U47" s="55"/>
      <c r="V47" s="55" t="e">
        <f>'11工艺'!#REF!</f>
        <v>#REF!</v>
      </c>
    </row>
    <row r="48" spans="1:22">
      <c r="A48" s="50" t="e">
        <f>'11工艺'!#REF!</f>
        <v>#REF!</v>
      </c>
      <c r="B48" s="51" t="e">
        <f>'11工艺'!#REF!</f>
        <v>#REF!</v>
      </c>
      <c r="C48" s="55" t="e">
        <f>'11工艺'!#REF!</f>
        <v>#REF!</v>
      </c>
      <c r="D48" s="51" t="e">
        <f>'11工艺'!#REF!</f>
        <v>#REF!</v>
      </c>
      <c r="E48" s="52" t="e">
        <f>'11工艺'!#REF!</f>
        <v>#REF!</v>
      </c>
      <c r="F48" s="41" t="e">
        <f>'11工艺'!#REF!</f>
        <v>#REF!</v>
      </c>
      <c r="G48" s="50" t="e">
        <f>'11工艺'!#REF!</f>
        <v>#REF!</v>
      </c>
      <c r="H48" s="53" t="e">
        <f>'11工艺'!#REF!</f>
        <v>#REF!</v>
      </c>
      <c r="I48" s="51" t="e">
        <f>'11工艺'!#REF!</f>
        <v>#REF!</v>
      </c>
      <c r="J48" s="55" t="e">
        <f>'11工艺'!#REF!</f>
        <v>#REF!</v>
      </c>
      <c r="K48" s="55" t="e">
        <f>'11工艺'!#REF!</f>
        <v>#REF!</v>
      </c>
      <c r="L48" s="44" t="e">
        <f>'11工艺'!#REF!</f>
        <v>#REF!</v>
      </c>
      <c r="M48" s="44" t="e">
        <f>'11工艺'!#REF!</f>
        <v>#REF!</v>
      </c>
      <c r="N48" s="54" t="e">
        <f>'11工艺'!#REF!</f>
        <v>#REF!</v>
      </c>
      <c r="O48" s="49" t="e">
        <f>'11工艺'!#REF!</f>
        <v>#REF!</v>
      </c>
      <c r="P48" s="41" t="e">
        <f>'11工艺'!#REF!</f>
        <v>#REF!</v>
      </c>
      <c r="Q48" s="50" t="e">
        <f>'11工艺'!#REF!</f>
        <v>#REF!</v>
      </c>
      <c r="R48" s="53" t="e">
        <f>'11工艺'!#REF!</f>
        <v>#REF!</v>
      </c>
      <c r="S48" s="51" t="e">
        <f>'11工艺'!#REF!</f>
        <v>#REF!</v>
      </c>
      <c r="T48" s="55" t="e">
        <f>'11工艺'!#REF!</f>
        <v>#REF!</v>
      </c>
      <c r="U48" s="55"/>
      <c r="V48" s="55" t="e">
        <f>'11工艺'!#REF!</f>
        <v>#REF!</v>
      </c>
    </row>
    <row r="49" spans="1:22">
      <c r="A49" s="50" t="e">
        <f>'11工艺'!#REF!</f>
        <v>#REF!</v>
      </c>
      <c r="B49" s="51" t="e">
        <f>'11工艺'!#REF!</f>
        <v>#REF!</v>
      </c>
      <c r="C49" s="55" t="e">
        <f>'11工艺'!#REF!</f>
        <v>#REF!</v>
      </c>
      <c r="D49" s="51" t="e">
        <f>'11工艺'!#REF!</f>
        <v>#REF!</v>
      </c>
      <c r="E49" s="52" t="e">
        <f>'11工艺'!#REF!</f>
        <v>#REF!</v>
      </c>
      <c r="F49" s="41" t="e">
        <f>'11工艺'!#REF!</f>
        <v>#REF!</v>
      </c>
      <c r="G49" s="50" t="e">
        <f>'11工艺'!#REF!</f>
        <v>#REF!</v>
      </c>
      <c r="H49" s="53" t="e">
        <f>'11工艺'!#REF!</f>
        <v>#REF!</v>
      </c>
      <c r="I49" s="51" t="e">
        <f>'11工艺'!#REF!</f>
        <v>#REF!</v>
      </c>
      <c r="J49" s="55" t="e">
        <f>'11工艺'!#REF!</f>
        <v>#REF!</v>
      </c>
      <c r="K49" s="55" t="e">
        <f>'11工艺'!#REF!</f>
        <v>#REF!</v>
      </c>
      <c r="L49" s="44" t="e">
        <f>'11工艺'!#REF!</f>
        <v>#REF!</v>
      </c>
      <c r="M49" s="44" t="e">
        <f>'11工艺'!#REF!</f>
        <v>#REF!</v>
      </c>
      <c r="N49" s="54" t="e">
        <f>'11工艺'!#REF!</f>
        <v>#REF!</v>
      </c>
      <c r="O49" s="49" t="e">
        <f>'11工艺'!#REF!</f>
        <v>#REF!</v>
      </c>
      <c r="P49" s="41" t="e">
        <f>'11工艺'!#REF!</f>
        <v>#REF!</v>
      </c>
      <c r="Q49" s="50" t="e">
        <f>'11工艺'!#REF!</f>
        <v>#REF!</v>
      </c>
      <c r="R49" s="53" t="e">
        <f>'11工艺'!#REF!</f>
        <v>#REF!</v>
      </c>
      <c r="S49" s="51" t="e">
        <f>'11工艺'!#REF!</f>
        <v>#REF!</v>
      </c>
      <c r="T49" s="55" t="e">
        <f>'11工艺'!#REF!</f>
        <v>#REF!</v>
      </c>
      <c r="U49" s="55"/>
      <c r="V49" s="55" t="e">
        <f>'11工艺'!#REF!</f>
        <v>#REF!</v>
      </c>
    </row>
    <row r="50" spans="1:22">
      <c r="A50" s="50" t="e">
        <f>'11工艺'!#REF!</f>
        <v>#REF!</v>
      </c>
      <c r="B50" s="51" t="e">
        <f>'11工艺'!#REF!</f>
        <v>#REF!</v>
      </c>
      <c r="C50" s="55" t="e">
        <f>'11工艺'!#REF!</f>
        <v>#REF!</v>
      </c>
      <c r="D50" s="51" t="e">
        <f>'11工艺'!#REF!</f>
        <v>#REF!</v>
      </c>
      <c r="E50" s="52" t="e">
        <f>'11工艺'!#REF!</f>
        <v>#REF!</v>
      </c>
      <c r="F50" s="41" t="e">
        <f>'11工艺'!#REF!</f>
        <v>#REF!</v>
      </c>
      <c r="G50" s="50" t="e">
        <f>'11工艺'!#REF!</f>
        <v>#REF!</v>
      </c>
      <c r="H50" s="53" t="e">
        <f>'11工艺'!#REF!</f>
        <v>#REF!</v>
      </c>
      <c r="I50" s="51" t="e">
        <f>'11工艺'!#REF!</f>
        <v>#REF!</v>
      </c>
      <c r="J50" s="55" t="e">
        <f>'11工艺'!#REF!</f>
        <v>#REF!</v>
      </c>
      <c r="K50" s="55" t="e">
        <f>'11工艺'!#REF!</f>
        <v>#REF!</v>
      </c>
      <c r="L50" s="44" t="e">
        <f>'11工艺'!#REF!</f>
        <v>#REF!</v>
      </c>
      <c r="M50" s="44" t="e">
        <f>'11工艺'!#REF!</f>
        <v>#REF!</v>
      </c>
      <c r="N50" s="54" t="e">
        <f>'11工艺'!#REF!</f>
        <v>#REF!</v>
      </c>
      <c r="O50" s="49" t="e">
        <f>'11工艺'!#REF!</f>
        <v>#REF!</v>
      </c>
      <c r="P50" s="41" t="e">
        <f>'11工艺'!#REF!</f>
        <v>#REF!</v>
      </c>
      <c r="Q50" s="50" t="e">
        <f>'11工艺'!#REF!</f>
        <v>#REF!</v>
      </c>
      <c r="R50" s="53" t="e">
        <f>'11工艺'!#REF!</f>
        <v>#REF!</v>
      </c>
      <c r="S50" s="51" t="e">
        <f>'11工艺'!#REF!</f>
        <v>#REF!</v>
      </c>
      <c r="T50" s="55" t="e">
        <f>'11工艺'!#REF!</f>
        <v>#REF!</v>
      </c>
      <c r="U50" s="55"/>
      <c r="V50" s="55" t="e">
        <f>'11工艺'!#REF!</f>
        <v>#REF!</v>
      </c>
    </row>
    <row r="51" spans="1:22">
      <c r="A51" s="50" t="e">
        <f>'11工艺'!#REF!</f>
        <v>#REF!</v>
      </c>
      <c r="B51" s="51" t="e">
        <f>'11工艺'!#REF!</f>
        <v>#REF!</v>
      </c>
      <c r="C51" s="55" t="e">
        <f>'11工艺'!#REF!</f>
        <v>#REF!</v>
      </c>
      <c r="D51" s="51" t="e">
        <f>'11工艺'!#REF!</f>
        <v>#REF!</v>
      </c>
      <c r="E51" s="52" t="e">
        <f>'11工艺'!#REF!</f>
        <v>#REF!</v>
      </c>
      <c r="F51" s="41" t="e">
        <f>'11工艺'!#REF!</f>
        <v>#REF!</v>
      </c>
      <c r="G51" s="50" t="e">
        <f>'11工艺'!#REF!</f>
        <v>#REF!</v>
      </c>
      <c r="H51" s="53" t="e">
        <f>'11工艺'!#REF!</f>
        <v>#REF!</v>
      </c>
      <c r="I51" s="51" t="e">
        <f>'11工艺'!#REF!</f>
        <v>#REF!</v>
      </c>
      <c r="J51" s="55" t="e">
        <f>'11工艺'!#REF!</f>
        <v>#REF!</v>
      </c>
      <c r="K51" s="55" t="e">
        <f>'11工艺'!#REF!</f>
        <v>#REF!</v>
      </c>
      <c r="L51" s="44" t="e">
        <f>'11工艺'!#REF!</f>
        <v>#REF!</v>
      </c>
      <c r="M51" s="44" t="e">
        <f>'11工艺'!#REF!</f>
        <v>#REF!</v>
      </c>
      <c r="N51" s="54" t="e">
        <f>'11工艺'!#REF!</f>
        <v>#REF!</v>
      </c>
      <c r="O51" s="49" t="e">
        <f>'11工艺'!#REF!</f>
        <v>#REF!</v>
      </c>
      <c r="P51" s="41" t="e">
        <f>'11工艺'!#REF!</f>
        <v>#REF!</v>
      </c>
      <c r="Q51" s="50" t="e">
        <f>'11工艺'!#REF!</f>
        <v>#REF!</v>
      </c>
      <c r="R51" s="53" t="e">
        <f>'11工艺'!#REF!</f>
        <v>#REF!</v>
      </c>
      <c r="S51" s="51" t="e">
        <f>'11工艺'!#REF!</f>
        <v>#REF!</v>
      </c>
      <c r="T51" s="55" t="e">
        <f>'11工艺'!#REF!</f>
        <v>#REF!</v>
      </c>
      <c r="U51" s="55"/>
      <c r="V51" s="55" t="e">
        <f>'11工艺'!#REF!</f>
        <v>#REF!</v>
      </c>
    </row>
    <row r="52" spans="1:22">
      <c r="A52" s="50" t="e">
        <f>'11工艺'!#REF!</f>
        <v>#REF!</v>
      </c>
      <c r="B52" s="51" t="e">
        <f>'11工艺'!#REF!</f>
        <v>#REF!</v>
      </c>
      <c r="C52" s="55" t="e">
        <f>'11工艺'!#REF!</f>
        <v>#REF!</v>
      </c>
      <c r="D52" s="51" t="e">
        <f>'11工艺'!#REF!</f>
        <v>#REF!</v>
      </c>
      <c r="E52" s="52" t="e">
        <f>'11工艺'!#REF!</f>
        <v>#REF!</v>
      </c>
      <c r="F52" s="41" t="e">
        <f>'11工艺'!#REF!</f>
        <v>#REF!</v>
      </c>
      <c r="G52" s="50" t="e">
        <f>'11工艺'!#REF!</f>
        <v>#REF!</v>
      </c>
      <c r="H52" s="53" t="e">
        <f>'11工艺'!#REF!</f>
        <v>#REF!</v>
      </c>
      <c r="I52" s="51" t="e">
        <f>'11工艺'!#REF!</f>
        <v>#REF!</v>
      </c>
      <c r="J52" s="55" t="e">
        <f>'11工艺'!#REF!</f>
        <v>#REF!</v>
      </c>
      <c r="K52" s="55" t="e">
        <f>'11工艺'!#REF!</f>
        <v>#REF!</v>
      </c>
      <c r="L52" s="44" t="e">
        <f>'11工艺'!#REF!</f>
        <v>#REF!</v>
      </c>
      <c r="M52" s="44" t="e">
        <f>'11工艺'!#REF!</f>
        <v>#REF!</v>
      </c>
      <c r="N52" s="54" t="e">
        <f>'11工艺'!#REF!</f>
        <v>#REF!</v>
      </c>
      <c r="O52" s="49" t="e">
        <f>'11工艺'!#REF!</f>
        <v>#REF!</v>
      </c>
      <c r="P52" s="41" t="e">
        <f>'11工艺'!#REF!</f>
        <v>#REF!</v>
      </c>
      <c r="Q52" s="50" t="e">
        <f>'11工艺'!#REF!</f>
        <v>#REF!</v>
      </c>
      <c r="R52" s="53" t="e">
        <f>'11工艺'!#REF!</f>
        <v>#REF!</v>
      </c>
      <c r="S52" s="51" t="e">
        <f>'11工艺'!#REF!</f>
        <v>#REF!</v>
      </c>
      <c r="T52" s="55" t="e">
        <f>'11工艺'!#REF!</f>
        <v>#REF!</v>
      </c>
      <c r="U52" s="55"/>
      <c r="V52" s="55" t="e">
        <f>'11工艺'!#REF!</f>
        <v>#REF!</v>
      </c>
    </row>
    <row r="53" spans="1:22">
      <c r="A53" s="50" t="e">
        <f>'11工艺'!#REF!</f>
        <v>#REF!</v>
      </c>
      <c r="B53" s="51" t="e">
        <f>'11工艺'!#REF!</f>
        <v>#REF!</v>
      </c>
      <c r="C53" s="55" t="e">
        <f>'11工艺'!#REF!</f>
        <v>#REF!</v>
      </c>
      <c r="D53" s="51" t="e">
        <f>'11工艺'!#REF!</f>
        <v>#REF!</v>
      </c>
      <c r="E53" s="52" t="e">
        <f>'11工艺'!#REF!</f>
        <v>#REF!</v>
      </c>
      <c r="F53" s="41" t="e">
        <f>'11工艺'!#REF!</f>
        <v>#REF!</v>
      </c>
      <c r="G53" s="50" t="e">
        <f>'11工艺'!#REF!</f>
        <v>#REF!</v>
      </c>
      <c r="H53" s="53" t="e">
        <f>'11工艺'!#REF!</f>
        <v>#REF!</v>
      </c>
      <c r="I53" s="51" t="e">
        <f>'11工艺'!#REF!</f>
        <v>#REF!</v>
      </c>
      <c r="J53" s="55" t="e">
        <f>'11工艺'!#REF!</f>
        <v>#REF!</v>
      </c>
      <c r="K53" s="55" t="e">
        <f>'11工艺'!#REF!</f>
        <v>#REF!</v>
      </c>
      <c r="L53" s="44" t="e">
        <f>'11工艺'!#REF!</f>
        <v>#REF!</v>
      </c>
      <c r="M53" s="44" t="e">
        <f>'11工艺'!#REF!</f>
        <v>#REF!</v>
      </c>
      <c r="N53" s="54" t="e">
        <f>'11工艺'!#REF!</f>
        <v>#REF!</v>
      </c>
      <c r="O53" s="49" t="e">
        <f>'11工艺'!#REF!</f>
        <v>#REF!</v>
      </c>
      <c r="P53" s="41" t="e">
        <f>'11工艺'!#REF!</f>
        <v>#REF!</v>
      </c>
      <c r="Q53" s="50" t="e">
        <f>'11工艺'!#REF!</f>
        <v>#REF!</v>
      </c>
      <c r="R53" s="53" t="e">
        <f>'11工艺'!#REF!</f>
        <v>#REF!</v>
      </c>
      <c r="S53" s="51" t="e">
        <f>'11工艺'!#REF!</f>
        <v>#REF!</v>
      </c>
      <c r="T53" s="55" t="e">
        <f>'11工艺'!#REF!</f>
        <v>#REF!</v>
      </c>
      <c r="U53" s="55"/>
      <c r="V53" s="55" t="e">
        <f>'11工艺'!#REF!</f>
        <v>#REF!</v>
      </c>
    </row>
    <row r="54" spans="1:22">
      <c r="A54" s="50" t="e">
        <f>'11工艺'!#REF!</f>
        <v>#REF!</v>
      </c>
      <c r="B54" s="51" t="e">
        <f>'11工艺'!#REF!</f>
        <v>#REF!</v>
      </c>
      <c r="C54" s="55" t="e">
        <f>'11工艺'!#REF!</f>
        <v>#REF!</v>
      </c>
      <c r="D54" s="51" t="e">
        <f>'11工艺'!#REF!</f>
        <v>#REF!</v>
      </c>
      <c r="E54" s="52" t="e">
        <f>'11工艺'!#REF!</f>
        <v>#REF!</v>
      </c>
      <c r="F54" s="41" t="e">
        <f>'11工艺'!#REF!</f>
        <v>#REF!</v>
      </c>
      <c r="G54" s="50" t="e">
        <f>'11工艺'!#REF!</f>
        <v>#REF!</v>
      </c>
      <c r="H54" s="53" t="e">
        <f>'11工艺'!#REF!</f>
        <v>#REF!</v>
      </c>
      <c r="I54" s="51" t="e">
        <f>'11工艺'!#REF!</f>
        <v>#REF!</v>
      </c>
      <c r="J54" s="55" t="e">
        <f>'11工艺'!#REF!</f>
        <v>#REF!</v>
      </c>
      <c r="K54" s="55" t="e">
        <f>'11工艺'!#REF!</f>
        <v>#REF!</v>
      </c>
      <c r="L54" s="44" t="e">
        <f>'11工艺'!#REF!</f>
        <v>#REF!</v>
      </c>
      <c r="M54" s="44" t="e">
        <f>'11工艺'!#REF!</f>
        <v>#REF!</v>
      </c>
      <c r="N54" s="54" t="e">
        <f>'11工艺'!#REF!</f>
        <v>#REF!</v>
      </c>
      <c r="O54" s="49" t="e">
        <f>'11工艺'!#REF!</f>
        <v>#REF!</v>
      </c>
      <c r="P54" s="41" t="e">
        <f>'11工艺'!#REF!</f>
        <v>#REF!</v>
      </c>
      <c r="Q54" s="50" t="e">
        <f>'11工艺'!#REF!</f>
        <v>#REF!</v>
      </c>
      <c r="R54" s="53" t="e">
        <f>'11工艺'!#REF!</f>
        <v>#REF!</v>
      </c>
      <c r="S54" s="51" t="e">
        <f>'11工艺'!#REF!</f>
        <v>#REF!</v>
      </c>
      <c r="T54" s="55" t="e">
        <f>'11工艺'!#REF!</f>
        <v>#REF!</v>
      </c>
      <c r="U54" s="55"/>
      <c r="V54" s="55" t="e">
        <f>'11工艺'!#REF!</f>
        <v>#REF!</v>
      </c>
    </row>
    <row r="55" spans="1:22">
      <c r="A55" s="50" t="e">
        <f>'11工艺'!#REF!</f>
        <v>#REF!</v>
      </c>
      <c r="B55" s="51" t="e">
        <f>'11工艺'!#REF!</f>
        <v>#REF!</v>
      </c>
      <c r="C55" s="55" t="e">
        <f>'11工艺'!#REF!</f>
        <v>#REF!</v>
      </c>
      <c r="D55" s="51" t="e">
        <f>'11工艺'!#REF!</f>
        <v>#REF!</v>
      </c>
      <c r="E55" s="52" t="e">
        <f>'11工艺'!#REF!</f>
        <v>#REF!</v>
      </c>
      <c r="F55" s="41" t="e">
        <f>'11工艺'!#REF!</f>
        <v>#REF!</v>
      </c>
      <c r="G55" s="50" t="e">
        <f>'11工艺'!#REF!</f>
        <v>#REF!</v>
      </c>
      <c r="H55" s="53" t="e">
        <f>'11工艺'!#REF!</f>
        <v>#REF!</v>
      </c>
      <c r="I55" s="51" t="e">
        <f>'11工艺'!#REF!</f>
        <v>#REF!</v>
      </c>
      <c r="J55" s="55" t="e">
        <f>'11工艺'!#REF!</f>
        <v>#REF!</v>
      </c>
      <c r="K55" s="55" t="e">
        <f>'11工艺'!#REF!</f>
        <v>#REF!</v>
      </c>
      <c r="L55" s="44" t="e">
        <f>'11工艺'!#REF!</f>
        <v>#REF!</v>
      </c>
      <c r="M55" s="44" t="e">
        <f>'11工艺'!#REF!</f>
        <v>#REF!</v>
      </c>
      <c r="N55" s="54" t="e">
        <f>'11工艺'!#REF!</f>
        <v>#REF!</v>
      </c>
      <c r="O55" s="49" t="e">
        <f>'11工艺'!#REF!</f>
        <v>#REF!</v>
      </c>
      <c r="P55" s="41" t="e">
        <f>'11工艺'!#REF!</f>
        <v>#REF!</v>
      </c>
      <c r="Q55" s="50" t="e">
        <f>'11工艺'!#REF!</f>
        <v>#REF!</v>
      </c>
      <c r="R55" s="53" t="e">
        <f>'11工艺'!#REF!</f>
        <v>#REF!</v>
      </c>
      <c r="S55" s="51" t="e">
        <f>'11工艺'!#REF!</f>
        <v>#REF!</v>
      </c>
      <c r="T55" s="55" t="e">
        <f>'11工艺'!#REF!</f>
        <v>#REF!</v>
      </c>
      <c r="U55" s="55"/>
      <c r="V55" s="55" t="e">
        <f>'11工艺'!#REF!</f>
        <v>#REF!</v>
      </c>
    </row>
    <row r="56" spans="1:22">
      <c r="A56" s="50" t="e">
        <f>'11工艺'!#REF!</f>
        <v>#REF!</v>
      </c>
      <c r="B56" s="51" t="e">
        <f>'11工艺'!#REF!</f>
        <v>#REF!</v>
      </c>
      <c r="C56" s="55" t="e">
        <f>'11工艺'!#REF!</f>
        <v>#REF!</v>
      </c>
      <c r="D56" s="51" t="e">
        <f>'11工艺'!#REF!</f>
        <v>#REF!</v>
      </c>
      <c r="E56" s="52" t="e">
        <f>'11工艺'!#REF!</f>
        <v>#REF!</v>
      </c>
      <c r="F56" s="55" t="e">
        <f>'11工艺'!#REF!</f>
        <v>#REF!</v>
      </c>
      <c r="G56" s="50" t="e">
        <f>'11工艺'!#REF!</f>
        <v>#REF!</v>
      </c>
      <c r="H56" s="53" t="e">
        <f>'11工艺'!#REF!</f>
        <v>#REF!</v>
      </c>
      <c r="I56" s="51" t="e">
        <f>'11工艺'!#REF!</f>
        <v>#REF!</v>
      </c>
      <c r="J56" s="55" t="e">
        <f>'11工艺'!#REF!</f>
        <v>#REF!</v>
      </c>
      <c r="K56" s="55" t="e">
        <f>'11工艺'!#REF!</f>
        <v>#REF!</v>
      </c>
      <c r="L56" s="44" t="e">
        <f>'11工艺'!#REF!</f>
        <v>#REF!</v>
      </c>
      <c r="M56" s="44" t="e">
        <f>'11工艺'!#REF!</f>
        <v>#REF!</v>
      </c>
      <c r="N56" s="54" t="e">
        <f>'11工艺'!#REF!</f>
        <v>#REF!</v>
      </c>
      <c r="O56" s="49" t="e">
        <f>'11工艺'!#REF!</f>
        <v>#REF!</v>
      </c>
      <c r="P56" s="55" t="e">
        <f>'11工艺'!#REF!</f>
        <v>#REF!</v>
      </c>
      <c r="Q56" s="50" t="e">
        <f>'11工艺'!#REF!</f>
        <v>#REF!</v>
      </c>
      <c r="R56" s="53" t="e">
        <f>'11工艺'!#REF!</f>
        <v>#REF!</v>
      </c>
      <c r="S56" s="51" t="e">
        <f>'11工艺'!#REF!</f>
        <v>#REF!</v>
      </c>
      <c r="T56" s="55" t="e">
        <f>'11工艺'!#REF!</f>
        <v>#REF!</v>
      </c>
      <c r="U56" s="55"/>
      <c r="V56" s="55" t="e">
        <f>'11工艺'!#REF!</f>
        <v>#REF!</v>
      </c>
    </row>
    <row r="57" spans="1:22">
      <c r="A57" s="50" t="e">
        <f>'11工艺'!#REF!</f>
        <v>#REF!</v>
      </c>
      <c r="B57" s="51" t="e">
        <f>'11工艺'!#REF!</f>
        <v>#REF!</v>
      </c>
      <c r="C57" s="55" t="e">
        <f>'11工艺'!#REF!</f>
        <v>#REF!</v>
      </c>
      <c r="D57" s="51" t="e">
        <f>'11工艺'!#REF!</f>
        <v>#REF!</v>
      </c>
      <c r="E57" s="52" t="e">
        <f>'11工艺'!#REF!</f>
        <v>#REF!</v>
      </c>
      <c r="F57" s="41" t="e">
        <f>'11工艺'!#REF!</f>
        <v>#REF!</v>
      </c>
      <c r="G57" s="50" t="e">
        <f>'11工艺'!#REF!</f>
        <v>#REF!</v>
      </c>
      <c r="H57" s="53" t="e">
        <f>'11工艺'!#REF!</f>
        <v>#REF!</v>
      </c>
      <c r="I57" s="51" t="e">
        <f>'11工艺'!#REF!</f>
        <v>#REF!</v>
      </c>
      <c r="J57" s="55" t="e">
        <f>'11工艺'!#REF!</f>
        <v>#REF!</v>
      </c>
      <c r="K57" s="55" t="e">
        <f>'11工艺'!#REF!</f>
        <v>#REF!</v>
      </c>
      <c r="L57" s="44" t="e">
        <f>'11工艺'!#REF!</f>
        <v>#REF!</v>
      </c>
      <c r="M57" s="44" t="e">
        <f>'11工艺'!#REF!</f>
        <v>#REF!</v>
      </c>
      <c r="N57" s="54" t="e">
        <f>'11工艺'!#REF!</f>
        <v>#REF!</v>
      </c>
      <c r="O57" s="49" t="e">
        <f>'11工艺'!#REF!</f>
        <v>#REF!</v>
      </c>
      <c r="P57" s="41" t="e">
        <f>'11工艺'!#REF!</f>
        <v>#REF!</v>
      </c>
      <c r="Q57" s="50" t="e">
        <f>'11工艺'!#REF!</f>
        <v>#REF!</v>
      </c>
      <c r="R57" s="53" t="e">
        <f>'11工艺'!#REF!</f>
        <v>#REF!</v>
      </c>
      <c r="S57" s="51" t="e">
        <f>'11工艺'!#REF!</f>
        <v>#REF!</v>
      </c>
      <c r="T57" s="55" t="e">
        <f>'11工艺'!#REF!</f>
        <v>#REF!</v>
      </c>
      <c r="U57" s="55"/>
      <c r="V57" s="55" t="e">
        <f>'11工艺'!#REF!</f>
        <v>#REF!</v>
      </c>
    </row>
    <row r="58" spans="1:22">
      <c r="A58" s="50" t="e">
        <f>'11工艺'!#REF!</f>
        <v>#REF!</v>
      </c>
      <c r="B58" s="51" t="e">
        <f>'11工艺'!#REF!</f>
        <v>#REF!</v>
      </c>
      <c r="C58" s="55" t="e">
        <f>'11工艺'!#REF!</f>
        <v>#REF!</v>
      </c>
      <c r="D58" s="51" t="e">
        <f>'11工艺'!#REF!</f>
        <v>#REF!</v>
      </c>
      <c r="E58" s="52" t="e">
        <f>'11工艺'!#REF!</f>
        <v>#REF!</v>
      </c>
      <c r="F58" s="41" t="e">
        <f>'11工艺'!#REF!</f>
        <v>#REF!</v>
      </c>
      <c r="G58" s="50" t="e">
        <f>'11工艺'!#REF!</f>
        <v>#REF!</v>
      </c>
      <c r="H58" s="53" t="e">
        <f>'11工艺'!#REF!</f>
        <v>#REF!</v>
      </c>
      <c r="I58" s="51" t="e">
        <f>'11工艺'!#REF!</f>
        <v>#REF!</v>
      </c>
      <c r="J58" s="55" t="e">
        <f>'11工艺'!#REF!</f>
        <v>#REF!</v>
      </c>
      <c r="K58" s="55" t="e">
        <f>'11工艺'!#REF!</f>
        <v>#REF!</v>
      </c>
      <c r="L58" s="44" t="e">
        <f>'11工艺'!#REF!</f>
        <v>#REF!</v>
      </c>
      <c r="M58" s="44" t="e">
        <f>'11工艺'!#REF!</f>
        <v>#REF!</v>
      </c>
      <c r="N58" s="54" t="e">
        <f>'11工艺'!#REF!</f>
        <v>#REF!</v>
      </c>
      <c r="O58" s="49" t="e">
        <f>'11工艺'!#REF!</f>
        <v>#REF!</v>
      </c>
      <c r="P58" s="41" t="e">
        <f>'11工艺'!#REF!</f>
        <v>#REF!</v>
      </c>
      <c r="Q58" s="50" t="e">
        <f>'11工艺'!#REF!</f>
        <v>#REF!</v>
      </c>
      <c r="R58" s="53" t="e">
        <f>'11工艺'!#REF!</f>
        <v>#REF!</v>
      </c>
      <c r="S58" s="51" t="e">
        <f>'11工艺'!#REF!</f>
        <v>#REF!</v>
      </c>
      <c r="T58" s="55" t="e">
        <f>'11工艺'!#REF!</f>
        <v>#REF!</v>
      </c>
      <c r="U58" s="55"/>
      <c r="V58" s="55" t="e">
        <f>'11工艺'!#REF!</f>
        <v>#REF!</v>
      </c>
    </row>
    <row r="59" spans="1:22">
      <c r="A59" s="50" t="e">
        <f>'11工艺'!#REF!</f>
        <v>#REF!</v>
      </c>
      <c r="B59" s="51" t="e">
        <f>'11工艺'!#REF!</f>
        <v>#REF!</v>
      </c>
      <c r="C59" s="55" t="e">
        <f>'11工艺'!#REF!</f>
        <v>#REF!</v>
      </c>
      <c r="D59" s="51" t="e">
        <f>'11工艺'!#REF!</f>
        <v>#REF!</v>
      </c>
      <c r="E59" s="52" t="e">
        <f>'11工艺'!#REF!</f>
        <v>#REF!</v>
      </c>
      <c r="F59" s="41" t="e">
        <f>'11工艺'!#REF!</f>
        <v>#REF!</v>
      </c>
      <c r="G59" s="50" t="e">
        <f>'11工艺'!#REF!</f>
        <v>#REF!</v>
      </c>
      <c r="H59" s="53" t="e">
        <f>'11工艺'!#REF!</f>
        <v>#REF!</v>
      </c>
      <c r="I59" s="51" t="e">
        <f>'11工艺'!#REF!</f>
        <v>#REF!</v>
      </c>
      <c r="J59" s="55" t="e">
        <f>'11工艺'!#REF!</f>
        <v>#REF!</v>
      </c>
      <c r="K59" s="55" t="e">
        <f>'11工艺'!#REF!</f>
        <v>#REF!</v>
      </c>
      <c r="L59" s="44" t="e">
        <f>'11工艺'!#REF!</f>
        <v>#REF!</v>
      </c>
      <c r="M59" s="44" t="e">
        <f>'11工艺'!#REF!</f>
        <v>#REF!</v>
      </c>
      <c r="N59" s="54" t="e">
        <f>'11工艺'!#REF!</f>
        <v>#REF!</v>
      </c>
      <c r="O59" s="49" t="e">
        <f>'11工艺'!#REF!</f>
        <v>#REF!</v>
      </c>
      <c r="P59" s="41" t="e">
        <f>'11工艺'!#REF!</f>
        <v>#REF!</v>
      </c>
      <c r="Q59" s="50" t="e">
        <f>'11工艺'!#REF!</f>
        <v>#REF!</v>
      </c>
      <c r="R59" s="53" t="e">
        <f>'11工艺'!#REF!</f>
        <v>#REF!</v>
      </c>
      <c r="S59" s="51" t="e">
        <f>'11工艺'!#REF!</f>
        <v>#REF!</v>
      </c>
      <c r="T59" s="55" t="e">
        <f>'11工艺'!#REF!</f>
        <v>#REF!</v>
      </c>
      <c r="U59" s="55"/>
      <c r="V59" s="55" t="e">
        <f>'11工艺'!#REF!</f>
        <v>#REF!</v>
      </c>
    </row>
    <row r="60" spans="1:22">
      <c r="A60" s="50" t="e">
        <f>'11工艺'!#REF!</f>
        <v>#REF!</v>
      </c>
      <c r="B60" s="51" t="e">
        <f>'11工艺'!#REF!</f>
        <v>#REF!</v>
      </c>
      <c r="C60" s="55" t="e">
        <f>'11工艺'!#REF!</f>
        <v>#REF!</v>
      </c>
      <c r="D60" s="51" t="e">
        <f>'11工艺'!#REF!</f>
        <v>#REF!</v>
      </c>
      <c r="E60" s="52" t="e">
        <f>'11工艺'!#REF!</f>
        <v>#REF!</v>
      </c>
      <c r="F60" s="41" t="e">
        <f>'11工艺'!#REF!</f>
        <v>#REF!</v>
      </c>
      <c r="G60" s="50" t="e">
        <f>'11工艺'!#REF!</f>
        <v>#REF!</v>
      </c>
      <c r="H60" s="53" t="e">
        <f>'11工艺'!#REF!</f>
        <v>#REF!</v>
      </c>
      <c r="I60" s="51" t="e">
        <f>'11工艺'!#REF!</f>
        <v>#REF!</v>
      </c>
      <c r="J60" s="55" t="e">
        <f>'11工艺'!#REF!</f>
        <v>#REF!</v>
      </c>
      <c r="K60" s="55" t="e">
        <f>'11工艺'!#REF!</f>
        <v>#REF!</v>
      </c>
      <c r="L60" s="44" t="e">
        <f>'11工艺'!#REF!</f>
        <v>#REF!</v>
      </c>
      <c r="M60" s="44" t="e">
        <f>'11工艺'!#REF!</f>
        <v>#REF!</v>
      </c>
      <c r="N60" s="54" t="e">
        <f>'11工艺'!#REF!</f>
        <v>#REF!</v>
      </c>
      <c r="O60" s="49" t="e">
        <f>'11工艺'!#REF!</f>
        <v>#REF!</v>
      </c>
      <c r="P60" s="41" t="e">
        <f>'11工艺'!#REF!</f>
        <v>#REF!</v>
      </c>
      <c r="Q60" s="50" t="e">
        <f>'11工艺'!#REF!</f>
        <v>#REF!</v>
      </c>
      <c r="R60" s="53" t="e">
        <f>'11工艺'!#REF!</f>
        <v>#REF!</v>
      </c>
      <c r="S60" s="51" t="e">
        <f>'11工艺'!#REF!</f>
        <v>#REF!</v>
      </c>
      <c r="T60" s="55" t="e">
        <f>'11工艺'!#REF!</f>
        <v>#REF!</v>
      </c>
      <c r="U60" s="55"/>
      <c r="V60" s="55" t="e">
        <f>'11工艺'!#REF!</f>
        <v>#REF!</v>
      </c>
    </row>
    <row r="61" spans="1:22">
      <c r="A61" s="50" t="e">
        <f>'11工艺'!#REF!</f>
        <v>#REF!</v>
      </c>
      <c r="B61" s="51" t="e">
        <f>'11工艺'!#REF!</f>
        <v>#REF!</v>
      </c>
      <c r="C61" s="55" t="e">
        <f>'11工艺'!#REF!</f>
        <v>#REF!</v>
      </c>
      <c r="D61" s="51" t="e">
        <f>'11工艺'!#REF!</f>
        <v>#REF!</v>
      </c>
      <c r="E61" s="52" t="e">
        <f>'11工艺'!#REF!</f>
        <v>#REF!</v>
      </c>
      <c r="F61" s="41" t="e">
        <f>'11工艺'!#REF!</f>
        <v>#REF!</v>
      </c>
      <c r="G61" s="50" t="e">
        <f>'11工艺'!#REF!</f>
        <v>#REF!</v>
      </c>
      <c r="H61" s="53" t="e">
        <f>'11工艺'!#REF!</f>
        <v>#REF!</v>
      </c>
      <c r="I61" s="51" t="e">
        <f>'11工艺'!#REF!</f>
        <v>#REF!</v>
      </c>
      <c r="J61" s="55" t="e">
        <f>'11工艺'!#REF!</f>
        <v>#REF!</v>
      </c>
      <c r="K61" s="55" t="e">
        <f>'11工艺'!#REF!</f>
        <v>#REF!</v>
      </c>
      <c r="L61" s="44" t="e">
        <f>'11工艺'!#REF!</f>
        <v>#REF!</v>
      </c>
      <c r="M61" s="44" t="e">
        <f>'11工艺'!#REF!</f>
        <v>#REF!</v>
      </c>
      <c r="N61" s="54" t="e">
        <f>'11工艺'!#REF!</f>
        <v>#REF!</v>
      </c>
      <c r="O61" s="49" t="e">
        <f>'11工艺'!#REF!</f>
        <v>#REF!</v>
      </c>
      <c r="P61" s="41" t="e">
        <f>'11工艺'!#REF!</f>
        <v>#REF!</v>
      </c>
      <c r="Q61" s="50" t="e">
        <f>'11工艺'!#REF!</f>
        <v>#REF!</v>
      </c>
      <c r="R61" s="53" t="e">
        <f>'11工艺'!#REF!</f>
        <v>#REF!</v>
      </c>
      <c r="S61" s="51" t="e">
        <f>'11工艺'!#REF!</f>
        <v>#REF!</v>
      </c>
      <c r="T61" s="55" t="e">
        <f>'11工艺'!#REF!</f>
        <v>#REF!</v>
      </c>
      <c r="U61" s="55"/>
      <c r="V61" s="55" t="e">
        <f>'11工艺'!#REF!</f>
        <v>#REF!</v>
      </c>
    </row>
    <row r="62" spans="1:22">
      <c r="A62" s="50" t="e">
        <f>'11工艺'!#REF!</f>
        <v>#REF!</v>
      </c>
      <c r="B62" s="51" t="e">
        <f>'11工艺'!#REF!</f>
        <v>#REF!</v>
      </c>
      <c r="C62" s="55" t="e">
        <f>'11工艺'!#REF!</f>
        <v>#REF!</v>
      </c>
      <c r="D62" s="51" t="e">
        <f>'11工艺'!#REF!</f>
        <v>#REF!</v>
      </c>
      <c r="E62" s="52" t="e">
        <f>'11工艺'!#REF!</f>
        <v>#REF!</v>
      </c>
      <c r="F62" s="41" t="e">
        <f>'11工艺'!#REF!</f>
        <v>#REF!</v>
      </c>
      <c r="G62" s="50" t="e">
        <f>'11工艺'!#REF!</f>
        <v>#REF!</v>
      </c>
      <c r="H62" s="53" t="e">
        <f>'11工艺'!#REF!</f>
        <v>#REF!</v>
      </c>
      <c r="I62" s="51" t="e">
        <f>'11工艺'!#REF!</f>
        <v>#REF!</v>
      </c>
      <c r="J62" s="55" t="e">
        <f>'11工艺'!#REF!</f>
        <v>#REF!</v>
      </c>
      <c r="K62" s="55" t="e">
        <f>'11工艺'!#REF!</f>
        <v>#REF!</v>
      </c>
      <c r="L62" s="44" t="e">
        <f>'11工艺'!#REF!</f>
        <v>#REF!</v>
      </c>
      <c r="M62" s="44" t="e">
        <f>'11工艺'!#REF!</f>
        <v>#REF!</v>
      </c>
      <c r="N62" s="54" t="e">
        <f>'11工艺'!#REF!</f>
        <v>#REF!</v>
      </c>
      <c r="O62" s="49" t="e">
        <f>'11工艺'!#REF!</f>
        <v>#REF!</v>
      </c>
      <c r="P62" s="41" t="e">
        <f>'11工艺'!#REF!</f>
        <v>#REF!</v>
      </c>
      <c r="Q62" s="50" t="e">
        <f>'11工艺'!#REF!</f>
        <v>#REF!</v>
      </c>
      <c r="R62" s="53" t="e">
        <f>'11工艺'!#REF!</f>
        <v>#REF!</v>
      </c>
      <c r="S62" s="51" t="e">
        <f>'11工艺'!#REF!</f>
        <v>#REF!</v>
      </c>
      <c r="T62" s="55" t="e">
        <f>'11工艺'!#REF!</f>
        <v>#REF!</v>
      </c>
      <c r="U62" s="55"/>
      <c r="V62" s="55" t="e">
        <f>'11工艺'!#REF!</f>
        <v>#REF!</v>
      </c>
    </row>
    <row r="63" spans="1:22">
      <c r="A63" s="50" t="e">
        <f>'11工艺'!#REF!</f>
        <v>#REF!</v>
      </c>
      <c r="B63" s="51" t="e">
        <f>'11工艺'!#REF!</f>
        <v>#REF!</v>
      </c>
      <c r="C63" s="55" t="e">
        <f>'11工艺'!#REF!</f>
        <v>#REF!</v>
      </c>
      <c r="D63" s="51" t="e">
        <f>'11工艺'!#REF!</f>
        <v>#REF!</v>
      </c>
      <c r="E63" s="52" t="e">
        <f>'11工艺'!#REF!</f>
        <v>#REF!</v>
      </c>
      <c r="F63" s="41" t="e">
        <f>'11工艺'!#REF!</f>
        <v>#REF!</v>
      </c>
      <c r="G63" s="50" t="e">
        <f>'11工艺'!#REF!</f>
        <v>#REF!</v>
      </c>
      <c r="H63" s="53" t="e">
        <f>'11工艺'!#REF!</f>
        <v>#REF!</v>
      </c>
      <c r="I63" s="51" t="e">
        <f>'11工艺'!#REF!</f>
        <v>#REF!</v>
      </c>
      <c r="J63" s="55" t="e">
        <f>'11工艺'!#REF!</f>
        <v>#REF!</v>
      </c>
      <c r="K63" s="55" t="e">
        <f>'11工艺'!#REF!</f>
        <v>#REF!</v>
      </c>
      <c r="L63" s="44" t="e">
        <f>'11工艺'!#REF!</f>
        <v>#REF!</v>
      </c>
      <c r="M63" s="44" t="e">
        <f>'11工艺'!#REF!</f>
        <v>#REF!</v>
      </c>
      <c r="N63" s="54" t="e">
        <f>'11工艺'!#REF!</f>
        <v>#REF!</v>
      </c>
      <c r="O63" s="49" t="e">
        <f>'11工艺'!#REF!</f>
        <v>#REF!</v>
      </c>
      <c r="P63" s="41" t="e">
        <f>'11工艺'!#REF!</f>
        <v>#REF!</v>
      </c>
      <c r="Q63" s="50" t="e">
        <f>'11工艺'!#REF!</f>
        <v>#REF!</v>
      </c>
      <c r="R63" s="53" t="e">
        <f>'11工艺'!#REF!</f>
        <v>#REF!</v>
      </c>
      <c r="S63" s="51" t="e">
        <f>'11工艺'!#REF!</f>
        <v>#REF!</v>
      </c>
      <c r="T63" s="55" t="e">
        <f>'11工艺'!#REF!</f>
        <v>#REF!</v>
      </c>
      <c r="U63" s="55"/>
      <c r="V63" s="55" t="e">
        <f>'11工艺'!#REF!</f>
        <v>#REF!</v>
      </c>
    </row>
    <row r="64" spans="1:22">
      <c r="A64" s="50" t="e">
        <f>'11工艺'!#REF!</f>
        <v>#REF!</v>
      </c>
      <c r="B64" s="51" t="e">
        <f>'11工艺'!#REF!</f>
        <v>#REF!</v>
      </c>
      <c r="C64" s="55" t="e">
        <f>'11工艺'!#REF!</f>
        <v>#REF!</v>
      </c>
      <c r="D64" s="51" t="e">
        <f>'11工艺'!#REF!</f>
        <v>#REF!</v>
      </c>
      <c r="E64" s="52" t="e">
        <f>'11工艺'!#REF!</f>
        <v>#REF!</v>
      </c>
      <c r="F64" s="41" t="e">
        <f>'11工艺'!#REF!</f>
        <v>#REF!</v>
      </c>
      <c r="G64" s="50" t="e">
        <f>'11工艺'!#REF!</f>
        <v>#REF!</v>
      </c>
      <c r="H64" s="53" t="e">
        <f>'11工艺'!#REF!</f>
        <v>#REF!</v>
      </c>
      <c r="I64" s="51" t="e">
        <f>'11工艺'!#REF!</f>
        <v>#REF!</v>
      </c>
      <c r="J64" s="55" t="e">
        <f>'11工艺'!#REF!</f>
        <v>#REF!</v>
      </c>
      <c r="K64" s="55" t="e">
        <f>'11工艺'!#REF!</f>
        <v>#REF!</v>
      </c>
      <c r="L64" s="44" t="e">
        <f>'11工艺'!#REF!</f>
        <v>#REF!</v>
      </c>
      <c r="M64" s="44" t="e">
        <f>'11工艺'!#REF!</f>
        <v>#REF!</v>
      </c>
      <c r="N64" s="54" t="e">
        <f>'11工艺'!#REF!</f>
        <v>#REF!</v>
      </c>
      <c r="O64" s="49" t="e">
        <f>'11工艺'!#REF!</f>
        <v>#REF!</v>
      </c>
      <c r="P64" s="41" t="e">
        <f>'11工艺'!#REF!</f>
        <v>#REF!</v>
      </c>
      <c r="Q64" s="50" t="e">
        <f>'11工艺'!#REF!</f>
        <v>#REF!</v>
      </c>
      <c r="R64" s="53" t="e">
        <f>'11工艺'!#REF!</f>
        <v>#REF!</v>
      </c>
      <c r="S64" s="51" t="e">
        <f>'11工艺'!#REF!</f>
        <v>#REF!</v>
      </c>
      <c r="T64" s="55" t="e">
        <f>'11工艺'!#REF!</f>
        <v>#REF!</v>
      </c>
      <c r="U64" s="55"/>
      <c r="V64" s="55" t="e">
        <f>'11工艺'!#REF!</f>
        <v>#REF!</v>
      </c>
    </row>
    <row r="65" spans="1:22">
      <c r="A65" s="50" t="e">
        <f>'11工艺'!#REF!</f>
        <v>#REF!</v>
      </c>
      <c r="B65" s="51" t="e">
        <f>'11工艺'!#REF!</f>
        <v>#REF!</v>
      </c>
      <c r="C65" s="55" t="e">
        <f>'11工艺'!#REF!</f>
        <v>#REF!</v>
      </c>
      <c r="D65" s="51" t="e">
        <f>'11工艺'!#REF!</f>
        <v>#REF!</v>
      </c>
      <c r="E65" s="52" t="e">
        <f>'11工艺'!#REF!</f>
        <v>#REF!</v>
      </c>
      <c r="F65" s="41" t="e">
        <f>'11工艺'!#REF!</f>
        <v>#REF!</v>
      </c>
      <c r="G65" s="50" t="e">
        <f>'11工艺'!#REF!</f>
        <v>#REF!</v>
      </c>
      <c r="H65" s="53" t="e">
        <f>'11工艺'!#REF!</f>
        <v>#REF!</v>
      </c>
      <c r="I65" s="51" t="e">
        <f>'11工艺'!#REF!</f>
        <v>#REF!</v>
      </c>
      <c r="J65" s="55" t="e">
        <f>'11工艺'!#REF!</f>
        <v>#REF!</v>
      </c>
      <c r="K65" s="55" t="e">
        <f>'11工艺'!#REF!</f>
        <v>#REF!</v>
      </c>
      <c r="L65" s="44" t="e">
        <f>'11工艺'!#REF!</f>
        <v>#REF!</v>
      </c>
      <c r="M65" s="44" t="e">
        <f>'11工艺'!#REF!</f>
        <v>#REF!</v>
      </c>
      <c r="N65" s="54" t="e">
        <f>'11工艺'!#REF!</f>
        <v>#REF!</v>
      </c>
      <c r="O65" s="49" t="e">
        <f>'11工艺'!#REF!</f>
        <v>#REF!</v>
      </c>
      <c r="P65" s="41" t="e">
        <f>'11工艺'!#REF!</f>
        <v>#REF!</v>
      </c>
      <c r="Q65" s="50" t="e">
        <f>'11工艺'!#REF!</f>
        <v>#REF!</v>
      </c>
      <c r="R65" s="53" t="e">
        <f>'11工艺'!#REF!</f>
        <v>#REF!</v>
      </c>
      <c r="S65" s="51" t="e">
        <f>'11工艺'!#REF!</f>
        <v>#REF!</v>
      </c>
      <c r="T65" s="55" t="e">
        <f>'11工艺'!#REF!</f>
        <v>#REF!</v>
      </c>
      <c r="U65" s="55"/>
      <c r="V65" s="55" t="e">
        <f>'11工艺'!#REF!</f>
        <v>#REF!</v>
      </c>
    </row>
    <row r="66" spans="1:22">
      <c r="A66" s="50" t="e">
        <f>'11工艺'!#REF!</f>
        <v>#REF!</v>
      </c>
      <c r="B66" s="51" t="e">
        <f>'11工艺'!#REF!</f>
        <v>#REF!</v>
      </c>
      <c r="C66" s="55" t="e">
        <f>'11工艺'!#REF!</f>
        <v>#REF!</v>
      </c>
      <c r="D66" s="51" t="e">
        <f>'11工艺'!#REF!</f>
        <v>#REF!</v>
      </c>
      <c r="E66" s="52" t="e">
        <f>'11工艺'!#REF!</f>
        <v>#REF!</v>
      </c>
      <c r="F66" s="41" t="e">
        <f>'11工艺'!#REF!</f>
        <v>#REF!</v>
      </c>
      <c r="G66" s="50" t="e">
        <f>'11工艺'!#REF!</f>
        <v>#REF!</v>
      </c>
      <c r="H66" s="53" t="e">
        <f>'11工艺'!#REF!</f>
        <v>#REF!</v>
      </c>
      <c r="I66" s="51" t="e">
        <f>'11工艺'!#REF!</f>
        <v>#REF!</v>
      </c>
      <c r="J66" s="55" t="e">
        <f>'11工艺'!#REF!</f>
        <v>#REF!</v>
      </c>
      <c r="K66" s="55" t="e">
        <f>'11工艺'!#REF!</f>
        <v>#REF!</v>
      </c>
      <c r="L66" s="44" t="e">
        <f>'11工艺'!#REF!</f>
        <v>#REF!</v>
      </c>
      <c r="M66" s="44" t="e">
        <f>'11工艺'!#REF!</f>
        <v>#REF!</v>
      </c>
      <c r="N66" s="54" t="e">
        <f>'11工艺'!#REF!</f>
        <v>#REF!</v>
      </c>
      <c r="O66" s="49" t="e">
        <f>'11工艺'!#REF!</f>
        <v>#REF!</v>
      </c>
      <c r="P66" s="41" t="e">
        <f>'11工艺'!#REF!</f>
        <v>#REF!</v>
      </c>
      <c r="Q66" s="50" t="e">
        <f>'11工艺'!#REF!</f>
        <v>#REF!</v>
      </c>
      <c r="R66" s="53" t="e">
        <f>'11工艺'!#REF!</f>
        <v>#REF!</v>
      </c>
      <c r="S66" s="51" t="e">
        <f>'11工艺'!#REF!</f>
        <v>#REF!</v>
      </c>
      <c r="T66" s="55" t="e">
        <f>'11工艺'!#REF!</f>
        <v>#REF!</v>
      </c>
      <c r="U66" s="55"/>
      <c r="V66" s="55" t="e">
        <f>'11工艺'!#REF!</f>
        <v>#REF!</v>
      </c>
    </row>
    <row r="67" spans="1:22">
      <c r="A67" s="50" t="e">
        <f>'11工艺'!#REF!</f>
        <v>#REF!</v>
      </c>
      <c r="B67" s="51" t="e">
        <f>'11工艺'!#REF!</f>
        <v>#REF!</v>
      </c>
      <c r="C67" s="55" t="e">
        <f>'11工艺'!#REF!</f>
        <v>#REF!</v>
      </c>
      <c r="D67" s="51" t="e">
        <f>'11工艺'!#REF!</f>
        <v>#REF!</v>
      </c>
      <c r="E67" s="52" t="e">
        <f>'11工艺'!#REF!</f>
        <v>#REF!</v>
      </c>
      <c r="F67" s="41" t="e">
        <f>'11工艺'!#REF!</f>
        <v>#REF!</v>
      </c>
      <c r="G67" s="50" t="e">
        <f>'11工艺'!#REF!</f>
        <v>#REF!</v>
      </c>
      <c r="H67" s="53" t="e">
        <f>'11工艺'!#REF!</f>
        <v>#REF!</v>
      </c>
      <c r="I67" s="51" t="e">
        <f>'11工艺'!#REF!</f>
        <v>#REF!</v>
      </c>
      <c r="J67" s="55" t="e">
        <f>'11工艺'!#REF!</f>
        <v>#REF!</v>
      </c>
      <c r="K67" s="55" t="e">
        <f>'11工艺'!#REF!</f>
        <v>#REF!</v>
      </c>
      <c r="L67" s="44" t="e">
        <f>'11工艺'!#REF!</f>
        <v>#REF!</v>
      </c>
      <c r="M67" s="44" t="e">
        <f>'11工艺'!#REF!</f>
        <v>#REF!</v>
      </c>
      <c r="N67" s="54" t="e">
        <f>'11工艺'!#REF!</f>
        <v>#REF!</v>
      </c>
      <c r="O67" s="49" t="e">
        <f>'11工艺'!#REF!</f>
        <v>#REF!</v>
      </c>
      <c r="P67" s="41" t="e">
        <f>'11工艺'!#REF!</f>
        <v>#REF!</v>
      </c>
      <c r="Q67" s="50" t="e">
        <f>'11工艺'!#REF!</f>
        <v>#REF!</v>
      </c>
      <c r="R67" s="53" t="e">
        <f>'11工艺'!#REF!</f>
        <v>#REF!</v>
      </c>
      <c r="S67" s="51" t="e">
        <f>'11工艺'!#REF!</f>
        <v>#REF!</v>
      </c>
      <c r="T67" s="55" t="e">
        <f>'11工艺'!#REF!</f>
        <v>#REF!</v>
      </c>
      <c r="U67" s="55"/>
      <c r="V67" s="55" t="e">
        <f>'11工艺'!#REF!</f>
        <v>#REF!</v>
      </c>
    </row>
    <row r="68" spans="1:22">
      <c r="A68" s="50" t="e">
        <f>'11工艺'!#REF!</f>
        <v>#REF!</v>
      </c>
      <c r="B68" s="51" t="e">
        <f>'11工艺'!#REF!</f>
        <v>#REF!</v>
      </c>
      <c r="C68" s="55" t="e">
        <f>'11工艺'!#REF!</f>
        <v>#REF!</v>
      </c>
      <c r="D68" s="51" t="e">
        <f>'11工艺'!#REF!</f>
        <v>#REF!</v>
      </c>
      <c r="E68" s="52" t="e">
        <f>'11工艺'!#REF!</f>
        <v>#REF!</v>
      </c>
      <c r="F68" s="41" t="e">
        <f>'11工艺'!#REF!</f>
        <v>#REF!</v>
      </c>
      <c r="G68" s="50" t="e">
        <f>'11工艺'!#REF!</f>
        <v>#REF!</v>
      </c>
      <c r="H68" s="53" t="e">
        <f>'11工艺'!#REF!</f>
        <v>#REF!</v>
      </c>
      <c r="I68" s="51" t="e">
        <f>'11工艺'!#REF!</f>
        <v>#REF!</v>
      </c>
      <c r="J68" s="55" t="e">
        <f>'11工艺'!#REF!</f>
        <v>#REF!</v>
      </c>
      <c r="K68" s="55" t="e">
        <f>'11工艺'!#REF!</f>
        <v>#REF!</v>
      </c>
      <c r="L68" s="44" t="e">
        <f>'11工艺'!#REF!</f>
        <v>#REF!</v>
      </c>
      <c r="M68" s="44" t="e">
        <f>'11工艺'!#REF!</f>
        <v>#REF!</v>
      </c>
      <c r="N68" s="54" t="e">
        <f>'11工艺'!#REF!</f>
        <v>#REF!</v>
      </c>
      <c r="O68" s="49" t="e">
        <f>'11工艺'!#REF!</f>
        <v>#REF!</v>
      </c>
      <c r="P68" s="41" t="e">
        <f>'11工艺'!#REF!</f>
        <v>#REF!</v>
      </c>
      <c r="Q68" s="50" t="e">
        <f>'11工艺'!#REF!</f>
        <v>#REF!</v>
      </c>
      <c r="R68" s="53" t="e">
        <f>'11工艺'!#REF!</f>
        <v>#REF!</v>
      </c>
      <c r="S68" s="51" t="e">
        <f>'11工艺'!#REF!</f>
        <v>#REF!</v>
      </c>
      <c r="T68" s="55" t="e">
        <f>'11工艺'!#REF!</f>
        <v>#REF!</v>
      </c>
      <c r="U68" s="55"/>
      <c r="V68" s="55" t="e">
        <f>'11工艺'!#REF!</f>
        <v>#REF!</v>
      </c>
    </row>
    <row r="69" spans="1:22">
      <c r="A69" s="50" t="e">
        <f>'11工艺'!#REF!</f>
        <v>#REF!</v>
      </c>
      <c r="B69" s="51" t="e">
        <f>'11工艺'!#REF!</f>
        <v>#REF!</v>
      </c>
      <c r="C69" s="55" t="e">
        <f>'11工艺'!#REF!</f>
        <v>#REF!</v>
      </c>
      <c r="D69" s="51" t="e">
        <f>'11工艺'!#REF!</f>
        <v>#REF!</v>
      </c>
      <c r="E69" s="52" t="e">
        <f>'11工艺'!#REF!</f>
        <v>#REF!</v>
      </c>
      <c r="F69" s="41" t="e">
        <f>'11工艺'!#REF!</f>
        <v>#REF!</v>
      </c>
      <c r="G69" s="50" t="e">
        <f>'11工艺'!#REF!</f>
        <v>#REF!</v>
      </c>
      <c r="H69" s="53" t="e">
        <f>'11工艺'!#REF!</f>
        <v>#REF!</v>
      </c>
      <c r="I69" s="51" t="e">
        <f>'11工艺'!#REF!</f>
        <v>#REF!</v>
      </c>
      <c r="J69" s="55" t="e">
        <f>'11工艺'!#REF!</f>
        <v>#REF!</v>
      </c>
      <c r="K69" s="55" t="e">
        <f>'11工艺'!#REF!</f>
        <v>#REF!</v>
      </c>
      <c r="L69" s="44" t="e">
        <f>'11工艺'!#REF!</f>
        <v>#REF!</v>
      </c>
      <c r="M69" s="44" t="e">
        <f>'11工艺'!#REF!</f>
        <v>#REF!</v>
      </c>
      <c r="N69" s="54" t="e">
        <f>'11工艺'!#REF!</f>
        <v>#REF!</v>
      </c>
      <c r="O69" s="49" t="e">
        <f>'11工艺'!#REF!</f>
        <v>#REF!</v>
      </c>
      <c r="P69" s="41" t="e">
        <f>'11工艺'!#REF!</f>
        <v>#REF!</v>
      </c>
      <c r="Q69" s="50" t="e">
        <f>'11工艺'!#REF!</f>
        <v>#REF!</v>
      </c>
      <c r="R69" s="53" t="e">
        <f>'11工艺'!#REF!</f>
        <v>#REF!</v>
      </c>
      <c r="S69" s="51" t="e">
        <f>'11工艺'!#REF!</f>
        <v>#REF!</v>
      </c>
      <c r="T69" s="55" t="e">
        <f>'11工艺'!#REF!</f>
        <v>#REF!</v>
      </c>
      <c r="U69" s="55"/>
      <c r="V69" s="55" t="e">
        <f>'11工艺'!#REF!</f>
        <v>#REF!</v>
      </c>
    </row>
    <row r="70" spans="1:22">
      <c r="A70" s="50" t="e">
        <f>'11工艺'!#REF!</f>
        <v>#REF!</v>
      </c>
      <c r="B70" s="51" t="e">
        <f>'11工艺'!#REF!</f>
        <v>#REF!</v>
      </c>
      <c r="C70" s="55" t="e">
        <f>'11工艺'!#REF!</f>
        <v>#REF!</v>
      </c>
      <c r="D70" s="51" t="e">
        <f>'11工艺'!#REF!</f>
        <v>#REF!</v>
      </c>
      <c r="E70" s="52" t="e">
        <f>'11工艺'!#REF!</f>
        <v>#REF!</v>
      </c>
      <c r="F70" s="41" t="e">
        <f>'11工艺'!#REF!</f>
        <v>#REF!</v>
      </c>
      <c r="G70" s="50" t="e">
        <f>'11工艺'!#REF!</f>
        <v>#REF!</v>
      </c>
      <c r="H70" s="53" t="e">
        <f>'11工艺'!#REF!</f>
        <v>#REF!</v>
      </c>
      <c r="I70" s="51" t="e">
        <f>'11工艺'!#REF!</f>
        <v>#REF!</v>
      </c>
      <c r="J70" s="55" t="e">
        <f>'11工艺'!#REF!</f>
        <v>#REF!</v>
      </c>
      <c r="K70" s="55" t="e">
        <f>'11工艺'!#REF!</f>
        <v>#REF!</v>
      </c>
      <c r="L70" s="44" t="e">
        <f>'11工艺'!#REF!</f>
        <v>#REF!</v>
      </c>
      <c r="M70" s="44" t="e">
        <f>'11工艺'!#REF!</f>
        <v>#REF!</v>
      </c>
      <c r="N70" s="54" t="e">
        <f>'11工艺'!#REF!</f>
        <v>#REF!</v>
      </c>
      <c r="O70" s="49" t="e">
        <f>'11工艺'!#REF!</f>
        <v>#REF!</v>
      </c>
      <c r="P70" s="41" t="e">
        <f>'11工艺'!#REF!</f>
        <v>#REF!</v>
      </c>
      <c r="Q70" s="50" t="e">
        <f>'11工艺'!#REF!</f>
        <v>#REF!</v>
      </c>
      <c r="R70" s="53" t="e">
        <f>'11工艺'!#REF!</f>
        <v>#REF!</v>
      </c>
      <c r="S70" s="51" t="e">
        <f>'11工艺'!#REF!</f>
        <v>#REF!</v>
      </c>
      <c r="T70" s="55" t="e">
        <f>'11工艺'!#REF!</f>
        <v>#REF!</v>
      </c>
      <c r="U70" s="55"/>
      <c r="V70" s="55" t="e">
        <f>'11工艺'!#REF!</f>
        <v>#REF!</v>
      </c>
    </row>
    <row r="71" spans="1:22">
      <c r="A71" s="50" t="e">
        <f>'11工艺'!#REF!</f>
        <v>#REF!</v>
      </c>
      <c r="B71" s="51" t="e">
        <f>'11工艺'!#REF!</f>
        <v>#REF!</v>
      </c>
      <c r="C71" s="55" t="e">
        <f>'11工艺'!#REF!</f>
        <v>#REF!</v>
      </c>
      <c r="D71" s="51" t="e">
        <f>'11工艺'!#REF!</f>
        <v>#REF!</v>
      </c>
      <c r="E71" s="52" t="e">
        <f>'11工艺'!#REF!</f>
        <v>#REF!</v>
      </c>
      <c r="F71" s="41" t="e">
        <f>'11工艺'!#REF!</f>
        <v>#REF!</v>
      </c>
      <c r="G71" s="50" t="e">
        <f>'11工艺'!#REF!</f>
        <v>#REF!</v>
      </c>
      <c r="H71" s="53" t="e">
        <f>'11工艺'!#REF!</f>
        <v>#REF!</v>
      </c>
      <c r="I71" s="51" t="e">
        <f>'11工艺'!#REF!</f>
        <v>#REF!</v>
      </c>
      <c r="J71" s="55" t="e">
        <f>'11工艺'!#REF!</f>
        <v>#REF!</v>
      </c>
      <c r="K71" s="55" t="e">
        <f>'11工艺'!#REF!</f>
        <v>#REF!</v>
      </c>
      <c r="L71" s="44" t="e">
        <f>'11工艺'!#REF!</f>
        <v>#REF!</v>
      </c>
      <c r="M71" s="44" t="e">
        <f>'11工艺'!#REF!</f>
        <v>#REF!</v>
      </c>
      <c r="N71" s="54" t="e">
        <f>'11工艺'!#REF!</f>
        <v>#REF!</v>
      </c>
      <c r="O71" s="49" t="e">
        <f>'11工艺'!#REF!</f>
        <v>#REF!</v>
      </c>
      <c r="P71" s="41" t="e">
        <f>'11工艺'!#REF!</f>
        <v>#REF!</v>
      </c>
      <c r="Q71" s="50" t="e">
        <f>'11工艺'!#REF!</f>
        <v>#REF!</v>
      </c>
      <c r="R71" s="53" t="e">
        <f>'11工艺'!#REF!</f>
        <v>#REF!</v>
      </c>
      <c r="S71" s="51" t="e">
        <f>'11工艺'!#REF!</f>
        <v>#REF!</v>
      </c>
      <c r="T71" s="55" t="e">
        <f>'11工艺'!#REF!</f>
        <v>#REF!</v>
      </c>
      <c r="U71" s="55"/>
      <c r="V71" s="55" t="e">
        <f>'11工艺'!#REF!</f>
        <v>#REF!</v>
      </c>
    </row>
    <row r="72" spans="1:22">
      <c r="A72" s="50" t="e">
        <f>'11工艺'!#REF!</f>
        <v>#REF!</v>
      </c>
      <c r="B72" s="51" t="e">
        <f>'11工艺'!#REF!</f>
        <v>#REF!</v>
      </c>
      <c r="C72" s="55" t="e">
        <f>'11工艺'!#REF!</f>
        <v>#REF!</v>
      </c>
      <c r="D72" s="51" t="e">
        <f>'11工艺'!#REF!</f>
        <v>#REF!</v>
      </c>
      <c r="E72" s="52" t="e">
        <f>'11工艺'!#REF!</f>
        <v>#REF!</v>
      </c>
      <c r="F72" s="41" t="e">
        <f>'11工艺'!#REF!</f>
        <v>#REF!</v>
      </c>
      <c r="G72" s="50" t="e">
        <f>'11工艺'!#REF!</f>
        <v>#REF!</v>
      </c>
      <c r="H72" s="53" t="e">
        <f>'11工艺'!#REF!</f>
        <v>#REF!</v>
      </c>
      <c r="I72" s="51" t="e">
        <f>'11工艺'!#REF!</f>
        <v>#REF!</v>
      </c>
      <c r="J72" s="55" t="e">
        <f>'11工艺'!#REF!</f>
        <v>#REF!</v>
      </c>
      <c r="K72" s="55" t="e">
        <f>'11工艺'!#REF!</f>
        <v>#REF!</v>
      </c>
      <c r="L72" s="44" t="e">
        <f>'11工艺'!#REF!</f>
        <v>#REF!</v>
      </c>
      <c r="M72" s="44" t="e">
        <f>'11工艺'!#REF!</f>
        <v>#REF!</v>
      </c>
      <c r="N72" s="54" t="e">
        <f>'11工艺'!#REF!</f>
        <v>#REF!</v>
      </c>
      <c r="O72" s="49" t="e">
        <f>'11工艺'!#REF!</f>
        <v>#REF!</v>
      </c>
      <c r="P72" s="41" t="e">
        <f>'11工艺'!#REF!</f>
        <v>#REF!</v>
      </c>
      <c r="Q72" s="50" t="e">
        <f>'11工艺'!#REF!</f>
        <v>#REF!</v>
      </c>
      <c r="R72" s="53" t="e">
        <f>'11工艺'!#REF!</f>
        <v>#REF!</v>
      </c>
      <c r="S72" s="51" t="e">
        <f>'11工艺'!#REF!</f>
        <v>#REF!</v>
      </c>
      <c r="T72" s="55" t="e">
        <f>'11工艺'!#REF!</f>
        <v>#REF!</v>
      </c>
      <c r="U72" s="55"/>
      <c r="V72" s="55" t="e">
        <f>'11工艺'!#REF!</f>
        <v>#REF!</v>
      </c>
    </row>
    <row r="73" spans="1:22">
      <c r="A73" s="50" t="e">
        <f>'11工艺'!#REF!</f>
        <v>#REF!</v>
      </c>
      <c r="B73" s="51" t="e">
        <f>'11工艺'!#REF!</f>
        <v>#REF!</v>
      </c>
      <c r="C73" s="55" t="e">
        <f>'11工艺'!#REF!</f>
        <v>#REF!</v>
      </c>
      <c r="D73" s="51" t="e">
        <f>'11工艺'!#REF!</f>
        <v>#REF!</v>
      </c>
      <c r="E73" s="52" t="e">
        <f>'11工艺'!#REF!</f>
        <v>#REF!</v>
      </c>
      <c r="F73" s="41" t="e">
        <f>'11工艺'!#REF!</f>
        <v>#REF!</v>
      </c>
      <c r="G73" s="50" t="e">
        <f>'11工艺'!#REF!</f>
        <v>#REF!</v>
      </c>
      <c r="H73" s="53" t="e">
        <f>'11工艺'!#REF!</f>
        <v>#REF!</v>
      </c>
      <c r="I73" s="51" t="e">
        <f>'11工艺'!#REF!</f>
        <v>#REF!</v>
      </c>
      <c r="J73" s="55" t="e">
        <f>'11工艺'!#REF!</f>
        <v>#REF!</v>
      </c>
      <c r="K73" s="55" t="e">
        <f>'11工艺'!#REF!</f>
        <v>#REF!</v>
      </c>
      <c r="L73" s="44" t="e">
        <f>'11工艺'!#REF!</f>
        <v>#REF!</v>
      </c>
      <c r="M73" s="44" t="e">
        <f>'11工艺'!#REF!</f>
        <v>#REF!</v>
      </c>
      <c r="N73" s="54" t="e">
        <f>'11工艺'!#REF!</f>
        <v>#REF!</v>
      </c>
      <c r="O73" s="49" t="e">
        <f>'11工艺'!#REF!</f>
        <v>#REF!</v>
      </c>
      <c r="P73" s="41" t="e">
        <f>'11工艺'!#REF!</f>
        <v>#REF!</v>
      </c>
      <c r="Q73" s="50" t="e">
        <f>'11工艺'!#REF!</f>
        <v>#REF!</v>
      </c>
      <c r="R73" s="53" t="e">
        <f>'11工艺'!#REF!</f>
        <v>#REF!</v>
      </c>
      <c r="S73" s="51" t="e">
        <f>'11工艺'!#REF!</f>
        <v>#REF!</v>
      </c>
      <c r="T73" s="55" t="e">
        <f>'11工艺'!#REF!</f>
        <v>#REF!</v>
      </c>
      <c r="U73" s="55"/>
      <c r="V73" s="55" t="e">
        <f>'11工艺'!#REF!</f>
        <v>#REF!</v>
      </c>
    </row>
    <row r="74" spans="1:22">
      <c r="A74" s="50" t="e">
        <f>'11工艺'!#REF!</f>
        <v>#REF!</v>
      </c>
      <c r="B74" s="51" t="e">
        <f>'11工艺'!#REF!</f>
        <v>#REF!</v>
      </c>
      <c r="C74" s="55" t="e">
        <f>'11工艺'!#REF!</f>
        <v>#REF!</v>
      </c>
      <c r="D74" s="51" t="e">
        <f>'11工艺'!#REF!</f>
        <v>#REF!</v>
      </c>
      <c r="E74" s="52" t="e">
        <f>'11工艺'!#REF!</f>
        <v>#REF!</v>
      </c>
      <c r="F74" s="41" t="e">
        <f>'11工艺'!#REF!</f>
        <v>#REF!</v>
      </c>
      <c r="G74" s="50" t="e">
        <f>'11工艺'!#REF!</f>
        <v>#REF!</v>
      </c>
      <c r="H74" s="53" t="e">
        <f>'11工艺'!#REF!</f>
        <v>#REF!</v>
      </c>
      <c r="I74" s="51" t="e">
        <f>'11工艺'!#REF!</f>
        <v>#REF!</v>
      </c>
      <c r="J74" s="55" t="e">
        <f>'11工艺'!#REF!</f>
        <v>#REF!</v>
      </c>
      <c r="K74" s="55" t="e">
        <f>'11工艺'!#REF!</f>
        <v>#REF!</v>
      </c>
      <c r="L74" s="44" t="e">
        <f>'11工艺'!#REF!</f>
        <v>#REF!</v>
      </c>
      <c r="M74" s="44" t="e">
        <f>'11工艺'!#REF!</f>
        <v>#REF!</v>
      </c>
      <c r="N74" s="54" t="e">
        <f>'11工艺'!#REF!</f>
        <v>#REF!</v>
      </c>
      <c r="O74" s="49" t="e">
        <f>'11工艺'!#REF!</f>
        <v>#REF!</v>
      </c>
      <c r="P74" s="41" t="e">
        <f>'11工艺'!#REF!</f>
        <v>#REF!</v>
      </c>
      <c r="Q74" s="50" t="e">
        <f>'11工艺'!#REF!</f>
        <v>#REF!</v>
      </c>
      <c r="R74" s="53" t="e">
        <f>'11工艺'!#REF!</f>
        <v>#REF!</v>
      </c>
      <c r="S74" s="51" t="e">
        <f>'11工艺'!#REF!</f>
        <v>#REF!</v>
      </c>
      <c r="T74" s="55" t="e">
        <f>'11工艺'!#REF!</f>
        <v>#REF!</v>
      </c>
      <c r="U74" s="55"/>
      <c r="V74" s="55" t="e">
        <f>'11工艺'!#REF!</f>
        <v>#REF!</v>
      </c>
    </row>
    <row r="75" spans="1:22">
      <c r="A75" s="50" t="e">
        <f>'11工艺'!#REF!</f>
        <v>#REF!</v>
      </c>
      <c r="B75" s="51" t="e">
        <f>'11工艺'!#REF!</f>
        <v>#REF!</v>
      </c>
      <c r="C75" s="55" t="e">
        <f>'11工艺'!#REF!</f>
        <v>#REF!</v>
      </c>
      <c r="D75" s="51" t="e">
        <f>'11工艺'!#REF!</f>
        <v>#REF!</v>
      </c>
      <c r="E75" s="52" t="e">
        <f>'11工艺'!#REF!</f>
        <v>#REF!</v>
      </c>
      <c r="F75" s="41" t="e">
        <f>'11工艺'!#REF!</f>
        <v>#REF!</v>
      </c>
      <c r="G75" s="50" t="e">
        <f>'11工艺'!#REF!</f>
        <v>#REF!</v>
      </c>
      <c r="H75" s="53" t="e">
        <f>'11工艺'!#REF!</f>
        <v>#REF!</v>
      </c>
      <c r="I75" s="51" t="e">
        <f>'11工艺'!#REF!</f>
        <v>#REF!</v>
      </c>
      <c r="J75" s="55" t="e">
        <f>'11工艺'!#REF!</f>
        <v>#REF!</v>
      </c>
      <c r="K75" s="55" t="e">
        <f>'11工艺'!#REF!</f>
        <v>#REF!</v>
      </c>
      <c r="L75" s="44" t="e">
        <f>'11工艺'!#REF!</f>
        <v>#REF!</v>
      </c>
      <c r="M75" s="44" t="e">
        <f>'11工艺'!#REF!</f>
        <v>#REF!</v>
      </c>
      <c r="N75" s="54" t="e">
        <f>'11工艺'!#REF!</f>
        <v>#REF!</v>
      </c>
      <c r="O75" s="49" t="e">
        <f>'11工艺'!#REF!</f>
        <v>#REF!</v>
      </c>
      <c r="P75" s="41" t="e">
        <f>'11工艺'!#REF!</f>
        <v>#REF!</v>
      </c>
      <c r="Q75" s="50" t="e">
        <f>'11工艺'!#REF!</f>
        <v>#REF!</v>
      </c>
      <c r="R75" s="53" t="e">
        <f>'11工艺'!#REF!</f>
        <v>#REF!</v>
      </c>
      <c r="S75" s="51" t="e">
        <f>'11工艺'!#REF!</f>
        <v>#REF!</v>
      </c>
      <c r="T75" s="55" t="e">
        <f>'11工艺'!#REF!</f>
        <v>#REF!</v>
      </c>
      <c r="U75" s="55"/>
      <c r="V75" s="55" t="e">
        <f>'11工艺'!#REF!</f>
        <v>#REF!</v>
      </c>
    </row>
    <row r="76" spans="1:22">
      <c r="A76" s="50" t="e">
        <f>'11工艺'!#REF!</f>
        <v>#REF!</v>
      </c>
      <c r="B76" s="51" t="e">
        <f>'11工艺'!#REF!</f>
        <v>#REF!</v>
      </c>
      <c r="C76" s="55" t="e">
        <f>'11工艺'!#REF!</f>
        <v>#REF!</v>
      </c>
      <c r="D76" s="51" t="e">
        <f>'11工艺'!#REF!</f>
        <v>#REF!</v>
      </c>
      <c r="E76" s="52" t="e">
        <f>'11工艺'!#REF!</f>
        <v>#REF!</v>
      </c>
      <c r="F76" s="41" t="e">
        <f>'11工艺'!#REF!</f>
        <v>#REF!</v>
      </c>
      <c r="G76" s="50" t="e">
        <f>'11工艺'!#REF!</f>
        <v>#REF!</v>
      </c>
      <c r="H76" s="53" t="e">
        <f>'11工艺'!#REF!</f>
        <v>#REF!</v>
      </c>
      <c r="I76" s="51" t="e">
        <f>'11工艺'!#REF!</f>
        <v>#REF!</v>
      </c>
      <c r="J76" s="55" t="e">
        <f>'11工艺'!#REF!</f>
        <v>#REF!</v>
      </c>
      <c r="K76" s="55" t="e">
        <f>'11工艺'!#REF!</f>
        <v>#REF!</v>
      </c>
      <c r="L76" s="44" t="e">
        <f>'11工艺'!#REF!</f>
        <v>#REF!</v>
      </c>
      <c r="M76" s="44" t="e">
        <f>'11工艺'!#REF!</f>
        <v>#REF!</v>
      </c>
      <c r="N76" s="54" t="e">
        <f>'11工艺'!#REF!</f>
        <v>#REF!</v>
      </c>
      <c r="O76" s="49" t="e">
        <f>'11工艺'!#REF!</f>
        <v>#REF!</v>
      </c>
      <c r="P76" s="41" t="e">
        <f>'11工艺'!#REF!</f>
        <v>#REF!</v>
      </c>
      <c r="Q76" s="50" t="e">
        <f>'11工艺'!#REF!</f>
        <v>#REF!</v>
      </c>
      <c r="R76" s="53" t="e">
        <f>'11工艺'!#REF!</f>
        <v>#REF!</v>
      </c>
      <c r="S76" s="51" t="e">
        <f>'11工艺'!#REF!</f>
        <v>#REF!</v>
      </c>
      <c r="T76" s="55" t="e">
        <f>'11工艺'!#REF!</f>
        <v>#REF!</v>
      </c>
      <c r="U76" s="55"/>
      <c r="V76" s="55" t="e">
        <f>'11工艺'!#REF!</f>
        <v>#REF!</v>
      </c>
    </row>
    <row r="77" spans="1:22">
      <c r="A77" s="50" t="e">
        <f>'11工艺'!#REF!</f>
        <v>#REF!</v>
      </c>
      <c r="B77" s="51" t="e">
        <f>'11工艺'!#REF!</f>
        <v>#REF!</v>
      </c>
      <c r="C77" s="55" t="e">
        <f>'11工艺'!#REF!</f>
        <v>#REF!</v>
      </c>
      <c r="D77" s="51" t="e">
        <f>'11工艺'!#REF!</f>
        <v>#REF!</v>
      </c>
      <c r="E77" s="52" t="e">
        <f>'11工艺'!#REF!</f>
        <v>#REF!</v>
      </c>
      <c r="F77" s="41" t="e">
        <f>'11工艺'!#REF!</f>
        <v>#REF!</v>
      </c>
      <c r="G77" s="50" t="e">
        <f>'11工艺'!#REF!</f>
        <v>#REF!</v>
      </c>
      <c r="H77" s="53" t="e">
        <f>'11工艺'!#REF!</f>
        <v>#REF!</v>
      </c>
      <c r="I77" s="51" t="e">
        <f>'11工艺'!#REF!</f>
        <v>#REF!</v>
      </c>
      <c r="J77" s="55" t="e">
        <f>'11工艺'!#REF!</f>
        <v>#REF!</v>
      </c>
      <c r="K77" s="55" t="e">
        <f>'11工艺'!#REF!</f>
        <v>#REF!</v>
      </c>
      <c r="L77" s="44" t="e">
        <f>'11工艺'!#REF!</f>
        <v>#REF!</v>
      </c>
      <c r="M77" s="44" t="e">
        <f>'11工艺'!#REF!</f>
        <v>#REF!</v>
      </c>
      <c r="N77" s="44" t="e">
        <f>'11工艺'!#REF!</f>
        <v>#REF!</v>
      </c>
      <c r="O77" s="49" t="e">
        <f>'11工艺'!#REF!</f>
        <v>#REF!</v>
      </c>
      <c r="P77" s="41" t="e">
        <f>'11工艺'!#REF!</f>
        <v>#REF!</v>
      </c>
      <c r="Q77" s="50" t="e">
        <f>'11工艺'!#REF!</f>
        <v>#REF!</v>
      </c>
      <c r="R77" s="53" t="e">
        <f>'11工艺'!#REF!</f>
        <v>#REF!</v>
      </c>
      <c r="S77" s="51" t="e">
        <f>'11工艺'!#REF!</f>
        <v>#REF!</v>
      </c>
      <c r="T77" s="55" t="e">
        <f>'11工艺'!#REF!</f>
        <v>#REF!</v>
      </c>
      <c r="U77" s="55"/>
      <c r="V77" s="55" t="e">
        <f>'11工艺'!#REF!</f>
        <v>#REF!</v>
      </c>
    </row>
    <row r="78" spans="1:22">
      <c r="A78" s="42" t="e">
        <f>'11工艺'!#REF!</f>
        <v>#REF!</v>
      </c>
      <c r="B78" s="40" t="e">
        <f>'11工艺'!#REF!</f>
        <v>#REF!</v>
      </c>
      <c r="C78" s="55" t="e">
        <f>'11工艺'!#REF!</f>
        <v>#REF!</v>
      </c>
      <c r="D78" s="45" t="e">
        <f>'11工艺'!#REF!</f>
        <v>#REF!</v>
      </c>
      <c r="E78" s="46" t="e">
        <f>'11工艺'!#REF!</f>
        <v>#REF!</v>
      </c>
      <c r="F78" s="55" t="e">
        <f>'11工艺'!#REF!</f>
        <v>#REF!</v>
      </c>
      <c r="G78" s="42" t="e">
        <f>'11工艺'!#REF!</f>
        <v>#REF!</v>
      </c>
      <c r="H78" s="43" t="e">
        <f>'11工艺'!#REF!</f>
        <v>#REF!</v>
      </c>
      <c r="I78" s="51" t="e">
        <f>'11工艺'!#REF!</f>
        <v>#REF!</v>
      </c>
      <c r="J78" s="55" t="e">
        <f>'11工艺'!#REF!</f>
        <v>#REF!</v>
      </c>
      <c r="K78" s="55" t="e">
        <f>'11工艺'!#REF!</f>
        <v>#REF!</v>
      </c>
      <c r="L78" s="40" t="e">
        <f>'11工艺'!#REF!</f>
        <v>#REF!</v>
      </c>
      <c r="M78" s="40" t="e">
        <f>'11工艺'!#REF!</f>
        <v>#REF!</v>
      </c>
      <c r="N78" s="56" t="e">
        <f>'11工艺'!#REF!</f>
        <v>#REF!</v>
      </c>
      <c r="O78" s="46" t="e">
        <f>'11工艺'!#REF!</f>
        <v>#REF!</v>
      </c>
      <c r="P78" s="55" t="e">
        <f>'11工艺'!#REF!</f>
        <v>#REF!</v>
      </c>
      <c r="Q78" s="42" t="e">
        <f>'11工艺'!#REF!</f>
        <v>#REF!</v>
      </c>
      <c r="R78" s="43" t="e">
        <f>'11工艺'!#REF!</f>
        <v>#REF!</v>
      </c>
      <c r="S78" s="51" t="e">
        <f>'11工艺'!#REF!</f>
        <v>#REF!</v>
      </c>
      <c r="T78" s="55" t="e">
        <f>'11工艺'!#REF!</f>
        <v>#REF!</v>
      </c>
      <c r="U78" s="55"/>
      <c r="V78" s="55" t="e">
        <f>'11工艺'!#REF!</f>
        <v>#REF!</v>
      </c>
    </row>
    <row r="79" spans="1:22">
      <c r="A79" s="50" t="e">
        <f>'11工艺'!#REF!</f>
        <v>#REF!</v>
      </c>
      <c r="B79" s="51" t="e">
        <f>'11工艺'!#REF!</f>
        <v>#REF!</v>
      </c>
      <c r="C79" s="55" t="e">
        <f>'11工艺'!#REF!</f>
        <v>#REF!</v>
      </c>
      <c r="D79" s="51" t="e">
        <f>'11工艺'!#REF!</f>
        <v>#REF!</v>
      </c>
      <c r="E79" s="52" t="e">
        <f>'11工艺'!#REF!</f>
        <v>#REF!</v>
      </c>
      <c r="F79" s="55" t="e">
        <f>'11工艺'!#REF!</f>
        <v>#REF!</v>
      </c>
      <c r="G79" s="50" t="e">
        <f>'11工艺'!#REF!</f>
        <v>#REF!</v>
      </c>
      <c r="H79" s="53" t="e">
        <f>'11工艺'!#REF!</f>
        <v>#REF!</v>
      </c>
      <c r="I79" s="51" t="e">
        <f>'11工艺'!#REF!</f>
        <v>#REF!</v>
      </c>
      <c r="J79" s="55" t="e">
        <f>'11工艺'!#REF!</f>
        <v>#REF!</v>
      </c>
      <c r="K79" s="55" t="e">
        <f>'11工艺'!#REF!</f>
        <v>#REF!</v>
      </c>
      <c r="L79" s="44" t="e">
        <f>'11工艺'!#REF!</f>
        <v>#REF!</v>
      </c>
      <c r="M79" s="44" t="e">
        <f>'11工艺'!#REF!</f>
        <v>#REF!</v>
      </c>
      <c r="N79" s="44" t="e">
        <f>'11工艺'!#REF!</f>
        <v>#REF!</v>
      </c>
      <c r="O79" s="49" t="e">
        <f>'11工艺'!#REF!</f>
        <v>#REF!</v>
      </c>
      <c r="P79" s="55" t="e">
        <f>'11工艺'!#REF!</f>
        <v>#REF!</v>
      </c>
      <c r="Q79" s="50" t="e">
        <f>'11工艺'!#REF!</f>
        <v>#REF!</v>
      </c>
      <c r="R79" s="53" t="e">
        <f>'11工艺'!#REF!</f>
        <v>#REF!</v>
      </c>
      <c r="S79" s="51" t="e">
        <f>'11工艺'!#REF!</f>
        <v>#REF!</v>
      </c>
      <c r="T79" s="55" t="e">
        <f>'11工艺'!#REF!</f>
        <v>#REF!</v>
      </c>
      <c r="U79" s="55"/>
      <c r="V79" s="55" t="e">
        <f>'11工艺'!#REF!</f>
        <v>#REF!</v>
      </c>
    </row>
    <row r="80" spans="1:22">
      <c r="A80" s="50" t="e">
        <f>'11工艺'!#REF!</f>
        <v>#REF!</v>
      </c>
      <c r="B80" s="51" t="e">
        <f>'11工艺'!#REF!</f>
        <v>#REF!</v>
      </c>
      <c r="C80" s="55" t="e">
        <f>'11工艺'!#REF!</f>
        <v>#REF!</v>
      </c>
      <c r="D80" s="51" t="e">
        <f>'11工艺'!#REF!</f>
        <v>#REF!</v>
      </c>
      <c r="E80" s="52" t="e">
        <f>'11工艺'!#REF!</f>
        <v>#REF!</v>
      </c>
      <c r="F80" s="41" t="e">
        <f>'11工艺'!#REF!</f>
        <v>#REF!</v>
      </c>
      <c r="G80" s="50" t="e">
        <f>'11工艺'!#REF!</f>
        <v>#REF!</v>
      </c>
      <c r="H80" s="53" t="e">
        <f>'11工艺'!#REF!</f>
        <v>#REF!</v>
      </c>
      <c r="I80" s="51" t="e">
        <f>'11工艺'!#REF!</f>
        <v>#REF!</v>
      </c>
      <c r="J80" s="55" t="e">
        <f>'11工艺'!#REF!</f>
        <v>#REF!</v>
      </c>
      <c r="K80" s="55" t="e">
        <f>'11工艺'!#REF!</f>
        <v>#REF!</v>
      </c>
      <c r="L80" s="44" t="e">
        <f>'11工艺'!#REF!</f>
        <v>#REF!</v>
      </c>
      <c r="M80" s="44" t="e">
        <f>'11工艺'!#REF!</f>
        <v>#REF!</v>
      </c>
      <c r="N80" s="54" t="e">
        <f>'11工艺'!#REF!</f>
        <v>#REF!</v>
      </c>
      <c r="O80" s="49" t="e">
        <f>'11工艺'!#REF!</f>
        <v>#REF!</v>
      </c>
      <c r="P80" s="41" t="e">
        <f>'11工艺'!#REF!</f>
        <v>#REF!</v>
      </c>
      <c r="Q80" s="50" t="e">
        <f>'11工艺'!#REF!</f>
        <v>#REF!</v>
      </c>
      <c r="R80" s="53" t="e">
        <f>'11工艺'!#REF!</f>
        <v>#REF!</v>
      </c>
      <c r="S80" s="51" t="e">
        <f>'11工艺'!#REF!</f>
        <v>#REF!</v>
      </c>
      <c r="T80" s="55" t="e">
        <f>'11工艺'!#REF!</f>
        <v>#REF!</v>
      </c>
      <c r="U80" s="55"/>
      <c r="V80" s="55" t="e">
        <f>'11工艺'!#REF!</f>
        <v>#REF!</v>
      </c>
    </row>
    <row r="81" spans="1:22">
      <c r="A81" s="50" t="e">
        <f>'11工艺'!#REF!</f>
        <v>#REF!</v>
      </c>
      <c r="B81" s="51" t="e">
        <f>'11工艺'!#REF!</f>
        <v>#REF!</v>
      </c>
      <c r="C81" s="55" t="e">
        <f>'11工艺'!#REF!</f>
        <v>#REF!</v>
      </c>
      <c r="D81" s="51" t="e">
        <f>'11工艺'!#REF!</f>
        <v>#REF!</v>
      </c>
      <c r="E81" s="52" t="e">
        <f>'11工艺'!#REF!</f>
        <v>#REF!</v>
      </c>
      <c r="F81" s="41" t="e">
        <f>'11工艺'!#REF!</f>
        <v>#REF!</v>
      </c>
      <c r="G81" s="50" t="e">
        <f>'11工艺'!#REF!</f>
        <v>#REF!</v>
      </c>
      <c r="H81" s="53" t="e">
        <f>'11工艺'!#REF!</f>
        <v>#REF!</v>
      </c>
      <c r="I81" s="51" t="e">
        <f>'11工艺'!#REF!</f>
        <v>#REF!</v>
      </c>
      <c r="J81" s="55" t="e">
        <f>'11工艺'!#REF!</f>
        <v>#REF!</v>
      </c>
      <c r="K81" s="55" t="e">
        <f>'11工艺'!#REF!</f>
        <v>#REF!</v>
      </c>
      <c r="L81" s="44" t="e">
        <f>'11工艺'!#REF!</f>
        <v>#REF!</v>
      </c>
      <c r="M81" s="44" t="e">
        <f>'11工艺'!#REF!</f>
        <v>#REF!</v>
      </c>
      <c r="N81" s="54" t="e">
        <f>'11工艺'!#REF!</f>
        <v>#REF!</v>
      </c>
      <c r="O81" s="49" t="e">
        <f>'11工艺'!#REF!</f>
        <v>#REF!</v>
      </c>
      <c r="P81" s="41" t="e">
        <f>'11工艺'!#REF!</f>
        <v>#REF!</v>
      </c>
      <c r="Q81" s="50" t="e">
        <f>'11工艺'!#REF!</f>
        <v>#REF!</v>
      </c>
      <c r="R81" s="53" t="e">
        <f>'11工艺'!#REF!</f>
        <v>#REF!</v>
      </c>
      <c r="S81" s="51" t="e">
        <f>'11工艺'!#REF!</f>
        <v>#REF!</v>
      </c>
      <c r="T81" s="55" t="e">
        <f>'11工艺'!#REF!</f>
        <v>#REF!</v>
      </c>
      <c r="U81" s="55"/>
      <c r="V81" s="55" t="e">
        <f>'11工艺'!#REF!</f>
        <v>#REF!</v>
      </c>
    </row>
    <row r="82" spans="1:22">
      <c r="A82" s="50" t="e">
        <f>'11工艺'!#REF!</f>
        <v>#REF!</v>
      </c>
      <c r="B82" s="51" t="e">
        <f>'11工艺'!#REF!</f>
        <v>#REF!</v>
      </c>
      <c r="C82" s="55" t="e">
        <f>'11工艺'!#REF!</f>
        <v>#REF!</v>
      </c>
      <c r="D82" s="51" t="e">
        <f>'11工艺'!#REF!</f>
        <v>#REF!</v>
      </c>
      <c r="E82" s="52" t="e">
        <f>'11工艺'!#REF!</f>
        <v>#REF!</v>
      </c>
      <c r="F82" s="41" t="e">
        <f>'11工艺'!#REF!</f>
        <v>#REF!</v>
      </c>
      <c r="G82" s="50" t="e">
        <f>'11工艺'!#REF!</f>
        <v>#REF!</v>
      </c>
      <c r="H82" s="53" t="e">
        <f>'11工艺'!#REF!</f>
        <v>#REF!</v>
      </c>
      <c r="I82" s="51" t="e">
        <f>'11工艺'!#REF!</f>
        <v>#REF!</v>
      </c>
      <c r="J82" s="55" t="e">
        <f>'11工艺'!#REF!</f>
        <v>#REF!</v>
      </c>
      <c r="K82" s="55" t="e">
        <f>'11工艺'!#REF!</f>
        <v>#REF!</v>
      </c>
      <c r="L82" s="44" t="e">
        <f>'11工艺'!#REF!</f>
        <v>#REF!</v>
      </c>
      <c r="M82" s="44" t="e">
        <f>'11工艺'!#REF!</f>
        <v>#REF!</v>
      </c>
      <c r="N82" s="54" t="e">
        <f>'11工艺'!#REF!</f>
        <v>#REF!</v>
      </c>
      <c r="O82" s="49" t="e">
        <f>'11工艺'!#REF!</f>
        <v>#REF!</v>
      </c>
      <c r="P82" s="41" t="e">
        <f>'11工艺'!#REF!</f>
        <v>#REF!</v>
      </c>
      <c r="Q82" s="50" t="e">
        <f>'11工艺'!#REF!</f>
        <v>#REF!</v>
      </c>
      <c r="R82" s="53" t="e">
        <f>'11工艺'!#REF!</f>
        <v>#REF!</v>
      </c>
      <c r="S82" s="51" t="e">
        <f>'11工艺'!#REF!</f>
        <v>#REF!</v>
      </c>
      <c r="T82" s="55" t="e">
        <f>'11工艺'!#REF!</f>
        <v>#REF!</v>
      </c>
      <c r="U82" s="55"/>
      <c r="V82" s="55" t="e">
        <f>'11工艺'!#REF!</f>
        <v>#REF!</v>
      </c>
    </row>
    <row r="83" spans="1:22">
      <c r="A83" s="50" t="e">
        <f>'11工艺'!#REF!</f>
        <v>#REF!</v>
      </c>
      <c r="B83" s="51" t="e">
        <f>'11工艺'!#REF!</f>
        <v>#REF!</v>
      </c>
      <c r="C83" s="55" t="e">
        <f>'11工艺'!#REF!</f>
        <v>#REF!</v>
      </c>
      <c r="D83" s="51" t="e">
        <f>'11工艺'!#REF!</f>
        <v>#REF!</v>
      </c>
      <c r="E83" s="52" t="e">
        <f>'11工艺'!#REF!</f>
        <v>#REF!</v>
      </c>
      <c r="F83" s="41" t="e">
        <f>'11工艺'!#REF!</f>
        <v>#REF!</v>
      </c>
      <c r="G83" s="50" t="e">
        <f>'11工艺'!#REF!</f>
        <v>#REF!</v>
      </c>
      <c r="H83" s="53" t="e">
        <f>'11工艺'!#REF!</f>
        <v>#REF!</v>
      </c>
      <c r="I83" s="51" t="e">
        <f>'11工艺'!#REF!</f>
        <v>#REF!</v>
      </c>
      <c r="J83" s="55" t="e">
        <f>'11工艺'!#REF!</f>
        <v>#REF!</v>
      </c>
      <c r="K83" s="55" t="e">
        <f>'11工艺'!#REF!</f>
        <v>#REF!</v>
      </c>
      <c r="L83" s="44" t="e">
        <f>'11工艺'!#REF!</f>
        <v>#REF!</v>
      </c>
      <c r="M83" s="44" t="e">
        <f>'11工艺'!#REF!</f>
        <v>#REF!</v>
      </c>
      <c r="N83" s="54" t="e">
        <f>'11工艺'!#REF!</f>
        <v>#REF!</v>
      </c>
      <c r="O83" s="49" t="e">
        <f>'11工艺'!#REF!</f>
        <v>#REF!</v>
      </c>
      <c r="P83" s="41" t="e">
        <f>'11工艺'!#REF!</f>
        <v>#REF!</v>
      </c>
      <c r="Q83" s="50" t="e">
        <f>'11工艺'!#REF!</f>
        <v>#REF!</v>
      </c>
      <c r="R83" s="53" t="e">
        <f>'11工艺'!#REF!</f>
        <v>#REF!</v>
      </c>
      <c r="S83" s="51" t="e">
        <f>'11工艺'!#REF!</f>
        <v>#REF!</v>
      </c>
      <c r="T83" s="55" t="e">
        <f>'11工艺'!#REF!</f>
        <v>#REF!</v>
      </c>
      <c r="U83" s="55"/>
      <c r="V83" s="55" t="e">
        <f>'11工艺'!#REF!</f>
        <v>#REF!</v>
      </c>
    </row>
    <row r="84" spans="1:22">
      <c r="A84" s="50" t="e">
        <f>'11工艺'!#REF!</f>
        <v>#REF!</v>
      </c>
      <c r="B84" s="51" t="e">
        <f>'11工艺'!#REF!</f>
        <v>#REF!</v>
      </c>
      <c r="C84" s="55" t="e">
        <f>'11工艺'!#REF!</f>
        <v>#REF!</v>
      </c>
      <c r="D84" s="51" t="e">
        <f>'11工艺'!#REF!</f>
        <v>#REF!</v>
      </c>
      <c r="E84" s="52" t="e">
        <f>'11工艺'!#REF!</f>
        <v>#REF!</v>
      </c>
      <c r="F84" s="41" t="e">
        <f>'11工艺'!#REF!</f>
        <v>#REF!</v>
      </c>
      <c r="G84" s="50" t="e">
        <f>'11工艺'!#REF!</f>
        <v>#REF!</v>
      </c>
      <c r="H84" s="53" t="e">
        <f>'11工艺'!#REF!</f>
        <v>#REF!</v>
      </c>
      <c r="I84" s="51" t="e">
        <f>'11工艺'!#REF!</f>
        <v>#REF!</v>
      </c>
      <c r="J84" s="55" t="e">
        <f>'11工艺'!#REF!</f>
        <v>#REF!</v>
      </c>
      <c r="K84" s="55" t="e">
        <f>'11工艺'!#REF!</f>
        <v>#REF!</v>
      </c>
      <c r="L84" s="44" t="e">
        <f>'11工艺'!#REF!</f>
        <v>#REF!</v>
      </c>
      <c r="M84" s="44" t="e">
        <f>'11工艺'!#REF!</f>
        <v>#REF!</v>
      </c>
      <c r="N84" s="54" t="e">
        <f>'11工艺'!#REF!</f>
        <v>#REF!</v>
      </c>
      <c r="O84" s="49" t="e">
        <f>'11工艺'!#REF!</f>
        <v>#REF!</v>
      </c>
      <c r="P84" s="41" t="e">
        <f>'11工艺'!#REF!</f>
        <v>#REF!</v>
      </c>
      <c r="Q84" s="50" t="e">
        <f>'11工艺'!#REF!</f>
        <v>#REF!</v>
      </c>
      <c r="R84" s="53" t="e">
        <f>'11工艺'!#REF!</f>
        <v>#REF!</v>
      </c>
      <c r="S84" s="51" t="e">
        <f>'11工艺'!#REF!</f>
        <v>#REF!</v>
      </c>
      <c r="T84" s="55" t="e">
        <f>'11工艺'!#REF!</f>
        <v>#REF!</v>
      </c>
      <c r="U84" s="55"/>
      <c r="V84" s="55" t="e">
        <f>'11工艺'!#REF!</f>
        <v>#REF!</v>
      </c>
    </row>
    <row r="85" spans="1:22">
      <c r="A85" s="50" t="e">
        <f>'11工艺'!#REF!</f>
        <v>#REF!</v>
      </c>
      <c r="B85" s="51" t="e">
        <f>'11工艺'!#REF!</f>
        <v>#REF!</v>
      </c>
      <c r="C85" s="55" t="e">
        <f>'11工艺'!#REF!</f>
        <v>#REF!</v>
      </c>
      <c r="D85" s="51" t="e">
        <f>'11工艺'!#REF!</f>
        <v>#REF!</v>
      </c>
      <c r="E85" s="52" t="e">
        <f>'11工艺'!#REF!</f>
        <v>#REF!</v>
      </c>
      <c r="F85" s="41" t="e">
        <f>'11工艺'!#REF!</f>
        <v>#REF!</v>
      </c>
      <c r="G85" s="50" t="e">
        <f>'11工艺'!#REF!</f>
        <v>#REF!</v>
      </c>
      <c r="H85" s="53" t="e">
        <f>'11工艺'!#REF!</f>
        <v>#REF!</v>
      </c>
      <c r="I85" s="51" t="e">
        <f>'11工艺'!#REF!</f>
        <v>#REF!</v>
      </c>
      <c r="J85" s="55" t="e">
        <f>'11工艺'!#REF!</f>
        <v>#REF!</v>
      </c>
      <c r="K85" s="55" t="e">
        <f>'11工艺'!#REF!</f>
        <v>#REF!</v>
      </c>
      <c r="L85" s="44" t="e">
        <f>'11工艺'!#REF!</f>
        <v>#REF!</v>
      </c>
      <c r="M85" s="44" t="e">
        <f>'11工艺'!#REF!</f>
        <v>#REF!</v>
      </c>
      <c r="N85" s="54" t="e">
        <f>'11工艺'!#REF!</f>
        <v>#REF!</v>
      </c>
      <c r="O85" s="49" t="e">
        <f>'11工艺'!#REF!</f>
        <v>#REF!</v>
      </c>
      <c r="P85" s="41" t="e">
        <f>'11工艺'!#REF!</f>
        <v>#REF!</v>
      </c>
      <c r="Q85" s="50" t="e">
        <f>'11工艺'!#REF!</f>
        <v>#REF!</v>
      </c>
      <c r="R85" s="53" t="e">
        <f>'11工艺'!#REF!</f>
        <v>#REF!</v>
      </c>
      <c r="S85" s="51" t="e">
        <f>'11工艺'!#REF!</f>
        <v>#REF!</v>
      </c>
      <c r="T85" s="55" t="e">
        <f>'11工艺'!#REF!</f>
        <v>#REF!</v>
      </c>
      <c r="U85" s="55"/>
      <c r="V85" s="55" t="e">
        <f>'11工艺'!#REF!</f>
        <v>#REF!</v>
      </c>
    </row>
    <row r="86" spans="1:22">
      <c r="A86" s="50" t="e">
        <f>'11工艺'!#REF!</f>
        <v>#REF!</v>
      </c>
      <c r="B86" s="51" t="e">
        <f>'11工艺'!#REF!</f>
        <v>#REF!</v>
      </c>
      <c r="C86" s="55" t="e">
        <f>'11工艺'!#REF!</f>
        <v>#REF!</v>
      </c>
      <c r="D86" s="51" t="e">
        <f>'11工艺'!#REF!</f>
        <v>#REF!</v>
      </c>
      <c r="E86" s="52" t="e">
        <f>'11工艺'!#REF!</f>
        <v>#REF!</v>
      </c>
      <c r="F86" s="41" t="e">
        <f>'11工艺'!#REF!</f>
        <v>#REF!</v>
      </c>
      <c r="G86" s="50" t="e">
        <f>'11工艺'!#REF!</f>
        <v>#REF!</v>
      </c>
      <c r="H86" s="53" t="e">
        <f>'11工艺'!#REF!</f>
        <v>#REF!</v>
      </c>
      <c r="I86" s="51" t="e">
        <f>'11工艺'!#REF!</f>
        <v>#REF!</v>
      </c>
      <c r="J86" s="55" t="e">
        <f>'11工艺'!#REF!</f>
        <v>#REF!</v>
      </c>
      <c r="K86" s="55" t="e">
        <f>'11工艺'!#REF!</f>
        <v>#REF!</v>
      </c>
      <c r="L86" s="44" t="e">
        <f>'11工艺'!#REF!</f>
        <v>#REF!</v>
      </c>
      <c r="M86" s="44" t="e">
        <f>'11工艺'!#REF!</f>
        <v>#REF!</v>
      </c>
      <c r="N86" s="54" t="e">
        <f>'11工艺'!#REF!</f>
        <v>#REF!</v>
      </c>
      <c r="O86" s="49" t="e">
        <f>'11工艺'!#REF!</f>
        <v>#REF!</v>
      </c>
      <c r="P86" s="41" t="e">
        <f>'11工艺'!#REF!</f>
        <v>#REF!</v>
      </c>
      <c r="Q86" s="50" t="e">
        <f>'11工艺'!#REF!</f>
        <v>#REF!</v>
      </c>
      <c r="R86" s="53" t="e">
        <f>'11工艺'!#REF!</f>
        <v>#REF!</v>
      </c>
      <c r="S86" s="51" t="e">
        <f>'11工艺'!#REF!</f>
        <v>#REF!</v>
      </c>
      <c r="T86" s="55" t="e">
        <f>'11工艺'!#REF!</f>
        <v>#REF!</v>
      </c>
      <c r="U86" s="55"/>
      <c r="V86" s="55" t="e">
        <f>'11工艺'!#REF!</f>
        <v>#REF!</v>
      </c>
    </row>
    <row r="87" spans="1:22">
      <c r="A87" s="50" t="e">
        <f>'11工艺'!#REF!</f>
        <v>#REF!</v>
      </c>
      <c r="B87" s="51" t="e">
        <f>'11工艺'!#REF!</f>
        <v>#REF!</v>
      </c>
      <c r="C87" s="55" t="e">
        <f>'11工艺'!#REF!</f>
        <v>#REF!</v>
      </c>
      <c r="D87" s="51" t="e">
        <f>'11工艺'!#REF!</f>
        <v>#REF!</v>
      </c>
      <c r="E87" s="52" t="e">
        <f>'11工艺'!#REF!</f>
        <v>#REF!</v>
      </c>
      <c r="F87" s="55" t="e">
        <f>'11工艺'!#REF!</f>
        <v>#REF!</v>
      </c>
      <c r="G87" s="50" t="e">
        <f>'11工艺'!#REF!</f>
        <v>#REF!</v>
      </c>
      <c r="H87" s="53" t="e">
        <f>'11工艺'!#REF!</f>
        <v>#REF!</v>
      </c>
      <c r="I87" s="51" t="e">
        <f>'11工艺'!#REF!</f>
        <v>#REF!</v>
      </c>
      <c r="J87" s="55" t="e">
        <f>'11工艺'!#REF!</f>
        <v>#REF!</v>
      </c>
      <c r="K87" s="55" t="e">
        <f>'11工艺'!#REF!</f>
        <v>#REF!</v>
      </c>
      <c r="L87" s="44" t="e">
        <f>'11工艺'!#REF!</f>
        <v>#REF!</v>
      </c>
      <c r="M87" s="44" t="e">
        <f>'11工艺'!#REF!</f>
        <v>#REF!</v>
      </c>
      <c r="N87" s="54" t="e">
        <f>'11工艺'!#REF!</f>
        <v>#REF!</v>
      </c>
      <c r="O87" s="49" t="e">
        <f>'11工艺'!#REF!</f>
        <v>#REF!</v>
      </c>
      <c r="P87" s="55" t="e">
        <f>'11工艺'!#REF!</f>
        <v>#REF!</v>
      </c>
      <c r="Q87" s="50" t="e">
        <f>'11工艺'!#REF!</f>
        <v>#REF!</v>
      </c>
      <c r="R87" s="53" t="e">
        <f>'11工艺'!#REF!</f>
        <v>#REF!</v>
      </c>
      <c r="S87" s="51" t="e">
        <f>'11工艺'!#REF!</f>
        <v>#REF!</v>
      </c>
      <c r="T87" s="55" t="e">
        <f>'11工艺'!#REF!</f>
        <v>#REF!</v>
      </c>
      <c r="U87" s="55"/>
      <c r="V87" s="55" t="e">
        <f>'11工艺'!#REF!</f>
        <v>#REF!</v>
      </c>
    </row>
    <row r="88" spans="1:22">
      <c r="A88" s="50" t="e">
        <f>'11工艺'!#REF!</f>
        <v>#REF!</v>
      </c>
      <c r="B88" s="51" t="e">
        <f>'11工艺'!#REF!</f>
        <v>#REF!</v>
      </c>
      <c r="C88" s="55" t="e">
        <f>'11工艺'!#REF!</f>
        <v>#REF!</v>
      </c>
      <c r="D88" s="51" t="e">
        <f>'11工艺'!#REF!</f>
        <v>#REF!</v>
      </c>
      <c r="E88" s="52" t="e">
        <f>'11工艺'!#REF!</f>
        <v>#REF!</v>
      </c>
      <c r="F88" s="41" t="e">
        <f>'11工艺'!#REF!</f>
        <v>#REF!</v>
      </c>
      <c r="G88" s="50" t="e">
        <f>'11工艺'!#REF!</f>
        <v>#REF!</v>
      </c>
      <c r="H88" s="53" t="e">
        <f>'11工艺'!#REF!</f>
        <v>#REF!</v>
      </c>
      <c r="I88" s="51" t="e">
        <f>'11工艺'!#REF!</f>
        <v>#REF!</v>
      </c>
      <c r="J88" s="55" t="e">
        <f>'11工艺'!#REF!</f>
        <v>#REF!</v>
      </c>
      <c r="K88" s="55" t="e">
        <f>'11工艺'!#REF!</f>
        <v>#REF!</v>
      </c>
      <c r="L88" s="44" t="e">
        <f>'11工艺'!#REF!</f>
        <v>#REF!</v>
      </c>
      <c r="M88" s="44" t="e">
        <f>'11工艺'!#REF!</f>
        <v>#REF!</v>
      </c>
      <c r="N88" s="54" t="e">
        <f>'11工艺'!#REF!</f>
        <v>#REF!</v>
      </c>
      <c r="O88" s="49" t="e">
        <f>'11工艺'!#REF!</f>
        <v>#REF!</v>
      </c>
      <c r="P88" s="41" t="e">
        <f>'11工艺'!#REF!</f>
        <v>#REF!</v>
      </c>
      <c r="Q88" s="50" t="e">
        <f>'11工艺'!#REF!</f>
        <v>#REF!</v>
      </c>
      <c r="R88" s="53" t="e">
        <f>'11工艺'!#REF!</f>
        <v>#REF!</v>
      </c>
      <c r="S88" s="51" t="e">
        <f>'11工艺'!#REF!</f>
        <v>#REF!</v>
      </c>
      <c r="T88" s="55" t="e">
        <f>'11工艺'!#REF!</f>
        <v>#REF!</v>
      </c>
      <c r="U88" s="55"/>
      <c r="V88" s="55" t="e">
        <f>'11工艺'!#REF!</f>
        <v>#REF!</v>
      </c>
    </row>
    <row r="89" spans="1:22">
      <c r="A89" s="50" t="e">
        <f>'11工艺'!#REF!</f>
        <v>#REF!</v>
      </c>
      <c r="B89" s="51" t="e">
        <f>'11工艺'!#REF!</f>
        <v>#REF!</v>
      </c>
      <c r="C89" s="55" t="e">
        <f>'11工艺'!#REF!</f>
        <v>#REF!</v>
      </c>
      <c r="D89" s="51" t="e">
        <f>'11工艺'!#REF!</f>
        <v>#REF!</v>
      </c>
      <c r="E89" s="52" t="e">
        <f>'11工艺'!#REF!</f>
        <v>#REF!</v>
      </c>
      <c r="F89" s="41" t="e">
        <f>'11工艺'!#REF!</f>
        <v>#REF!</v>
      </c>
      <c r="G89" s="50" t="e">
        <f>'11工艺'!#REF!</f>
        <v>#REF!</v>
      </c>
      <c r="H89" s="53" t="e">
        <f>'11工艺'!#REF!</f>
        <v>#REF!</v>
      </c>
      <c r="I89" s="51" t="e">
        <f>'11工艺'!#REF!</f>
        <v>#REF!</v>
      </c>
      <c r="J89" s="55" t="e">
        <f>'11工艺'!#REF!</f>
        <v>#REF!</v>
      </c>
      <c r="K89" s="55" t="e">
        <f>'11工艺'!#REF!</f>
        <v>#REF!</v>
      </c>
      <c r="L89" s="44" t="e">
        <f>'11工艺'!#REF!</f>
        <v>#REF!</v>
      </c>
      <c r="M89" s="44" t="e">
        <f>'11工艺'!#REF!</f>
        <v>#REF!</v>
      </c>
      <c r="N89" s="54" t="e">
        <f>'11工艺'!#REF!</f>
        <v>#REF!</v>
      </c>
      <c r="O89" s="49" t="e">
        <f>'11工艺'!#REF!</f>
        <v>#REF!</v>
      </c>
      <c r="P89" s="41" t="e">
        <f>'11工艺'!#REF!</f>
        <v>#REF!</v>
      </c>
      <c r="Q89" s="50" t="e">
        <f>'11工艺'!#REF!</f>
        <v>#REF!</v>
      </c>
      <c r="R89" s="53" t="e">
        <f>'11工艺'!#REF!</f>
        <v>#REF!</v>
      </c>
      <c r="S89" s="51" t="e">
        <f>'11工艺'!#REF!</f>
        <v>#REF!</v>
      </c>
      <c r="T89" s="55" t="e">
        <f>'11工艺'!#REF!</f>
        <v>#REF!</v>
      </c>
      <c r="U89" s="55"/>
      <c r="V89" s="55" t="e">
        <f>'11工艺'!#REF!</f>
        <v>#REF!</v>
      </c>
    </row>
    <row r="90" spans="1:22">
      <c r="A90" s="50" t="e">
        <f>'11工艺'!#REF!</f>
        <v>#REF!</v>
      </c>
      <c r="B90" s="51" t="e">
        <f>'11工艺'!#REF!</f>
        <v>#REF!</v>
      </c>
      <c r="C90" s="55" t="e">
        <f>'11工艺'!#REF!</f>
        <v>#REF!</v>
      </c>
      <c r="D90" s="51" t="e">
        <f>'11工艺'!#REF!</f>
        <v>#REF!</v>
      </c>
      <c r="E90" s="52" t="e">
        <f>'11工艺'!#REF!</f>
        <v>#REF!</v>
      </c>
      <c r="F90" s="41" t="e">
        <f>'11工艺'!#REF!</f>
        <v>#REF!</v>
      </c>
      <c r="G90" s="50" t="e">
        <f>'11工艺'!#REF!</f>
        <v>#REF!</v>
      </c>
      <c r="H90" s="53" t="e">
        <f>'11工艺'!#REF!</f>
        <v>#REF!</v>
      </c>
      <c r="I90" s="51" t="e">
        <f>'11工艺'!#REF!</f>
        <v>#REF!</v>
      </c>
      <c r="J90" s="55" t="e">
        <f>'11工艺'!#REF!</f>
        <v>#REF!</v>
      </c>
      <c r="K90" s="55" t="e">
        <f>'11工艺'!#REF!</f>
        <v>#REF!</v>
      </c>
      <c r="L90" s="44" t="e">
        <f>'11工艺'!#REF!</f>
        <v>#REF!</v>
      </c>
      <c r="M90" s="44" t="e">
        <f>'11工艺'!#REF!</f>
        <v>#REF!</v>
      </c>
      <c r="N90" s="54" t="e">
        <f>'11工艺'!#REF!</f>
        <v>#REF!</v>
      </c>
      <c r="O90" s="49" t="e">
        <f>'11工艺'!#REF!</f>
        <v>#REF!</v>
      </c>
      <c r="P90" s="41" t="e">
        <f>'11工艺'!#REF!</f>
        <v>#REF!</v>
      </c>
      <c r="Q90" s="50" t="e">
        <f>'11工艺'!#REF!</f>
        <v>#REF!</v>
      </c>
      <c r="R90" s="53" t="e">
        <f>'11工艺'!#REF!</f>
        <v>#REF!</v>
      </c>
      <c r="S90" s="51" t="e">
        <f>'11工艺'!#REF!</f>
        <v>#REF!</v>
      </c>
      <c r="T90" s="55" t="e">
        <f>'11工艺'!#REF!</f>
        <v>#REF!</v>
      </c>
      <c r="U90" s="55"/>
      <c r="V90" s="55" t="e">
        <f>'11工艺'!#REF!</f>
        <v>#REF!</v>
      </c>
    </row>
    <row r="91" spans="1:22">
      <c r="A91" s="50" t="e">
        <f>'11工艺'!#REF!</f>
        <v>#REF!</v>
      </c>
      <c r="B91" s="51" t="e">
        <f>'11工艺'!#REF!</f>
        <v>#REF!</v>
      </c>
      <c r="C91" s="55" t="e">
        <f>'11工艺'!#REF!</f>
        <v>#REF!</v>
      </c>
      <c r="D91" s="51" t="e">
        <f>'11工艺'!#REF!</f>
        <v>#REF!</v>
      </c>
      <c r="E91" s="52" t="e">
        <f>'11工艺'!#REF!</f>
        <v>#REF!</v>
      </c>
      <c r="F91" s="55" t="e">
        <f>'11工艺'!#REF!</f>
        <v>#REF!</v>
      </c>
      <c r="G91" s="50" t="e">
        <f>'11工艺'!#REF!</f>
        <v>#REF!</v>
      </c>
      <c r="H91" s="53" t="e">
        <f>'11工艺'!#REF!</f>
        <v>#REF!</v>
      </c>
      <c r="I91" s="51" t="e">
        <f>'11工艺'!#REF!</f>
        <v>#REF!</v>
      </c>
      <c r="J91" s="55" t="e">
        <f>'11工艺'!#REF!</f>
        <v>#REF!</v>
      </c>
      <c r="K91" s="55" t="e">
        <f>'11工艺'!#REF!</f>
        <v>#REF!</v>
      </c>
      <c r="L91" s="44" t="e">
        <f>'11工艺'!#REF!</f>
        <v>#REF!</v>
      </c>
      <c r="M91" s="44" t="e">
        <f>'11工艺'!#REF!</f>
        <v>#REF!</v>
      </c>
      <c r="N91" s="54" t="e">
        <f>'11工艺'!#REF!</f>
        <v>#REF!</v>
      </c>
      <c r="O91" s="49" t="e">
        <f>'11工艺'!#REF!</f>
        <v>#REF!</v>
      </c>
      <c r="P91" s="55" t="e">
        <f>'11工艺'!#REF!</f>
        <v>#REF!</v>
      </c>
      <c r="Q91" s="50" t="e">
        <f>'11工艺'!#REF!</f>
        <v>#REF!</v>
      </c>
      <c r="R91" s="53" t="e">
        <f>'11工艺'!#REF!</f>
        <v>#REF!</v>
      </c>
      <c r="S91" s="51" t="e">
        <f>'11工艺'!#REF!</f>
        <v>#REF!</v>
      </c>
      <c r="T91" s="55" t="e">
        <f>'11工艺'!#REF!</f>
        <v>#REF!</v>
      </c>
      <c r="U91" s="55"/>
      <c r="V91" s="55" t="e">
        <f>'11工艺'!#REF!</f>
        <v>#REF!</v>
      </c>
    </row>
    <row r="92" spans="1:22">
      <c r="A92" s="50" t="e">
        <f>'11工艺'!#REF!</f>
        <v>#REF!</v>
      </c>
      <c r="B92" s="51" t="e">
        <f>'11工艺'!#REF!</f>
        <v>#REF!</v>
      </c>
      <c r="C92" s="55" t="e">
        <f>'11工艺'!#REF!</f>
        <v>#REF!</v>
      </c>
      <c r="D92" s="51" t="e">
        <f>'11工艺'!#REF!</f>
        <v>#REF!</v>
      </c>
      <c r="E92" s="52" t="e">
        <f>'11工艺'!#REF!</f>
        <v>#REF!</v>
      </c>
      <c r="F92" s="41" t="e">
        <f>'11工艺'!#REF!</f>
        <v>#REF!</v>
      </c>
      <c r="G92" s="50" t="e">
        <f>'11工艺'!#REF!</f>
        <v>#REF!</v>
      </c>
      <c r="H92" s="53" t="e">
        <f>'11工艺'!#REF!</f>
        <v>#REF!</v>
      </c>
      <c r="I92" s="51" t="e">
        <f>'11工艺'!#REF!</f>
        <v>#REF!</v>
      </c>
      <c r="J92" s="55" t="e">
        <f>'11工艺'!#REF!</f>
        <v>#REF!</v>
      </c>
      <c r="K92" s="55" t="e">
        <f>'11工艺'!#REF!</f>
        <v>#REF!</v>
      </c>
      <c r="L92" s="44" t="e">
        <f>'11工艺'!#REF!</f>
        <v>#REF!</v>
      </c>
      <c r="M92" s="44" t="e">
        <f>'11工艺'!#REF!</f>
        <v>#REF!</v>
      </c>
      <c r="N92" s="54" t="e">
        <f>'11工艺'!#REF!</f>
        <v>#REF!</v>
      </c>
      <c r="O92" s="49" t="e">
        <f>'11工艺'!#REF!</f>
        <v>#REF!</v>
      </c>
      <c r="P92" s="41" t="e">
        <f>'11工艺'!#REF!</f>
        <v>#REF!</v>
      </c>
      <c r="Q92" s="50" t="e">
        <f>'11工艺'!#REF!</f>
        <v>#REF!</v>
      </c>
      <c r="R92" s="53" t="e">
        <f>'11工艺'!#REF!</f>
        <v>#REF!</v>
      </c>
      <c r="S92" s="51" t="e">
        <f>'11工艺'!#REF!</f>
        <v>#REF!</v>
      </c>
      <c r="T92" s="55" t="e">
        <f>'11工艺'!#REF!</f>
        <v>#REF!</v>
      </c>
      <c r="U92" s="55"/>
      <c r="V92" s="55" t="e">
        <f>'11工艺'!#REF!</f>
        <v>#REF!</v>
      </c>
    </row>
    <row r="93" spans="1:22">
      <c r="A93" s="50" t="e">
        <f>'11工艺'!#REF!</f>
        <v>#REF!</v>
      </c>
      <c r="B93" s="51" t="e">
        <f>'11工艺'!#REF!</f>
        <v>#REF!</v>
      </c>
      <c r="C93" s="55" t="e">
        <f>'11工艺'!#REF!</f>
        <v>#REF!</v>
      </c>
      <c r="D93" s="51" t="e">
        <f>'11工艺'!#REF!</f>
        <v>#REF!</v>
      </c>
      <c r="E93" s="52" t="e">
        <f>'11工艺'!#REF!</f>
        <v>#REF!</v>
      </c>
      <c r="F93" s="41" t="e">
        <f>'11工艺'!#REF!</f>
        <v>#REF!</v>
      </c>
      <c r="G93" s="50" t="e">
        <f>'11工艺'!#REF!</f>
        <v>#REF!</v>
      </c>
      <c r="H93" s="53" t="e">
        <f>'11工艺'!#REF!</f>
        <v>#REF!</v>
      </c>
      <c r="I93" s="51" t="e">
        <f>'11工艺'!#REF!</f>
        <v>#REF!</v>
      </c>
      <c r="J93" s="55" t="e">
        <f>'11工艺'!#REF!</f>
        <v>#REF!</v>
      </c>
      <c r="K93" s="55" t="e">
        <f>'11工艺'!#REF!</f>
        <v>#REF!</v>
      </c>
      <c r="L93" s="44" t="e">
        <f>'11工艺'!#REF!</f>
        <v>#REF!</v>
      </c>
      <c r="M93" s="44" t="e">
        <f>'11工艺'!#REF!</f>
        <v>#REF!</v>
      </c>
      <c r="N93" s="54" t="e">
        <f>'11工艺'!#REF!</f>
        <v>#REF!</v>
      </c>
      <c r="O93" s="49" t="e">
        <f>'11工艺'!#REF!</f>
        <v>#REF!</v>
      </c>
      <c r="P93" s="41" t="e">
        <f>'11工艺'!#REF!</f>
        <v>#REF!</v>
      </c>
      <c r="Q93" s="50" t="e">
        <f>'11工艺'!#REF!</f>
        <v>#REF!</v>
      </c>
      <c r="R93" s="53" t="e">
        <f>'11工艺'!#REF!</f>
        <v>#REF!</v>
      </c>
      <c r="S93" s="51" t="e">
        <f>'11工艺'!#REF!</f>
        <v>#REF!</v>
      </c>
      <c r="T93" s="55" t="e">
        <f>'11工艺'!#REF!</f>
        <v>#REF!</v>
      </c>
      <c r="U93" s="55"/>
      <c r="V93" s="55" t="e">
        <f>'11工艺'!#REF!</f>
        <v>#REF!</v>
      </c>
    </row>
    <row r="94" spans="1:22">
      <c r="A94" s="50" t="e">
        <f>'11工艺'!#REF!</f>
        <v>#REF!</v>
      </c>
      <c r="B94" s="51" t="e">
        <f>'11工艺'!#REF!</f>
        <v>#REF!</v>
      </c>
      <c r="C94" s="55" t="e">
        <f>'11工艺'!#REF!</f>
        <v>#REF!</v>
      </c>
      <c r="D94" s="51" t="e">
        <f>'11工艺'!#REF!</f>
        <v>#REF!</v>
      </c>
      <c r="E94" s="52" t="e">
        <f>'11工艺'!#REF!</f>
        <v>#REF!</v>
      </c>
      <c r="F94" s="41" t="e">
        <f>'11工艺'!#REF!</f>
        <v>#REF!</v>
      </c>
      <c r="G94" s="50" t="e">
        <f>'11工艺'!#REF!</f>
        <v>#REF!</v>
      </c>
      <c r="H94" s="53" t="e">
        <f>'11工艺'!#REF!</f>
        <v>#REF!</v>
      </c>
      <c r="I94" s="51" t="e">
        <f>'11工艺'!#REF!</f>
        <v>#REF!</v>
      </c>
      <c r="J94" s="55" t="e">
        <f>'11工艺'!#REF!</f>
        <v>#REF!</v>
      </c>
      <c r="K94" s="55" t="e">
        <f>'11工艺'!#REF!</f>
        <v>#REF!</v>
      </c>
      <c r="L94" s="44" t="e">
        <f>'11工艺'!#REF!</f>
        <v>#REF!</v>
      </c>
      <c r="M94" s="44" t="e">
        <f>'11工艺'!#REF!</f>
        <v>#REF!</v>
      </c>
      <c r="N94" s="54" t="e">
        <f>'11工艺'!#REF!</f>
        <v>#REF!</v>
      </c>
      <c r="O94" s="49" t="e">
        <f>'11工艺'!#REF!</f>
        <v>#REF!</v>
      </c>
      <c r="P94" s="41" t="e">
        <f>'11工艺'!#REF!</f>
        <v>#REF!</v>
      </c>
      <c r="Q94" s="50" t="e">
        <f>'11工艺'!#REF!</f>
        <v>#REF!</v>
      </c>
      <c r="R94" s="53" t="e">
        <f>'11工艺'!#REF!</f>
        <v>#REF!</v>
      </c>
      <c r="S94" s="51" t="e">
        <f>'11工艺'!#REF!</f>
        <v>#REF!</v>
      </c>
      <c r="T94" s="55" t="e">
        <f>'11工艺'!#REF!</f>
        <v>#REF!</v>
      </c>
      <c r="U94" s="55"/>
      <c r="V94" s="55" t="e">
        <f>'11工艺'!#REF!</f>
        <v>#REF!</v>
      </c>
    </row>
    <row r="95" spans="1:22">
      <c r="A95" s="50" t="e">
        <f>'11工艺'!#REF!</f>
        <v>#REF!</v>
      </c>
      <c r="B95" s="51" t="e">
        <f>'11工艺'!#REF!</f>
        <v>#REF!</v>
      </c>
      <c r="C95" s="55" t="e">
        <f>'11工艺'!#REF!</f>
        <v>#REF!</v>
      </c>
      <c r="D95" s="51" t="e">
        <f>'11工艺'!#REF!</f>
        <v>#REF!</v>
      </c>
      <c r="E95" s="52" t="e">
        <f>'11工艺'!#REF!</f>
        <v>#REF!</v>
      </c>
      <c r="F95" s="41" t="e">
        <f>'11工艺'!#REF!</f>
        <v>#REF!</v>
      </c>
      <c r="G95" s="50" t="e">
        <f>'11工艺'!#REF!</f>
        <v>#REF!</v>
      </c>
      <c r="H95" s="53" t="e">
        <f>'11工艺'!#REF!</f>
        <v>#REF!</v>
      </c>
      <c r="I95" s="51" t="e">
        <f>'11工艺'!#REF!</f>
        <v>#REF!</v>
      </c>
      <c r="J95" s="55" t="e">
        <f>'11工艺'!#REF!</f>
        <v>#REF!</v>
      </c>
      <c r="K95" s="55" t="e">
        <f>'11工艺'!#REF!</f>
        <v>#REF!</v>
      </c>
      <c r="L95" s="44" t="e">
        <f>'11工艺'!#REF!</f>
        <v>#REF!</v>
      </c>
      <c r="M95" s="44" t="e">
        <f>'11工艺'!#REF!</f>
        <v>#REF!</v>
      </c>
      <c r="N95" s="54" t="e">
        <f>'11工艺'!#REF!</f>
        <v>#REF!</v>
      </c>
      <c r="O95" s="49" t="e">
        <f>'11工艺'!#REF!</f>
        <v>#REF!</v>
      </c>
      <c r="P95" s="41" t="e">
        <f>'11工艺'!#REF!</f>
        <v>#REF!</v>
      </c>
      <c r="Q95" s="50" t="e">
        <f>'11工艺'!#REF!</f>
        <v>#REF!</v>
      </c>
      <c r="R95" s="53" t="e">
        <f>'11工艺'!#REF!</f>
        <v>#REF!</v>
      </c>
      <c r="S95" s="51" t="e">
        <f>'11工艺'!#REF!</f>
        <v>#REF!</v>
      </c>
      <c r="T95" s="55" t="e">
        <f>'11工艺'!#REF!</f>
        <v>#REF!</v>
      </c>
      <c r="U95" s="55"/>
      <c r="V95" s="55" t="e">
        <f>'11工艺'!#REF!</f>
        <v>#REF!</v>
      </c>
    </row>
    <row r="96" spans="1:22">
      <c r="A96" s="50" t="e">
        <f>'11工艺'!#REF!</f>
        <v>#REF!</v>
      </c>
      <c r="B96" s="51" t="e">
        <f>'11工艺'!#REF!</f>
        <v>#REF!</v>
      </c>
      <c r="C96" s="55" t="e">
        <f>'11工艺'!#REF!</f>
        <v>#REF!</v>
      </c>
      <c r="D96" s="51" t="e">
        <f>'11工艺'!#REF!</f>
        <v>#REF!</v>
      </c>
      <c r="E96" s="52" t="e">
        <f>'11工艺'!#REF!</f>
        <v>#REF!</v>
      </c>
      <c r="F96" s="41" t="e">
        <f>'11工艺'!#REF!</f>
        <v>#REF!</v>
      </c>
      <c r="G96" s="50" t="e">
        <f>'11工艺'!#REF!</f>
        <v>#REF!</v>
      </c>
      <c r="H96" s="53" t="e">
        <f>'11工艺'!#REF!</f>
        <v>#REF!</v>
      </c>
      <c r="I96" s="51" t="e">
        <f>'11工艺'!#REF!</f>
        <v>#REF!</v>
      </c>
      <c r="J96" s="55" t="e">
        <f>'11工艺'!#REF!</f>
        <v>#REF!</v>
      </c>
      <c r="K96" s="55" t="e">
        <f>'11工艺'!#REF!</f>
        <v>#REF!</v>
      </c>
      <c r="L96" s="44" t="e">
        <f>'11工艺'!#REF!</f>
        <v>#REF!</v>
      </c>
      <c r="M96" s="44" t="e">
        <f>'11工艺'!#REF!</f>
        <v>#REF!</v>
      </c>
      <c r="N96" s="54" t="e">
        <f>'11工艺'!#REF!</f>
        <v>#REF!</v>
      </c>
      <c r="O96" s="49" t="e">
        <f>'11工艺'!#REF!</f>
        <v>#REF!</v>
      </c>
      <c r="P96" s="41" t="e">
        <f>'11工艺'!#REF!</f>
        <v>#REF!</v>
      </c>
      <c r="Q96" s="50" t="e">
        <f>'11工艺'!#REF!</f>
        <v>#REF!</v>
      </c>
      <c r="R96" s="53" t="e">
        <f>'11工艺'!#REF!</f>
        <v>#REF!</v>
      </c>
      <c r="S96" s="51" t="e">
        <f>'11工艺'!#REF!</f>
        <v>#REF!</v>
      </c>
      <c r="T96" s="55" t="e">
        <f>'11工艺'!#REF!</f>
        <v>#REF!</v>
      </c>
      <c r="U96" s="55"/>
      <c r="V96" s="55" t="e">
        <f>'11工艺'!#REF!</f>
        <v>#REF!</v>
      </c>
    </row>
    <row r="97" spans="1:22">
      <c r="A97" s="50" t="e">
        <f>'11工艺'!#REF!</f>
        <v>#REF!</v>
      </c>
      <c r="B97" s="51" t="e">
        <f>'11工艺'!#REF!</f>
        <v>#REF!</v>
      </c>
      <c r="C97" s="55" t="e">
        <f>'11工艺'!#REF!</f>
        <v>#REF!</v>
      </c>
      <c r="D97" s="51" t="e">
        <f>'11工艺'!#REF!</f>
        <v>#REF!</v>
      </c>
      <c r="E97" s="52" t="e">
        <f>'11工艺'!#REF!</f>
        <v>#REF!</v>
      </c>
      <c r="F97" s="41" t="e">
        <f>'11工艺'!#REF!</f>
        <v>#REF!</v>
      </c>
      <c r="G97" s="50" t="e">
        <f>'11工艺'!#REF!</f>
        <v>#REF!</v>
      </c>
      <c r="H97" s="53" t="e">
        <f>'11工艺'!#REF!</f>
        <v>#REF!</v>
      </c>
      <c r="I97" s="51" t="e">
        <f>'11工艺'!#REF!</f>
        <v>#REF!</v>
      </c>
      <c r="J97" s="55" t="e">
        <f>'11工艺'!#REF!</f>
        <v>#REF!</v>
      </c>
      <c r="K97" s="55" t="e">
        <f>'11工艺'!#REF!</f>
        <v>#REF!</v>
      </c>
      <c r="L97" s="44" t="e">
        <f>'11工艺'!#REF!</f>
        <v>#REF!</v>
      </c>
      <c r="M97" s="44" t="e">
        <f>'11工艺'!#REF!</f>
        <v>#REF!</v>
      </c>
      <c r="N97" s="54" t="e">
        <f>'11工艺'!#REF!</f>
        <v>#REF!</v>
      </c>
      <c r="O97" s="49" t="e">
        <f>'11工艺'!#REF!</f>
        <v>#REF!</v>
      </c>
      <c r="P97" s="41" t="e">
        <f>'11工艺'!#REF!</f>
        <v>#REF!</v>
      </c>
      <c r="Q97" s="50" t="e">
        <f>'11工艺'!#REF!</f>
        <v>#REF!</v>
      </c>
      <c r="R97" s="53" t="e">
        <f>'11工艺'!#REF!</f>
        <v>#REF!</v>
      </c>
      <c r="S97" s="51" t="e">
        <f>'11工艺'!#REF!</f>
        <v>#REF!</v>
      </c>
      <c r="T97" s="55" t="e">
        <f>'11工艺'!#REF!</f>
        <v>#REF!</v>
      </c>
      <c r="U97" s="55"/>
      <c r="V97" s="55" t="e">
        <f>'11工艺'!#REF!</f>
        <v>#REF!</v>
      </c>
    </row>
    <row r="98" spans="1:22">
      <c r="A98" s="50" t="e">
        <f>'11工艺'!#REF!</f>
        <v>#REF!</v>
      </c>
      <c r="B98" s="51" t="e">
        <f>'11工艺'!#REF!</f>
        <v>#REF!</v>
      </c>
      <c r="C98" s="55" t="e">
        <f>'11工艺'!#REF!</f>
        <v>#REF!</v>
      </c>
      <c r="D98" s="51" t="e">
        <f>'11工艺'!#REF!</f>
        <v>#REF!</v>
      </c>
      <c r="E98" s="52" t="e">
        <f>'11工艺'!#REF!</f>
        <v>#REF!</v>
      </c>
      <c r="F98" s="55" t="e">
        <f>'11工艺'!#REF!</f>
        <v>#REF!</v>
      </c>
      <c r="G98" s="50" t="e">
        <f>'11工艺'!#REF!</f>
        <v>#REF!</v>
      </c>
      <c r="H98" s="53" t="e">
        <f>'11工艺'!#REF!</f>
        <v>#REF!</v>
      </c>
      <c r="I98" s="51" t="e">
        <f>'11工艺'!#REF!</f>
        <v>#REF!</v>
      </c>
      <c r="J98" s="55" t="e">
        <f>'11工艺'!#REF!</f>
        <v>#REF!</v>
      </c>
      <c r="K98" s="55" t="e">
        <f>'11工艺'!#REF!</f>
        <v>#REF!</v>
      </c>
      <c r="L98" s="44" t="e">
        <f>'11工艺'!#REF!</f>
        <v>#REF!</v>
      </c>
      <c r="M98" s="44" t="e">
        <f>'11工艺'!#REF!</f>
        <v>#REF!</v>
      </c>
      <c r="N98" s="54" t="e">
        <f>'11工艺'!#REF!</f>
        <v>#REF!</v>
      </c>
      <c r="O98" s="49" t="e">
        <f>'11工艺'!#REF!</f>
        <v>#REF!</v>
      </c>
      <c r="P98" s="55" t="e">
        <f>'11工艺'!#REF!</f>
        <v>#REF!</v>
      </c>
      <c r="Q98" s="50" t="e">
        <f>'11工艺'!#REF!</f>
        <v>#REF!</v>
      </c>
      <c r="R98" s="53" t="e">
        <f>'11工艺'!#REF!</f>
        <v>#REF!</v>
      </c>
      <c r="S98" s="51" t="e">
        <f>'11工艺'!#REF!</f>
        <v>#REF!</v>
      </c>
      <c r="T98" s="55" t="e">
        <f>'11工艺'!#REF!</f>
        <v>#REF!</v>
      </c>
      <c r="U98" s="55"/>
      <c r="V98" s="55" t="e">
        <f>'11工艺'!#REF!</f>
        <v>#REF!</v>
      </c>
    </row>
    <row r="99" spans="1:22">
      <c r="A99" s="50" t="e">
        <f>'11工艺'!#REF!</f>
        <v>#REF!</v>
      </c>
      <c r="B99" s="51" t="e">
        <f>'11工艺'!#REF!</f>
        <v>#REF!</v>
      </c>
      <c r="C99" s="55" t="e">
        <f>'11工艺'!#REF!</f>
        <v>#REF!</v>
      </c>
      <c r="D99" s="51" t="e">
        <f>'11工艺'!#REF!</f>
        <v>#REF!</v>
      </c>
      <c r="E99" s="52" t="e">
        <f>'11工艺'!#REF!</f>
        <v>#REF!</v>
      </c>
      <c r="F99" s="41" t="e">
        <f>'11工艺'!#REF!</f>
        <v>#REF!</v>
      </c>
      <c r="G99" s="50" t="e">
        <f>'11工艺'!#REF!</f>
        <v>#REF!</v>
      </c>
      <c r="H99" s="53" t="e">
        <f>'11工艺'!#REF!</f>
        <v>#REF!</v>
      </c>
      <c r="I99" s="51" t="e">
        <f>'11工艺'!#REF!</f>
        <v>#REF!</v>
      </c>
      <c r="J99" s="55" t="e">
        <f>'11工艺'!#REF!</f>
        <v>#REF!</v>
      </c>
      <c r="K99" s="55" t="e">
        <f>'11工艺'!#REF!</f>
        <v>#REF!</v>
      </c>
      <c r="L99" s="44" t="e">
        <f>'11工艺'!#REF!</f>
        <v>#REF!</v>
      </c>
      <c r="M99" s="44" t="e">
        <f>'11工艺'!#REF!</f>
        <v>#REF!</v>
      </c>
      <c r="N99" s="54" t="e">
        <f>'11工艺'!#REF!</f>
        <v>#REF!</v>
      </c>
      <c r="O99" s="49" t="e">
        <f>'11工艺'!#REF!</f>
        <v>#REF!</v>
      </c>
      <c r="P99" s="41" t="e">
        <f>'11工艺'!#REF!</f>
        <v>#REF!</v>
      </c>
      <c r="Q99" s="50" t="e">
        <f>'11工艺'!#REF!</f>
        <v>#REF!</v>
      </c>
      <c r="R99" s="53" t="e">
        <f>'11工艺'!#REF!</f>
        <v>#REF!</v>
      </c>
      <c r="S99" s="51" t="e">
        <f>'11工艺'!#REF!</f>
        <v>#REF!</v>
      </c>
      <c r="T99" s="55" t="e">
        <f>'11工艺'!#REF!</f>
        <v>#REF!</v>
      </c>
      <c r="U99" s="55"/>
      <c r="V99" s="55" t="e">
        <f>'11工艺'!#REF!</f>
        <v>#REF!</v>
      </c>
    </row>
    <row r="100" spans="1:22">
      <c r="A100" s="50" t="e">
        <f>'11工艺'!#REF!</f>
        <v>#REF!</v>
      </c>
      <c r="B100" s="51" t="e">
        <f>'11工艺'!#REF!</f>
        <v>#REF!</v>
      </c>
      <c r="C100" s="55" t="e">
        <f>'11工艺'!#REF!</f>
        <v>#REF!</v>
      </c>
      <c r="D100" s="51" t="e">
        <f>'11工艺'!#REF!</f>
        <v>#REF!</v>
      </c>
      <c r="E100" s="52" t="e">
        <f>'11工艺'!#REF!</f>
        <v>#REF!</v>
      </c>
      <c r="F100" s="41" t="e">
        <f>'11工艺'!#REF!</f>
        <v>#REF!</v>
      </c>
      <c r="G100" s="50" t="e">
        <f>'11工艺'!#REF!</f>
        <v>#REF!</v>
      </c>
      <c r="H100" s="53" t="e">
        <f>'11工艺'!#REF!</f>
        <v>#REF!</v>
      </c>
      <c r="I100" s="51" t="e">
        <f>'11工艺'!#REF!</f>
        <v>#REF!</v>
      </c>
      <c r="J100" s="55" t="e">
        <f>'11工艺'!#REF!</f>
        <v>#REF!</v>
      </c>
      <c r="K100" s="55" t="e">
        <f>'11工艺'!#REF!</f>
        <v>#REF!</v>
      </c>
      <c r="L100" s="44" t="e">
        <f>'11工艺'!#REF!</f>
        <v>#REF!</v>
      </c>
      <c r="M100" s="44" t="e">
        <f>'11工艺'!#REF!</f>
        <v>#REF!</v>
      </c>
      <c r="N100" s="54" t="e">
        <f>'11工艺'!#REF!</f>
        <v>#REF!</v>
      </c>
      <c r="O100" s="49" t="e">
        <f>'11工艺'!#REF!</f>
        <v>#REF!</v>
      </c>
      <c r="P100" s="41" t="e">
        <f>'11工艺'!#REF!</f>
        <v>#REF!</v>
      </c>
      <c r="Q100" s="50" t="e">
        <f>'11工艺'!#REF!</f>
        <v>#REF!</v>
      </c>
      <c r="R100" s="53" t="e">
        <f>'11工艺'!#REF!</f>
        <v>#REF!</v>
      </c>
      <c r="S100" s="51" t="e">
        <f>'11工艺'!#REF!</f>
        <v>#REF!</v>
      </c>
      <c r="T100" s="55" t="e">
        <f>'11工艺'!#REF!</f>
        <v>#REF!</v>
      </c>
      <c r="U100" s="55"/>
      <c r="V100" s="55" t="e">
        <f>'11工艺'!#REF!</f>
        <v>#REF!</v>
      </c>
    </row>
    <row r="101" spans="1:22">
      <c r="A101" s="50" t="e">
        <f>'11工艺'!#REF!</f>
        <v>#REF!</v>
      </c>
      <c r="B101" s="51" t="e">
        <f>'11工艺'!#REF!</f>
        <v>#REF!</v>
      </c>
      <c r="C101" s="55" t="e">
        <f>'11工艺'!#REF!</f>
        <v>#REF!</v>
      </c>
      <c r="D101" s="51" t="e">
        <f>'11工艺'!#REF!</f>
        <v>#REF!</v>
      </c>
      <c r="E101" s="52" t="e">
        <f>'11工艺'!#REF!</f>
        <v>#REF!</v>
      </c>
      <c r="F101" s="41" t="e">
        <f>'11工艺'!#REF!</f>
        <v>#REF!</v>
      </c>
      <c r="G101" s="50" t="e">
        <f>'11工艺'!#REF!</f>
        <v>#REF!</v>
      </c>
      <c r="H101" s="53" t="e">
        <f>'11工艺'!#REF!</f>
        <v>#REF!</v>
      </c>
      <c r="I101" s="51" t="e">
        <f>'11工艺'!#REF!</f>
        <v>#REF!</v>
      </c>
      <c r="J101" s="55" t="e">
        <f>'11工艺'!#REF!</f>
        <v>#REF!</v>
      </c>
      <c r="K101" s="55" t="e">
        <f>'11工艺'!#REF!</f>
        <v>#REF!</v>
      </c>
      <c r="L101" s="44" t="e">
        <f>'11工艺'!#REF!</f>
        <v>#REF!</v>
      </c>
      <c r="M101" s="44" t="e">
        <f>'11工艺'!#REF!</f>
        <v>#REF!</v>
      </c>
      <c r="N101" s="54" t="e">
        <f>'11工艺'!#REF!</f>
        <v>#REF!</v>
      </c>
      <c r="O101" s="49" t="e">
        <f>'11工艺'!#REF!</f>
        <v>#REF!</v>
      </c>
      <c r="P101" s="41" t="e">
        <f>'11工艺'!#REF!</f>
        <v>#REF!</v>
      </c>
      <c r="Q101" s="50" t="e">
        <f>'11工艺'!#REF!</f>
        <v>#REF!</v>
      </c>
      <c r="R101" s="53" t="e">
        <f>'11工艺'!#REF!</f>
        <v>#REF!</v>
      </c>
      <c r="S101" s="51" t="e">
        <f>'11工艺'!#REF!</f>
        <v>#REF!</v>
      </c>
      <c r="T101" s="55" t="e">
        <f>'11工艺'!#REF!</f>
        <v>#REF!</v>
      </c>
      <c r="U101" s="55"/>
      <c r="V101" s="55" t="e">
        <f>'11工艺'!#REF!</f>
        <v>#REF!</v>
      </c>
    </row>
    <row r="102" spans="1:22">
      <c r="A102" s="50" t="e">
        <f>'11工艺'!#REF!</f>
        <v>#REF!</v>
      </c>
      <c r="B102" s="51" t="e">
        <f>'11工艺'!#REF!</f>
        <v>#REF!</v>
      </c>
      <c r="C102" s="55" t="e">
        <f>'11工艺'!#REF!</f>
        <v>#REF!</v>
      </c>
      <c r="D102" s="51" t="e">
        <f>'11工艺'!#REF!</f>
        <v>#REF!</v>
      </c>
      <c r="E102" s="52" t="e">
        <f>'11工艺'!#REF!</f>
        <v>#REF!</v>
      </c>
      <c r="F102" s="41" t="e">
        <f>'11工艺'!#REF!</f>
        <v>#REF!</v>
      </c>
      <c r="G102" s="50" t="e">
        <f>'11工艺'!#REF!</f>
        <v>#REF!</v>
      </c>
      <c r="H102" s="53" t="e">
        <f>'11工艺'!#REF!</f>
        <v>#REF!</v>
      </c>
      <c r="I102" s="51" t="e">
        <f>'11工艺'!#REF!</f>
        <v>#REF!</v>
      </c>
      <c r="J102" s="55" t="e">
        <f>'11工艺'!#REF!</f>
        <v>#REF!</v>
      </c>
      <c r="K102" s="55" t="e">
        <f>'11工艺'!#REF!</f>
        <v>#REF!</v>
      </c>
      <c r="L102" s="44" t="e">
        <f>'11工艺'!#REF!</f>
        <v>#REF!</v>
      </c>
      <c r="M102" s="44" t="e">
        <f>'11工艺'!#REF!</f>
        <v>#REF!</v>
      </c>
      <c r="N102" s="54" t="e">
        <f>'11工艺'!#REF!</f>
        <v>#REF!</v>
      </c>
      <c r="O102" s="49" t="e">
        <f>'11工艺'!#REF!</f>
        <v>#REF!</v>
      </c>
      <c r="P102" s="41" t="e">
        <f>'11工艺'!#REF!</f>
        <v>#REF!</v>
      </c>
      <c r="Q102" s="50" t="e">
        <f>'11工艺'!#REF!</f>
        <v>#REF!</v>
      </c>
      <c r="R102" s="53" t="e">
        <f>'11工艺'!#REF!</f>
        <v>#REF!</v>
      </c>
      <c r="S102" s="51" t="e">
        <f>'11工艺'!#REF!</f>
        <v>#REF!</v>
      </c>
      <c r="T102" s="55" t="e">
        <f>'11工艺'!#REF!</f>
        <v>#REF!</v>
      </c>
      <c r="U102" s="55"/>
      <c r="V102" s="55" t="e">
        <f>'11工艺'!#REF!</f>
        <v>#REF!</v>
      </c>
    </row>
    <row r="103" spans="1:22">
      <c r="A103" s="50" t="e">
        <f>'11工艺'!#REF!</f>
        <v>#REF!</v>
      </c>
      <c r="B103" s="51" t="e">
        <f>'11工艺'!#REF!</f>
        <v>#REF!</v>
      </c>
      <c r="C103" s="55" t="e">
        <f>'11工艺'!#REF!</f>
        <v>#REF!</v>
      </c>
      <c r="D103" s="51" t="e">
        <f>'11工艺'!#REF!</f>
        <v>#REF!</v>
      </c>
      <c r="E103" s="52" t="e">
        <f>'11工艺'!#REF!</f>
        <v>#REF!</v>
      </c>
      <c r="F103" s="41" t="e">
        <f>'11工艺'!#REF!</f>
        <v>#REF!</v>
      </c>
      <c r="G103" s="50" t="e">
        <f>'11工艺'!#REF!</f>
        <v>#REF!</v>
      </c>
      <c r="H103" s="53" t="e">
        <f>'11工艺'!#REF!</f>
        <v>#REF!</v>
      </c>
      <c r="I103" s="51" t="e">
        <f>'11工艺'!#REF!</f>
        <v>#REF!</v>
      </c>
      <c r="J103" s="55" t="e">
        <f>'11工艺'!#REF!</f>
        <v>#REF!</v>
      </c>
      <c r="K103" s="55" t="e">
        <f>'11工艺'!#REF!</f>
        <v>#REF!</v>
      </c>
      <c r="L103" s="44" t="e">
        <f>'11工艺'!#REF!</f>
        <v>#REF!</v>
      </c>
      <c r="M103" s="44" t="e">
        <f>'11工艺'!#REF!</f>
        <v>#REF!</v>
      </c>
      <c r="N103" s="54" t="e">
        <f>'11工艺'!#REF!</f>
        <v>#REF!</v>
      </c>
      <c r="O103" s="49" t="e">
        <f>'11工艺'!#REF!</f>
        <v>#REF!</v>
      </c>
      <c r="P103" s="41" t="e">
        <f>'11工艺'!#REF!</f>
        <v>#REF!</v>
      </c>
      <c r="Q103" s="50" t="e">
        <f>'11工艺'!#REF!</f>
        <v>#REF!</v>
      </c>
      <c r="R103" s="53" t="e">
        <f>'11工艺'!#REF!</f>
        <v>#REF!</v>
      </c>
      <c r="S103" s="51" t="e">
        <f>'11工艺'!#REF!</f>
        <v>#REF!</v>
      </c>
      <c r="T103" s="55" t="e">
        <f>'11工艺'!#REF!</f>
        <v>#REF!</v>
      </c>
      <c r="U103" s="55"/>
      <c r="V103" s="55" t="e">
        <f>'11工艺'!#REF!</f>
        <v>#REF!</v>
      </c>
    </row>
    <row r="104" spans="1:22">
      <c r="A104" s="50" t="e">
        <f>'11工艺'!#REF!</f>
        <v>#REF!</v>
      </c>
      <c r="B104" s="51" t="e">
        <f>'11工艺'!#REF!</f>
        <v>#REF!</v>
      </c>
      <c r="C104" s="55" t="e">
        <f>'11工艺'!#REF!</f>
        <v>#REF!</v>
      </c>
      <c r="D104" s="51" t="e">
        <f>'11工艺'!#REF!</f>
        <v>#REF!</v>
      </c>
      <c r="E104" s="52" t="e">
        <f>'11工艺'!#REF!</f>
        <v>#REF!</v>
      </c>
      <c r="F104" s="41" t="e">
        <f>'11工艺'!#REF!</f>
        <v>#REF!</v>
      </c>
      <c r="G104" s="50" t="e">
        <f>'11工艺'!#REF!</f>
        <v>#REF!</v>
      </c>
      <c r="H104" s="53" t="e">
        <f>'11工艺'!#REF!</f>
        <v>#REF!</v>
      </c>
      <c r="I104" s="51" t="e">
        <f>'11工艺'!#REF!</f>
        <v>#REF!</v>
      </c>
      <c r="J104" s="55" t="e">
        <f>'11工艺'!#REF!</f>
        <v>#REF!</v>
      </c>
      <c r="K104" s="55" t="e">
        <f>'11工艺'!#REF!</f>
        <v>#REF!</v>
      </c>
      <c r="L104" s="44" t="e">
        <f>'11工艺'!#REF!</f>
        <v>#REF!</v>
      </c>
      <c r="M104" s="44" t="e">
        <f>'11工艺'!#REF!</f>
        <v>#REF!</v>
      </c>
      <c r="N104" s="54" t="e">
        <f>'11工艺'!#REF!</f>
        <v>#REF!</v>
      </c>
      <c r="O104" s="49" t="e">
        <f>'11工艺'!#REF!</f>
        <v>#REF!</v>
      </c>
      <c r="P104" s="41" t="e">
        <f>'11工艺'!#REF!</f>
        <v>#REF!</v>
      </c>
      <c r="Q104" s="50" t="e">
        <f>'11工艺'!#REF!</f>
        <v>#REF!</v>
      </c>
      <c r="R104" s="53" t="e">
        <f>'11工艺'!#REF!</f>
        <v>#REF!</v>
      </c>
      <c r="S104" s="51" t="e">
        <f>'11工艺'!#REF!</f>
        <v>#REF!</v>
      </c>
      <c r="T104" s="55" t="e">
        <f>'11工艺'!#REF!</f>
        <v>#REF!</v>
      </c>
      <c r="U104" s="55"/>
      <c r="V104" s="55" t="e">
        <f>'11工艺'!#REF!</f>
        <v>#REF!</v>
      </c>
    </row>
    <row r="105" spans="1:22">
      <c r="A105" s="50" t="e">
        <f>'11工艺'!#REF!</f>
        <v>#REF!</v>
      </c>
      <c r="B105" s="51" t="e">
        <f>'11工艺'!#REF!</f>
        <v>#REF!</v>
      </c>
      <c r="C105" s="55" t="e">
        <f>'11工艺'!#REF!</f>
        <v>#REF!</v>
      </c>
      <c r="D105" s="51" t="e">
        <f>'11工艺'!#REF!</f>
        <v>#REF!</v>
      </c>
      <c r="E105" s="52" t="e">
        <f>'11工艺'!#REF!</f>
        <v>#REF!</v>
      </c>
      <c r="F105" s="41" t="e">
        <f>'11工艺'!#REF!</f>
        <v>#REF!</v>
      </c>
      <c r="G105" s="50" t="e">
        <f>'11工艺'!#REF!</f>
        <v>#REF!</v>
      </c>
      <c r="H105" s="53" t="e">
        <f>'11工艺'!#REF!</f>
        <v>#REF!</v>
      </c>
      <c r="I105" s="51" t="e">
        <f>'11工艺'!#REF!</f>
        <v>#REF!</v>
      </c>
      <c r="J105" s="55" t="e">
        <f>'11工艺'!#REF!</f>
        <v>#REF!</v>
      </c>
      <c r="K105" s="55" t="e">
        <f>'11工艺'!#REF!</f>
        <v>#REF!</v>
      </c>
      <c r="L105" s="44" t="e">
        <f>'11工艺'!#REF!</f>
        <v>#REF!</v>
      </c>
      <c r="M105" s="44" t="e">
        <f>'11工艺'!#REF!</f>
        <v>#REF!</v>
      </c>
      <c r="N105" s="54" t="e">
        <f>'11工艺'!#REF!</f>
        <v>#REF!</v>
      </c>
      <c r="O105" s="49" t="e">
        <f>'11工艺'!#REF!</f>
        <v>#REF!</v>
      </c>
      <c r="P105" s="41" t="e">
        <f>'11工艺'!#REF!</f>
        <v>#REF!</v>
      </c>
      <c r="Q105" s="50" t="e">
        <f>'11工艺'!#REF!</f>
        <v>#REF!</v>
      </c>
      <c r="R105" s="53" t="e">
        <f>'11工艺'!#REF!</f>
        <v>#REF!</v>
      </c>
      <c r="S105" s="51" t="e">
        <f>'11工艺'!#REF!</f>
        <v>#REF!</v>
      </c>
      <c r="T105" s="55" t="e">
        <f>'11工艺'!#REF!</f>
        <v>#REF!</v>
      </c>
      <c r="U105" s="55"/>
      <c r="V105" s="55" t="e">
        <f>'11工艺'!#REF!</f>
        <v>#REF!</v>
      </c>
    </row>
    <row r="106" spans="1:22">
      <c r="A106" s="50" t="e">
        <f>'11工艺'!#REF!</f>
        <v>#REF!</v>
      </c>
      <c r="B106" s="51" t="e">
        <f>'11工艺'!#REF!</f>
        <v>#REF!</v>
      </c>
      <c r="C106" s="55" t="e">
        <f>'11工艺'!#REF!</f>
        <v>#REF!</v>
      </c>
      <c r="D106" s="51" t="e">
        <f>'11工艺'!#REF!</f>
        <v>#REF!</v>
      </c>
      <c r="E106" s="52" t="e">
        <f>'11工艺'!#REF!</f>
        <v>#REF!</v>
      </c>
      <c r="F106" s="55" t="e">
        <f>'11工艺'!#REF!</f>
        <v>#REF!</v>
      </c>
      <c r="G106" s="50" t="e">
        <f>'11工艺'!#REF!</f>
        <v>#REF!</v>
      </c>
      <c r="H106" s="53" t="e">
        <f>'11工艺'!#REF!</f>
        <v>#REF!</v>
      </c>
      <c r="I106" s="51" t="e">
        <f>'11工艺'!#REF!</f>
        <v>#REF!</v>
      </c>
      <c r="J106" s="55" t="e">
        <f>'11工艺'!#REF!</f>
        <v>#REF!</v>
      </c>
      <c r="K106" s="55" t="e">
        <f>'11工艺'!#REF!</f>
        <v>#REF!</v>
      </c>
      <c r="L106" s="44" t="e">
        <f>'11工艺'!#REF!</f>
        <v>#REF!</v>
      </c>
      <c r="M106" s="44" t="e">
        <f>'11工艺'!#REF!</f>
        <v>#REF!</v>
      </c>
      <c r="N106" s="54" t="e">
        <f>'11工艺'!#REF!</f>
        <v>#REF!</v>
      </c>
      <c r="O106" s="49" t="e">
        <f>'11工艺'!#REF!</f>
        <v>#REF!</v>
      </c>
      <c r="P106" s="55" t="e">
        <f>'11工艺'!#REF!</f>
        <v>#REF!</v>
      </c>
      <c r="Q106" s="50" t="e">
        <f>'11工艺'!#REF!</f>
        <v>#REF!</v>
      </c>
      <c r="R106" s="53" t="e">
        <f>'11工艺'!#REF!</f>
        <v>#REF!</v>
      </c>
      <c r="S106" s="51" t="e">
        <f>'11工艺'!#REF!</f>
        <v>#REF!</v>
      </c>
      <c r="T106" s="55" t="e">
        <f>'11工艺'!#REF!</f>
        <v>#REF!</v>
      </c>
      <c r="U106" s="55"/>
      <c r="V106" s="55" t="e">
        <f>'11工艺'!#REF!</f>
        <v>#REF!</v>
      </c>
    </row>
    <row r="107" spans="1:22">
      <c r="A107" s="50" t="e">
        <f>'11工艺'!#REF!</f>
        <v>#REF!</v>
      </c>
      <c r="B107" s="51" t="e">
        <f>'11工艺'!#REF!</f>
        <v>#REF!</v>
      </c>
      <c r="C107" s="55" t="e">
        <f>'11工艺'!#REF!</f>
        <v>#REF!</v>
      </c>
      <c r="D107" s="51" t="e">
        <f>'11工艺'!#REF!</f>
        <v>#REF!</v>
      </c>
      <c r="E107" s="52" t="e">
        <f>'11工艺'!#REF!</f>
        <v>#REF!</v>
      </c>
      <c r="F107" s="41" t="e">
        <f>'11工艺'!#REF!</f>
        <v>#REF!</v>
      </c>
      <c r="G107" s="50" t="e">
        <f>'11工艺'!#REF!</f>
        <v>#REF!</v>
      </c>
      <c r="H107" s="53" t="e">
        <f>'11工艺'!#REF!</f>
        <v>#REF!</v>
      </c>
      <c r="I107" s="51" t="e">
        <f>'11工艺'!#REF!</f>
        <v>#REF!</v>
      </c>
      <c r="J107" s="55" t="e">
        <f>'11工艺'!#REF!</f>
        <v>#REF!</v>
      </c>
      <c r="K107" s="55" t="e">
        <f>'11工艺'!#REF!</f>
        <v>#REF!</v>
      </c>
      <c r="L107" s="44" t="e">
        <f>'11工艺'!#REF!</f>
        <v>#REF!</v>
      </c>
      <c r="M107" s="44" t="e">
        <f>'11工艺'!#REF!</f>
        <v>#REF!</v>
      </c>
      <c r="N107" s="54" t="e">
        <f>'11工艺'!#REF!</f>
        <v>#REF!</v>
      </c>
      <c r="O107" s="49" t="e">
        <f>'11工艺'!#REF!</f>
        <v>#REF!</v>
      </c>
      <c r="P107" s="41" t="e">
        <f>'11工艺'!#REF!</f>
        <v>#REF!</v>
      </c>
      <c r="Q107" s="50" t="e">
        <f>'11工艺'!#REF!</f>
        <v>#REF!</v>
      </c>
      <c r="R107" s="53" t="e">
        <f>'11工艺'!#REF!</f>
        <v>#REF!</v>
      </c>
      <c r="S107" s="51" t="e">
        <f>'11工艺'!#REF!</f>
        <v>#REF!</v>
      </c>
      <c r="T107" s="55" t="e">
        <f>'11工艺'!#REF!</f>
        <v>#REF!</v>
      </c>
      <c r="U107" s="55"/>
      <c r="V107" s="55" t="e">
        <f>'11工艺'!#REF!</f>
        <v>#REF!</v>
      </c>
    </row>
    <row r="108" spans="1:22">
      <c r="A108" s="50" t="e">
        <f>'11工艺'!#REF!</f>
        <v>#REF!</v>
      </c>
      <c r="B108" s="51" t="e">
        <f>'11工艺'!#REF!</f>
        <v>#REF!</v>
      </c>
      <c r="C108" s="55" t="e">
        <f>'11工艺'!#REF!</f>
        <v>#REF!</v>
      </c>
      <c r="D108" s="51" t="e">
        <f>'11工艺'!#REF!</f>
        <v>#REF!</v>
      </c>
      <c r="E108" s="52" t="e">
        <f>'11工艺'!#REF!</f>
        <v>#REF!</v>
      </c>
      <c r="F108" s="41" t="e">
        <f>'11工艺'!#REF!</f>
        <v>#REF!</v>
      </c>
      <c r="G108" s="50" t="e">
        <f>'11工艺'!#REF!</f>
        <v>#REF!</v>
      </c>
      <c r="H108" s="53" t="e">
        <f>'11工艺'!#REF!</f>
        <v>#REF!</v>
      </c>
      <c r="I108" s="51" t="e">
        <f>'11工艺'!#REF!</f>
        <v>#REF!</v>
      </c>
      <c r="J108" s="55" t="e">
        <f>'11工艺'!#REF!</f>
        <v>#REF!</v>
      </c>
      <c r="K108" s="55" t="e">
        <f>'11工艺'!#REF!</f>
        <v>#REF!</v>
      </c>
      <c r="L108" s="44" t="e">
        <f>'11工艺'!#REF!</f>
        <v>#REF!</v>
      </c>
      <c r="M108" s="44" t="e">
        <f>'11工艺'!#REF!</f>
        <v>#REF!</v>
      </c>
      <c r="N108" s="54" t="e">
        <f>'11工艺'!#REF!</f>
        <v>#REF!</v>
      </c>
      <c r="O108" s="49" t="e">
        <f>'11工艺'!#REF!</f>
        <v>#REF!</v>
      </c>
      <c r="P108" s="41" t="e">
        <f>'11工艺'!#REF!</f>
        <v>#REF!</v>
      </c>
      <c r="Q108" s="50" t="e">
        <f>'11工艺'!#REF!</f>
        <v>#REF!</v>
      </c>
      <c r="R108" s="53" t="e">
        <f>'11工艺'!#REF!</f>
        <v>#REF!</v>
      </c>
      <c r="S108" s="51" t="e">
        <f>'11工艺'!#REF!</f>
        <v>#REF!</v>
      </c>
      <c r="T108" s="55" t="e">
        <f>'11工艺'!#REF!</f>
        <v>#REF!</v>
      </c>
      <c r="U108" s="55"/>
      <c r="V108" s="55" t="e">
        <f>'11工艺'!#REF!</f>
        <v>#REF!</v>
      </c>
    </row>
    <row r="109" spans="1:22">
      <c r="A109" s="50" t="e">
        <f>'11工艺'!#REF!</f>
        <v>#REF!</v>
      </c>
      <c r="B109" s="51" t="e">
        <f>'11工艺'!#REF!</f>
        <v>#REF!</v>
      </c>
      <c r="C109" s="55" t="e">
        <f>'11工艺'!#REF!</f>
        <v>#REF!</v>
      </c>
      <c r="D109" s="51" t="e">
        <f>'11工艺'!#REF!</f>
        <v>#REF!</v>
      </c>
      <c r="E109" s="52" t="e">
        <f>'11工艺'!#REF!</f>
        <v>#REF!</v>
      </c>
      <c r="F109" s="41" t="e">
        <f>'11工艺'!#REF!</f>
        <v>#REF!</v>
      </c>
      <c r="G109" s="50" t="e">
        <f>'11工艺'!#REF!</f>
        <v>#REF!</v>
      </c>
      <c r="H109" s="53" t="e">
        <f>'11工艺'!#REF!</f>
        <v>#REF!</v>
      </c>
      <c r="I109" s="51" t="e">
        <f>'11工艺'!#REF!</f>
        <v>#REF!</v>
      </c>
      <c r="J109" s="55" t="e">
        <f>'11工艺'!#REF!</f>
        <v>#REF!</v>
      </c>
      <c r="K109" s="55" t="e">
        <f>'11工艺'!#REF!</f>
        <v>#REF!</v>
      </c>
      <c r="L109" s="44" t="e">
        <f>'11工艺'!#REF!</f>
        <v>#REF!</v>
      </c>
      <c r="M109" s="44" t="e">
        <f>'11工艺'!#REF!</f>
        <v>#REF!</v>
      </c>
      <c r="N109" s="54" t="e">
        <f>'11工艺'!#REF!</f>
        <v>#REF!</v>
      </c>
      <c r="O109" s="49" t="e">
        <f>'11工艺'!#REF!</f>
        <v>#REF!</v>
      </c>
      <c r="P109" s="41" t="e">
        <f>'11工艺'!#REF!</f>
        <v>#REF!</v>
      </c>
      <c r="Q109" s="50" t="e">
        <f>'11工艺'!#REF!</f>
        <v>#REF!</v>
      </c>
      <c r="R109" s="53" t="e">
        <f>'11工艺'!#REF!</f>
        <v>#REF!</v>
      </c>
      <c r="S109" s="51" t="e">
        <f>'11工艺'!#REF!</f>
        <v>#REF!</v>
      </c>
      <c r="T109" s="55" t="e">
        <f>'11工艺'!#REF!</f>
        <v>#REF!</v>
      </c>
      <c r="U109" s="55"/>
      <c r="V109" s="55" t="e">
        <f>'11工艺'!#REF!</f>
        <v>#REF!</v>
      </c>
    </row>
    <row r="110" spans="1:22">
      <c r="A110" s="50" t="e">
        <f>'11工艺'!#REF!</f>
        <v>#REF!</v>
      </c>
      <c r="B110" s="51" t="e">
        <f>'11工艺'!#REF!</f>
        <v>#REF!</v>
      </c>
      <c r="C110" s="55" t="e">
        <f>'11工艺'!#REF!</f>
        <v>#REF!</v>
      </c>
      <c r="D110" s="51" t="e">
        <f>'11工艺'!#REF!</f>
        <v>#REF!</v>
      </c>
      <c r="E110" s="52" t="e">
        <f>'11工艺'!#REF!</f>
        <v>#REF!</v>
      </c>
      <c r="F110" s="41" t="e">
        <f>'11工艺'!#REF!</f>
        <v>#REF!</v>
      </c>
      <c r="G110" s="50" t="e">
        <f>'11工艺'!#REF!</f>
        <v>#REF!</v>
      </c>
      <c r="H110" s="53" t="e">
        <f>'11工艺'!#REF!</f>
        <v>#REF!</v>
      </c>
      <c r="I110" s="51" t="e">
        <f>'11工艺'!#REF!</f>
        <v>#REF!</v>
      </c>
      <c r="J110" s="55" t="e">
        <f>'11工艺'!#REF!</f>
        <v>#REF!</v>
      </c>
      <c r="K110" s="55" t="e">
        <f>'11工艺'!#REF!</f>
        <v>#REF!</v>
      </c>
      <c r="L110" s="44" t="e">
        <f>'11工艺'!#REF!</f>
        <v>#REF!</v>
      </c>
      <c r="M110" s="44" t="e">
        <f>'11工艺'!#REF!</f>
        <v>#REF!</v>
      </c>
      <c r="N110" s="54" t="e">
        <f>'11工艺'!#REF!</f>
        <v>#REF!</v>
      </c>
      <c r="O110" s="49" t="e">
        <f>'11工艺'!#REF!</f>
        <v>#REF!</v>
      </c>
      <c r="P110" s="41" t="e">
        <f>'11工艺'!#REF!</f>
        <v>#REF!</v>
      </c>
      <c r="Q110" s="50" t="e">
        <f>'11工艺'!#REF!</f>
        <v>#REF!</v>
      </c>
      <c r="R110" s="53" t="e">
        <f>'11工艺'!#REF!</f>
        <v>#REF!</v>
      </c>
      <c r="S110" s="51" t="e">
        <f>'11工艺'!#REF!</f>
        <v>#REF!</v>
      </c>
      <c r="T110" s="55" t="e">
        <f>'11工艺'!#REF!</f>
        <v>#REF!</v>
      </c>
      <c r="U110" s="55"/>
      <c r="V110" s="55" t="e">
        <f>'11工艺'!#REF!</f>
        <v>#REF!</v>
      </c>
    </row>
    <row r="111" spans="1:22">
      <c r="A111" s="50" t="e">
        <f>'11工艺'!#REF!</f>
        <v>#REF!</v>
      </c>
      <c r="B111" s="51" t="e">
        <f>'11工艺'!#REF!</f>
        <v>#REF!</v>
      </c>
      <c r="C111" s="55" t="e">
        <f>'11工艺'!#REF!</f>
        <v>#REF!</v>
      </c>
      <c r="D111" s="51" t="e">
        <f>'11工艺'!#REF!</f>
        <v>#REF!</v>
      </c>
      <c r="E111" s="52" t="e">
        <f>'11工艺'!#REF!</f>
        <v>#REF!</v>
      </c>
      <c r="F111" s="41" t="e">
        <f>'11工艺'!#REF!</f>
        <v>#REF!</v>
      </c>
      <c r="G111" s="50" t="e">
        <f>'11工艺'!#REF!</f>
        <v>#REF!</v>
      </c>
      <c r="H111" s="53" t="e">
        <f>'11工艺'!#REF!</f>
        <v>#REF!</v>
      </c>
      <c r="I111" s="51" t="e">
        <f>'11工艺'!#REF!</f>
        <v>#REF!</v>
      </c>
      <c r="J111" s="55" t="e">
        <f>'11工艺'!#REF!</f>
        <v>#REF!</v>
      </c>
      <c r="K111" s="55" t="e">
        <f>'11工艺'!#REF!</f>
        <v>#REF!</v>
      </c>
      <c r="L111" s="44" t="e">
        <f>'11工艺'!#REF!</f>
        <v>#REF!</v>
      </c>
      <c r="M111" s="44" t="e">
        <f>'11工艺'!#REF!</f>
        <v>#REF!</v>
      </c>
      <c r="N111" s="54" t="e">
        <f>'11工艺'!#REF!</f>
        <v>#REF!</v>
      </c>
      <c r="O111" s="49" t="e">
        <f>'11工艺'!#REF!</f>
        <v>#REF!</v>
      </c>
      <c r="P111" s="41" t="e">
        <f>'11工艺'!#REF!</f>
        <v>#REF!</v>
      </c>
      <c r="Q111" s="50" t="e">
        <f>'11工艺'!#REF!</f>
        <v>#REF!</v>
      </c>
      <c r="R111" s="53" t="e">
        <f>'11工艺'!#REF!</f>
        <v>#REF!</v>
      </c>
      <c r="S111" s="51" t="e">
        <f>'11工艺'!#REF!</f>
        <v>#REF!</v>
      </c>
      <c r="T111" s="55" t="e">
        <f>'11工艺'!#REF!</f>
        <v>#REF!</v>
      </c>
      <c r="U111" s="55"/>
      <c r="V111" s="55" t="e">
        <f>'11工艺'!#REF!</f>
        <v>#REF!</v>
      </c>
    </row>
    <row r="112" spans="1:22">
      <c r="A112" s="50" t="e">
        <f>'11工艺'!#REF!</f>
        <v>#REF!</v>
      </c>
      <c r="B112" s="51" t="e">
        <f>'11工艺'!#REF!</f>
        <v>#REF!</v>
      </c>
      <c r="C112" s="55" t="e">
        <f>'11工艺'!#REF!</f>
        <v>#REF!</v>
      </c>
      <c r="D112" s="51" t="e">
        <f>'11工艺'!#REF!</f>
        <v>#REF!</v>
      </c>
      <c r="E112" s="52" t="e">
        <f>'11工艺'!#REF!</f>
        <v>#REF!</v>
      </c>
      <c r="F112" s="41" t="e">
        <f>'11工艺'!#REF!</f>
        <v>#REF!</v>
      </c>
      <c r="G112" s="50" t="e">
        <f>'11工艺'!#REF!</f>
        <v>#REF!</v>
      </c>
      <c r="H112" s="53" t="e">
        <f>'11工艺'!#REF!</f>
        <v>#REF!</v>
      </c>
      <c r="I112" s="51" t="e">
        <f>'11工艺'!#REF!</f>
        <v>#REF!</v>
      </c>
      <c r="J112" s="55" t="e">
        <f>'11工艺'!#REF!</f>
        <v>#REF!</v>
      </c>
      <c r="K112" s="55" t="e">
        <f>'11工艺'!#REF!</f>
        <v>#REF!</v>
      </c>
      <c r="L112" s="44" t="e">
        <f>'11工艺'!#REF!</f>
        <v>#REF!</v>
      </c>
      <c r="M112" s="44" t="e">
        <f>'11工艺'!#REF!</f>
        <v>#REF!</v>
      </c>
      <c r="N112" s="54" t="e">
        <f>'11工艺'!#REF!</f>
        <v>#REF!</v>
      </c>
      <c r="O112" s="49" t="e">
        <f>'11工艺'!#REF!</f>
        <v>#REF!</v>
      </c>
      <c r="P112" s="41" t="e">
        <f>'11工艺'!#REF!</f>
        <v>#REF!</v>
      </c>
      <c r="Q112" s="50" t="e">
        <f>'11工艺'!#REF!</f>
        <v>#REF!</v>
      </c>
      <c r="R112" s="53" t="e">
        <f>'11工艺'!#REF!</f>
        <v>#REF!</v>
      </c>
      <c r="S112" s="51" t="e">
        <f>'11工艺'!#REF!</f>
        <v>#REF!</v>
      </c>
      <c r="T112" s="55" t="e">
        <f>'11工艺'!#REF!</f>
        <v>#REF!</v>
      </c>
      <c r="U112" s="55"/>
      <c r="V112" s="55" t="e">
        <f>'11工艺'!#REF!</f>
        <v>#REF!</v>
      </c>
    </row>
    <row r="113" spans="1:22">
      <c r="A113" s="50" t="e">
        <f>'11工艺'!#REF!</f>
        <v>#REF!</v>
      </c>
      <c r="B113" s="51" t="e">
        <f>'11工艺'!#REF!</f>
        <v>#REF!</v>
      </c>
      <c r="C113" s="55" t="e">
        <f>'11工艺'!#REF!</f>
        <v>#REF!</v>
      </c>
      <c r="D113" s="51" t="e">
        <f>'11工艺'!#REF!</f>
        <v>#REF!</v>
      </c>
      <c r="E113" s="52" t="e">
        <f>'11工艺'!#REF!</f>
        <v>#REF!</v>
      </c>
      <c r="F113" s="41" t="e">
        <f>'11工艺'!#REF!</f>
        <v>#REF!</v>
      </c>
      <c r="G113" s="50" t="e">
        <f>'11工艺'!#REF!</f>
        <v>#REF!</v>
      </c>
      <c r="H113" s="53" t="e">
        <f>'11工艺'!#REF!</f>
        <v>#REF!</v>
      </c>
      <c r="I113" s="51" t="e">
        <f>'11工艺'!#REF!</f>
        <v>#REF!</v>
      </c>
      <c r="J113" s="55" t="e">
        <f>'11工艺'!#REF!</f>
        <v>#REF!</v>
      </c>
      <c r="K113" s="55" t="e">
        <f>'11工艺'!#REF!</f>
        <v>#REF!</v>
      </c>
      <c r="L113" s="44" t="e">
        <f>'11工艺'!#REF!</f>
        <v>#REF!</v>
      </c>
      <c r="M113" s="44" t="e">
        <f>'11工艺'!#REF!</f>
        <v>#REF!</v>
      </c>
      <c r="N113" s="54" t="e">
        <f>'11工艺'!#REF!</f>
        <v>#REF!</v>
      </c>
      <c r="O113" s="49" t="e">
        <f>'11工艺'!#REF!</f>
        <v>#REF!</v>
      </c>
      <c r="P113" s="41" t="e">
        <f>'11工艺'!#REF!</f>
        <v>#REF!</v>
      </c>
      <c r="Q113" s="50" t="e">
        <f>'11工艺'!#REF!</f>
        <v>#REF!</v>
      </c>
      <c r="R113" s="53" t="e">
        <f>'11工艺'!#REF!</f>
        <v>#REF!</v>
      </c>
      <c r="S113" s="51" t="e">
        <f>'11工艺'!#REF!</f>
        <v>#REF!</v>
      </c>
      <c r="T113" s="55" t="e">
        <f>'11工艺'!#REF!</f>
        <v>#REF!</v>
      </c>
      <c r="U113" s="55"/>
      <c r="V113" s="55" t="e">
        <f>'11工艺'!#REF!</f>
        <v>#REF!</v>
      </c>
    </row>
    <row r="114" spans="1:22">
      <c r="A114" s="50" t="e">
        <f>'11工艺'!#REF!</f>
        <v>#REF!</v>
      </c>
      <c r="B114" s="51" t="e">
        <f>'11工艺'!#REF!</f>
        <v>#REF!</v>
      </c>
      <c r="C114" s="55" t="e">
        <f>'11工艺'!#REF!</f>
        <v>#REF!</v>
      </c>
      <c r="D114" s="51" t="e">
        <f>'11工艺'!#REF!</f>
        <v>#REF!</v>
      </c>
      <c r="E114" s="52" t="e">
        <f>'11工艺'!#REF!</f>
        <v>#REF!</v>
      </c>
      <c r="F114" s="41" t="e">
        <f>'11工艺'!#REF!</f>
        <v>#REF!</v>
      </c>
      <c r="G114" s="50" t="e">
        <f>'11工艺'!#REF!</f>
        <v>#REF!</v>
      </c>
      <c r="H114" s="53" t="e">
        <f>'11工艺'!#REF!</f>
        <v>#REF!</v>
      </c>
      <c r="I114" s="51" t="e">
        <f>'11工艺'!#REF!</f>
        <v>#REF!</v>
      </c>
      <c r="J114" s="55" t="e">
        <f>'11工艺'!#REF!</f>
        <v>#REF!</v>
      </c>
      <c r="K114" s="55" t="e">
        <f>'11工艺'!#REF!</f>
        <v>#REF!</v>
      </c>
      <c r="L114" s="44" t="e">
        <f>'11工艺'!#REF!</f>
        <v>#REF!</v>
      </c>
      <c r="M114" s="44" t="e">
        <f>'11工艺'!#REF!</f>
        <v>#REF!</v>
      </c>
      <c r="N114" s="54" t="e">
        <f>'11工艺'!#REF!</f>
        <v>#REF!</v>
      </c>
      <c r="O114" s="49" t="e">
        <f>'11工艺'!#REF!</f>
        <v>#REF!</v>
      </c>
      <c r="P114" s="41" t="e">
        <f>'11工艺'!#REF!</f>
        <v>#REF!</v>
      </c>
      <c r="Q114" s="50" t="e">
        <f>'11工艺'!#REF!</f>
        <v>#REF!</v>
      </c>
      <c r="R114" s="53" t="e">
        <f>'11工艺'!#REF!</f>
        <v>#REF!</v>
      </c>
      <c r="S114" s="51" t="e">
        <f>'11工艺'!#REF!</f>
        <v>#REF!</v>
      </c>
      <c r="T114" s="55" t="e">
        <f>'11工艺'!#REF!</f>
        <v>#REF!</v>
      </c>
      <c r="U114" s="55"/>
      <c r="V114" s="55" t="e">
        <f>'11工艺'!#REF!</f>
        <v>#REF!</v>
      </c>
    </row>
    <row r="115" spans="1:22">
      <c r="A115" s="50" t="e">
        <f>'11工艺'!#REF!</f>
        <v>#REF!</v>
      </c>
      <c r="B115" s="51" t="e">
        <f>'11工艺'!#REF!</f>
        <v>#REF!</v>
      </c>
      <c r="C115" s="55" t="e">
        <f>'11工艺'!#REF!</f>
        <v>#REF!</v>
      </c>
      <c r="D115" s="51" t="e">
        <f>'11工艺'!#REF!</f>
        <v>#REF!</v>
      </c>
      <c r="E115" s="52" t="e">
        <f>'11工艺'!#REF!</f>
        <v>#REF!</v>
      </c>
      <c r="F115" s="41" t="e">
        <f>'11工艺'!#REF!</f>
        <v>#REF!</v>
      </c>
      <c r="G115" s="50" t="e">
        <f>'11工艺'!#REF!</f>
        <v>#REF!</v>
      </c>
      <c r="H115" s="53" t="e">
        <f>'11工艺'!#REF!</f>
        <v>#REF!</v>
      </c>
      <c r="I115" s="51" t="e">
        <f>'11工艺'!#REF!</f>
        <v>#REF!</v>
      </c>
      <c r="J115" s="55" t="e">
        <f>'11工艺'!#REF!</f>
        <v>#REF!</v>
      </c>
      <c r="K115" s="55" t="e">
        <f>'11工艺'!#REF!</f>
        <v>#REF!</v>
      </c>
      <c r="L115" s="44" t="e">
        <f>'11工艺'!#REF!</f>
        <v>#REF!</v>
      </c>
      <c r="M115" s="44" t="e">
        <f>'11工艺'!#REF!</f>
        <v>#REF!</v>
      </c>
      <c r="N115" s="54" t="e">
        <f>'11工艺'!#REF!</f>
        <v>#REF!</v>
      </c>
      <c r="O115" s="49" t="e">
        <f>'11工艺'!#REF!</f>
        <v>#REF!</v>
      </c>
      <c r="P115" s="41" t="e">
        <f>'11工艺'!#REF!</f>
        <v>#REF!</v>
      </c>
      <c r="Q115" s="50" t="e">
        <f>'11工艺'!#REF!</f>
        <v>#REF!</v>
      </c>
      <c r="R115" s="53" t="e">
        <f>'11工艺'!#REF!</f>
        <v>#REF!</v>
      </c>
      <c r="S115" s="51" t="e">
        <f>'11工艺'!#REF!</f>
        <v>#REF!</v>
      </c>
      <c r="T115" s="55" t="e">
        <f>'11工艺'!#REF!</f>
        <v>#REF!</v>
      </c>
      <c r="U115" s="55"/>
      <c r="V115" s="55" t="e">
        <f>'11工艺'!#REF!</f>
        <v>#REF!</v>
      </c>
    </row>
    <row r="116" spans="1:22">
      <c r="A116" s="50" t="e">
        <f>'11工艺'!#REF!</f>
        <v>#REF!</v>
      </c>
      <c r="B116" s="51" t="e">
        <f>'11工艺'!#REF!</f>
        <v>#REF!</v>
      </c>
      <c r="C116" s="55" t="e">
        <f>'11工艺'!#REF!</f>
        <v>#REF!</v>
      </c>
      <c r="D116" s="51" t="e">
        <f>'11工艺'!#REF!</f>
        <v>#REF!</v>
      </c>
      <c r="E116" s="52" t="e">
        <f>'11工艺'!#REF!</f>
        <v>#REF!</v>
      </c>
      <c r="F116" s="41" t="e">
        <f>'11工艺'!#REF!</f>
        <v>#REF!</v>
      </c>
      <c r="G116" s="50" t="e">
        <f>'11工艺'!#REF!</f>
        <v>#REF!</v>
      </c>
      <c r="H116" s="53" t="e">
        <f>'11工艺'!#REF!</f>
        <v>#REF!</v>
      </c>
      <c r="I116" s="51" t="e">
        <f>'11工艺'!#REF!</f>
        <v>#REF!</v>
      </c>
      <c r="J116" s="55" t="e">
        <f>'11工艺'!#REF!</f>
        <v>#REF!</v>
      </c>
      <c r="K116" s="55" t="e">
        <f>'11工艺'!#REF!</f>
        <v>#REF!</v>
      </c>
      <c r="L116" s="44" t="e">
        <f>'11工艺'!#REF!</f>
        <v>#REF!</v>
      </c>
      <c r="M116" s="44" t="e">
        <f>'11工艺'!#REF!</f>
        <v>#REF!</v>
      </c>
      <c r="N116" s="54" t="e">
        <f>'11工艺'!#REF!</f>
        <v>#REF!</v>
      </c>
      <c r="O116" s="49" t="e">
        <f>'11工艺'!#REF!</f>
        <v>#REF!</v>
      </c>
      <c r="P116" s="41" t="e">
        <f>'11工艺'!#REF!</f>
        <v>#REF!</v>
      </c>
      <c r="Q116" s="50" t="e">
        <f>'11工艺'!#REF!</f>
        <v>#REF!</v>
      </c>
      <c r="R116" s="53" t="e">
        <f>'11工艺'!#REF!</f>
        <v>#REF!</v>
      </c>
      <c r="S116" s="51" t="e">
        <f>'11工艺'!#REF!</f>
        <v>#REF!</v>
      </c>
      <c r="T116" s="55" t="e">
        <f>'11工艺'!#REF!</f>
        <v>#REF!</v>
      </c>
      <c r="U116" s="55"/>
      <c r="V116" s="55" t="e">
        <f>'11工艺'!#REF!</f>
        <v>#REF!</v>
      </c>
    </row>
    <row r="117" spans="1:22">
      <c r="A117" s="50" t="e">
        <f>'11工艺'!#REF!</f>
        <v>#REF!</v>
      </c>
      <c r="B117" s="51" t="e">
        <f>'11工艺'!#REF!</f>
        <v>#REF!</v>
      </c>
      <c r="C117" s="55" t="e">
        <f>'11工艺'!#REF!</f>
        <v>#REF!</v>
      </c>
      <c r="D117" s="51" t="e">
        <f>'11工艺'!#REF!</f>
        <v>#REF!</v>
      </c>
      <c r="E117" s="52" t="e">
        <f>'11工艺'!#REF!</f>
        <v>#REF!</v>
      </c>
      <c r="F117" s="41" t="e">
        <f>'11工艺'!#REF!</f>
        <v>#REF!</v>
      </c>
      <c r="G117" s="50" t="e">
        <f>'11工艺'!#REF!</f>
        <v>#REF!</v>
      </c>
      <c r="H117" s="53" t="e">
        <f>'11工艺'!#REF!</f>
        <v>#REF!</v>
      </c>
      <c r="I117" s="51" t="e">
        <f>'11工艺'!#REF!</f>
        <v>#REF!</v>
      </c>
      <c r="J117" s="55" t="e">
        <f>'11工艺'!#REF!</f>
        <v>#REF!</v>
      </c>
      <c r="K117" s="55" t="e">
        <f>'11工艺'!#REF!</f>
        <v>#REF!</v>
      </c>
      <c r="L117" s="44" t="e">
        <f>'11工艺'!#REF!</f>
        <v>#REF!</v>
      </c>
      <c r="M117" s="44" t="e">
        <f>'11工艺'!#REF!</f>
        <v>#REF!</v>
      </c>
      <c r="N117" s="54" t="e">
        <f>'11工艺'!#REF!</f>
        <v>#REF!</v>
      </c>
      <c r="O117" s="49" t="e">
        <f>'11工艺'!#REF!</f>
        <v>#REF!</v>
      </c>
      <c r="P117" s="41" t="e">
        <f>'11工艺'!#REF!</f>
        <v>#REF!</v>
      </c>
      <c r="Q117" s="50" t="e">
        <f>'11工艺'!#REF!</f>
        <v>#REF!</v>
      </c>
      <c r="R117" s="53" t="e">
        <f>'11工艺'!#REF!</f>
        <v>#REF!</v>
      </c>
      <c r="S117" s="51" t="e">
        <f>'11工艺'!#REF!</f>
        <v>#REF!</v>
      </c>
      <c r="T117" s="55" t="e">
        <f>'11工艺'!#REF!</f>
        <v>#REF!</v>
      </c>
      <c r="U117" s="55"/>
      <c r="V117" s="55" t="e">
        <f>'11工艺'!#REF!</f>
        <v>#REF!</v>
      </c>
    </row>
    <row r="118" spans="1:22">
      <c r="A118" s="50" t="e">
        <f>'11工艺'!#REF!</f>
        <v>#REF!</v>
      </c>
      <c r="B118" s="51" t="e">
        <f>'11工艺'!#REF!</f>
        <v>#REF!</v>
      </c>
      <c r="C118" s="55" t="e">
        <f>'11工艺'!#REF!</f>
        <v>#REF!</v>
      </c>
      <c r="D118" s="51" t="e">
        <f>'11工艺'!#REF!</f>
        <v>#REF!</v>
      </c>
      <c r="E118" s="52" t="e">
        <f>'11工艺'!#REF!</f>
        <v>#REF!</v>
      </c>
      <c r="F118" s="41" t="e">
        <f>'11工艺'!#REF!</f>
        <v>#REF!</v>
      </c>
      <c r="G118" s="50" t="e">
        <f>'11工艺'!#REF!</f>
        <v>#REF!</v>
      </c>
      <c r="H118" s="53" t="e">
        <f>'11工艺'!#REF!</f>
        <v>#REF!</v>
      </c>
      <c r="I118" s="51" t="e">
        <f>'11工艺'!#REF!</f>
        <v>#REF!</v>
      </c>
      <c r="J118" s="55" t="e">
        <f>'11工艺'!#REF!</f>
        <v>#REF!</v>
      </c>
      <c r="K118" s="55" t="e">
        <f>'11工艺'!#REF!</f>
        <v>#REF!</v>
      </c>
      <c r="L118" s="44" t="e">
        <f>'11工艺'!#REF!</f>
        <v>#REF!</v>
      </c>
      <c r="M118" s="44" t="e">
        <f>'11工艺'!#REF!</f>
        <v>#REF!</v>
      </c>
      <c r="N118" s="54" t="e">
        <f>'11工艺'!#REF!</f>
        <v>#REF!</v>
      </c>
      <c r="O118" s="49" t="e">
        <f>'11工艺'!#REF!</f>
        <v>#REF!</v>
      </c>
      <c r="P118" s="41" t="e">
        <f>'11工艺'!#REF!</f>
        <v>#REF!</v>
      </c>
      <c r="Q118" s="50" t="e">
        <f>'11工艺'!#REF!</f>
        <v>#REF!</v>
      </c>
      <c r="R118" s="53" t="e">
        <f>'11工艺'!#REF!</f>
        <v>#REF!</v>
      </c>
      <c r="S118" s="51" t="e">
        <f>'11工艺'!#REF!</f>
        <v>#REF!</v>
      </c>
      <c r="T118" s="55" t="e">
        <f>'11工艺'!#REF!</f>
        <v>#REF!</v>
      </c>
      <c r="U118" s="55"/>
      <c r="V118" s="55" t="e">
        <f>'11工艺'!#REF!</f>
        <v>#REF!</v>
      </c>
    </row>
    <row r="119" spans="1:22">
      <c r="A119" s="50" t="e">
        <f>'11工艺'!#REF!</f>
        <v>#REF!</v>
      </c>
      <c r="B119" s="51" t="e">
        <f>'11工艺'!#REF!</f>
        <v>#REF!</v>
      </c>
      <c r="C119" s="55" t="e">
        <f>'11工艺'!#REF!</f>
        <v>#REF!</v>
      </c>
      <c r="D119" s="51" t="e">
        <f>'11工艺'!#REF!</f>
        <v>#REF!</v>
      </c>
      <c r="E119" s="52" t="e">
        <f>'11工艺'!#REF!</f>
        <v>#REF!</v>
      </c>
      <c r="F119" s="41" t="e">
        <f>'11工艺'!#REF!</f>
        <v>#REF!</v>
      </c>
      <c r="G119" s="50" t="e">
        <f>'11工艺'!#REF!</f>
        <v>#REF!</v>
      </c>
      <c r="H119" s="53" t="e">
        <f>'11工艺'!#REF!</f>
        <v>#REF!</v>
      </c>
      <c r="I119" s="51" t="e">
        <f>'11工艺'!#REF!</f>
        <v>#REF!</v>
      </c>
      <c r="J119" s="55" t="e">
        <f>'11工艺'!#REF!</f>
        <v>#REF!</v>
      </c>
      <c r="K119" s="55" t="e">
        <f>'11工艺'!#REF!</f>
        <v>#REF!</v>
      </c>
      <c r="L119" s="44" t="e">
        <f>'11工艺'!#REF!</f>
        <v>#REF!</v>
      </c>
      <c r="M119" s="44" t="e">
        <f>'11工艺'!#REF!</f>
        <v>#REF!</v>
      </c>
      <c r="N119" s="54" t="e">
        <f>'11工艺'!#REF!</f>
        <v>#REF!</v>
      </c>
      <c r="O119" s="49" t="e">
        <f>'11工艺'!#REF!</f>
        <v>#REF!</v>
      </c>
      <c r="P119" s="41" t="e">
        <f>'11工艺'!#REF!</f>
        <v>#REF!</v>
      </c>
      <c r="Q119" s="50" t="e">
        <f>'11工艺'!#REF!</f>
        <v>#REF!</v>
      </c>
      <c r="R119" s="53" t="e">
        <f>'11工艺'!#REF!</f>
        <v>#REF!</v>
      </c>
      <c r="S119" s="51" t="e">
        <f>'11工艺'!#REF!</f>
        <v>#REF!</v>
      </c>
      <c r="T119" s="55" t="e">
        <f>'11工艺'!#REF!</f>
        <v>#REF!</v>
      </c>
      <c r="U119" s="55"/>
      <c r="V119" s="55" t="e">
        <f>'11工艺'!#REF!</f>
        <v>#REF!</v>
      </c>
    </row>
    <row r="120" spans="1:22">
      <c r="A120" s="42" t="e">
        <f>'11工艺'!#REF!</f>
        <v>#REF!</v>
      </c>
      <c r="B120" s="40" t="e">
        <f>'11工艺'!#REF!</f>
        <v>#REF!</v>
      </c>
      <c r="C120" s="55" t="e">
        <f>'11工艺'!#REF!</f>
        <v>#REF!</v>
      </c>
      <c r="D120" s="45" t="e">
        <f>'11工艺'!#REF!</f>
        <v>#REF!</v>
      </c>
      <c r="E120" s="46" t="e">
        <f>'11工艺'!#REF!</f>
        <v>#REF!</v>
      </c>
      <c r="F120" s="55" t="e">
        <f>'11工艺'!#REF!</f>
        <v>#REF!</v>
      </c>
      <c r="G120" s="42" t="e">
        <f>'11工艺'!#REF!</f>
        <v>#REF!</v>
      </c>
      <c r="H120" s="43" t="e">
        <f>'11工艺'!#REF!</f>
        <v>#REF!</v>
      </c>
      <c r="I120" s="51" t="e">
        <f>'11工艺'!#REF!</f>
        <v>#REF!</v>
      </c>
      <c r="J120" s="55" t="e">
        <f>'11工艺'!#REF!</f>
        <v>#REF!</v>
      </c>
      <c r="K120" s="55" t="e">
        <f>'11工艺'!#REF!</f>
        <v>#REF!</v>
      </c>
      <c r="L120" s="40" t="e">
        <f>'11工艺'!#REF!</f>
        <v>#REF!</v>
      </c>
      <c r="M120" s="40" t="e">
        <f>'11工艺'!#REF!</f>
        <v>#REF!</v>
      </c>
      <c r="N120" s="54" t="e">
        <f>'11工艺'!#REF!</f>
        <v>#REF!</v>
      </c>
      <c r="O120" s="48" t="e">
        <f>'11工艺'!#REF!</f>
        <v>#REF!</v>
      </c>
      <c r="P120" s="55" t="e">
        <f>'11工艺'!#REF!</f>
        <v>#REF!</v>
      </c>
      <c r="Q120" s="42" t="e">
        <f>'11工艺'!#REF!</f>
        <v>#REF!</v>
      </c>
      <c r="R120" s="43" t="e">
        <f>'11工艺'!#REF!</f>
        <v>#REF!</v>
      </c>
      <c r="S120" s="51" t="e">
        <f>'11工艺'!#REF!</f>
        <v>#REF!</v>
      </c>
      <c r="T120" s="55" t="e">
        <f>'11工艺'!#REF!</f>
        <v>#REF!</v>
      </c>
      <c r="U120" s="55"/>
      <c r="V120" s="55" t="e">
        <f>'11工艺'!#REF!</f>
        <v>#REF!</v>
      </c>
    </row>
    <row r="121" spans="1:22">
      <c r="A121" s="50" t="e">
        <f>'11工艺'!#REF!</f>
        <v>#REF!</v>
      </c>
      <c r="B121" s="51" t="e">
        <f>'11工艺'!#REF!</f>
        <v>#REF!</v>
      </c>
      <c r="C121" s="55" t="e">
        <f>'11工艺'!#REF!</f>
        <v>#REF!</v>
      </c>
      <c r="D121" s="51" t="e">
        <f>'11工艺'!#REF!</f>
        <v>#REF!</v>
      </c>
      <c r="E121" s="52" t="e">
        <f>'11工艺'!#REF!</f>
        <v>#REF!</v>
      </c>
      <c r="F121" s="41" t="e">
        <f>'11工艺'!#REF!</f>
        <v>#REF!</v>
      </c>
      <c r="G121" s="50" t="e">
        <f>'11工艺'!#REF!</f>
        <v>#REF!</v>
      </c>
      <c r="H121" s="53" t="e">
        <f>'11工艺'!#REF!</f>
        <v>#REF!</v>
      </c>
      <c r="I121" s="51" t="e">
        <f>'11工艺'!#REF!</f>
        <v>#REF!</v>
      </c>
      <c r="J121" s="55" t="e">
        <f>'11工艺'!#REF!</f>
        <v>#REF!</v>
      </c>
      <c r="K121" s="55" t="e">
        <f>'11工艺'!#REF!</f>
        <v>#REF!</v>
      </c>
      <c r="L121" s="44" t="e">
        <f>'11工艺'!#REF!</f>
        <v>#REF!</v>
      </c>
      <c r="M121" s="44" t="e">
        <f>'11工艺'!#REF!</f>
        <v>#REF!</v>
      </c>
      <c r="N121" s="54" t="e">
        <f>'11工艺'!#REF!</f>
        <v>#REF!</v>
      </c>
      <c r="O121" s="49" t="e">
        <f>'11工艺'!#REF!</f>
        <v>#REF!</v>
      </c>
      <c r="P121" s="41" t="e">
        <f>'11工艺'!#REF!</f>
        <v>#REF!</v>
      </c>
      <c r="Q121" s="50" t="e">
        <f>'11工艺'!#REF!</f>
        <v>#REF!</v>
      </c>
      <c r="R121" s="53" t="e">
        <f>'11工艺'!#REF!</f>
        <v>#REF!</v>
      </c>
      <c r="S121" s="51" t="e">
        <f>'11工艺'!#REF!</f>
        <v>#REF!</v>
      </c>
      <c r="T121" s="55" t="e">
        <f>'11工艺'!#REF!</f>
        <v>#REF!</v>
      </c>
      <c r="U121" s="55"/>
      <c r="V121" s="55" t="e">
        <f>'11工艺'!#REF!</f>
        <v>#REF!</v>
      </c>
    </row>
    <row r="122" spans="1:22">
      <c r="A122" s="50" t="e">
        <f>'11工艺'!#REF!</f>
        <v>#REF!</v>
      </c>
      <c r="B122" s="51" t="e">
        <f>'11工艺'!#REF!</f>
        <v>#REF!</v>
      </c>
      <c r="C122" s="55" t="e">
        <f>'11工艺'!#REF!</f>
        <v>#REF!</v>
      </c>
      <c r="D122" s="51" t="e">
        <f>'11工艺'!#REF!</f>
        <v>#REF!</v>
      </c>
      <c r="E122" s="52" t="e">
        <f>'11工艺'!#REF!</f>
        <v>#REF!</v>
      </c>
      <c r="F122" s="55" t="e">
        <f>'11工艺'!#REF!</f>
        <v>#REF!</v>
      </c>
      <c r="G122" s="50" t="e">
        <f>'11工艺'!#REF!</f>
        <v>#REF!</v>
      </c>
      <c r="H122" s="53" t="e">
        <f>'11工艺'!#REF!</f>
        <v>#REF!</v>
      </c>
      <c r="I122" s="51" t="e">
        <f>'11工艺'!#REF!</f>
        <v>#REF!</v>
      </c>
      <c r="J122" s="55" t="e">
        <f>'11工艺'!#REF!</f>
        <v>#REF!</v>
      </c>
      <c r="K122" s="55" t="e">
        <f>'11工艺'!#REF!</f>
        <v>#REF!</v>
      </c>
      <c r="L122" s="44" t="e">
        <f>'11工艺'!#REF!</f>
        <v>#REF!</v>
      </c>
      <c r="M122" s="44" t="e">
        <f>'11工艺'!#REF!</f>
        <v>#REF!</v>
      </c>
      <c r="N122" s="54" t="e">
        <f>'11工艺'!#REF!</f>
        <v>#REF!</v>
      </c>
      <c r="O122" s="49" t="e">
        <f>'11工艺'!#REF!</f>
        <v>#REF!</v>
      </c>
      <c r="P122" s="55" t="e">
        <f>'11工艺'!#REF!</f>
        <v>#REF!</v>
      </c>
      <c r="Q122" s="50" t="e">
        <f>'11工艺'!#REF!</f>
        <v>#REF!</v>
      </c>
      <c r="R122" s="53" t="e">
        <f>'11工艺'!#REF!</f>
        <v>#REF!</v>
      </c>
      <c r="S122" s="51" t="e">
        <f>'11工艺'!#REF!</f>
        <v>#REF!</v>
      </c>
      <c r="T122" s="55" t="e">
        <f>'11工艺'!#REF!</f>
        <v>#REF!</v>
      </c>
      <c r="U122" s="55"/>
      <c r="V122" s="55" t="e">
        <f>'11工艺'!#REF!</f>
        <v>#REF!</v>
      </c>
    </row>
    <row r="123" spans="1:22">
      <c r="A123" s="50" t="e">
        <f>'11工艺'!#REF!</f>
        <v>#REF!</v>
      </c>
      <c r="B123" s="51" t="e">
        <f>'11工艺'!#REF!</f>
        <v>#REF!</v>
      </c>
      <c r="C123" s="55" t="e">
        <f>'11工艺'!#REF!</f>
        <v>#REF!</v>
      </c>
      <c r="D123" s="51" t="e">
        <f>'11工艺'!#REF!</f>
        <v>#REF!</v>
      </c>
      <c r="E123" s="52" t="e">
        <f>'11工艺'!#REF!</f>
        <v>#REF!</v>
      </c>
      <c r="F123" s="41" t="e">
        <f>'11工艺'!#REF!</f>
        <v>#REF!</v>
      </c>
      <c r="G123" s="50" t="e">
        <f>'11工艺'!#REF!</f>
        <v>#REF!</v>
      </c>
      <c r="H123" s="53" t="e">
        <f>'11工艺'!#REF!</f>
        <v>#REF!</v>
      </c>
      <c r="I123" s="51" t="e">
        <f>'11工艺'!#REF!</f>
        <v>#REF!</v>
      </c>
      <c r="J123" s="55" t="e">
        <f>'11工艺'!#REF!</f>
        <v>#REF!</v>
      </c>
      <c r="K123" s="55" t="e">
        <f>'11工艺'!#REF!</f>
        <v>#REF!</v>
      </c>
      <c r="L123" s="44" t="e">
        <f>'11工艺'!#REF!</f>
        <v>#REF!</v>
      </c>
      <c r="M123" s="44" t="e">
        <f>'11工艺'!#REF!</f>
        <v>#REF!</v>
      </c>
      <c r="N123" s="54" t="e">
        <f>'11工艺'!#REF!</f>
        <v>#REF!</v>
      </c>
      <c r="O123" s="49" t="e">
        <f>'11工艺'!#REF!</f>
        <v>#REF!</v>
      </c>
      <c r="P123" s="41" t="e">
        <f>'11工艺'!#REF!</f>
        <v>#REF!</v>
      </c>
      <c r="Q123" s="50" t="e">
        <f>'11工艺'!#REF!</f>
        <v>#REF!</v>
      </c>
      <c r="R123" s="53" t="e">
        <f>'11工艺'!#REF!</f>
        <v>#REF!</v>
      </c>
      <c r="S123" s="51" t="e">
        <f>'11工艺'!#REF!</f>
        <v>#REF!</v>
      </c>
      <c r="T123" s="55" t="e">
        <f>'11工艺'!#REF!</f>
        <v>#REF!</v>
      </c>
      <c r="U123" s="55"/>
      <c r="V123" s="55" t="e">
        <f>'11工艺'!#REF!</f>
        <v>#REF!</v>
      </c>
    </row>
    <row r="124" spans="1:22">
      <c r="A124" s="50" t="e">
        <f>'11工艺'!#REF!</f>
        <v>#REF!</v>
      </c>
      <c r="B124" s="51" t="e">
        <f>'11工艺'!#REF!</f>
        <v>#REF!</v>
      </c>
      <c r="C124" s="55" t="e">
        <f>'11工艺'!#REF!</f>
        <v>#REF!</v>
      </c>
      <c r="D124" s="51" t="e">
        <f>'11工艺'!#REF!</f>
        <v>#REF!</v>
      </c>
      <c r="E124" s="52" t="e">
        <f>'11工艺'!#REF!</f>
        <v>#REF!</v>
      </c>
      <c r="F124" s="41" t="e">
        <f>'11工艺'!#REF!</f>
        <v>#REF!</v>
      </c>
      <c r="G124" s="50" t="e">
        <f>'11工艺'!#REF!</f>
        <v>#REF!</v>
      </c>
      <c r="H124" s="53" t="e">
        <f>'11工艺'!#REF!</f>
        <v>#REF!</v>
      </c>
      <c r="I124" s="51" t="e">
        <f>'11工艺'!#REF!</f>
        <v>#REF!</v>
      </c>
      <c r="J124" s="55" t="e">
        <f>'11工艺'!#REF!</f>
        <v>#REF!</v>
      </c>
      <c r="K124" s="55" t="e">
        <f>'11工艺'!#REF!</f>
        <v>#REF!</v>
      </c>
      <c r="L124" s="44" t="e">
        <f>'11工艺'!#REF!</f>
        <v>#REF!</v>
      </c>
      <c r="M124" s="44" t="e">
        <f>'11工艺'!#REF!</f>
        <v>#REF!</v>
      </c>
      <c r="N124" s="54" t="e">
        <f>'11工艺'!#REF!</f>
        <v>#REF!</v>
      </c>
      <c r="O124" s="49" t="e">
        <f>'11工艺'!#REF!</f>
        <v>#REF!</v>
      </c>
      <c r="P124" s="41" t="e">
        <f>'11工艺'!#REF!</f>
        <v>#REF!</v>
      </c>
      <c r="Q124" s="50" t="e">
        <f>'11工艺'!#REF!</f>
        <v>#REF!</v>
      </c>
      <c r="R124" s="53" t="e">
        <f>'11工艺'!#REF!</f>
        <v>#REF!</v>
      </c>
      <c r="S124" s="51" t="e">
        <f>'11工艺'!#REF!</f>
        <v>#REF!</v>
      </c>
      <c r="T124" s="55" t="e">
        <f>'11工艺'!#REF!</f>
        <v>#REF!</v>
      </c>
      <c r="U124" s="55"/>
      <c r="V124" s="55" t="e">
        <f>'11工艺'!#REF!</f>
        <v>#REF!</v>
      </c>
    </row>
    <row r="125" spans="1:22">
      <c r="A125" s="50" t="e">
        <f>'11工艺'!#REF!</f>
        <v>#REF!</v>
      </c>
      <c r="B125" s="51" t="e">
        <f>'11工艺'!#REF!</f>
        <v>#REF!</v>
      </c>
      <c r="C125" s="55" t="e">
        <f>'11工艺'!#REF!</f>
        <v>#REF!</v>
      </c>
      <c r="D125" s="51" t="e">
        <f>'11工艺'!#REF!</f>
        <v>#REF!</v>
      </c>
      <c r="E125" s="52" t="e">
        <f>'11工艺'!#REF!</f>
        <v>#REF!</v>
      </c>
      <c r="F125" s="55" t="e">
        <f>'11工艺'!#REF!</f>
        <v>#REF!</v>
      </c>
      <c r="G125" s="50" t="e">
        <f>'11工艺'!#REF!</f>
        <v>#REF!</v>
      </c>
      <c r="H125" s="53" t="e">
        <f>'11工艺'!#REF!</f>
        <v>#REF!</v>
      </c>
      <c r="I125" s="51" t="e">
        <f>'11工艺'!#REF!</f>
        <v>#REF!</v>
      </c>
      <c r="J125" s="55" t="e">
        <f>'11工艺'!#REF!</f>
        <v>#REF!</v>
      </c>
      <c r="K125" s="55" t="e">
        <f>'11工艺'!#REF!</f>
        <v>#REF!</v>
      </c>
      <c r="L125" s="44" t="e">
        <f>'11工艺'!#REF!</f>
        <v>#REF!</v>
      </c>
      <c r="M125" s="44" t="e">
        <f>'11工艺'!#REF!</f>
        <v>#REF!</v>
      </c>
      <c r="N125" s="54" t="e">
        <f>'11工艺'!#REF!</f>
        <v>#REF!</v>
      </c>
      <c r="O125" s="49" t="e">
        <f>'11工艺'!#REF!</f>
        <v>#REF!</v>
      </c>
      <c r="P125" s="55" t="e">
        <f>'11工艺'!#REF!</f>
        <v>#REF!</v>
      </c>
      <c r="Q125" s="50" t="e">
        <f>'11工艺'!#REF!</f>
        <v>#REF!</v>
      </c>
      <c r="R125" s="53" t="e">
        <f>'11工艺'!#REF!</f>
        <v>#REF!</v>
      </c>
      <c r="S125" s="51" t="e">
        <f>'11工艺'!#REF!</f>
        <v>#REF!</v>
      </c>
      <c r="T125" s="55" t="e">
        <f>'11工艺'!#REF!</f>
        <v>#REF!</v>
      </c>
      <c r="U125" s="55"/>
      <c r="V125" s="55" t="e">
        <f>'11工艺'!#REF!</f>
        <v>#REF!</v>
      </c>
    </row>
    <row r="126" spans="1:22">
      <c r="A126" s="50" t="e">
        <f>'11工艺'!#REF!</f>
        <v>#REF!</v>
      </c>
      <c r="B126" s="51" t="e">
        <f>'11工艺'!#REF!</f>
        <v>#REF!</v>
      </c>
      <c r="C126" s="55" t="e">
        <f>'11工艺'!#REF!</f>
        <v>#REF!</v>
      </c>
      <c r="D126" s="51" t="e">
        <f>'11工艺'!#REF!</f>
        <v>#REF!</v>
      </c>
      <c r="E126" s="52" t="e">
        <f>'11工艺'!#REF!</f>
        <v>#REF!</v>
      </c>
      <c r="F126" s="41" t="e">
        <f>'11工艺'!#REF!</f>
        <v>#REF!</v>
      </c>
      <c r="G126" s="50" t="e">
        <f>'11工艺'!#REF!</f>
        <v>#REF!</v>
      </c>
      <c r="H126" s="53" t="e">
        <f>'11工艺'!#REF!</f>
        <v>#REF!</v>
      </c>
      <c r="I126" s="51" t="e">
        <f>'11工艺'!#REF!</f>
        <v>#REF!</v>
      </c>
      <c r="J126" s="55" t="e">
        <f>'11工艺'!#REF!</f>
        <v>#REF!</v>
      </c>
      <c r="K126" s="55" t="e">
        <f>'11工艺'!#REF!</f>
        <v>#REF!</v>
      </c>
      <c r="L126" s="44" t="e">
        <f>'11工艺'!#REF!</f>
        <v>#REF!</v>
      </c>
      <c r="M126" s="44" t="e">
        <f>'11工艺'!#REF!</f>
        <v>#REF!</v>
      </c>
      <c r="N126" s="54" t="e">
        <f>'11工艺'!#REF!</f>
        <v>#REF!</v>
      </c>
      <c r="O126" s="49" t="e">
        <f>'11工艺'!#REF!</f>
        <v>#REF!</v>
      </c>
      <c r="P126" s="41" t="e">
        <f>'11工艺'!#REF!</f>
        <v>#REF!</v>
      </c>
      <c r="Q126" s="50" t="e">
        <f>'11工艺'!#REF!</f>
        <v>#REF!</v>
      </c>
      <c r="R126" s="53" t="e">
        <f>'11工艺'!#REF!</f>
        <v>#REF!</v>
      </c>
      <c r="S126" s="51" t="e">
        <f>'11工艺'!#REF!</f>
        <v>#REF!</v>
      </c>
      <c r="T126" s="55" t="e">
        <f>'11工艺'!#REF!</f>
        <v>#REF!</v>
      </c>
      <c r="U126" s="55"/>
      <c r="V126" s="55" t="e">
        <f>'11工艺'!#REF!</f>
        <v>#REF!</v>
      </c>
    </row>
    <row r="127" spans="1:22">
      <c r="A127" s="50" t="e">
        <f>'11工艺'!#REF!</f>
        <v>#REF!</v>
      </c>
      <c r="B127" s="51" t="e">
        <f>'11工艺'!#REF!</f>
        <v>#REF!</v>
      </c>
      <c r="C127" s="55" t="e">
        <f>'11工艺'!#REF!</f>
        <v>#REF!</v>
      </c>
      <c r="D127" s="51" t="e">
        <f>'11工艺'!#REF!</f>
        <v>#REF!</v>
      </c>
      <c r="E127" s="52" t="e">
        <f>'11工艺'!#REF!</f>
        <v>#REF!</v>
      </c>
      <c r="F127" s="41" t="e">
        <f>'11工艺'!#REF!</f>
        <v>#REF!</v>
      </c>
      <c r="G127" s="50" t="e">
        <f>'11工艺'!#REF!</f>
        <v>#REF!</v>
      </c>
      <c r="H127" s="53" t="e">
        <f>'11工艺'!#REF!</f>
        <v>#REF!</v>
      </c>
      <c r="I127" s="51" t="e">
        <f>'11工艺'!#REF!</f>
        <v>#REF!</v>
      </c>
      <c r="J127" s="55" t="e">
        <f>'11工艺'!#REF!</f>
        <v>#REF!</v>
      </c>
      <c r="K127" s="55" t="e">
        <f>'11工艺'!#REF!</f>
        <v>#REF!</v>
      </c>
      <c r="L127" s="44" t="e">
        <f>'11工艺'!#REF!</f>
        <v>#REF!</v>
      </c>
      <c r="M127" s="44" t="e">
        <f>'11工艺'!#REF!</f>
        <v>#REF!</v>
      </c>
      <c r="N127" s="54" t="e">
        <f>'11工艺'!#REF!</f>
        <v>#REF!</v>
      </c>
      <c r="O127" s="49" t="e">
        <f>'11工艺'!#REF!</f>
        <v>#REF!</v>
      </c>
      <c r="P127" s="41" t="e">
        <f>'11工艺'!#REF!</f>
        <v>#REF!</v>
      </c>
      <c r="Q127" s="50" t="e">
        <f>'11工艺'!#REF!</f>
        <v>#REF!</v>
      </c>
      <c r="R127" s="53" t="e">
        <f>'11工艺'!#REF!</f>
        <v>#REF!</v>
      </c>
      <c r="S127" s="51" t="e">
        <f>'11工艺'!#REF!</f>
        <v>#REF!</v>
      </c>
      <c r="T127" s="55" t="e">
        <f>'11工艺'!#REF!</f>
        <v>#REF!</v>
      </c>
      <c r="U127" s="55"/>
      <c r="V127" s="55" t="e">
        <f>'11工艺'!#REF!</f>
        <v>#REF!</v>
      </c>
    </row>
    <row r="128" spans="1:22">
      <c r="A128" s="50" t="e">
        <f>'11工艺'!#REF!</f>
        <v>#REF!</v>
      </c>
      <c r="B128" s="51" t="e">
        <f>'11工艺'!#REF!</f>
        <v>#REF!</v>
      </c>
      <c r="C128" s="55" t="e">
        <f>'11工艺'!#REF!</f>
        <v>#REF!</v>
      </c>
      <c r="D128" s="51" t="e">
        <f>'11工艺'!#REF!</f>
        <v>#REF!</v>
      </c>
      <c r="E128" s="52" t="e">
        <f>'11工艺'!#REF!</f>
        <v>#REF!</v>
      </c>
      <c r="F128" s="41" t="e">
        <f>'11工艺'!#REF!</f>
        <v>#REF!</v>
      </c>
      <c r="G128" s="50" t="e">
        <f>'11工艺'!#REF!</f>
        <v>#REF!</v>
      </c>
      <c r="H128" s="53" t="e">
        <f>'11工艺'!#REF!</f>
        <v>#REF!</v>
      </c>
      <c r="I128" s="51" t="e">
        <f>'11工艺'!#REF!</f>
        <v>#REF!</v>
      </c>
      <c r="J128" s="55" t="e">
        <f>'11工艺'!#REF!</f>
        <v>#REF!</v>
      </c>
      <c r="K128" s="55" t="e">
        <f>'11工艺'!#REF!</f>
        <v>#REF!</v>
      </c>
      <c r="L128" s="44" t="e">
        <f>'11工艺'!#REF!</f>
        <v>#REF!</v>
      </c>
      <c r="M128" s="44" t="e">
        <f>'11工艺'!#REF!</f>
        <v>#REF!</v>
      </c>
      <c r="N128" s="54" t="e">
        <f>'11工艺'!#REF!</f>
        <v>#REF!</v>
      </c>
      <c r="O128" s="49" t="e">
        <f>'11工艺'!#REF!</f>
        <v>#REF!</v>
      </c>
      <c r="P128" s="41" t="e">
        <f>'11工艺'!#REF!</f>
        <v>#REF!</v>
      </c>
      <c r="Q128" s="50" t="e">
        <f>'11工艺'!#REF!</f>
        <v>#REF!</v>
      </c>
      <c r="R128" s="53" t="e">
        <f>'11工艺'!#REF!</f>
        <v>#REF!</v>
      </c>
      <c r="S128" s="51" t="e">
        <f>'11工艺'!#REF!</f>
        <v>#REF!</v>
      </c>
      <c r="T128" s="55" t="e">
        <f>'11工艺'!#REF!</f>
        <v>#REF!</v>
      </c>
      <c r="U128" s="55"/>
      <c r="V128" s="55" t="e">
        <f>'11工艺'!#REF!</f>
        <v>#REF!</v>
      </c>
    </row>
    <row r="129" spans="1:22">
      <c r="A129" s="50" t="e">
        <f>'11工艺'!#REF!</f>
        <v>#REF!</v>
      </c>
      <c r="B129" s="51" t="e">
        <f>'11工艺'!#REF!</f>
        <v>#REF!</v>
      </c>
      <c r="C129" s="55" t="e">
        <f>'11工艺'!#REF!</f>
        <v>#REF!</v>
      </c>
      <c r="D129" s="51" t="e">
        <f>'11工艺'!#REF!</f>
        <v>#REF!</v>
      </c>
      <c r="E129" s="52" t="e">
        <f>'11工艺'!#REF!</f>
        <v>#REF!</v>
      </c>
      <c r="F129" s="41" t="e">
        <f>'11工艺'!#REF!</f>
        <v>#REF!</v>
      </c>
      <c r="G129" s="50" t="e">
        <f>'11工艺'!#REF!</f>
        <v>#REF!</v>
      </c>
      <c r="H129" s="53" t="e">
        <f>'11工艺'!#REF!</f>
        <v>#REF!</v>
      </c>
      <c r="I129" s="51" t="e">
        <f>'11工艺'!#REF!</f>
        <v>#REF!</v>
      </c>
      <c r="J129" s="55" t="e">
        <f>'11工艺'!#REF!</f>
        <v>#REF!</v>
      </c>
      <c r="K129" s="55" t="e">
        <f>'11工艺'!#REF!</f>
        <v>#REF!</v>
      </c>
      <c r="L129" s="44" t="e">
        <f>'11工艺'!#REF!</f>
        <v>#REF!</v>
      </c>
      <c r="M129" s="44" t="e">
        <f>'11工艺'!#REF!</f>
        <v>#REF!</v>
      </c>
      <c r="N129" s="54" t="e">
        <f>'11工艺'!#REF!</f>
        <v>#REF!</v>
      </c>
      <c r="O129" s="49" t="e">
        <f>'11工艺'!#REF!</f>
        <v>#REF!</v>
      </c>
      <c r="P129" s="41" t="e">
        <f>'11工艺'!#REF!</f>
        <v>#REF!</v>
      </c>
      <c r="Q129" s="50" t="e">
        <f>'11工艺'!#REF!</f>
        <v>#REF!</v>
      </c>
      <c r="R129" s="53" t="e">
        <f>'11工艺'!#REF!</f>
        <v>#REF!</v>
      </c>
      <c r="S129" s="51" t="e">
        <f>'11工艺'!#REF!</f>
        <v>#REF!</v>
      </c>
      <c r="T129" s="55" t="e">
        <f>'11工艺'!#REF!</f>
        <v>#REF!</v>
      </c>
      <c r="U129" s="55"/>
      <c r="V129" s="55" t="e">
        <f>'11工艺'!#REF!</f>
        <v>#REF!</v>
      </c>
    </row>
    <row r="130" spans="1:22">
      <c r="A130" s="50" t="e">
        <f>'11工艺'!#REF!</f>
        <v>#REF!</v>
      </c>
      <c r="B130" s="51" t="e">
        <f>'11工艺'!#REF!</f>
        <v>#REF!</v>
      </c>
      <c r="C130" s="55" t="e">
        <f>'11工艺'!#REF!</f>
        <v>#REF!</v>
      </c>
      <c r="D130" s="51" t="e">
        <f>'11工艺'!#REF!</f>
        <v>#REF!</v>
      </c>
      <c r="E130" s="52" t="e">
        <f>'11工艺'!#REF!</f>
        <v>#REF!</v>
      </c>
      <c r="F130" s="41" t="e">
        <f>'11工艺'!#REF!</f>
        <v>#REF!</v>
      </c>
      <c r="G130" s="50" t="e">
        <f>'11工艺'!#REF!</f>
        <v>#REF!</v>
      </c>
      <c r="H130" s="53" t="e">
        <f>'11工艺'!#REF!</f>
        <v>#REF!</v>
      </c>
      <c r="I130" s="51" t="e">
        <f>'11工艺'!#REF!</f>
        <v>#REF!</v>
      </c>
      <c r="J130" s="55" t="e">
        <f>'11工艺'!#REF!</f>
        <v>#REF!</v>
      </c>
      <c r="K130" s="55" t="e">
        <f>'11工艺'!#REF!</f>
        <v>#REF!</v>
      </c>
      <c r="L130" s="44" t="e">
        <f>'11工艺'!#REF!</f>
        <v>#REF!</v>
      </c>
      <c r="M130" s="44" t="e">
        <f>'11工艺'!#REF!</f>
        <v>#REF!</v>
      </c>
      <c r="N130" s="54" t="e">
        <f>'11工艺'!#REF!</f>
        <v>#REF!</v>
      </c>
      <c r="O130" s="49" t="e">
        <f>'11工艺'!#REF!</f>
        <v>#REF!</v>
      </c>
      <c r="P130" s="41" t="e">
        <f>'11工艺'!#REF!</f>
        <v>#REF!</v>
      </c>
      <c r="Q130" s="50" t="e">
        <f>'11工艺'!#REF!</f>
        <v>#REF!</v>
      </c>
      <c r="R130" s="53" t="e">
        <f>'11工艺'!#REF!</f>
        <v>#REF!</v>
      </c>
      <c r="S130" s="51" t="e">
        <f>'11工艺'!#REF!</f>
        <v>#REF!</v>
      </c>
      <c r="T130" s="55" t="e">
        <f>'11工艺'!#REF!</f>
        <v>#REF!</v>
      </c>
      <c r="U130" s="55"/>
      <c r="V130" s="55" t="e">
        <f>'11工艺'!#REF!</f>
        <v>#REF!</v>
      </c>
    </row>
    <row r="131" spans="1:22">
      <c r="A131" s="50" t="e">
        <f>'11工艺'!#REF!</f>
        <v>#REF!</v>
      </c>
      <c r="B131" s="51" t="e">
        <f>'11工艺'!#REF!</f>
        <v>#REF!</v>
      </c>
      <c r="C131" s="55" t="e">
        <f>'11工艺'!#REF!</f>
        <v>#REF!</v>
      </c>
      <c r="D131" s="51" t="e">
        <f>'11工艺'!#REF!</f>
        <v>#REF!</v>
      </c>
      <c r="E131" s="52" t="e">
        <f>'11工艺'!#REF!</f>
        <v>#REF!</v>
      </c>
      <c r="F131" s="41" t="e">
        <f>'11工艺'!#REF!</f>
        <v>#REF!</v>
      </c>
      <c r="G131" s="50" t="e">
        <f>'11工艺'!#REF!</f>
        <v>#REF!</v>
      </c>
      <c r="H131" s="53" t="e">
        <f>'11工艺'!#REF!</f>
        <v>#REF!</v>
      </c>
      <c r="I131" s="51" t="e">
        <f>'11工艺'!#REF!</f>
        <v>#REF!</v>
      </c>
      <c r="J131" s="55" t="e">
        <f>'11工艺'!#REF!</f>
        <v>#REF!</v>
      </c>
      <c r="K131" s="55" t="e">
        <f>'11工艺'!#REF!</f>
        <v>#REF!</v>
      </c>
      <c r="L131" s="44" t="e">
        <f>'11工艺'!#REF!</f>
        <v>#REF!</v>
      </c>
      <c r="M131" s="44" t="e">
        <f>'11工艺'!#REF!</f>
        <v>#REF!</v>
      </c>
      <c r="N131" s="54" t="e">
        <f>'11工艺'!#REF!</f>
        <v>#REF!</v>
      </c>
      <c r="O131" s="49" t="e">
        <f>'11工艺'!#REF!</f>
        <v>#REF!</v>
      </c>
      <c r="P131" s="41" t="e">
        <f>'11工艺'!#REF!</f>
        <v>#REF!</v>
      </c>
      <c r="Q131" s="50" t="e">
        <f>'11工艺'!#REF!</f>
        <v>#REF!</v>
      </c>
      <c r="R131" s="53" t="e">
        <f>'11工艺'!#REF!</f>
        <v>#REF!</v>
      </c>
      <c r="S131" s="51" t="e">
        <f>'11工艺'!#REF!</f>
        <v>#REF!</v>
      </c>
      <c r="T131" s="55" t="e">
        <f>'11工艺'!#REF!</f>
        <v>#REF!</v>
      </c>
      <c r="U131" s="55"/>
      <c r="V131" s="55" t="e">
        <f>'11工艺'!#REF!</f>
        <v>#REF!</v>
      </c>
    </row>
    <row r="132" spans="1:22">
      <c r="A132" s="50" t="e">
        <f>'11工艺'!#REF!</f>
        <v>#REF!</v>
      </c>
      <c r="B132" s="51" t="e">
        <f>'11工艺'!#REF!</f>
        <v>#REF!</v>
      </c>
      <c r="C132" s="55" t="e">
        <f>'11工艺'!#REF!</f>
        <v>#REF!</v>
      </c>
      <c r="D132" s="51" t="e">
        <f>'11工艺'!#REF!</f>
        <v>#REF!</v>
      </c>
      <c r="E132" s="52" t="e">
        <f>'11工艺'!#REF!</f>
        <v>#REF!</v>
      </c>
      <c r="F132" s="55" t="e">
        <f>'11工艺'!#REF!</f>
        <v>#REF!</v>
      </c>
      <c r="G132" s="50" t="e">
        <f>'11工艺'!#REF!</f>
        <v>#REF!</v>
      </c>
      <c r="H132" s="53" t="e">
        <f>'11工艺'!#REF!</f>
        <v>#REF!</v>
      </c>
      <c r="I132" s="51" t="e">
        <f>'11工艺'!#REF!</f>
        <v>#REF!</v>
      </c>
      <c r="J132" s="55" t="e">
        <f>'11工艺'!#REF!</f>
        <v>#REF!</v>
      </c>
      <c r="K132" s="55" t="e">
        <f>'11工艺'!#REF!</f>
        <v>#REF!</v>
      </c>
      <c r="L132" s="44" t="e">
        <f>'11工艺'!#REF!</f>
        <v>#REF!</v>
      </c>
      <c r="M132" s="44" t="e">
        <f>'11工艺'!#REF!</f>
        <v>#REF!</v>
      </c>
      <c r="N132" s="54" t="e">
        <f>'11工艺'!#REF!</f>
        <v>#REF!</v>
      </c>
      <c r="O132" s="49" t="e">
        <f>'11工艺'!#REF!</f>
        <v>#REF!</v>
      </c>
      <c r="P132" s="55" t="e">
        <f>'11工艺'!#REF!</f>
        <v>#REF!</v>
      </c>
      <c r="Q132" s="50" t="e">
        <f>'11工艺'!#REF!</f>
        <v>#REF!</v>
      </c>
      <c r="R132" s="53" t="e">
        <f>'11工艺'!#REF!</f>
        <v>#REF!</v>
      </c>
      <c r="S132" s="51" t="e">
        <f>'11工艺'!#REF!</f>
        <v>#REF!</v>
      </c>
      <c r="T132" s="55" t="e">
        <f>'11工艺'!#REF!</f>
        <v>#REF!</v>
      </c>
      <c r="U132" s="55"/>
      <c r="V132" s="55" t="e">
        <f>'11工艺'!#REF!</f>
        <v>#REF!</v>
      </c>
    </row>
    <row r="133" spans="1:22">
      <c r="A133" s="50" t="e">
        <f>'11工艺'!#REF!</f>
        <v>#REF!</v>
      </c>
      <c r="B133" s="51" t="e">
        <f>'11工艺'!#REF!</f>
        <v>#REF!</v>
      </c>
      <c r="C133" s="55" t="e">
        <f>'11工艺'!#REF!</f>
        <v>#REF!</v>
      </c>
      <c r="D133" s="51" t="e">
        <f>'11工艺'!#REF!</f>
        <v>#REF!</v>
      </c>
      <c r="E133" s="52" t="e">
        <f>'11工艺'!#REF!</f>
        <v>#REF!</v>
      </c>
      <c r="F133" s="41" t="e">
        <f>'11工艺'!#REF!</f>
        <v>#REF!</v>
      </c>
      <c r="G133" s="50" t="e">
        <f>'11工艺'!#REF!</f>
        <v>#REF!</v>
      </c>
      <c r="H133" s="53" t="e">
        <f>'11工艺'!#REF!</f>
        <v>#REF!</v>
      </c>
      <c r="I133" s="51" t="e">
        <f>'11工艺'!#REF!</f>
        <v>#REF!</v>
      </c>
      <c r="J133" s="55" t="e">
        <f>'11工艺'!#REF!</f>
        <v>#REF!</v>
      </c>
      <c r="K133" s="55" t="e">
        <f>'11工艺'!#REF!</f>
        <v>#REF!</v>
      </c>
      <c r="L133" s="44" t="e">
        <f>'11工艺'!#REF!</f>
        <v>#REF!</v>
      </c>
      <c r="M133" s="44" t="e">
        <f>'11工艺'!#REF!</f>
        <v>#REF!</v>
      </c>
      <c r="N133" s="54" t="e">
        <f>'11工艺'!#REF!</f>
        <v>#REF!</v>
      </c>
      <c r="O133" s="49" t="e">
        <f>'11工艺'!#REF!</f>
        <v>#REF!</v>
      </c>
      <c r="P133" s="41" t="e">
        <f>'11工艺'!#REF!</f>
        <v>#REF!</v>
      </c>
      <c r="Q133" s="50" t="e">
        <f>'11工艺'!#REF!</f>
        <v>#REF!</v>
      </c>
      <c r="R133" s="53" t="e">
        <f>'11工艺'!#REF!</f>
        <v>#REF!</v>
      </c>
      <c r="S133" s="51" t="e">
        <f>'11工艺'!#REF!</f>
        <v>#REF!</v>
      </c>
      <c r="T133" s="55" t="e">
        <f>'11工艺'!#REF!</f>
        <v>#REF!</v>
      </c>
      <c r="U133" s="55"/>
      <c r="V133" s="55" t="e">
        <f>'11工艺'!#REF!</f>
        <v>#REF!</v>
      </c>
    </row>
    <row r="134" spans="1:22">
      <c r="A134" s="50" t="e">
        <f>'11工艺'!#REF!</f>
        <v>#REF!</v>
      </c>
      <c r="B134" s="51" t="e">
        <f>'11工艺'!#REF!</f>
        <v>#REF!</v>
      </c>
      <c r="C134" s="55" t="e">
        <f>'11工艺'!#REF!</f>
        <v>#REF!</v>
      </c>
      <c r="D134" s="51" t="e">
        <f>'11工艺'!#REF!</f>
        <v>#REF!</v>
      </c>
      <c r="E134" s="52" t="e">
        <f>'11工艺'!#REF!</f>
        <v>#REF!</v>
      </c>
      <c r="F134" s="41" t="e">
        <f>'11工艺'!#REF!</f>
        <v>#REF!</v>
      </c>
      <c r="G134" s="50" t="e">
        <f>'11工艺'!#REF!</f>
        <v>#REF!</v>
      </c>
      <c r="H134" s="53" t="e">
        <f>'11工艺'!#REF!</f>
        <v>#REF!</v>
      </c>
      <c r="I134" s="51" t="e">
        <f>'11工艺'!#REF!</f>
        <v>#REF!</v>
      </c>
      <c r="J134" s="55" t="e">
        <f>'11工艺'!#REF!</f>
        <v>#REF!</v>
      </c>
      <c r="K134" s="55" t="e">
        <f>'11工艺'!#REF!</f>
        <v>#REF!</v>
      </c>
      <c r="L134" s="44" t="e">
        <f>'11工艺'!#REF!</f>
        <v>#REF!</v>
      </c>
      <c r="M134" s="44" t="e">
        <f>'11工艺'!#REF!</f>
        <v>#REF!</v>
      </c>
      <c r="N134" s="54" t="e">
        <f>'11工艺'!#REF!</f>
        <v>#REF!</v>
      </c>
      <c r="O134" s="49" t="e">
        <f>'11工艺'!#REF!</f>
        <v>#REF!</v>
      </c>
      <c r="P134" s="41" t="e">
        <f>'11工艺'!#REF!</f>
        <v>#REF!</v>
      </c>
      <c r="Q134" s="50" t="e">
        <f>'11工艺'!#REF!</f>
        <v>#REF!</v>
      </c>
      <c r="R134" s="53" t="e">
        <f>'11工艺'!#REF!</f>
        <v>#REF!</v>
      </c>
      <c r="S134" s="51" t="e">
        <f>'11工艺'!#REF!</f>
        <v>#REF!</v>
      </c>
      <c r="T134" s="55" t="e">
        <f>'11工艺'!#REF!</f>
        <v>#REF!</v>
      </c>
      <c r="U134" s="55"/>
      <c r="V134" s="55" t="e">
        <f>'11工艺'!#REF!</f>
        <v>#REF!</v>
      </c>
    </row>
    <row r="135" spans="1:22">
      <c r="A135" s="50" t="e">
        <f>'11工艺'!#REF!</f>
        <v>#REF!</v>
      </c>
      <c r="B135" s="51" t="e">
        <f>'11工艺'!#REF!</f>
        <v>#REF!</v>
      </c>
      <c r="C135" s="55" t="e">
        <f>'11工艺'!#REF!</f>
        <v>#REF!</v>
      </c>
      <c r="D135" s="51" t="e">
        <f>'11工艺'!#REF!</f>
        <v>#REF!</v>
      </c>
      <c r="E135" s="52" t="e">
        <f>'11工艺'!#REF!</f>
        <v>#REF!</v>
      </c>
      <c r="F135" s="41" t="e">
        <f>'11工艺'!#REF!</f>
        <v>#REF!</v>
      </c>
      <c r="G135" s="50" t="e">
        <f>'11工艺'!#REF!</f>
        <v>#REF!</v>
      </c>
      <c r="H135" s="53" t="e">
        <f>'11工艺'!#REF!</f>
        <v>#REF!</v>
      </c>
      <c r="I135" s="51" t="e">
        <f>'11工艺'!#REF!</f>
        <v>#REF!</v>
      </c>
      <c r="J135" s="55" t="e">
        <f>'11工艺'!#REF!</f>
        <v>#REF!</v>
      </c>
      <c r="K135" s="55" t="e">
        <f>'11工艺'!#REF!</f>
        <v>#REF!</v>
      </c>
      <c r="L135" s="44" t="e">
        <f>'11工艺'!#REF!</f>
        <v>#REF!</v>
      </c>
      <c r="M135" s="44" t="e">
        <f>'11工艺'!#REF!</f>
        <v>#REF!</v>
      </c>
      <c r="N135" s="54" t="e">
        <f>'11工艺'!#REF!</f>
        <v>#REF!</v>
      </c>
      <c r="O135" s="49" t="e">
        <f>'11工艺'!#REF!</f>
        <v>#REF!</v>
      </c>
      <c r="P135" s="41" t="e">
        <f>'11工艺'!#REF!</f>
        <v>#REF!</v>
      </c>
      <c r="Q135" s="50" t="e">
        <f>'11工艺'!#REF!</f>
        <v>#REF!</v>
      </c>
      <c r="R135" s="53" t="e">
        <f>'11工艺'!#REF!</f>
        <v>#REF!</v>
      </c>
      <c r="S135" s="51" t="e">
        <f>'11工艺'!#REF!</f>
        <v>#REF!</v>
      </c>
      <c r="T135" s="55" t="e">
        <f>'11工艺'!#REF!</f>
        <v>#REF!</v>
      </c>
      <c r="U135" s="55"/>
      <c r="V135" s="55" t="e">
        <f>'11工艺'!#REF!</f>
        <v>#REF!</v>
      </c>
    </row>
    <row r="136" spans="1:22">
      <c r="A136" s="50" t="e">
        <f>'11工艺'!#REF!</f>
        <v>#REF!</v>
      </c>
      <c r="B136" s="51" t="e">
        <f>'11工艺'!#REF!</f>
        <v>#REF!</v>
      </c>
      <c r="C136" s="55" t="e">
        <f>'11工艺'!#REF!</f>
        <v>#REF!</v>
      </c>
      <c r="D136" s="51" t="e">
        <f>'11工艺'!#REF!</f>
        <v>#REF!</v>
      </c>
      <c r="E136" s="52" t="e">
        <f>'11工艺'!#REF!</f>
        <v>#REF!</v>
      </c>
      <c r="F136" s="41" t="e">
        <f>'11工艺'!#REF!</f>
        <v>#REF!</v>
      </c>
      <c r="G136" s="50" t="e">
        <f>'11工艺'!#REF!</f>
        <v>#REF!</v>
      </c>
      <c r="H136" s="53" t="e">
        <f>'11工艺'!#REF!</f>
        <v>#REF!</v>
      </c>
      <c r="I136" s="51" t="e">
        <f>'11工艺'!#REF!</f>
        <v>#REF!</v>
      </c>
      <c r="J136" s="55" t="e">
        <f>'11工艺'!#REF!</f>
        <v>#REF!</v>
      </c>
      <c r="K136" s="55" t="e">
        <f>'11工艺'!#REF!</f>
        <v>#REF!</v>
      </c>
      <c r="L136" s="44" t="e">
        <f>'11工艺'!#REF!</f>
        <v>#REF!</v>
      </c>
      <c r="M136" s="44" t="e">
        <f>'11工艺'!#REF!</f>
        <v>#REF!</v>
      </c>
      <c r="N136" s="54" t="e">
        <f>'11工艺'!#REF!</f>
        <v>#REF!</v>
      </c>
      <c r="O136" s="49" t="e">
        <f>'11工艺'!#REF!</f>
        <v>#REF!</v>
      </c>
      <c r="P136" s="41" t="e">
        <f>'11工艺'!#REF!</f>
        <v>#REF!</v>
      </c>
      <c r="Q136" s="50" t="e">
        <f>'11工艺'!#REF!</f>
        <v>#REF!</v>
      </c>
      <c r="R136" s="53" t="e">
        <f>'11工艺'!#REF!</f>
        <v>#REF!</v>
      </c>
      <c r="S136" s="51" t="e">
        <f>'11工艺'!#REF!</f>
        <v>#REF!</v>
      </c>
      <c r="T136" s="55" t="e">
        <f>'11工艺'!#REF!</f>
        <v>#REF!</v>
      </c>
      <c r="U136" s="55"/>
      <c r="V136" s="55" t="e">
        <f>'11工艺'!#REF!</f>
        <v>#REF!</v>
      </c>
    </row>
    <row r="137" spans="1:22">
      <c r="A137" s="50" t="e">
        <f>'11工艺'!#REF!</f>
        <v>#REF!</v>
      </c>
      <c r="B137" s="51" t="e">
        <f>'11工艺'!#REF!</f>
        <v>#REF!</v>
      </c>
      <c r="C137" s="55" t="e">
        <f>'11工艺'!#REF!</f>
        <v>#REF!</v>
      </c>
      <c r="D137" s="51" t="e">
        <f>'11工艺'!#REF!</f>
        <v>#REF!</v>
      </c>
      <c r="E137" s="52" t="e">
        <f>'11工艺'!#REF!</f>
        <v>#REF!</v>
      </c>
      <c r="F137" s="41" t="e">
        <f>'11工艺'!#REF!</f>
        <v>#REF!</v>
      </c>
      <c r="G137" s="50" t="e">
        <f>'11工艺'!#REF!</f>
        <v>#REF!</v>
      </c>
      <c r="H137" s="53" t="e">
        <f>'11工艺'!#REF!</f>
        <v>#REF!</v>
      </c>
      <c r="I137" s="51" t="e">
        <f>'11工艺'!#REF!</f>
        <v>#REF!</v>
      </c>
      <c r="J137" s="55" t="e">
        <f>'11工艺'!#REF!</f>
        <v>#REF!</v>
      </c>
      <c r="K137" s="55" t="e">
        <f>'11工艺'!#REF!</f>
        <v>#REF!</v>
      </c>
      <c r="L137" s="44" t="e">
        <f>'11工艺'!#REF!</f>
        <v>#REF!</v>
      </c>
      <c r="M137" s="44" t="e">
        <f>'11工艺'!#REF!</f>
        <v>#REF!</v>
      </c>
      <c r="N137" s="54" t="e">
        <f>'11工艺'!#REF!</f>
        <v>#REF!</v>
      </c>
      <c r="O137" s="49" t="e">
        <f>'11工艺'!#REF!</f>
        <v>#REF!</v>
      </c>
      <c r="P137" s="41" t="e">
        <f>'11工艺'!#REF!</f>
        <v>#REF!</v>
      </c>
      <c r="Q137" s="50" t="e">
        <f>'11工艺'!#REF!</f>
        <v>#REF!</v>
      </c>
      <c r="R137" s="53" t="e">
        <f>'11工艺'!#REF!</f>
        <v>#REF!</v>
      </c>
      <c r="S137" s="51" t="e">
        <f>'11工艺'!#REF!</f>
        <v>#REF!</v>
      </c>
      <c r="T137" s="55" t="e">
        <f>'11工艺'!#REF!</f>
        <v>#REF!</v>
      </c>
      <c r="U137" s="55"/>
      <c r="V137" s="55" t="e">
        <f>'11工艺'!#REF!</f>
        <v>#REF!</v>
      </c>
    </row>
    <row r="138" spans="1:22">
      <c r="A138" s="50" t="e">
        <f>'11工艺'!#REF!</f>
        <v>#REF!</v>
      </c>
      <c r="B138" s="51" t="e">
        <f>'11工艺'!#REF!</f>
        <v>#REF!</v>
      </c>
      <c r="C138" s="55" t="e">
        <f>'11工艺'!#REF!</f>
        <v>#REF!</v>
      </c>
      <c r="D138" s="51" t="e">
        <f>'11工艺'!#REF!</f>
        <v>#REF!</v>
      </c>
      <c r="E138" s="52" t="e">
        <f>'11工艺'!#REF!</f>
        <v>#REF!</v>
      </c>
      <c r="F138" s="55" t="e">
        <f>'11工艺'!#REF!</f>
        <v>#REF!</v>
      </c>
      <c r="G138" s="50" t="e">
        <f>'11工艺'!#REF!</f>
        <v>#REF!</v>
      </c>
      <c r="H138" s="53" t="e">
        <f>'11工艺'!#REF!</f>
        <v>#REF!</v>
      </c>
      <c r="I138" s="51" t="e">
        <f>'11工艺'!#REF!</f>
        <v>#REF!</v>
      </c>
      <c r="J138" s="55" t="e">
        <f>'11工艺'!#REF!</f>
        <v>#REF!</v>
      </c>
      <c r="K138" s="55" t="e">
        <f>'11工艺'!#REF!</f>
        <v>#REF!</v>
      </c>
      <c r="L138" s="44" t="e">
        <f>'11工艺'!#REF!</f>
        <v>#REF!</v>
      </c>
      <c r="M138" s="44" t="e">
        <f>'11工艺'!#REF!</f>
        <v>#REF!</v>
      </c>
      <c r="N138" s="54" t="e">
        <f>'11工艺'!#REF!</f>
        <v>#REF!</v>
      </c>
      <c r="O138" s="49" t="e">
        <f>'11工艺'!#REF!</f>
        <v>#REF!</v>
      </c>
      <c r="P138" s="55" t="e">
        <f>'11工艺'!#REF!</f>
        <v>#REF!</v>
      </c>
      <c r="Q138" s="50" t="e">
        <f>'11工艺'!#REF!</f>
        <v>#REF!</v>
      </c>
      <c r="R138" s="53" t="e">
        <f>'11工艺'!#REF!</f>
        <v>#REF!</v>
      </c>
      <c r="S138" s="51" t="e">
        <f>'11工艺'!#REF!</f>
        <v>#REF!</v>
      </c>
      <c r="T138" s="55" t="e">
        <f>'11工艺'!#REF!</f>
        <v>#REF!</v>
      </c>
      <c r="U138" s="55"/>
      <c r="V138" s="55" t="e">
        <f>'11工艺'!#REF!</f>
        <v>#REF!</v>
      </c>
    </row>
    <row r="139" spans="1:22">
      <c r="A139" s="50" t="e">
        <f>'11工艺'!#REF!</f>
        <v>#REF!</v>
      </c>
      <c r="B139" s="51" t="e">
        <f>'11工艺'!#REF!</f>
        <v>#REF!</v>
      </c>
      <c r="C139" s="55" t="e">
        <f>'11工艺'!#REF!</f>
        <v>#REF!</v>
      </c>
      <c r="D139" s="51" t="e">
        <f>'11工艺'!#REF!</f>
        <v>#REF!</v>
      </c>
      <c r="E139" s="52" t="e">
        <f>'11工艺'!#REF!</f>
        <v>#REF!</v>
      </c>
      <c r="F139" s="41" t="e">
        <f>'11工艺'!#REF!</f>
        <v>#REF!</v>
      </c>
      <c r="G139" s="50" t="e">
        <f>'11工艺'!#REF!</f>
        <v>#REF!</v>
      </c>
      <c r="H139" s="53" t="e">
        <f>'11工艺'!#REF!</f>
        <v>#REF!</v>
      </c>
      <c r="I139" s="51" t="e">
        <f>'11工艺'!#REF!</f>
        <v>#REF!</v>
      </c>
      <c r="J139" s="55" t="e">
        <f>'11工艺'!#REF!</f>
        <v>#REF!</v>
      </c>
      <c r="K139" s="55" t="e">
        <f>'11工艺'!#REF!</f>
        <v>#REF!</v>
      </c>
      <c r="L139" s="44" t="e">
        <f>'11工艺'!#REF!</f>
        <v>#REF!</v>
      </c>
      <c r="M139" s="44" t="e">
        <f>'11工艺'!#REF!</f>
        <v>#REF!</v>
      </c>
      <c r="N139" s="54" t="e">
        <f>'11工艺'!#REF!</f>
        <v>#REF!</v>
      </c>
      <c r="O139" s="49" t="e">
        <f>'11工艺'!#REF!</f>
        <v>#REF!</v>
      </c>
      <c r="P139" s="41" t="e">
        <f>'11工艺'!#REF!</f>
        <v>#REF!</v>
      </c>
      <c r="Q139" s="50" t="e">
        <f>'11工艺'!#REF!</f>
        <v>#REF!</v>
      </c>
      <c r="R139" s="53" t="e">
        <f>'11工艺'!#REF!</f>
        <v>#REF!</v>
      </c>
      <c r="S139" s="51" t="e">
        <f>'11工艺'!#REF!</f>
        <v>#REF!</v>
      </c>
      <c r="T139" s="55" t="e">
        <f>'11工艺'!#REF!</f>
        <v>#REF!</v>
      </c>
      <c r="U139" s="55"/>
      <c r="V139" s="55" t="e">
        <f>'11工艺'!#REF!</f>
        <v>#REF!</v>
      </c>
    </row>
    <row r="140" spans="1:22">
      <c r="A140" s="50" t="e">
        <f>'11工艺'!#REF!</f>
        <v>#REF!</v>
      </c>
      <c r="B140" s="51" t="e">
        <f>'11工艺'!#REF!</f>
        <v>#REF!</v>
      </c>
      <c r="C140" s="55" t="e">
        <f>'11工艺'!#REF!</f>
        <v>#REF!</v>
      </c>
      <c r="D140" s="51" t="e">
        <f>'11工艺'!#REF!</f>
        <v>#REF!</v>
      </c>
      <c r="E140" s="52" t="e">
        <f>'11工艺'!#REF!</f>
        <v>#REF!</v>
      </c>
      <c r="F140" s="41" t="e">
        <f>'11工艺'!#REF!</f>
        <v>#REF!</v>
      </c>
      <c r="G140" s="50" t="e">
        <f>'11工艺'!#REF!</f>
        <v>#REF!</v>
      </c>
      <c r="H140" s="53" t="e">
        <f>'11工艺'!#REF!</f>
        <v>#REF!</v>
      </c>
      <c r="I140" s="51" t="e">
        <f>'11工艺'!#REF!</f>
        <v>#REF!</v>
      </c>
      <c r="J140" s="55" t="e">
        <f>'11工艺'!#REF!</f>
        <v>#REF!</v>
      </c>
      <c r="K140" s="55" t="e">
        <f>'11工艺'!#REF!</f>
        <v>#REF!</v>
      </c>
      <c r="L140" s="44" t="e">
        <f>'11工艺'!#REF!</f>
        <v>#REF!</v>
      </c>
      <c r="M140" s="44" t="e">
        <f>'11工艺'!#REF!</f>
        <v>#REF!</v>
      </c>
      <c r="N140" s="54" t="e">
        <f>'11工艺'!#REF!</f>
        <v>#REF!</v>
      </c>
      <c r="O140" s="49" t="e">
        <f>'11工艺'!#REF!</f>
        <v>#REF!</v>
      </c>
      <c r="P140" s="41" t="e">
        <f>'11工艺'!#REF!</f>
        <v>#REF!</v>
      </c>
      <c r="Q140" s="50" t="e">
        <f>'11工艺'!#REF!</f>
        <v>#REF!</v>
      </c>
      <c r="R140" s="53" t="e">
        <f>'11工艺'!#REF!</f>
        <v>#REF!</v>
      </c>
      <c r="S140" s="51" t="e">
        <f>'11工艺'!#REF!</f>
        <v>#REF!</v>
      </c>
      <c r="T140" s="55" t="e">
        <f>'11工艺'!#REF!</f>
        <v>#REF!</v>
      </c>
      <c r="U140" s="55"/>
      <c r="V140" s="55" t="e">
        <f>'11工艺'!#REF!</f>
        <v>#REF!</v>
      </c>
    </row>
    <row r="141" spans="1:22">
      <c r="A141" s="50" t="e">
        <f>'11工艺'!#REF!</f>
        <v>#REF!</v>
      </c>
      <c r="B141" s="51" t="e">
        <f>'11工艺'!#REF!</f>
        <v>#REF!</v>
      </c>
      <c r="C141" s="55" t="e">
        <f>'11工艺'!#REF!</f>
        <v>#REF!</v>
      </c>
      <c r="D141" s="51" t="e">
        <f>'11工艺'!#REF!</f>
        <v>#REF!</v>
      </c>
      <c r="E141" s="52" t="e">
        <f>'11工艺'!#REF!</f>
        <v>#REF!</v>
      </c>
      <c r="F141" s="41" t="e">
        <f>'11工艺'!#REF!</f>
        <v>#REF!</v>
      </c>
      <c r="G141" s="50" t="e">
        <f>'11工艺'!#REF!</f>
        <v>#REF!</v>
      </c>
      <c r="H141" s="53" t="e">
        <f>'11工艺'!#REF!</f>
        <v>#REF!</v>
      </c>
      <c r="I141" s="51" t="e">
        <f>'11工艺'!#REF!</f>
        <v>#REF!</v>
      </c>
      <c r="J141" s="55" t="e">
        <f>'11工艺'!#REF!</f>
        <v>#REF!</v>
      </c>
      <c r="K141" s="55" t="e">
        <f>'11工艺'!#REF!</f>
        <v>#REF!</v>
      </c>
      <c r="L141" s="44" t="e">
        <f>'11工艺'!#REF!</f>
        <v>#REF!</v>
      </c>
      <c r="M141" s="44" t="e">
        <f>'11工艺'!#REF!</f>
        <v>#REF!</v>
      </c>
      <c r="N141" s="54" t="e">
        <f>'11工艺'!#REF!</f>
        <v>#REF!</v>
      </c>
      <c r="O141" s="49" t="e">
        <f>'11工艺'!#REF!</f>
        <v>#REF!</v>
      </c>
      <c r="P141" s="41" t="e">
        <f>'11工艺'!#REF!</f>
        <v>#REF!</v>
      </c>
      <c r="Q141" s="50" t="e">
        <f>'11工艺'!#REF!</f>
        <v>#REF!</v>
      </c>
      <c r="R141" s="53" t="e">
        <f>'11工艺'!#REF!</f>
        <v>#REF!</v>
      </c>
      <c r="S141" s="51" t="e">
        <f>'11工艺'!#REF!</f>
        <v>#REF!</v>
      </c>
      <c r="T141" s="55" t="e">
        <f>'11工艺'!#REF!</f>
        <v>#REF!</v>
      </c>
      <c r="U141" s="55"/>
      <c r="V141" s="55" t="e">
        <f>'11工艺'!#REF!</f>
        <v>#REF!</v>
      </c>
    </row>
    <row r="142" spans="1:22">
      <c r="A142" s="50" t="e">
        <f>'11工艺'!#REF!</f>
        <v>#REF!</v>
      </c>
      <c r="B142" s="51" t="e">
        <f>'11工艺'!#REF!</f>
        <v>#REF!</v>
      </c>
      <c r="C142" s="55" t="e">
        <f>'11工艺'!#REF!</f>
        <v>#REF!</v>
      </c>
      <c r="D142" s="51" t="e">
        <f>'11工艺'!#REF!</f>
        <v>#REF!</v>
      </c>
      <c r="E142" s="52" t="e">
        <f>'11工艺'!#REF!</f>
        <v>#REF!</v>
      </c>
      <c r="F142" s="41" t="e">
        <f>'11工艺'!#REF!</f>
        <v>#REF!</v>
      </c>
      <c r="G142" s="50" t="e">
        <f>'11工艺'!#REF!</f>
        <v>#REF!</v>
      </c>
      <c r="H142" s="53" t="e">
        <f>'11工艺'!#REF!</f>
        <v>#REF!</v>
      </c>
      <c r="I142" s="51" t="e">
        <f>'11工艺'!#REF!</f>
        <v>#REF!</v>
      </c>
      <c r="J142" s="55" t="e">
        <f>'11工艺'!#REF!</f>
        <v>#REF!</v>
      </c>
      <c r="K142" s="55" t="e">
        <f>'11工艺'!#REF!</f>
        <v>#REF!</v>
      </c>
      <c r="L142" s="44" t="e">
        <f>'11工艺'!#REF!</f>
        <v>#REF!</v>
      </c>
      <c r="M142" s="44" t="e">
        <f>'11工艺'!#REF!</f>
        <v>#REF!</v>
      </c>
      <c r="N142" s="54" t="e">
        <f>'11工艺'!#REF!</f>
        <v>#REF!</v>
      </c>
      <c r="O142" s="49" t="e">
        <f>'11工艺'!#REF!</f>
        <v>#REF!</v>
      </c>
      <c r="P142" s="41" t="e">
        <f>'11工艺'!#REF!</f>
        <v>#REF!</v>
      </c>
      <c r="Q142" s="50" t="e">
        <f>'11工艺'!#REF!</f>
        <v>#REF!</v>
      </c>
      <c r="R142" s="53" t="e">
        <f>'11工艺'!#REF!</f>
        <v>#REF!</v>
      </c>
      <c r="S142" s="51" t="e">
        <f>'11工艺'!#REF!</f>
        <v>#REF!</v>
      </c>
      <c r="T142" s="55" t="e">
        <f>'11工艺'!#REF!</f>
        <v>#REF!</v>
      </c>
      <c r="U142" s="55"/>
      <c r="V142" s="55" t="e">
        <f>'11工艺'!#REF!</f>
        <v>#REF!</v>
      </c>
    </row>
    <row r="143" spans="1:22">
      <c r="A143" s="50" t="e">
        <f>'11工艺'!#REF!</f>
        <v>#REF!</v>
      </c>
      <c r="B143" s="51" t="e">
        <f>'11工艺'!#REF!</f>
        <v>#REF!</v>
      </c>
      <c r="C143" s="55" t="e">
        <f>'11工艺'!#REF!</f>
        <v>#REF!</v>
      </c>
      <c r="D143" s="51" t="e">
        <f>'11工艺'!#REF!</f>
        <v>#REF!</v>
      </c>
      <c r="E143" s="52" t="e">
        <f>'11工艺'!#REF!</f>
        <v>#REF!</v>
      </c>
      <c r="F143" s="55" t="e">
        <f>'11工艺'!#REF!</f>
        <v>#REF!</v>
      </c>
      <c r="G143" s="50" t="e">
        <f>'11工艺'!#REF!</f>
        <v>#REF!</v>
      </c>
      <c r="H143" s="53" t="e">
        <f>'11工艺'!#REF!</f>
        <v>#REF!</v>
      </c>
      <c r="I143" s="51" t="e">
        <f>'11工艺'!#REF!</f>
        <v>#REF!</v>
      </c>
      <c r="J143" s="55" t="e">
        <f>'11工艺'!#REF!</f>
        <v>#REF!</v>
      </c>
      <c r="K143" s="55" t="e">
        <f>'11工艺'!#REF!</f>
        <v>#REF!</v>
      </c>
      <c r="L143" s="44" t="e">
        <f>'11工艺'!#REF!</f>
        <v>#REF!</v>
      </c>
      <c r="M143" s="44" t="e">
        <f>'11工艺'!#REF!</f>
        <v>#REF!</v>
      </c>
      <c r="N143" s="54" t="e">
        <f>'11工艺'!#REF!</f>
        <v>#REF!</v>
      </c>
      <c r="O143" s="49" t="e">
        <f>'11工艺'!#REF!</f>
        <v>#REF!</v>
      </c>
      <c r="P143" s="41" t="e">
        <f>'11工艺'!#REF!</f>
        <v>#REF!</v>
      </c>
      <c r="Q143" s="50" t="e">
        <f>'11工艺'!#REF!</f>
        <v>#REF!</v>
      </c>
      <c r="R143" s="53" t="e">
        <f>'11工艺'!#REF!</f>
        <v>#REF!</v>
      </c>
      <c r="S143" s="51" t="e">
        <f>'11工艺'!#REF!</f>
        <v>#REF!</v>
      </c>
      <c r="T143" s="55" t="e">
        <f>'11工艺'!#REF!</f>
        <v>#REF!</v>
      </c>
      <c r="U143" s="55"/>
      <c r="V143" s="55" t="e">
        <f>'11工艺'!#REF!</f>
        <v>#REF!</v>
      </c>
    </row>
    <row r="144" spans="1:22">
      <c r="A144" s="50" t="e">
        <f>'11工艺'!#REF!</f>
        <v>#REF!</v>
      </c>
      <c r="B144" s="51" t="e">
        <f>'11工艺'!#REF!</f>
        <v>#REF!</v>
      </c>
      <c r="C144" s="55" t="e">
        <f>'11工艺'!#REF!</f>
        <v>#REF!</v>
      </c>
      <c r="D144" s="51" t="e">
        <f>'11工艺'!#REF!</f>
        <v>#REF!</v>
      </c>
      <c r="E144" s="52" t="e">
        <f>'11工艺'!#REF!</f>
        <v>#REF!</v>
      </c>
      <c r="F144" s="55" t="e">
        <f>'11工艺'!#REF!</f>
        <v>#REF!</v>
      </c>
      <c r="G144" s="50" t="e">
        <f>'11工艺'!#REF!</f>
        <v>#REF!</v>
      </c>
      <c r="H144" s="53" t="e">
        <f>'11工艺'!#REF!</f>
        <v>#REF!</v>
      </c>
      <c r="I144" s="51" t="e">
        <f>'11工艺'!#REF!</f>
        <v>#REF!</v>
      </c>
      <c r="J144" s="55" t="e">
        <f>'11工艺'!#REF!</f>
        <v>#REF!</v>
      </c>
      <c r="K144" s="55" t="e">
        <f>'11工艺'!#REF!</f>
        <v>#REF!</v>
      </c>
      <c r="L144" s="44" t="e">
        <f>'11工艺'!#REF!</f>
        <v>#REF!</v>
      </c>
      <c r="M144" s="44" t="e">
        <f>'11工艺'!#REF!</f>
        <v>#REF!</v>
      </c>
      <c r="N144" s="54" t="e">
        <f>'11工艺'!#REF!</f>
        <v>#REF!</v>
      </c>
      <c r="O144" s="49" t="e">
        <f>'11工艺'!#REF!</f>
        <v>#REF!</v>
      </c>
      <c r="P144" s="41" t="e">
        <f>'11工艺'!#REF!</f>
        <v>#REF!</v>
      </c>
      <c r="Q144" s="50" t="e">
        <f>'11工艺'!#REF!</f>
        <v>#REF!</v>
      </c>
      <c r="R144" s="53" t="e">
        <f>'11工艺'!#REF!</f>
        <v>#REF!</v>
      </c>
      <c r="S144" s="51" t="e">
        <f>'11工艺'!#REF!</f>
        <v>#REF!</v>
      </c>
      <c r="T144" s="55" t="e">
        <f>'11工艺'!#REF!</f>
        <v>#REF!</v>
      </c>
      <c r="U144" s="55"/>
      <c r="V144" s="55" t="e">
        <f>'11工艺'!#REF!</f>
        <v>#REF!</v>
      </c>
    </row>
    <row r="145" spans="1:22">
      <c r="A145" s="50" t="e">
        <f>'11工艺'!#REF!</f>
        <v>#REF!</v>
      </c>
      <c r="B145" s="51" t="e">
        <f>'11工艺'!#REF!</f>
        <v>#REF!</v>
      </c>
      <c r="C145" s="55" t="e">
        <f>'11工艺'!#REF!</f>
        <v>#REF!</v>
      </c>
      <c r="D145" s="51" t="e">
        <f>'11工艺'!#REF!</f>
        <v>#REF!</v>
      </c>
      <c r="E145" s="52" t="e">
        <f>'11工艺'!#REF!</f>
        <v>#REF!</v>
      </c>
      <c r="F145" s="55" t="e">
        <f>'11工艺'!#REF!</f>
        <v>#REF!</v>
      </c>
      <c r="G145" s="50" t="e">
        <f>'11工艺'!#REF!</f>
        <v>#REF!</v>
      </c>
      <c r="H145" s="53" t="e">
        <f>'11工艺'!#REF!</f>
        <v>#REF!</v>
      </c>
      <c r="I145" s="51" t="e">
        <f>'11工艺'!#REF!</f>
        <v>#REF!</v>
      </c>
      <c r="J145" s="55" t="e">
        <f>'11工艺'!#REF!</f>
        <v>#REF!</v>
      </c>
      <c r="K145" s="55" t="e">
        <f>'11工艺'!#REF!</f>
        <v>#REF!</v>
      </c>
      <c r="L145" s="44" t="e">
        <f>'11工艺'!#REF!</f>
        <v>#REF!</v>
      </c>
      <c r="M145" s="44" t="e">
        <f>'11工艺'!#REF!</f>
        <v>#REF!</v>
      </c>
      <c r="N145" s="54" t="e">
        <f>'11工艺'!#REF!</f>
        <v>#REF!</v>
      </c>
      <c r="O145" s="49" t="e">
        <f>'11工艺'!#REF!</f>
        <v>#REF!</v>
      </c>
      <c r="P145" s="41" t="e">
        <f>'11工艺'!#REF!</f>
        <v>#REF!</v>
      </c>
      <c r="Q145" s="50" t="e">
        <f>'11工艺'!#REF!</f>
        <v>#REF!</v>
      </c>
      <c r="R145" s="53" t="e">
        <f>'11工艺'!#REF!</f>
        <v>#REF!</v>
      </c>
      <c r="S145" s="51" t="e">
        <f>'11工艺'!#REF!</f>
        <v>#REF!</v>
      </c>
      <c r="T145" s="55" t="e">
        <f>'11工艺'!#REF!</f>
        <v>#REF!</v>
      </c>
      <c r="U145" s="55"/>
      <c r="V145" s="55" t="e">
        <f>'11工艺'!#REF!</f>
        <v>#REF!</v>
      </c>
    </row>
    <row r="146" spans="1:22">
      <c r="A146" s="50" t="e">
        <f>'11工艺'!#REF!</f>
        <v>#REF!</v>
      </c>
      <c r="B146" s="51" t="e">
        <f>'11工艺'!#REF!</f>
        <v>#REF!</v>
      </c>
      <c r="C146" s="55" t="e">
        <f>'11工艺'!#REF!</f>
        <v>#REF!</v>
      </c>
      <c r="D146" s="51" t="e">
        <f>'11工艺'!#REF!</f>
        <v>#REF!</v>
      </c>
      <c r="E146" s="52" t="e">
        <f>'11工艺'!#REF!</f>
        <v>#REF!</v>
      </c>
      <c r="F146" s="41" t="e">
        <f>'11工艺'!#REF!</f>
        <v>#REF!</v>
      </c>
      <c r="G146" s="50" t="e">
        <f>'11工艺'!#REF!</f>
        <v>#REF!</v>
      </c>
      <c r="H146" s="53" t="e">
        <f>'11工艺'!#REF!</f>
        <v>#REF!</v>
      </c>
      <c r="I146" s="51" t="e">
        <f>'11工艺'!#REF!</f>
        <v>#REF!</v>
      </c>
      <c r="J146" s="55" t="e">
        <f>'11工艺'!#REF!</f>
        <v>#REF!</v>
      </c>
      <c r="K146" s="55" t="e">
        <f>'11工艺'!#REF!</f>
        <v>#REF!</v>
      </c>
      <c r="L146" s="44" t="e">
        <f>'11工艺'!#REF!</f>
        <v>#REF!</v>
      </c>
      <c r="M146" s="44" t="e">
        <f>'11工艺'!#REF!</f>
        <v>#REF!</v>
      </c>
      <c r="N146" s="54" t="e">
        <f>'11工艺'!#REF!</f>
        <v>#REF!</v>
      </c>
      <c r="O146" s="49" t="e">
        <f>'11工艺'!#REF!</f>
        <v>#REF!</v>
      </c>
      <c r="P146" s="41" t="e">
        <f>'11工艺'!#REF!</f>
        <v>#REF!</v>
      </c>
      <c r="Q146" s="50" t="e">
        <f>'11工艺'!#REF!</f>
        <v>#REF!</v>
      </c>
      <c r="R146" s="53" t="e">
        <f>'11工艺'!#REF!</f>
        <v>#REF!</v>
      </c>
      <c r="S146" s="51" t="e">
        <f>'11工艺'!#REF!</f>
        <v>#REF!</v>
      </c>
      <c r="T146" s="55" t="e">
        <f>'11工艺'!#REF!</f>
        <v>#REF!</v>
      </c>
      <c r="U146" s="55"/>
      <c r="V146" s="55" t="e">
        <f>'11工艺'!#REF!</f>
        <v>#REF!</v>
      </c>
    </row>
    <row r="147" spans="1:22">
      <c r="A147" s="50" t="e">
        <f>'11工艺'!#REF!</f>
        <v>#REF!</v>
      </c>
      <c r="B147" s="51" t="e">
        <f>'11工艺'!#REF!</f>
        <v>#REF!</v>
      </c>
      <c r="C147" s="55" t="e">
        <f>'11工艺'!#REF!</f>
        <v>#REF!</v>
      </c>
      <c r="D147" s="51" t="e">
        <f>'11工艺'!#REF!</f>
        <v>#REF!</v>
      </c>
      <c r="E147" s="52" t="e">
        <f>'11工艺'!#REF!</f>
        <v>#REF!</v>
      </c>
      <c r="F147" s="41" t="e">
        <f>'11工艺'!#REF!</f>
        <v>#REF!</v>
      </c>
      <c r="G147" s="50" t="e">
        <f>'11工艺'!#REF!</f>
        <v>#REF!</v>
      </c>
      <c r="H147" s="53" t="e">
        <f>'11工艺'!#REF!</f>
        <v>#REF!</v>
      </c>
      <c r="I147" s="51" t="e">
        <f>'11工艺'!#REF!</f>
        <v>#REF!</v>
      </c>
      <c r="J147" s="55" t="e">
        <f>'11工艺'!#REF!</f>
        <v>#REF!</v>
      </c>
      <c r="K147" s="55" t="e">
        <f>'11工艺'!#REF!</f>
        <v>#REF!</v>
      </c>
      <c r="L147" s="44" t="e">
        <f>'11工艺'!#REF!</f>
        <v>#REF!</v>
      </c>
      <c r="M147" s="44" t="e">
        <f>'11工艺'!#REF!</f>
        <v>#REF!</v>
      </c>
      <c r="N147" s="54" t="e">
        <f>'11工艺'!#REF!</f>
        <v>#REF!</v>
      </c>
      <c r="O147" s="49" t="e">
        <f>'11工艺'!#REF!</f>
        <v>#REF!</v>
      </c>
      <c r="P147" s="41" t="e">
        <f>'11工艺'!#REF!</f>
        <v>#REF!</v>
      </c>
      <c r="Q147" s="50" t="e">
        <f>'11工艺'!#REF!</f>
        <v>#REF!</v>
      </c>
      <c r="R147" s="53" t="e">
        <f>'11工艺'!#REF!</f>
        <v>#REF!</v>
      </c>
      <c r="S147" s="51" t="e">
        <f>'11工艺'!#REF!</f>
        <v>#REF!</v>
      </c>
      <c r="T147" s="55" t="e">
        <f>'11工艺'!#REF!</f>
        <v>#REF!</v>
      </c>
      <c r="U147" s="55"/>
      <c r="V147" s="55" t="e">
        <f>'11工艺'!#REF!</f>
        <v>#REF!</v>
      </c>
    </row>
    <row r="148" spans="1:22">
      <c r="A148" s="50" t="e">
        <f>'11工艺'!#REF!</f>
        <v>#REF!</v>
      </c>
      <c r="B148" s="51" t="e">
        <f>'11工艺'!#REF!</f>
        <v>#REF!</v>
      </c>
      <c r="C148" s="55" t="e">
        <f>'11工艺'!#REF!</f>
        <v>#REF!</v>
      </c>
      <c r="D148" s="51" t="e">
        <f>'11工艺'!#REF!</f>
        <v>#REF!</v>
      </c>
      <c r="E148" s="52" t="e">
        <f>'11工艺'!#REF!</f>
        <v>#REF!</v>
      </c>
      <c r="F148" s="41" t="e">
        <f>'11工艺'!#REF!</f>
        <v>#REF!</v>
      </c>
      <c r="G148" s="50" t="e">
        <f>'11工艺'!#REF!</f>
        <v>#REF!</v>
      </c>
      <c r="H148" s="53" t="e">
        <f>'11工艺'!#REF!</f>
        <v>#REF!</v>
      </c>
      <c r="I148" s="51" t="e">
        <f>'11工艺'!#REF!</f>
        <v>#REF!</v>
      </c>
      <c r="J148" s="55" t="e">
        <f>'11工艺'!#REF!</f>
        <v>#REF!</v>
      </c>
      <c r="K148" s="55" t="e">
        <f>'11工艺'!#REF!</f>
        <v>#REF!</v>
      </c>
      <c r="L148" s="57" t="e">
        <f>'11工艺'!#REF!</f>
        <v>#REF!</v>
      </c>
      <c r="M148" s="57" t="e">
        <f>'11工艺'!#REF!</f>
        <v>#REF!</v>
      </c>
      <c r="N148" s="54" t="e">
        <f>'11工艺'!#REF!</f>
        <v>#REF!</v>
      </c>
      <c r="O148" s="49" t="e">
        <f>'11工艺'!#REF!</f>
        <v>#REF!</v>
      </c>
      <c r="P148" s="41" t="e">
        <f>'11工艺'!#REF!</f>
        <v>#REF!</v>
      </c>
      <c r="Q148" s="50" t="e">
        <f>'11工艺'!#REF!</f>
        <v>#REF!</v>
      </c>
      <c r="R148" s="53" t="e">
        <f>'11工艺'!#REF!</f>
        <v>#REF!</v>
      </c>
      <c r="S148" s="51" t="e">
        <f>'11工艺'!#REF!</f>
        <v>#REF!</v>
      </c>
      <c r="T148" s="55" t="e">
        <f>'11工艺'!#REF!</f>
        <v>#REF!</v>
      </c>
      <c r="U148" s="55"/>
      <c r="V148" s="55" t="e">
        <f>'11工艺'!#REF!</f>
        <v>#REF!</v>
      </c>
    </row>
    <row r="149" spans="1:22">
      <c r="A149" s="50" t="e">
        <f>'11工艺'!#REF!</f>
        <v>#REF!</v>
      </c>
      <c r="B149" s="51" t="e">
        <f>'11工艺'!#REF!</f>
        <v>#REF!</v>
      </c>
      <c r="C149" s="55" t="e">
        <f>'11工艺'!#REF!</f>
        <v>#REF!</v>
      </c>
      <c r="D149" s="51" t="e">
        <f>'11工艺'!#REF!</f>
        <v>#REF!</v>
      </c>
      <c r="E149" s="52" t="e">
        <f>'11工艺'!#REF!</f>
        <v>#REF!</v>
      </c>
      <c r="F149" s="41" t="e">
        <f>'11工艺'!#REF!</f>
        <v>#REF!</v>
      </c>
      <c r="G149" s="50" t="e">
        <f>'11工艺'!#REF!</f>
        <v>#REF!</v>
      </c>
      <c r="H149" s="53" t="e">
        <f>'11工艺'!#REF!</f>
        <v>#REF!</v>
      </c>
      <c r="I149" s="51" t="e">
        <f>'11工艺'!#REF!</f>
        <v>#REF!</v>
      </c>
      <c r="J149" s="55" t="e">
        <f>'11工艺'!#REF!</f>
        <v>#REF!</v>
      </c>
      <c r="K149" s="55" t="e">
        <f>'11工艺'!#REF!</f>
        <v>#REF!</v>
      </c>
      <c r="L149" s="44" t="e">
        <f>'11工艺'!#REF!</f>
        <v>#REF!</v>
      </c>
      <c r="M149" s="44" t="e">
        <f>'11工艺'!#REF!</f>
        <v>#REF!</v>
      </c>
      <c r="N149" s="54" t="e">
        <f>'11工艺'!#REF!</f>
        <v>#REF!</v>
      </c>
      <c r="O149" s="49" t="e">
        <f>'11工艺'!#REF!</f>
        <v>#REF!</v>
      </c>
      <c r="P149" s="41" t="e">
        <f>'11工艺'!#REF!</f>
        <v>#REF!</v>
      </c>
      <c r="Q149" s="50" t="e">
        <f>'11工艺'!#REF!</f>
        <v>#REF!</v>
      </c>
      <c r="R149" s="53" t="e">
        <f>'11工艺'!#REF!</f>
        <v>#REF!</v>
      </c>
      <c r="S149" s="51" t="e">
        <f>'11工艺'!#REF!</f>
        <v>#REF!</v>
      </c>
      <c r="T149" s="55" t="e">
        <f>'11工艺'!#REF!</f>
        <v>#REF!</v>
      </c>
      <c r="U149" s="55"/>
      <c r="V149" s="55" t="e">
        <f>'11工艺'!#REF!</f>
        <v>#REF!</v>
      </c>
    </row>
    <row r="150" spans="1:22">
      <c r="A150" s="50" t="e">
        <f>'11工艺'!#REF!</f>
        <v>#REF!</v>
      </c>
      <c r="B150" s="51" t="e">
        <f>'11工艺'!#REF!</f>
        <v>#REF!</v>
      </c>
      <c r="C150" s="55" t="e">
        <f>'11工艺'!#REF!</f>
        <v>#REF!</v>
      </c>
      <c r="D150" s="51" t="e">
        <f>'11工艺'!#REF!</f>
        <v>#REF!</v>
      </c>
      <c r="E150" s="52" t="e">
        <f>'11工艺'!#REF!</f>
        <v>#REF!</v>
      </c>
      <c r="F150" s="41" t="e">
        <f>'11工艺'!#REF!</f>
        <v>#REF!</v>
      </c>
      <c r="G150" s="50" t="e">
        <f>'11工艺'!#REF!</f>
        <v>#REF!</v>
      </c>
      <c r="H150" s="53" t="e">
        <f>'11工艺'!#REF!</f>
        <v>#REF!</v>
      </c>
      <c r="I150" s="51" t="e">
        <f>'11工艺'!#REF!</f>
        <v>#REF!</v>
      </c>
      <c r="J150" s="55" t="e">
        <f>'11工艺'!#REF!</f>
        <v>#REF!</v>
      </c>
      <c r="K150" s="55" t="e">
        <f>'11工艺'!#REF!</f>
        <v>#REF!</v>
      </c>
      <c r="L150" s="44" t="e">
        <f>'11工艺'!#REF!</f>
        <v>#REF!</v>
      </c>
      <c r="M150" s="44" t="e">
        <f>'11工艺'!#REF!</f>
        <v>#REF!</v>
      </c>
      <c r="N150" s="54" t="e">
        <f>'11工艺'!#REF!</f>
        <v>#REF!</v>
      </c>
      <c r="O150" s="49" t="e">
        <f>'11工艺'!#REF!</f>
        <v>#REF!</v>
      </c>
      <c r="P150" s="41" t="e">
        <f>'11工艺'!#REF!</f>
        <v>#REF!</v>
      </c>
      <c r="Q150" s="50" t="e">
        <f>'11工艺'!#REF!</f>
        <v>#REF!</v>
      </c>
      <c r="R150" s="53" t="e">
        <f>'11工艺'!#REF!</f>
        <v>#REF!</v>
      </c>
      <c r="S150" s="51" t="e">
        <f>'11工艺'!#REF!</f>
        <v>#REF!</v>
      </c>
      <c r="T150" s="55" t="e">
        <f>'11工艺'!#REF!</f>
        <v>#REF!</v>
      </c>
      <c r="U150" s="55"/>
      <c r="V150" s="55" t="e">
        <f>'11工艺'!#REF!</f>
        <v>#REF!</v>
      </c>
    </row>
    <row r="151" spans="1:22">
      <c r="A151" s="50" t="e">
        <f>'11工艺'!#REF!</f>
        <v>#REF!</v>
      </c>
      <c r="B151" s="51" t="e">
        <f>'11工艺'!#REF!</f>
        <v>#REF!</v>
      </c>
      <c r="C151" s="55" t="e">
        <f>'11工艺'!#REF!</f>
        <v>#REF!</v>
      </c>
      <c r="D151" s="51" t="e">
        <f>'11工艺'!#REF!</f>
        <v>#REF!</v>
      </c>
      <c r="E151" s="52" t="e">
        <f>'11工艺'!#REF!</f>
        <v>#REF!</v>
      </c>
      <c r="F151" s="41" t="e">
        <f>'11工艺'!#REF!</f>
        <v>#REF!</v>
      </c>
      <c r="G151" s="50" t="e">
        <f>'11工艺'!#REF!</f>
        <v>#REF!</v>
      </c>
      <c r="H151" s="53" t="e">
        <f>'11工艺'!#REF!</f>
        <v>#REF!</v>
      </c>
      <c r="I151" s="51" t="e">
        <f>'11工艺'!#REF!</f>
        <v>#REF!</v>
      </c>
      <c r="J151" s="55" t="e">
        <f>'11工艺'!#REF!</f>
        <v>#REF!</v>
      </c>
      <c r="K151" s="55" t="e">
        <f>'11工艺'!#REF!</f>
        <v>#REF!</v>
      </c>
      <c r="L151" s="44" t="e">
        <f>'11工艺'!#REF!</f>
        <v>#REF!</v>
      </c>
      <c r="M151" s="44" t="e">
        <f>'11工艺'!#REF!</f>
        <v>#REF!</v>
      </c>
      <c r="N151" s="54" t="e">
        <f>'11工艺'!#REF!</f>
        <v>#REF!</v>
      </c>
      <c r="O151" s="49" t="e">
        <f>'11工艺'!#REF!</f>
        <v>#REF!</v>
      </c>
      <c r="P151" s="41" t="e">
        <f>'11工艺'!#REF!</f>
        <v>#REF!</v>
      </c>
      <c r="Q151" s="50" t="e">
        <f>'11工艺'!#REF!</f>
        <v>#REF!</v>
      </c>
      <c r="R151" s="53" t="e">
        <f>'11工艺'!#REF!</f>
        <v>#REF!</v>
      </c>
      <c r="S151" s="51" t="e">
        <f>'11工艺'!#REF!</f>
        <v>#REF!</v>
      </c>
      <c r="T151" s="55" t="e">
        <f>'11工艺'!#REF!</f>
        <v>#REF!</v>
      </c>
      <c r="U151" s="55"/>
      <c r="V151" s="55" t="e">
        <f>'11工艺'!#REF!</f>
        <v>#REF!</v>
      </c>
    </row>
    <row r="152" spans="1:22">
      <c r="A152" s="46" t="e">
        <f>'11工艺'!#REF!</f>
        <v>#REF!</v>
      </c>
      <c r="B152" s="40" t="e">
        <f>'11工艺'!#REF!</f>
        <v>#REF!</v>
      </c>
      <c r="C152" s="55" t="e">
        <f>'11工艺'!#REF!</f>
        <v>#REF!</v>
      </c>
      <c r="D152" s="58" t="e">
        <f>'11工艺'!#REF!</f>
        <v>#REF!</v>
      </c>
      <c r="E152" s="48" t="e">
        <f>'11工艺'!#REF!</f>
        <v>#REF!</v>
      </c>
      <c r="F152" s="55" t="e">
        <f>'11工艺'!#REF!</f>
        <v>#REF!</v>
      </c>
      <c r="G152" s="48" t="e">
        <f>'11工艺'!#REF!</f>
        <v>#REF!</v>
      </c>
      <c r="H152" s="59" t="e">
        <f>'11工艺'!#REF!</f>
        <v>#REF!</v>
      </c>
      <c r="I152" s="51" t="e">
        <f>'11工艺'!#REF!</f>
        <v>#REF!</v>
      </c>
      <c r="J152" s="55" t="e">
        <f>'11工艺'!#REF!</f>
        <v>#REF!</v>
      </c>
      <c r="K152" s="55" t="e">
        <f>'11工艺'!#REF!</f>
        <v>#REF!</v>
      </c>
      <c r="L152" s="40" t="e">
        <f>'11工艺'!#REF!</f>
        <v>#REF!</v>
      </c>
      <c r="M152" s="40" t="e">
        <f>'11工艺'!#REF!</f>
        <v>#REF!</v>
      </c>
      <c r="N152" s="54" t="e">
        <f>'11工艺'!#REF!</f>
        <v>#REF!</v>
      </c>
      <c r="O152" s="48" t="e">
        <f>'11工艺'!#REF!</f>
        <v>#REF!</v>
      </c>
      <c r="P152" s="55" t="e">
        <f>'11工艺'!#REF!</f>
        <v>#REF!</v>
      </c>
      <c r="Q152" s="42" t="e">
        <f>'11工艺'!#REF!</f>
        <v>#REF!</v>
      </c>
      <c r="R152" s="59" t="e">
        <f>'11工艺'!#REF!</f>
        <v>#REF!</v>
      </c>
      <c r="S152" s="51" t="e">
        <f>'11工艺'!#REF!</f>
        <v>#REF!</v>
      </c>
      <c r="T152" s="55" t="e">
        <f>'11工艺'!#REF!</f>
        <v>#REF!</v>
      </c>
      <c r="U152" s="55"/>
      <c r="V152" s="55" t="e">
        <f>'11工艺'!#REF!</f>
        <v>#REF!</v>
      </c>
    </row>
    <row r="153" spans="1:22">
      <c r="A153" s="50" t="e">
        <f>'11工艺'!#REF!</f>
        <v>#REF!</v>
      </c>
      <c r="B153" s="60" t="e">
        <f>'11工艺'!#REF!</f>
        <v>#REF!</v>
      </c>
      <c r="C153" s="55" t="e">
        <f>'11工艺'!#REF!</f>
        <v>#REF!</v>
      </c>
      <c r="D153" s="61" t="e">
        <f>'11工艺'!#REF!</f>
        <v>#REF!</v>
      </c>
      <c r="E153" s="48" t="e">
        <f>'11工艺'!#REF!</f>
        <v>#REF!</v>
      </c>
      <c r="F153" s="55" t="e">
        <f>'11工艺'!#REF!</f>
        <v>#REF!</v>
      </c>
      <c r="G153" s="48" t="e">
        <f>'11工艺'!#REF!</f>
        <v>#REF!</v>
      </c>
      <c r="H153" s="59" t="e">
        <f>'11工艺'!#REF!</f>
        <v>#REF!</v>
      </c>
      <c r="I153" s="51" t="e">
        <f>'11工艺'!#REF!</f>
        <v>#REF!</v>
      </c>
      <c r="J153" s="55" t="e">
        <f>'11工艺'!#REF!</f>
        <v>#REF!</v>
      </c>
      <c r="K153" s="55" t="e">
        <f>'11工艺'!#REF!</f>
        <v>#REF!</v>
      </c>
      <c r="L153" s="60" t="e">
        <f>'11工艺'!#REF!</f>
        <v>#REF!</v>
      </c>
      <c r="M153" s="60" t="e">
        <f>'11工艺'!#REF!</f>
        <v>#REF!</v>
      </c>
      <c r="N153" s="54" t="e">
        <f>'11工艺'!#REF!</f>
        <v>#REF!</v>
      </c>
      <c r="O153" s="62" t="e">
        <f>'11工艺'!#REF!</f>
        <v>#REF!</v>
      </c>
      <c r="P153" s="55" t="e">
        <f>'11工艺'!#REF!</f>
        <v>#REF!</v>
      </c>
      <c r="Q153" s="50" t="e">
        <f>'11工艺'!#REF!</f>
        <v>#REF!</v>
      </c>
      <c r="R153" s="59" t="e">
        <f>'11工艺'!#REF!</f>
        <v>#REF!</v>
      </c>
      <c r="S153" s="51" t="e">
        <f>'11工艺'!#REF!</f>
        <v>#REF!</v>
      </c>
      <c r="T153" s="55" t="e">
        <f>'11工艺'!#REF!</f>
        <v>#REF!</v>
      </c>
      <c r="U153" s="55"/>
      <c r="V153" s="55" t="e">
        <f>'11工艺'!#REF!</f>
        <v>#REF!</v>
      </c>
    </row>
    <row r="154" spans="1:22">
      <c r="A154" s="63" t="e">
        <f>'11工艺'!#REF!</f>
        <v>#REF!</v>
      </c>
      <c r="B154" s="44" t="e">
        <f>'11工艺'!#REF!</f>
        <v>#REF!</v>
      </c>
      <c r="C154" s="55" t="e">
        <f>'11工艺'!#REF!</f>
        <v>#REF!</v>
      </c>
      <c r="D154" s="61" t="e">
        <f>'11工艺'!#REF!</f>
        <v>#REF!</v>
      </c>
      <c r="E154" s="48" t="e">
        <f>'11工艺'!#REF!</f>
        <v>#REF!</v>
      </c>
      <c r="F154" s="55" t="e">
        <f>'11工艺'!#REF!</f>
        <v>#REF!</v>
      </c>
      <c r="G154" s="48" t="e">
        <f>'11工艺'!#REF!</f>
        <v>#REF!</v>
      </c>
      <c r="H154" s="59" t="e">
        <f>'11工艺'!#REF!</f>
        <v>#REF!</v>
      </c>
      <c r="I154" s="51" t="e">
        <f>'11工艺'!#REF!</f>
        <v>#REF!</v>
      </c>
      <c r="J154" s="55" t="e">
        <f>'11工艺'!#REF!</f>
        <v>#REF!</v>
      </c>
      <c r="K154" s="55" t="e">
        <f>'11工艺'!#REF!</f>
        <v>#REF!</v>
      </c>
      <c r="L154" s="44" t="e">
        <f>'11工艺'!#REF!</f>
        <v>#REF!</v>
      </c>
      <c r="M154" s="44" t="e">
        <f>'11工艺'!#REF!</f>
        <v>#REF!</v>
      </c>
      <c r="N154" s="54" t="e">
        <f>'11工艺'!#REF!</f>
        <v>#REF!</v>
      </c>
      <c r="O154" s="62" t="e">
        <f>'11工艺'!#REF!</f>
        <v>#REF!</v>
      </c>
      <c r="P154" s="55" t="e">
        <f>'11工艺'!#REF!</f>
        <v>#REF!</v>
      </c>
      <c r="Q154" s="62" t="e">
        <f>'11工艺'!#REF!</f>
        <v>#REF!</v>
      </c>
      <c r="R154" s="59" t="e">
        <f>'11工艺'!#REF!</f>
        <v>#REF!</v>
      </c>
      <c r="S154" s="51" t="e">
        <f>'11工艺'!#REF!</f>
        <v>#REF!</v>
      </c>
      <c r="T154" s="55" t="e">
        <f>'11工艺'!#REF!</f>
        <v>#REF!</v>
      </c>
      <c r="U154" s="55"/>
      <c r="V154" s="55" t="e">
        <f>'11工艺'!#REF!</f>
        <v>#REF!</v>
      </c>
    </row>
    <row r="155" spans="1:22">
      <c r="A155" s="63" t="e">
        <f>'11工艺'!#REF!</f>
        <v>#REF!</v>
      </c>
      <c r="B155" s="44" t="e">
        <f>'11工艺'!#REF!</f>
        <v>#REF!</v>
      </c>
      <c r="C155" s="55" t="e">
        <f>'11工艺'!#REF!</f>
        <v>#REF!</v>
      </c>
      <c r="D155" s="61" t="e">
        <f>'11工艺'!#REF!</f>
        <v>#REF!</v>
      </c>
      <c r="E155" s="48" t="e">
        <f>'11工艺'!#REF!</f>
        <v>#REF!</v>
      </c>
      <c r="F155" s="55" t="e">
        <f>'11工艺'!#REF!</f>
        <v>#REF!</v>
      </c>
      <c r="G155" s="48" t="e">
        <f>'11工艺'!#REF!</f>
        <v>#REF!</v>
      </c>
      <c r="H155" s="59" t="e">
        <f>'11工艺'!#REF!</f>
        <v>#REF!</v>
      </c>
      <c r="I155" s="51" t="e">
        <f>'11工艺'!#REF!</f>
        <v>#REF!</v>
      </c>
      <c r="J155" s="55" t="e">
        <f>'11工艺'!#REF!</f>
        <v>#REF!</v>
      </c>
      <c r="K155" s="55" t="e">
        <f>'11工艺'!#REF!</f>
        <v>#REF!</v>
      </c>
      <c r="L155" s="44" t="e">
        <f>'11工艺'!#REF!</f>
        <v>#REF!</v>
      </c>
      <c r="M155" s="44" t="e">
        <f>'11工艺'!#REF!</f>
        <v>#REF!</v>
      </c>
      <c r="N155" s="54" t="e">
        <f>'11工艺'!#REF!</f>
        <v>#REF!</v>
      </c>
      <c r="O155" s="62" t="e">
        <f>'11工艺'!#REF!</f>
        <v>#REF!</v>
      </c>
      <c r="P155" s="55" t="e">
        <f>'11工艺'!#REF!</f>
        <v>#REF!</v>
      </c>
      <c r="Q155" s="50" t="e">
        <f>'11工艺'!#REF!</f>
        <v>#REF!</v>
      </c>
      <c r="R155" s="59" t="e">
        <f>'11工艺'!#REF!</f>
        <v>#REF!</v>
      </c>
      <c r="S155" s="51" t="e">
        <f>'11工艺'!#REF!</f>
        <v>#REF!</v>
      </c>
      <c r="T155" s="55" t="e">
        <f>'11工艺'!#REF!</f>
        <v>#REF!</v>
      </c>
      <c r="U155" s="55"/>
      <c r="V155" s="55" t="e">
        <f>'11工艺'!#REF!</f>
        <v>#REF!</v>
      </c>
    </row>
    <row r="156" spans="1:22">
      <c r="A156" s="50" t="e">
        <f>'11工艺'!#REF!</f>
        <v>#REF!</v>
      </c>
      <c r="B156" s="44" t="e">
        <f>'11工艺'!#REF!</f>
        <v>#REF!</v>
      </c>
      <c r="C156" s="55" t="e">
        <f>'11工艺'!#REF!</f>
        <v>#REF!</v>
      </c>
      <c r="D156" s="61" t="e">
        <f>'11工艺'!#REF!</f>
        <v>#REF!</v>
      </c>
      <c r="E156" s="48" t="e">
        <f>'11工艺'!#REF!</f>
        <v>#REF!</v>
      </c>
      <c r="F156" s="55" t="e">
        <f>'11工艺'!#REF!</f>
        <v>#REF!</v>
      </c>
      <c r="G156" s="48" t="e">
        <f>'11工艺'!#REF!</f>
        <v>#REF!</v>
      </c>
      <c r="H156" s="59" t="e">
        <f>'11工艺'!#REF!</f>
        <v>#REF!</v>
      </c>
      <c r="I156" s="51" t="e">
        <f>'11工艺'!#REF!</f>
        <v>#REF!</v>
      </c>
      <c r="J156" s="55" t="e">
        <f>'11工艺'!#REF!</f>
        <v>#REF!</v>
      </c>
      <c r="K156" s="55" t="e">
        <f>'11工艺'!#REF!</f>
        <v>#REF!</v>
      </c>
      <c r="L156" s="44" t="e">
        <f>'11工艺'!#REF!</f>
        <v>#REF!</v>
      </c>
      <c r="M156" s="44" t="e">
        <f>'11工艺'!#REF!</f>
        <v>#REF!</v>
      </c>
      <c r="N156" s="54" t="e">
        <f>'11工艺'!#REF!</f>
        <v>#REF!</v>
      </c>
      <c r="O156" s="62" t="e">
        <f>'11工艺'!#REF!</f>
        <v>#REF!</v>
      </c>
      <c r="P156" s="55" t="e">
        <f>'11工艺'!#REF!</f>
        <v>#REF!</v>
      </c>
      <c r="Q156" s="50" t="e">
        <f>'11工艺'!#REF!</f>
        <v>#REF!</v>
      </c>
      <c r="R156" s="59" t="e">
        <f>'11工艺'!#REF!</f>
        <v>#REF!</v>
      </c>
      <c r="S156" s="51" t="e">
        <f>'11工艺'!#REF!</f>
        <v>#REF!</v>
      </c>
      <c r="T156" s="55" t="e">
        <f>'11工艺'!#REF!</f>
        <v>#REF!</v>
      </c>
      <c r="U156" s="55"/>
      <c r="V156" s="55" t="e">
        <f>'11工艺'!#REF!</f>
        <v>#REF!</v>
      </c>
    </row>
    <row r="157" spans="1:22">
      <c r="A157" s="50" t="e">
        <f>'11工艺'!#REF!</f>
        <v>#REF!</v>
      </c>
      <c r="B157" s="44" t="e">
        <f>'11工艺'!#REF!</f>
        <v>#REF!</v>
      </c>
      <c r="C157" s="55" t="e">
        <f>'11工艺'!#REF!</f>
        <v>#REF!</v>
      </c>
      <c r="D157" s="61" t="e">
        <f>'11工艺'!#REF!</f>
        <v>#REF!</v>
      </c>
      <c r="E157" s="48" t="e">
        <f>'11工艺'!#REF!</f>
        <v>#REF!</v>
      </c>
      <c r="F157" s="55" t="e">
        <f>'11工艺'!#REF!</f>
        <v>#REF!</v>
      </c>
      <c r="G157" s="48" t="e">
        <f>'11工艺'!#REF!</f>
        <v>#REF!</v>
      </c>
      <c r="H157" s="59" t="e">
        <f>'11工艺'!#REF!</f>
        <v>#REF!</v>
      </c>
      <c r="I157" s="51" t="e">
        <f>'11工艺'!#REF!</f>
        <v>#REF!</v>
      </c>
      <c r="J157" s="55" t="e">
        <f>'11工艺'!#REF!</f>
        <v>#REF!</v>
      </c>
      <c r="K157" s="55" t="e">
        <f>'11工艺'!#REF!</f>
        <v>#REF!</v>
      </c>
      <c r="L157" s="44" t="e">
        <f>'11工艺'!#REF!</f>
        <v>#REF!</v>
      </c>
      <c r="M157" s="44" t="e">
        <f>'11工艺'!#REF!</f>
        <v>#REF!</v>
      </c>
      <c r="N157" s="54" t="e">
        <f>'11工艺'!#REF!</f>
        <v>#REF!</v>
      </c>
      <c r="O157" s="62" t="e">
        <f>'11工艺'!#REF!</f>
        <v>#REF!</v>
      </c>
      <c r="P157" s="55" t="e">
        <f>'11工艺'!#REF!</f>
        <v>#REF!</v>
      </c>
      <c r="Q157" s="50" t="e">
        <f>'11工艺'!#REF!</f>
        <v>#REF!</v>
      </c>
      <c r="R157" s="59" t="e">
        <f>'11工艺'!#REF!</f>
        <v>#REF!</v>
      </c>
      <c r="S157" s="51" t="e">
        <f>'11工艺'!#REF!</f>
        <v>#REF!</v>
      </c>
      <c r="T157" s="55" t="e">
        <f>'11工艺'!#REF!</f>
        <v>#REF!</v>
      </c>
      <c r="U157" s="55"/>
      <c r="V157" s="55" t="e">
        <f>'11工艺'!#REF!</f>
        <v>#REF!</v>
      </c>
    </row>
    <row r="158" spans="1:22">
      <c r="A158" s="50" t="e">
        <f>'11工艺'!#REF!</f>
        <v>#REF!</v>
      </c>
      <c r="B158" s="44" t="e">
        <f>'11工艺'!#REF!</f>
        <v>#REF!</v>
      </c>
      <c r="C158" s="55" t="e">
        <f>'11工艺'!#REF!</f>
        <v>#REF!</v>
      </c>
      <c r="D158" s="61" t="e">
        <f>'11工艺'!#REF!</f>
        <v>#REF!</v>
      </c>
      <c r="E158" s="48" t="e">
        <f>'11工艺'!#REF!</f>
        <v>#REF!</v>
      </c>
      <c r="F158" s="55" t="e">
        <f>'11工艺'!#REF!</f>
        <v>#REF!</v>
      </c>
      <c r="G158" s="48" t="e">
        <f>'11工艺'!#REF!</f>
        <v>#REF!</v>
      </c>
      <c r="H158" s="59" t="e">
        <f>'11工艺'!#REF!</f>
        <v>#REF!</v>
      </c>
      <c r="I158" s="51" t="e">
        <f>'11工艺'!#REF!</f>
        <v>#REF!</v>
      </c>
      <c r="J158" s="55" t="e">
        <f>'11工艺'!#REF!</f>
        <v>#REF!</v>
      </c>
      <c r="K158" s="55" t="e">
        <f>'11工艺'!#REF!</f>
        <v>#REF!</v>
      </c>
      <c r="L158" s="44" t="e">
        <f>'11工艺'!#REF!</f>
        <v>#REF!</v>
      </c>
      <c r="M158" s="44" t="e">
        <f>'11工艺'!#REF!</f>
        <v>#REF!</v>
      </c>
      <c r="N158" s="54" t="e">
        <f>'11工艺'!#REF!</f>
        <v>#REF!</v>
      </c>
      <c r="O158" s="62" t="e">
        <f>'11工艺'!#REF!</f>
        <v>#REF!</v>
      </c>
      <c r="P158" s="55" t="e">
        <f>'11工艺'!#REF!</f>
        <v>#REF!</v>
      </c>
      <c r="Q158" s="50" t="e">
        <f>'11工艺'!#REF!</f>
        <v>#REF!</v>
      </c>
      <c r="R158" s="59" t="e">
        <f>'11工艺'!#REF!</f>
        <v>#REF!</v>
      </c>
      <c r="S158" s="51" t="e">
        <f>'11工艺'!#REF!</f>
        <v>#REF!</v>
      </c>
      <c r="T158" s="55" t="e">
        <f>'11工艺'!#REF!</f>
        <v>#REF!</v>
      </c>
      <c r="U158" s="55"/>
      <c r="V158" s="55" t="e">
        <f>'11工艺'!#REF!</f>
        <v>#REF!</v>
      </c>
    </row>
    <row r="159" spans="1:22">
      <c r="A159" s="50" t="e">
        <f>'11工艺'!#REF!</f>
        <v>#REF!</v>
      </c>
      <c r="B159" s="44" t="e">
        <f>'11工艺'!#REF!</f>
        <v>#REF!</v>
      </c>
      <c r="C159" s="55" t="e">
        <f>'11工艺'!#REF!</f>
        <v>#REF!</v>
      </c>
      <c r="D159" s="61" t="e">
        <f>'11工艺'!#REF!</f>
        <v>#REF!</v>
      </c>
      <c r="E159" s="48" t="e">
        <f>'11工艺'!#REF!</f>
        <v>#REF!</v>
      </c>
      <c r="F159" s="55" t="e">
        <f>'11工艺'!#REF!</f>
        <v>#REF!</v>
      </c>
      <c r="G159" s="48" t="e">
        <f>'11工艺'!#REF!</f>
        <v>#REF!</v>
      </c>
      <c r="H159" s="59" t="e">
        <f>'11工艺'!#REF!</f>
        <v>#REF!</v>
      </c>
      <c r="I159" s="51" t="e">
        <f>'11工艺'!#REF!</f>
        <v>#REF!</v>
      </c>
      <c r="J159" s="55" t="e">
        <f>'11工艺'!#REF!</f>
        <v>#REF!</v>
      </c>
      <c r="K159" s="55" t="e">
        <f>'11工艺'!#REF!</f>
        <v>#REF!</v>
      </c>
      <c r="L159" s="44" t="e">
        <f>'11工艺'!#REF!</f>
        <v>#REF!</v>
      </c>
      <c r="M159" s="44" t="e">
        <f>'11工艺'!#REF!</f>
        <v>#REF!</v>
      </c>
      <c r="N159" s="54" t="e">
        <f>'11工艺'!#REF!</f>
        <v>#REF!</v>
      </c>
      <c r="O159" s="62" t="e">
        <f>'11工艺'!#REF!</f>
        <v>#REF!</v>
      </c>
      <c r="P159" s="55" t="e">
        <f>'11工艺'!#REF!</f>
        <v>#REF!</v>
      </c>
      <c r="Q159" s="50" t="e">
        <f>'11工艺'!#REF!</f>
        <v>#REF!</v>
      </c>
      <c r="R159" s="59" t="e">
        <f>'11工艺'!#REF!</f>
        <v>#REF!</v>
      </c>
      <c r="S159" s="51" t="e">
        <f>'11工艺'!#REF!</f>
        <v>#REF!</v>
      </c>
      <c r="T159" s="55" t="e">
        <f>'11工艺'!#REF!</f>
        <v>#REF!</v>
      </c>
      <c r="U159" s="55"/>
      <c r="V159" s="55" t="e">
        <f>'11工艺'!#REF!</f>
        <v>#REF!</v>
      </c>
    </row>
    <row r="160" spans="1:22">
      <c r="A160" s="50" t="e">
        <f>'11工艺'!#REF!</f>
        <v>#REF!</v>
      </c>
      <c r="B160" s="44" t="e">
        <f>'11工艺'!#REF!</f>
        <v>#REF!</v>
      </c>
      <c r="C160" s="55" t="e">
        <f>'11工艺'!#REF!</f>
        <v>#REF!</v>
      </c>
      <c r="D160" s="61" t="e">
        <f>'11工艺'!#REF!</f>
        <v>#REF!</v>
      </c>
      <c r="E160" s="48" t="e">
        <f>'11工艺'!#REF!</f>
        <v>#REF!</v>
      </c>
      <c r="F160" s="55" t="e">
        <f>'11工艺'!#REF!</f>
        <v>#REF!</v>
      </c>
      <c r="G160" s="48" t="e">
        <f>'11工艺'!#REF!</f>
        <v>#REF!</v>
      </c>
      <c r="H160" s="59" t="e">
        <f>'11工艺'!#REF!</f>
        <v>#REF!</v>
      </c>
      <c r="I160" s="51" t="e">
        <f>'11工艺'!#REF!</f>
        <v>#REF!</v>
      </c>
      <c r="J160" s="55" t="e">
        <f>'11工艺'!#REF!</f>
        <v>#REF!</v>
      </c>
      <c r="K160" s="55" t="e">
        <f>'11工艺'!#REF!</f>
        <v>#REF!</v>
      </c>
      <c r="L160" s="44" t="e">
        <f>'11工艺'!#REF!</f>
        <v>#REF!</v>
      </c>
      <c r="M160" s="44" t="e">
        <f>'11工艺'!#REF!</f>
        <v>#REF!</v>
      </c>
      <c r="N160" s="54" t="e">
        <f>'11工艺'!#REF!</f>
        <v>#REF!</v>
      </c>
      <c r="O160" s="62" t="e">
        <f>'11工艺'!#REF!</f>
        <v>#REF!</v>
      </c>
      <c r="P160" s="55" t="e">
        <f>'11工艺'!#REF!</f>
        <v>#REF!</v>
      </c>
      <c r="Q160" s="50" t="e">
        <f>'11工艺'!#REF!</f>
        <v>#REF!</v>
      </c>
      <c r="R160" s="59" t="e">
        <f>'11工艺'!#REF!</f>
        <v>#REF!</v>
      </c>
      <c r="S160" s="51" t="e">
        <f>'11工艺'!#REF!</f>
        <v>#REF!</v>
      </c>
      <c r="T160" s="55" t="e">
        <f>'11工艺'!#REF!</f>
        <v>#REF!</v>
      </c>
      <c r="U160" s="55"/>
      <c r="V160" s="55" t="e">
        <f>'11工艺'!#REF!</f>
        <v>#REF!</v>
      </c>
    </row>
    <row r="161" spans="1:22">
      <c r="A161" s="50" t="e">
        <f>'11工艺'!#REF!</f>
        <v>#REF!</v>
      </c>
      <c r="B161" s="44" t="e">
        <f>'11工艺'!#REF!</f>
        <v>#REF!</v>
      </c>
      <c r="C161" s="55" t="e">
        <f>'11工艺'!#REF!</f>
        <v>#REF!</v>
      </c>
      <c r="D161" s="61" t="e">
        <f>'11工艺'!#REF!</f>
        <v>#REF!</v>
      </c>
      <c r="E161" s="48" t="e">
        <f>'11工艺'!#REF!</f>
        <v>#REF!</v>
      </c>
      <c r="F161" s="55" t="e">
        <f>'11工艺'!#REF!</f>
        <v>#REF!</v>
      </c>
      <c r="G161" s="48" t="e">
        <f>'11工艺'!#REF!</f>
        <v>#REF!</v>
      </c>
      <c r="H161" s="59" t="e">
        <f>'11工艺'!#REF!</f>
        <v>#REF!</v>
      </c>
      <c r="I161" s="51" t="e">
        <f>'11工艺'!#REF!</f>
        <v>#REF!</v>
      </c>
      <c r="J161" s="55" t="e">
        <f>'11工艺'!#REF!</f>
        <v>#REF!</v>
      </c>
      <c r="K161" s="55" t="e">
        <f>'11工艺'!#REF!</f>
        <v>#REF!</v>
      </c>
      <c r="L161" s="44" t="e">
        <f>'11工艺'!#REF!</f>
        <v>#REF!</v>
      </c>
      <c r="M161" s="44" t="e">
        <f>'11工艺'!#REF!</f>
        <v>#REF!</v>
      </c>
      <c r="N161" s="54" t="e">
        <f>'11工艺'!#REF!</f>
        <v>#REF!</v>
      </c>
      <c r="O161" s="62" t="e">
        <f>'11工艺'!#REF!</f>
        <v>#REF!</v>
      </c>
      <c r="P161" s="55" t="e">
        <f>'11工艺'!#REF!</f>
        <v>#REF!</v>
      </c>
      <c r="Q161" s="50" t="e">
        <f>'11工艺'!#REF!</f>
        <v>#REF!</v>
      </c>
      <c r="R161" s="59" t="e">
        <f>'11工艺'!#REF!</f>
        <v>#REF!</v>
      </c>
      <c r="S161" s="51" t="e">
        <f>'11工艺'!#REF!</f>
        <v>#REF!</v>
      </c>
      <c r="T161" s="55" t="e">
        <f>'11工艺'!#REF!</f>
        <v>#REF!</v>
      </c>
      <c r="U161" s="55"/>
      <c r="V161" s="55" t="e">
        <f>'11工艺'!#REF!</f>
        <v>#REF!</v>
      </c>
    </row>
    <row r="162" spans="1:22">
      <c r="A162" s="50" t="e">
        <f>'11工艺'!#REF!</f>
        <v>#REF!</v>
      </c>
      <c r="B162" s="44" t="e">
        <f>'11工艺'!#REF!</f>
        <v>#REF!</v>
      </c>
      <c r="C162" s="55" t="e">
        <f>'11工艺'!#REF!</f>
        <v>#REF!</v>
      </c>
      <c r="D162" s="61" t="e">
        <f>'11工艺'!#REF!</f>
        <v>#REF!</v>
      </c>
      <c r="E162" s="48" t="e">
        <f>'11工艺'!#REF!</f>
        <v>#REF!</v>
      </c>
      <c r="F162" s="55" t="e">
        <f>'11工艺'!#REF!</f>
        <v>#REF!</v>
      </c>
      <c r="G162" s="48" t="e">
        <f>'11工艺'!#REF!</f>
        <v>#REF!</v>
      </c>
      <c r="H162" s="59" t="e">
        <f>'11工艺'!#REF!</f>
        <v>#REF!</v>
      </c>
      <c r="I162" s="51" t="e">
        <f>'11工艺'!#REF!</f>
        <v>#REF!</v>
      </c>
      <c r="J162" s="55" t="e">
        <f>'11工艺'!#REF!</f>
        <v>#REF!</v>
      </c>
      <c r="K162" s="55" t="e">
        <f>'11工艺'!#REF!</f>
        <v>#REF!</v>
      </c>
      <c r="L162" s="44" t="e">
        <f>'11工艺'!#REF!</f>
        <v>#REF!</v>
      </c>
      <c r="M162" s="44" t="e">
        <f>'11工艺'!#REF!</f>
        <v>#REF!</v>
      </c>
      <c r="N162" s="54" t="e">
        <f>'11工艺'!#REF!</f>
        <v>#REF!</v>
      </c>
      <c r="O162" s="62" t="e">
        <f>'11工艺'!#REF!</f>
        <v>#REF!</v>
      </c>
      <c r="P162" s="55" t="e">
        <f>'11工艺'!#REF!</f>
        <v>#REF!</v>
      </c>
      <c r="Q162" s="50" t="e">
        <f>'11工艺'!#REF!</f>
        <v>#REF!</v>
      </c>
      <c r="R162" s="59" t="e">
        <f>'11工艺'!#REF!</f>
        <v>#REF!</v>
      </c>
      <c r="S162" s="51" t="e">
        <f>'11工艺'!#REF!</f>
        <v>#REF!</v>
      </c>
      <c r="T162" s="55" t="e">
        <f>'11工艺'!#REF!</f>
        <v>#REF!</v>
      </c>
      <c r="U162" s="55"/>
      <c r="V162" s="55" t="e">
        <f>'11工艺'!#REF!</f>
        <v>#REF!</v>
      </c>
    </row>
    <row r="163" spans="1:22">
      <c r="A163" s="50" t="e">
        <f>'11工艺'!#REF!</f>
        <v>#REF!</v>
      </c>
      <c r="B163" s="44" t="e">
        <f>'11工艺'!#REF!</f>
        <v>#REF!</v>
      </c>
      <c r="C163" s="55" t="e">
        <f>'11工艺'!#REF!</f>
        <v>#REF!</v>
      </c>
      <c r="D163" s="61" t="e">
        <f>'11工艺'!#REF!</f>
        <v>#REF!</v>
      </c>
      <c r="E163" s="48" t="e">
        <f>'11工艺'!#REF!</f>
        <v>#REF!</v>
      </c>
      <c r="F163" s="55" t="e">
        <f>'11工艺'!#REF!</f>
        <v>#REF!</v>
      </c>
      <c r="G163" s="48" t="e">
        <f>'11工艺'!#REF!</f>
        <v>#REF!</v>
      </c>
      <c r="H163" s="59" t="e">
        <f>'11工艺'!#REF!</f>
        <v>#REF!</v>
      </c>
      <c r="I163" s="51" t="e">
        <f>'11工艺'!#REF!</f>
        <v>#REF!</v>
      </c>
      <c r="J163" s="55" t="e">
        <f>'11工艺'!#REF!</f>
        <v>#REF!</v>
      </c>
      <c r="K163" s="55" t="e">
        <f>'11工艺'!#REF!</f>
        <v>#REF!</v>
      </c>
      <c r="L163" s="44" t="e">
        <f>'11工艺'!#REF!</f>
        <v>#REF!</v>
      </c>
      <c r="M163" s="44" t="e">
        <f>'11工艺'!#REF!</f>
        <v>#REF!</v>
      </c>
      <c r="N163" s="64" t="e">
        <f>'11工艺'!#REF!</f>
        <v>#REF!</v>
      </c>
      <c r="O163" s="62" t="e">
        <f>'11工艺'!#REF!</f>
        <v>#REF!</v>
      </c>
      <c r="P163" s="55" t="e">
        <f>'11工艺'!#REF!</f>
        <v>#REF!</v>
      </c>
      <c r="Q163" s="62" t="e">
        <f>'11工艺'!#REF!</f>
        <v>#REF!</v>
      </c>
      <c r="R163" s="59" t="e">
        <f>'11工艺'!#REF!</f>
        <v>#REF!</v>
      </c>
      <c r="S163" s="51" t="e">
        <f>'11工艺'!#REF!</f>
        <v>#REF!</v>
      </c>
      <c r="T163" s="55" t="e">
        <f>'11工艺'!#REF!</f>
        <v>#REF!</v>
      </c>
      <c r="U163" s="55"/>
      <c r="V163" s="55" t="e">
        <f>'11工艺'!#REF!</f>
        <v>#REF!</v>
      </c>
    </row>
    <row r="164" spans="1:22">
      <c r="A164" s="63" t="e">
        <f>'11工艺'!#REF!</f>
        <v>#REF!</v>
      </c>
      <c r="B164" s="44" t="e">
        <f>'11工艺'!#REF!</f>
        <v>#REF!</v>
      </c>
      <c r="C164" s="55" t="e">
        <f>'11工艺'!#REF!</f>
        <v>#REF!</v>
      </c>
      <c r="D164" s="65" t="e">
        <f>'11工艺'!#REF!</f>
        <v>#REF!</v>
      </c>
      <c r="E164" s="49" t="e">
        <f>'11工艺'!#REF!</f>
        <v>#REF!</v>
      </c>
      <c r="F164" s="55" t="e">
        <f>'11工艺'!#REF!</f>
        <v>#REF!</v>
      </c>
      <c r="G164" s="49" t="e">
        <f>'11工艺'!#REF!</f>
        <v>#REF!</v>
      </c>
      <c r="H164" s="66" t="e">
        <f>'11工艺'!#REF!</f>
        <v>#REF!</v>
      </c>
      <c r="I164" s="51" t="e">
        <f>'11工艺'!#REF!</f>
        <v>#REF!</v>
      </c>
      <c r="J164" s="55" t="e">
        <f>'11工艺'!#REF!</f>
        <v>#REF!</v>
      </c>
      <c r="K164" s="55" t="e">
        <f>'11工艺'!#REF!</f>
        <v>#REF!</v>
      </c>
      <c r="L164" s="44" t="e">
        <f>'11工艺'!#REF!</f>
        <v>#REF!</v>
      </c>
      <c r="M164" s="44" t="e">
        <f>'11工艺'!#REF!</f>
        <v>#REF!</v>
      </c>
      <c r="N164" s="64" t="e">
        <f>'11工艺'!#REF!</f>
        <v>#REF!</v>
      </c>
      <c r="O164" s="62" t="e">
        <f>'11工艺'!#REF!</f>
        <v>#REF!</v>
      </c>
      <c r="P164" s="55" t="e">
        <f>'11工艺'!#REF!</f>
        <v>#REF!</v>
      </c>
      <c r="Q164" s="62" t="e">
        <f>'11工艺'!#REF!</f>
        <v>#REF!</v>
      </c>
      <c r="R164" s="66" t="e">
        <f>'11工艺'!#REF!</f>
        <v>#REF!</v>
      </c>
      <c r="S164" s="51" t="e">
        <f>'11工艺'!#REF!</f>
        <v>#REF!</v>
      </c>
      <c r="T164" s="55" t="e">
        <f>'11工艺'!#REF!</f>
        <v>#REF!</v>
      </c>
      <c r="U164" s="55"/>
      <c r="V164" s="55" t="e">
        <f>'11工艺'!#REF!</f>
        <v>#REF!</v>
      </c>
    </row>
    <row r="165" spans="1:22">
      <c r="A165" s="63" t="e">
        <f>'11工艺'!#REF!</f>
        <v>#REF!</v>
      </c>
      <c r="B165" s="44" t="e">
        <f>'11工艺'!#REF!</f>
        <v>#REF!</v>
      </c>
      <c r="C165" s="55" t="e">
        <f>'11工艺'!#REF!</f>
        <v>#REF!</v>
      </c>
      <c r="D165" s="65" t="e">
        <f>'11工艺'!#REF!</f>
        <v>#REF!</v>
      </c>
      <c r="E165" s="49" t="e">
        <f>'11工艺'!#REF!</f>
        <v>#REF!</v>
      </c>
      <c r="F165" s="55" t="e">
        <f>'11工艺'!#REF!</f>
        <v>#REF!</v>
      </c>
      <c r="G165" s="49" t="e">
        <f>'11工艺'!#REF!</f>
        <v>#REF!</v>
      </c>
      <c r="H165" s="66" t="e">
        <f>'11工艺'!#REF!</f>
        <v>#REF!</v>
      </c>
      <c r="I165" s="51" t="e">
        <f>'11工艺'!#REF!</f>
        <v>#REF!</v>
      </c>
      <c r="J165" s="55" t="e">
        <f>'11工艺'!#REF!</f>
        <v>#REF!</v>
      </c>
      <c r="K165" s="55" t="e">
        <f>'11工艺'!#REF!</f>
        <v>#REF!</v>
      </c>
      <c r="L165" s="44" t="e">
        <f>'11工艺'!#REF!</f>
        <v>#REF!</v>
      </c>
      <c r="M165" s="44" t="e">
        <f>'11工艺'!#REF!</f>
        <v>#REF!</v>
      </c>
      <c r="N165" s="64" t="e">
        <f>'11工艺'!#REF!</f>
        <v>#REF!</v>
      </c>
      <c r="O165" s="62" t="e">
        <f>'11工艺'!#REF!</f>
        <v>#REF!</v>
      </c>
      <c r="P165" s="55" t="e">
        <f>'11工艺'!#REF!</f>
        <v>#REF!</v>
      </c>
      <c r="Q165" s="62" t="e">
        <f>'11工艺'!#REF!</f>
        <v>#REF!</v>
      </c>
      <c r="R165" s="66" t="e">
        <f>'11工艺'!#REF!</f>
        <v>#REF!</v>
      </c>
      <c r="S165" s="51" t="e">
        <f>'11工艺'!#REF!</f>
        <v>#REF!</v>
      </c>
      <c r="T165" s="55" t="e">
        <f>'11工艺'!#REF!</f>
        <v>#REF!</v>
      </c>
      <c r="U165" s="55"/>
      <c r="V165" s="55" t="e">
        <f>'11工艺'!#REF!</f>
        <v>#REF!</v>
      </c>
    </row>
  </sheetData>
  <mergeCells count="4">
    <mergeCell ref="A2:V2"/>
    <mergeCell ref="A4:A5"/>
    <mergeCell ref="B4:K4"/>
    <mergeCell ref="L4:V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8" fitToHeight="0" orientation="landscape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5288-67FC-45AA-897A-DA36FF93F90F}">
  <sheetPr codeName="Sheet15">
    <tabColor rgb="FF7030A0"/>
  </sheetPr>
  <dimension ref="A1:G9"/>
  <sheetViews>
    <sheetView view="pageBreakPreview" zoomScale="115" zoomScaleNormal="100" zoomScaleSheetLayoutView="115" workbookViewId="0">
      <selection activeCell="G5" sqref="G5:G9"/>
    </sheetView>
  </sheetViews>
  <sheetFormatPr defaultRowHeight="14.4"/>
  <cols>
    <col min="1" max="1" width="6.88671875" style="2" customWidth="1"/>
    <col min="2" max="2" width="25.44140625" style="2" customWidth="1"/>
    <col min="3" max="3" width="18" style="2" customWidth="1"/>
    <col min="4" max="5" width="21.6640625" style="2" customWidth="1"/>
    <col min="6" max="6" width="24.33203125" style="2" customWidth="1"/>
    <col min="7" max="7" width="7.21875" style="2" customWidth="1"/>
    <col min="8" max="16384" width="8.88671875" style="2"/>
  </cols>
  <sheetData>
    <row r="1" spans="1:7" ht="17.399999999999999">
      <c r="A1" s="1" t="s">
        <v>192</v>
      </c>
    </row>
    <row r="2" spans="1:7" ht="20.399999999999999">
      <c r="A2" s="79" t="s">
        <v>191</v>
      </c>
      <c r="B2" s="79"/>
      <c r="C2" s="79"/>
      <c r="D2" s="79"/>
      <c r="E2" s="79"/>
      <c r="F2" s="79"/>
      <c r="G2" s="79"/>
    </row>
    <row r="3" spans="1:7" s="3" customFormat="1" ht="12">
      <c r="A3" s="3" t="str">
        <f>'1总概算'!A3</f>
        <v xml:space="preserve">建设单位：中国船舶集团有限公司第七一八研究所                                                                                                                 </v>
      </c>
      <c r="G3" s="5" t="s">
        <v>200</v>
      </c>
    </row>
    <row r="4" spans="1:7" s="67" customFormat="1" ht="14.4" customHeight="1">
      <c r="A4" s="7" t="s">
        <v>2</v>
      </c>
      <c r="B4" s="7" t="s">
        <v>195</v>
      </c>
      <c r="C4" s="7" t="s">
        <v>196</v>
      </c>
      <c r="D4" s="7" t="s">
        <v>197</v>
      </c>
      <c r="E4" s="7" t="s">
        <v>198</v>
      </c>
      <c r="F4" s="7" t="s">
        <v>199</v>
      </c>
      <c r="G4" s="7" t="s">
        <v>14</v>
      </c>
    </row>
    <row r="5" spans="1:7" s="19" customFormat="1" ht="28.8">
      <c r="A5" s="93">
        <v>1</v>
      </c>
      <c r="B5" s="92" t="s">
        <v>211</v>
      </c>
      <c r="C5" s="9" t="s">
        <v>145</v>
      </c>
      <c r="D5" s="9" t="s">
        <v>212</v>
      </c>
      <c r="E5" s="96" t="s">
        <v>213</v>
      </c>
      <c r="F5" s="96" t="s">
        <v>214</v>
      </c>
      <c r="G5" s="93"/>
    </row>
    <row r="6" spans="1:7" s="19" customFormat="1" ht="28.8">
      <c r="A6" s="94"/>
      <c r="B6" s="92"/>
      <c r="C6" s="9" t="s">
        <v>146</v>
      </c>
      <c r="D6" s="9" t="s">
        <v>212</v>
      </c>
      <c r="E6" s="97"/>
      <c r="F6" s="97"/>
      <c r="G6" s="94"/>
    </row>
    <row r="7" spans="1:7" s="19" customFormat="1" ht="28.8">
      <c r="A7" s="94"/>
      <c r="B7" s="92"/>
      <c r="C7" s="9" t="s">
        <v>147</v>
      </c>
      <c r="D7" s="9" t="s">
        <v>212</v>
      </c>
      <c r="E7" s="97"/>
      <c r="F7" s="97"/>
      <c r="G7" s="94"/>
    </row>
    <row r="8" spans="1:7" s="19" customFormat="1">
      <c r="A8" s="94"/>
      <c r="B8" s="92"/>
      <c r="C8" s="9" t="s">
        <v>148</v>
      </c>
      <c r="D8" s="9" t="s">
        <v>212</v>
      </c>
      <c r="E8" s="97"/>
      <c r="F8" s="97"/>
      <c r="G8" s="94"/>
    </row>
    <row r="9" spans="1:7" s="19" customFormat="1">
      <c r="A9" s="95"/>
      <c r="B9" s="92"/>
      <c r="C9" s="9" t="s">
        <v>151</v>
      </c>
      <c r="D9" s="9" t="s">
        <v>212</v>
      </c>
      <c r="E9" s="98"/>
      <c r="F9" s="98"/>
      <c r="G9" s="95"/>
    </row>
  </sheetData>
  <mergeCells count="6">
    <mergeCell ref="B5:B9"/>
    <mergeCell ref="A2:G2"/>
    <mergeCell ref="A5:A9"/>
    <mergeCell ref="E5:E9"/>
    <mergeCell ref="F5:F9"/>
    <mergeCell ref="G5:G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20</vt:i4>
      </vt:variant>
    </vt:vector>
  </HeadingPairs>
  <TitlesOfParts>
    <vt:vector size="35" baseType="lpstr">
      <vt:lpstr>1总概算</vt:lpstr>
      <vt:lpstr>2建筑工程</vt:lpstr>
      <vt:lpstr>3设备</vt:lpstr>
      <vt:lpstr>4变更</vt:lpstr>
      <vt:lpstr>5设备调整</vt:lpstr>
      <vt:lpstr>6未完工程</vt:lpstr>
      <vt:lpstr>7未完设备</vt:lpstr>
      <vt:lpstr>8人员</vt:lpstr>
      <vt:lpstr>9贷款</vt:lpstr>
      <vt:lpstr>10决算</vt:lpstr>
      <vt:lpstr>11工艺</vt:lpstr>
      <vt:lpstr>12建筑物</vt:lpstr>
      <vt:lpstr>13公用</vt:lpstr>
      <vt:lpstr>14特种设备</vt:lpstr>
      <vt:lpstr>15成效</vt:lpstr>
      <vt:lpstr>'11工艺'!Print_Area</vt:lpstr>
      <vt:lpstr>'13公用'!Print_Area</vt:lpstr>
      <vt:lpstr>'1总概算'!Print_Area</vt:lpstr>
      <vt:lpstr>'2建筑工程'!Print_Area</vt:lpstr>
      <vt:lpstr>'3设备'!Print_Area</vt:lpstr>
      <vt:lpstr>'10决算'!Print_Titles</vt:lpstr>
      <vt:lpstr>'11工艺'!Print_Titles</vt:lpstr>
      <vt:lpstr>'12建筑物'!Print_Titles</vt:lpstr>
      <vt:lpstr>'13公用'!Print_Titles</vt:lpstr>
      <vt:lpstr>'14特种设备'!Print_Titles</vt:lpstr>
      <vt:lpstr>'15成效'!Print_Titles</vt:lpstr>
      <vt:lpstr>'1总概算'!Print_Titles</vt:lpstr>
      <vt:lpstr>'2建筑工程'!Print_Titles</vt:lpstr>
      <vt:lpstr>'3设备'!Print_Titles</vt:lpstr>
      <vt:lpstr>'4变更'!Print_Titles</vt:lpstr>
      <vt:lpstr>'5设备调整'!Print_Titles</vt:lpstr>
      <vt:lpstr>'6未完工程'!Print_Titles</vt:lpstr>
      <vt:lpstr>'7未完设备'!Print_Titles</vt:lpstr>
      <vt:lpstr>'8人员'!Print_Titles</vt:lpstr>
      <vt:lpstr>'9贷款'!Print_Titles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</dc:creator>
  <cp:lastModifiedBy>W W</cp:lastModifiedBy>
  <cp:lastPrinted>2024-12-16T07:08:04Z</cp:lastPrinted>
  <dcterms:created xsi:type="dcterms:W3CDTF">2015-06-05T18:19:34Z</dcterms:created>
  <dcterms:modified xsi:type="dcterms:W3CDTF">2024-12-16T07:08:50Z</dcterms:modified>
</cp:coreProperties>
</file>