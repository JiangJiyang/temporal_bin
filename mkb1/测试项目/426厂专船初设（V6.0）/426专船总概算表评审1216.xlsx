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240" yWindow="105" windowWidth="14805" windowHeight="8010" tabRatio="985" activeTab="7"/>
  </bookViews>
  <sheets>
    <sheet name="设备对比表" sheetId="15" r:id="rId1"/>
    <sheet name="概算对比表" sheetId="14" r:id="rId2"/>
    <sheet name="总概算表" sheetId="1" r:id="rId3"/>
    <sheet name="室内" sheetId="2" r:id="rId4"/>
    <sheet name="室外" sheetId="3" r:id="rId5"/>
    <sheet name="其他" sheetId="5" r:id="rId6"/>
    <sheet name="设备取费" sheetId="12" r:id="rId7"/>
    <sheet name="公用设备" sheetId="16" r:id="rId8"/>
    <sheet name="新增（改造）工艺设备明细表" sheetId="13" r:id="rId9"/>
    <sheet name="土" sheetId="20" r:id="rId10"/>
    <sheet name="土费" sheetId="19" r:id="rId11"/>
    <sheet name="单位工程人材机价差表" sheetId="21" state="hidden" r:id="rId12"/>
    <sheet name="电" sheetId="18" r:id="rId13"/>
    <sheet name="电费" sheetId="17" r:id="rId14"/>
    <sheet name="船坞改造" sheetId="23" r:id="rId15"/>
    <sheet name="船坞改造费用" sheetId="22" r:id="rId16"/>
  </sheets>
  <externalReferences>
    <externalReference r:id="rId17"/>
    <externalReference r:id="rId18"/>
  </externalReferences>
  <definedNames>
    <definedName name="_____fe1" hidden="1">{"'设备表'!$A$1:$K$6"}</definedName>
    <definedName name="_____fe2" hidden="1">{"'设备表'!$A$1:$K$6"}</definedName>
    <definedName name="_____fe3" hidden="1">{"'设备表'!$A$1:$K$6"}</definedName>
    <definedName name="_____fe4" hidden="1">{"'设备表'!$A$1:$K$6"}</definedName>
    <definedName name="____fe1" hidden="1">{"'设备表'!$A$1:$K$6"}</definedName>
    <definedName name="____fe2" hidden="1">{"'设备表'!$A$1:$K$6"}</definedName>
    <definedName name="____fe3" hidden="1">{"'设备表'!$A$1:$K$6"}</definedName>
    <definedName name="____fe4" hidden="1">{"'设备表'!$A$1:$K$6"}</definedName>
    <definedName name="___fe1" hidden="1">{"'设备表'!$A$1:$K$6"}</definedName>
    <definedName name="___fe2" hidden="1">{"'设备表'!$A$1:$K$6"}</definedName>
    <definedName name="___fe3" hidden="1">{"'设备表'!$A$1:$K$6"}</definedName>
    <definedName name="___fe4" hidden="1">{"'设备表'!$A$1:$K$6"}</definedName>
    <definedName name="__fe1" hidden="1">{"'设备表'!$A$1:$K$6"}</definedName>
    <definedName name="__fe2" hidden="1">{"'设备表'!$A$1:$K$6"}</definedName>
    <definedName name="__fe3" hidden="1">{"'设备表'!$A$1:$K$6"}</definedName>
    <definedName name="__fe4" hidden="1">{"'设备表'!$A$1:$K$6"}</definedName>
    <definedName name="_12fe4_" hidden="1">{"'设备表'!$A$1:$K$6"}</definedName>
    <definedName name="_1fe1_" hidden="1">{"'设备表'!$A$1:$K$6"}</definedName>
    <definedName name="_2fe1_" hidden="1">{"'设备表'!$A$1:$K$6"}</definedName>
    <definedName name="_2fe2_" hidden="1">{"'设备表'!$A$1:$K$6"}</definedName>
    <definedName name="_3fe1_" hidden="1">{"'设备表'!$A$1:$K$6"}</definedName>
    <definedName name="_3fe3_" hidden="1">{"'设备表'!$A$1:$K$6"}</definedName>
    <definedName name="_4fe2_" hidden="1">{"'设备表'!$A$1:$K$6"}</definedName>
    <definedName name="_4fe4_" hidden="1">{"'设备表'!$A$1:$K$6"}</definedName>
    <definedName name="_6fe2_" hidden="1">{"'设备表'!$A$1:$K$6"}</definedName>
    <definedName name="_6fe3_" hidden="1">{"'设备表'!$A$1:$K$6"}</definedName>
    <definedName name="_8fe4_" hidden="1">{"'设备表'!$A$1:$K$6"}</definedName>
    <definedName name="_9fe3_" hidden="1">{"'设备表'!$A$1:$K$6"}</definedName>
    <definedName name="_fe1" hidden="1">{"'设备表'!$A$1:$K$6"}</definedName>
    <definedName name="_fe2" hidden="1">{"'设备表'!$A$1:$K$6"}</definedName>
    <definedName name="_fe3" hidden="1">{"'设备表'!$A$1:$K$6"}</definedName>
    <definedName name="_fe4" hidden="1">{"'设备表'!$A$1:$K$6"}</definedName>
    <definedName name="_Toc146509935" localSheetId="1">#REF!</definedName>
    <definedName name="_Toc146509935" localSheetId="0">#REF!</definedName>
    <definedName name="_Toc146509935">#REF!</definedName>
    <definedName name="aaaaa" localSheetId="1">#REF!</definedName>
    <definedName name="aaaaa" localSheetId="0">#REF!</definedName>
    <definedName name="aaaaa">#REF!</definedName>
    <definedName name="edline" localSheetId="1">#REF!</definedName>
    <definedName name="edline" localSheetId="7">#REF!</definedName>
    <definedName name="edline" localSheetId="0">#REF!</definedName>
    <definedName name="edline">#REF!</definedName>
    <definedName name="HTML_CodePage" hidden="1">936</definedName>
    <definedName name="HTML_Control" localSheetId="7" hidden="1">{"'设备表'!$A$1:$K$6"}</definedName>
    <definedName name="HTML_Control" hidden="1">{"'设备表'!$A$1:$K$6"}</definedName>
    <definedName name="HTML_Description" hidden="1">""</definedName>
    <definedName name="HTML_Email" hidden="1">""</definedName>
    <definedName name="HTML_Header" hidden="1">"设备表"</definedName>
    <definedName name="HTML_LastUpdate" hidden="1">"00-9-30"</definedName>
    <definedName name="HTML_LineAfter" hidden="1">FALSE</definedName>
    <definedName name="HTML_LineBefore" hidden="1">FALSE</definedName>
    <definedName name="HTML_Name" hidden="1">"yh"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"新增工艺设备汇总表"</definedName>
    <definedName name="OLE_LINK1" localSheetId="1">#REF!</definedName>
    <definedName name="OLE_LINK1" localSheetId="0">#REF!</definedName>
    <definedName name="OLE_LINK1">#REF!</definedName>
    <definedName name="_xlnm.Print_Area" localSheetId="1">概算对比表!$A$1:$Q$22</definedName>
    <definedName name="_xlnm.Print_Area" localSheetId="8">'新增（改造）工艺设备明细表'!$A$1:$K$11</definedName>
    <definedName name="Print_Area1" localSheetId="1">#REF!</definedName>
    <definedName name="Print_Area1" localSheetId="0">#REF!</definedName>
    <definedName name="Print_Area1">#REF!</definedName>
    <definedName name="_xlnm.Print_Titles" localSheetId="7">公用设备!$1:$5</definedName>
    <definedName name="vve" hidden="1">{"'设备表'!$A$1:$K$6"}</definedName>
    <definedName name="vvr" hidden="1">{"'设备表'!$A$1:$K$6"}</definedName>
    <definedName name="vvs" hidden="1">{"'设备表'!$A$1:$K$6"}</definedName>
    <definedName name="vvw" hidden="1">{"'设备表'!$A$1:$K$6"}</definedName>
    <definedName name="齿轮箱分厂2" hidden="1">{"'设备表'!$A$1:$K$6"}</definedName>
    <definedName name="道" hidden="1">{"'设备表'!$A$1:$K$6"}</definedName>
    <definedName name="道概" localSheetId="1">#REF!</definedName>
    <definedName name="道概" localSheetId="0">#REF!</definedName>
    <definedName name="道概">#REF!</definedName>
    <definedName name="道取" localSheetId="1">#REF!</definedName>
    <definedName name="道取" localSheetId="0">#REF!</definedName>
    <definedName name="道取">#REF!</definedName>
    <definedName name="电梯" localSheetId="7" hidden="1">{"'设备表'!$A$1:$K$6"}</definedName>
    <definedName name="电梯" hidden="1">{"'设备表'!$A$1:$K$6"}</definedName>
    <definedName name="概" hidden="1">{"'设备表'!$A$1:$K$6"}</definedName>
    <definedName name="公用" hidden="1">{"'设备表'!$A$1:$K$6"}</definedName>
    <definedName name="进口设备表" localSheetId="7" hidden="1">{"'设备表'!$A$1:$K$6"}</definedName>
    <definedName name="进口设备表" hidden="1">{"'设备表'!$A$1:$K$6"}</definedName>
    <definedName name="气体消防" hidden="1">{"'设备表'!$A$1:$K$6"}</definedName>
    <definedName name="弱电3" localSheetId="7" hidden="1">{"'设备表'!$A$1:$K$6"}</definedName>
    <definedName name="弱电3" hidden="1">{"'设备表'!$A$1:$K$6"}</definedName>
    <definedName name="水" hidden="1">{"'设备表'!$A$1:$K$6"}</definedName>
    <definedName name="所" hidden="1">{"'设备表'!$A$1:$K$6"}</definedName>
    <definedName name="铜合金铸造厂房" hidden="1">{"'设备表'!$A$1:$K$6"}</definedName>
    <definedName name="投资构成" localSheetId="7" hidden="1">{"'设备表'!$A$1:$K$6"}</definedName>
    <definedName name="投资构成" hidden="1">{"'设备表'!$A$1:$K$6"}</definedName>
    <definedName name="图1" localSheetId="1">#REF!</definedName>
    <definedName name="图1" localSheetId="0">#REF!</definedName>
    <definedName name="图1">#REF!</definedName>
    <definedName name="图2">[1]工程量屋面屋架柱!$A$1</definedName>
    <definedName name="土建" hidden="1">{"'设备表'!$A$1:$K$6"}</definedName>
    <definedName name="土建概" localSheetId="1">#REF!</definedName>
    <definedName name="土建概" localSheetId="0">#REF!</definedName>
    <definedName name="土建概">#REF!</definedName>
    <definedName name="外电" hidden="1">{"'设备表'!$A$1:$K$6"}</definedName>
    <definedName name="卧式旋铆机" localSheetId="1">#REF!</definedName>
    <definedName name="卧式旋铆机" localSheetId="0">#REF!</definedName>
    <definedName name="卧式旋铆机">#REF!</definedName>
    <definedName name="项目名称_淄博蓄电池厂牵引电池150万KVAH技术改造建设项目" localSheetId="1">#REF!</definedName>
    <definedName name="项目名称_淄博蓄电池厂牵引电池150万KVAH技术改造建设项目" localSheetId="0">#REF!</definedName>
    <definedName name="项目名称_淄博蓄电池厂牵引电池150万KVAH技术改造建设项目">#REF!</definedName>
    <definedName name="新增设备表" hidden="1">{"'设备表'!$A$1:$K$6"}</definedName>
    <definedName name="装饰工程预算表" localSheetId="1">[2]装饰工程预算表!#REF!</definedName>
    <definedName name="装饰工程预算表" localSheetId="0">[2]装饰工程预算表!#REF!</definedName>
    <definedName name="装饰工程预算表">[2]装饰工程预算表!#REF!</definedName>
  </definedNames>
  <calcPr calcId="144525"/>
</workbook>
</file>

<file path=xl/calcChain.xml><?xml version="1.0" encoding="utf-8"?>
<calcChain xmlns="http://schemas.openxmlformats.org/spreadsheetml/2006/main">
  <c r="E7" i="3" l="1"/>
  <c r="I13" i="1" l="1"/>
  <c r="A3" i="14" l="1"/>
  <c r="Q9" i="12" l="1"/>
  <c r="G15" i="16"/>
  <c r="G16" i="16" s="1"/>
  <c r="G17" i="16" s="1"/>
  <c r="G11" i="16"/>
  <c r="G10" i="16"/>
  <c r="G9" i="16"/>
  <c r="A3" i="16"/>
  <c r="G8" i="16"/>
  <c r="G12" i="16" l="1"/>
  <c r="G13" i="16" s="1"/>
  <c r="G8" i="2" s="1"/>
  <c r="O8" i="15"/>
  <c r="P8" i="15" s="1"/>
  <c r="T10" i="15"/>
  <c r="N12" i="15"/>
  <c r="P10" i="15"/>
  <c r="P9" i="15"/>
  <c r="F12" i="15"/>
  <c r="H10" i="15"/>
  <c r="U10" i="15" s="1"/>
  <c r="H9" i="15"/>
  <c r="H8" i="15"/>
  <c r="F12" i="14"/>
  <c r="F7" i="14"/>
  <c r="F6" i="14" s="1"/>
  <c r="F8" i="2" l="1"/>
  <c r="G18" i="16"/>
  <c r="T8" i="15"/>
  <c r="P12" i="15"/>
  <c r="U8" i="15"/>
  <c r="U12" i="15"/>
  <c r="H12" i="15"/>
  <c r="Q10" i="12" l="1"/>
  <c r="Q8" i="12" s="1"/>
  <c r="Q11" i="12"/>
  <c r="P8" i="12"/>
  <c r="P7" i="12" s="1"/>
  <c r="Q7" i="12" l="1"/>
  <c r="E8" i="2"/>
  <c r="E7" i="2" l="1"/>
  <c r="E6" i="2" s="1"/>
  <c r="H8" i="2"/>
  <c r="B8" i="5"/>
  <c r="B9" i="5"/>
  <c r="B10" i="5"/>
  <c r="B11" i="5"/>
  <c r="B12" i="5"/>
  <c r="B13" i="5"/>
  <c r="B14" i="5"/>
  <c r="B15" i="5"/>
  <c r="B7" i="5"/>
  <c r="F11" i="13"/>
  <c r="H9" i="13"/>
  <c r="H8" i="13"/>
  <c r="H7" i="13"/>
  <c r="H11" i="13" s="1"/>
  <c r="D11" i="12"/>
  <c r="K11" i="12" s="1"/>
  <c r="C11" i="12"/>
  <c r="B11" i="12"/>
  <c r="D10" i="12"/>
  <c r="K10" i="12" s="1"/>
  <c r="C10" i="12"/>
  <c r="B10" i="12"/>
  <c r="D9" i="12"/>
  <c r="C9" i="12"/>
  <c r="B9" i="12"/>
  <c r="N8" i="12"/>
  <c r="N7" i="12" s="1"/>
  <c r="M8" i="12"/>
  <c r="M7" i="12" s="1"/>
  <c r="I14" i="1"/>
  <c r="A3" i="5"/>
  <c r="A3" i="3"/>
  <c r="A3" i="2"/>
  <c r="H7" i="3"/>
  <c r="H6" i="3" s="1"/>
  <c r="F11" i="1" s="1"/>
  <c r="J6" i="3"/>
  <c r="I6" i="3"/>
  <c r="G6" i="3"/>
  <c r="F6" i="3"/>
  <c r="J21" i="1"/>
  <c r="K21" i="14" s="1"/>
  <c r="J20" i="1"/>
  <c r="I19" i="1"/>
  <c r="J19" i="1" s="1"/>
  <c r="J14" i="1"/>
  <c r="J13" i="1"/>
  <c r="H7" i="2" l="1"/>
  <c r="G12" i="2"/>
  <c r="F8" i="5"/>
  <c r="K14" i="14"/>
  <c r="F14" i="5"/>
  <c r="K20" i="14"/>
  <c r="H6" i="2"/>
  <c r="F9" i="1"/>
  <c r="F8" i="1" s="1"/>
  <c r="F7" i="5"/>
  <c r="K13" i="14"/>
  <c r="F13" i="5"/>
  <c r="K19" i="14"/>
  <c r="F15" i="5"/>
  <c r="L10" i="12"/>
  <c r="F10" i="1"/>
  <c r="J11" i="1"/>
  <c r="J10" i="1" s="1"/>
  <c r="L9" i="12"/>
  <c r="O10" i="12"/>
  <c r="L11" i="12"/>
  <c r="J18" i="1"/>
  <c r="O9" i="12"/>
  <c r="R9" i="12" s="1"/>
  <c r="O11" i="12"/>
  <c r="E6" i="3"/>
  <c r="F12" i="5" l="1"/>
  <c r="K18" i="14"/>
  <c r="P13" i="14"/>
  <c r="F7" i="1"/>
  <c r="F6" i="1" s="1"/>
  <c r="I15" i="1"/>
  <c r="R10" i="12"/>
  <c r="L8" i="12"/>
  <c r="L7" i="12" s="1"/>
  <c r="I8" i="2" s="1"/>
  <c r="I7" i="2" s="1"/>
  <c r="I6" i="2" s="1"/>
  <c r="G9" i="1" s="1"/>
  <c r="J9" i="1" s="1"/>
  <c r="J8" i="1" s="1"/>
  <c r="R11" i="12"/>
  <c r="J15" i="1"/>
  <c r="O8" i="12"/>
  <c r="O7" i="12" s="1"/>
  <c r="C26" i="1" l="1"/>
  <c r="J7" i="1"/>
  <c r="I16" i="1" s="1"/>
  <c r="K9" i="14"/>
  <c r="F9" i="5"/>
  <c r="K15" i="14"/>
  <c r="K8" i="2"/>
  <c r="K7" i="2" s="1"/>
  <c r="K6" i="2" s="1"/>
  <c r="R8" i="12"/>
  <c r="R7" i="12" s="1"/>
  <c r="G8" i="1"/>
  <c r="G7" i="1" s="1"/>
  <c r="K7" i="14" l="1"/>
  <c r="P9" i="14"/>
  <c r="G6" i="1"/>
  <c r="C27" i="1"/>
  <c r="I17" i="1"/>
  <c r="J17" i="1" s="1"/>
  <c r="J16" i="1"/>
  <c r="K16" i="14" s="1"/>
  <c r="P16" i="14" s="1"/>
  <c r="F11" i="5" l="1"/>
  <c r="K17" i="14"/>
  <c r="P17" i="14" s="1"/>
  <c r="P7" i="14"/>
  <c r="I12" i="1"/>
  <c r="J12" i="1"/>
  <c r="F10" i="5"/>
  <c r="K12" i="14" l="1"/>
  <c r="P12" i="14" s="1"/>
  <c r="E11" i="5"/>
  <c r="F6" i="5"/>
  <c r="C28" i="1"/>
  <c r="E17" i="5"/>
  <c r="I22" i="1"/>
  <c r="J22" i="1" l="1"/>
  <c r="K22" i="14" s="1"/>
  <c r="I6" i="1"/>
  <c r="P22" i="14" l="1"/>
  <c r="K6" i="14"/>
  <c r="C29" i="1"/>
  <c r="C30" i="1" s="1"/>
  <c r="F17" i="5"/>
  <c r="J6" i="1"/>
  <c r="M6" i="1" l="1"/>
  <c r="E7" i="5"/>
  <c r="E8" i="5" s="1"/>
  <c r="E13" i="5" s="1"/>
  <c r="D17" i="5"/>
  <c r="F16" i="5"/>
  <c r="F5" i="5" s="1"/>
  <c r="D27" i="1" l="1"/>
  <c r="D26" i="1"/>
  <c r="D28" i="1"/>
  <c r="D29" i="1"/>
  <c r="D30" i="1" l="1"/>
</calcChain>
</file>

<file path=xl/sharedStrings.xml><?xml version="1.0" encoding="utf-8"?>
<sst xmlns="http://schemas.openxmlformats.org/spreadsheetml/2006/main" count="2911" uniqueCount="453">
  <si>
    <t>总概算表</t>
    <phoneticPr fontId="1" type="noConversion"/>
  </si>
  <si>
    <t>序号</t>
    <phoneticPr fontId="1" type="noConversion"/>
  </si>
  <si>
    <t>建筑面积或工程量</t>
    <phoneticPr fontId="1" type="noConversion"/>
  </si>
  <si>
    <t>新建</t>
    <phoneticPr fontId="1" type="noConversion"/>
  </si>
  <si>
    <t>改造</t>
    <phoneticPr fontId="1" type="noConversion"/>
  </si>
  <si>
    <t>单位</t>
    <phoneticPr fontId="1" type="noConversion"/>
  </si>
  <si>
    <t>建筑工程费</t>
    <phoneticPr fontId="1" type="noConversion"/>
  </si>
  <si>
    <t>工艺设备购置费</t>
    <phoneticPr fontId="1" type="noConversion"/>
  </si>
  <si>
    <t>工艺设备安装费</t>
    <phoneticPr fontId="1" type="noConversion"/>
  </si>
  <si>
    <t>其他费用</t>
    <phoneticPr fontId="1" type="noConversion"/>
  </si>
  <si>
    <t>合计</t>
    <phoneticPr fontId="1" type="noConversion"/>
  </si>
  <si>
    <t>含外汇</t>
    <phoneticPr fontId="1" type="noConversion"/>
  </si>
  <si>
    <t>备注</t>
    <phoneticPr fontId="1" type="noConversion"/>
  </si>
  <si>
    <t>工程项目或费用名称</t>
    <phoneticPr fontId="1" type="noConversion"/>
  </si>
  <si>
    <t>序号</t>
    <phoneticPr fontId="1" type="noConversion"/>
  </si>
  <si>
    <t>建筑工程费（万元）</t>
    <phoneticPr fontId="1" type="noConversion"/>
  </si>
  <si>
    <t>土建及专业工程费</t>
    <phoneticPr fontId="1" type="noConversion"/>
  </si>
  <si>
    <t>室外工程概算表</t>
    <phoneticPr fontId="1" type="noConversion"/>
  </si>
  <si>
    <t>工程名称</t>
    <phoneticPr fontId="1" type="noConversion"/>
  </si>
  <si>
    <t>建筑设备购置费</t>
    <phoneticPr fontId="1" type="noConversion"/>
  </si>
  <si>
    <t>建筑设备安装费</t>
    <phoneticPr fontId="1" type="noConversion"/>
  </si>
  <si>
    <t>单位</t>
    <phoneticPr fontId="1" type="noConversion"/>
  </si>
  <si>
    <t>数量</t>
    <phoneticPr fontId="1" type="noConversion"/>
  </si>
  <si>
    <t>指标         （元/单位）</t>
    <phoneticPr fontId="1" type="noConversion"/>
  </si>
  <si>
    <t>备注</t>
    <phoneticPr fontId="1" type="noConversion"/>
  </si>
  <si>
    <t>其他费用概算表</t>
    <phoneticPr fontId="1" type="noConversion"/>
  </si>
  <si>
    <t>费用名称</t>
    <phoneticPr fontId="1" type="noConversion"/>
  </si>
  <si>
    <t>收费依据</t>
    <phoneticPr fontId="1" type="noConversion"/>
  </si>
  <si>
    <t>指标</t>
    <phoneticPr fontId="1" type="noConversion"/>
  </si>
  <si>
    <t>计算基数</t>
    <phoneticPr fontId="1" type="noConversion"/>
  </si>
  <si>
    <t>投资  （万元）</t>
    <phoneticPr fontId="1" type="noConversion"/>
  </si>
  <si>
    <t>序号</t>
  </si>
  <si>
    <t>单位</t>
  </si>
  <si>
    <t>数量</t>
  </si>
  <si>
    <t>单价</t>
  </si>
  <si>
    <t>小计</t>
  </si>
  <si>
    <t/>
  </si>
  <si>
    <t>单位工程费用表</t>
  </si>
  <si>
    <t>第  1  页  共  1  页</t>
  </si>
  <si>
    <t>费用名称</t>
  </si>
  <si>
    <t>取费说明</t>
  </si>
  <si>
    <t>费率（%）</t>
  </si>
  <si>
    <t>费用金额</t>
  </si>
  <si>
    <t>(一)</t>
  </si>
  <si>
    <t>基价定额直接费</t>
  </si>
  <si>
    <t>预算价直接费-外购自置材料不计费</t>
  </si>
  <si>
    <t>105</t>
  </si>
  <si>
    <t>(二)</t>
  </si>
  <si>
    <t>定额直接费</t>
  </si>
  <si>
    <t>直接费+主材费+设备费</t>
  </si>
  <si>
    <t>(三)</t>
  </si>
  <si>
    <t>其他直接费</t>
  </si>
  <si>
    <t>临时设施费+冬季、雨季及夜间施工增加费+材料二次倒运费+施工辅助费+施工队伍进退场费+外海工程拖船费</t>
  </si>
  <si>
    <t>1</t>
  </si>
  <si>
    <t>临时设施费</t>
  </si>
  <si>
    <t>1.392</t>
  </si>
  <si>
    <t>2</t>
  </si>
  <si>
    <t>冬季、雨季及夜间施工增加费</t>
  </si>
  <si>
    <t>1.859</t>
  </si>
  <si>
    <t>3</t>
  </si>
  <si>
    <t>材料二次倒运费</t>
  </si>
  <si>
    <t>0.353</t>
  </si>
  <si>
    <t>4</t>
  </si>
  <si>
    <t>施工辅助费</t>
  </si>
  <si>
    <t>1.116</t>
  </si>
  <si>
    <t>5</t>
  </si>
  <si>
    <t>施工队伍进退场费</t>
  </si>
  <si>
    <t>0.707</t>
  </si>
  <si>
    <t>6</t>
  </si>
  <si>
    <t>外海工程拖船费</t>
  </si>
  <si>
    <t>1.133</t>
  </si>
  <si>
    <t>(四)</t>
  </si>
  <si>
    <t>直接工程费</t>
  </si>
  <si>
    <t>定额直接费+其他直接费</t>
  </si>
  <si>
    <t>(五)</t>
  </si>
  <si>
    <t>企业管理费</t>
  </si>
  <si>
    <t>基价定额直接费+其他直接费</t>
  </si>
  <si>
    <t>8.919</t>
  </si>
  <si>
    <t>(六)</t>
  </si>
  <si>
    <t>财务费用</t>
  </si>
  <si>
    <t>0.754</t>
  </si>
  <si>
    <t>(七)</t>
  </si>
  <si>
    <t>利润</t>
  </si>
  <si>
    <t>基价定额直接费+其他直接费+企业管理费+财务费用</t>
  </si>
  <si>
    <t>7</t>
  </si>
  <si>
    <t>(八)</t>
  </si>
  <si>
    <t>税金</t>
  </si>
  <si>
    <t>直接工程费+企业管理费+财务费用+利润</t>
  </si>
  <si>
    <t>3.41</t>
  </si>
  <si>
    <t>(九)</t>
  </si>
  <si>
    <t>专项费用</t>
  </si>
  <si>
    <t>(十)</t>
  </si>
  <si>
    <t>单位工程概预算金额</t>
  </si>
  <si>
    <t>直接工程费+企业管理费+财务费用+利润+税金+专项费用</t>
  </si>
  <si>
    <t>单位工程概预算表</t>
  </si>
  <si>
    <t>定  额_x000D__x000D_
编  号</t>
  </si>
  <si>
    <t>子目名称</t>
  </si>
  <si>
    <t>工程量</t>
  </si>
  <si>
    <t>价值（元）</t>
  </si>
  <si>
    <t>其中（元）</t>
  </si>
  <si>
    <t>合价</t>
  </si>
  <si>
    <t>人工费</t>
  </si>
  <si>
    <t>材料费</t>
  </si>
  <si>
    <t>2599</t>
  </si>
  <si>
    <t>拆除造船坞底板</t>
  </si>
  <si>
    <t>10m3</t>
  </si>
  <si>
    <t>4109</t>
  </si>
  <si>
    <t>现浇坞门槛底板C35F300现浇砼</t>
  </si>
  <si>
    <t>3541换</t>
  </si>
  <si>
    <t>钢筋加工(预应力构件),梁与板</t>
  </si>
  <si>
    <t>1t</t>
  </si>
  <si>
    <t>拆除坞墙前趾底板</t>
  </si>
  <si>
    <t>现浇坞墙前趾底板C35 F300现浇砼</t>
  </si>
  <si>
    <t>补</t>
  </si>
  <si>
    <t>拆除坞壁楼梯</t>
  </si>
  <si>
    <t>m3</t>
  </si>
  <si>
    <t>坞墙现浇混凝土填补找平C35F300</t>
  </si>
  <si>
    <t>预应力钢筋加工(预应力构件),梁与板</t>
  </si>
  <si>
    <t>现浇坞门止水面C35 F300</t>
  </si>
  <si>
    <t>1449</t>
  </si>
  <si>
    <t>止水帷幕灌浆C35</t>
  </si>
  <si>
    <t>100m3</t>
  </si>
  <si>
    <t>预埋排水管DN350</t>
  </si>
  <si>
    <t>m</t>
  </si>
  <si>
    <t>6102</t>
  </si>
  <si>
    <t>钢盖板制作安装,水上安</t>
  </si>
  <si>
    <t>2601换</t>
  </si>
  <si>
    <t>6110</t>
  </si>
  <si>
    <t>坞门槛底板埋件制作安装</t>
  </si>
  <si>
    <t>6143</t>
  </si>
  <si>
    <t>止水缝处理(橡胶止水带)</t>
  </si>
  <si>
    <t>10延米</t>
  </si>
  <si>
    <t>拆除原橡胶护舷</t>
  </si>
  <si>
    <t>套</t>
  </si>
  <si>
    <t>6069换</t>
  </si>
  <si>
    <t>陆上安装橡胶护舷,鼓型H=2000mm,三鼓一板</t>
  </si>
  <si>
    <t>1套</t>
  </si>
  <si>
    <t>合计</t>
  </si>
  <si>
    <t>合计</t>
    <phoneticPr fontId="1" type="noConversion"/>
  </si>
  <si>
    <t>（二）</t>
    <phoneticPr fontId="1" type="noConversion"/>
  </si>
  <si>
    <t>室外工程</t>
    <phoneticPr fontId="1" type="noConversion"/>
  </si>
  <si>
    <t>二</t>
    <phoneticPr fontId="1" type="noConversion"/>
  </si>
  <si>
    <t>工程建设其他费用</t>
    <phoneticPr fontId="1" type="noConversion"/>
  </si>
  <si>
    <t>建设单位管理费</t>
    <phoneticPr fontId="1" type="noConversion"/>
  </si>
  <si>
    <t>前期工作咨询费</t>
    <phoneticPr fontId="1" type="noConversion"/>
  </si>
  <si>
    <t>工程建设监理费</t>
    <phoneticPr fontId="1" type="noConversion"/>
  </si>
  <si>
    <t>工程设计费</t>
    <phoneticPr fontId="1" type="noConversion"/>
  </si>
  <si>
    <t>施工图审查费</t>
    <phoneticPr fontId="1" type="noConversion"/>
  </si>
  <si>
    <t>招标代理服务费</t>
    <phoneticPr fontId="1" type="noConversion"/>
  </si>
  <si>
    <t>环境影响咨询费</t>
    <phoneticPr fontId="1" type="noConversion"/>
  </si>
  <si>
    <t>职业安全评价费</t>
    <phoneticPr fontId="1" type="noConversion"/>
  </si>
  <si>
    <t>职业卫生评价费</t>
  </si>
  <si>
    <t>三</t>
    <phoneticPr fontId="1" type="noConversion"/>
  </si>
  <si>
    <t>基本预备费</t>
    <phoneticPr fontId="1" type="noConversion"/>
  </si>
  <si>
    <t>一</t>
    <phoneticPr fontId="1" type="noConversion"/>
  </si>
  <si>
    <t>工程费用</t>
    <phoneticPr fontId="1" type="noConversion"/>
  </si>
  <si>
    <t>（一）</t>
    <phoneticPr fontId="1" type="noConversion"/>
  </si>
  <si>
    <t>室内工程</t>
    <phoneticPr fontId="1" type="noConversion"/>
  </si>
  <si>
    <t>新增设备</t>
    <phoneticPr fontId="1" type="noConversion"/>
  </si>
  <si>
    <t>新建1-1坞中间坞门槛</t>
    <phoneticPr fontId="1" type="noConversion"/>
  </si>
  <si>
    <t>项</t>
    <phoneticPr fontId="1" type="noConversion"/>
  </si>
  <si>
    <t>插入法</t>
  </si>
  <si>
    <t>计价格[1999]1283号文</t>
    <phoneticPr fontId="1" type="noConversion"/>
  </si>
  <si>
    <t>发改价格[2007]670号文</t>
    <phoneticPr fontId="1" type="noConversion"/>
  </si>
  <si>
    <t>计价格[2002]10号文</t>
    <phoneticPr fontId="1" type="noConversion"/>
  </si>
  <si>
    <t>发改价格[2011]534号文</t>
    <phoneticPr fontId="1" type="noConversion"/>
  </si>
  <si>
    <t>计价格[2002]1980号文</t>
    <phoneticPr fontId="1" type="noConversion"/>
  </si>
  <si>
    <t>差额定律累进法</t>
  </si>
  <si>
    <t>计价格[2002]125号文</t>
    <phoneticPr fontId="1" type="noConversion"/>
  </si>
  <si>
    <t>有关规定</t>
    <phoneticPr fontId="1" type="noConversion"/>
  </si>
  <si>
    <t>有关规定</t>
    <phoneticPr fontId="1" type="noConversion"/>
  </si>
  <si>
    <t>预备费</t>
    <phoneticPr fontId="1" type="noConversion"/>
  </si>
  <si>
    <t>基本预备费</t>
    <phoneticPr fontId="1" type="noConversion"/>
  </si>
  <si>
    <t>工艺设备购置费及安装费计算表</t>
    <phoneticPr fontId="1" type="noConversion"/>
  </si>
  <si>
    <t>$</t>
  </si>
  <si>
    <t>单位：万元、万美元</t>
    <phoneticPr fontId="1" type="noConversion"/>
  </si>
  <si>
    <t>序号</t>
    <phoneticPr fontId="1" type="noConversion"/>
  </si>
  <si>
    <t>设备名称</t>
    <phoneticPr fontId="1" type="noConversion"/>
  </si>
  <si>
    <t>数量台/套</t>
    <phoneticPr fontId="1" type="noConversion"/>
  </si>
  <si>
    <t>设备购置费单价</t>
    <phoneticPr fontId="1" type="noConversion"/>
  </si>
  <si>
    <t>设备购置费合计</t>
    <phoneticPr fontId="1" type="noConversion"/>
  </si>
  <si>
    <t>设备安装费</t>
    <phoneticPr fontId="1" type="noConversion"/>
  </si>
  <si>
    <t>设备原价</t>
    <phoneticPr fontId="1" type="noConversion"/>
  </si>
  <si>
    <t>国内运杂费</t>
    <phoneticPr fontId="1" type="noConversion"/>
  </si>
  <si>
    <t>小计</t>
    <phoneticPr fontId="1" type="noConversion"/>
  </si>
  <si>
    <t>人民币合计</t>
    <phoneticPr fontId="1" type="noConversion"/>
  </si>
  <si>
    <t>其中美元</t>
    <phoneticPr fontId="1" type="noConversion"/>
  </si>
  <si>
    <t>费率（%）</t>
    <phoneticPr fontId="1" type="noConversion"/>
  </si>
  <si>
    <t>投资</t>
    <phoneticPr fontId="1" type="noConversion"/>
  </si>
  <si>
    <t>人民币</t>
    <phoneticPr fontId="1" type="noConversion"/>
  </si>
  <si>
    <t>含美元CIF</t>
    <phoneticPr fontId="1" type="noConversion"/>
  </si>
  <si>
    <t>关税</t>
    <phoneticPr fontId="1" type="noConversion"/>
  </si>
  <si>
    <t>增值税</t>
    <phoneticPr fontId="1" type="noConversion"/>
  </si>
  <si>
    <t>银行费公司费</t>
    <phoneticPr fontId="1" type="noConversion"/>
  </si>
  <si>
    <t>商检费</t>
    <phoneticPr fontId="1" type="noConversion"/>
  </si>
  <si>
    <t>合计</t>
    <phoneticPr fontId="1" type="noConversion"/>
  </si>
  <si>
    <t>其中</t>
    <phoneticPr fontId="1" type="noConversion"/>
  </si>
  <si>
    <r>
      <rPr>
        <b/>
        <sz val="16"/>
        <rFont val="宋体"/>
        <family val="3"/>
        <charset val="134"/>
      </rPr>
      <t>新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增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（改造）工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艺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设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备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明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细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表</t>
    </r>
    <r>
      <rPr>
        <b/>
        <sz val="16"/>
        <rFont val="Times New Roman"/>
        <family val="1"/>
      </rPr>
      <t xml:space="preserve"> </t>
    </r>
  </si>
  <si>
    <r>
      <rPr>
        <b/>
        <sz val="10"/>
        <rFont val="宋体"/>
        <family val="3"/>
        <charset val="134"/>
      </rPr>
      <t>序号</t>
    </r>
  </si>
  <si>
    <r>
      <rPr>
        <b/>
        <sz val="10"/>
        <rFont val="宋体"/>
        <family val="3"/>
        <charset val="134"/>
      </rPr>
      <t>设备名称</t>
    </r>
  </si>
  <si>
    <r>
      <rPr>
        <b/>
        <sz val="10"/>
        <rFont val="宋体"/>
        <family val="3"/>
        <charset val="134"/>
      </rPr>
      <t>主要技术（性能）指标或规格要求</t>
    </r>
  </si>
  <si>
    <r>
      <rPr>
        <b/>
        <sz val="10"/>
        <rFont val="宋体"/>
        <family val="3"/>
        <charset val="134"/>
      </rPr>
      <t>国别</t>
    </r>
  </si>
  <si>
    <r>
      <rPr>
        <b/>
        <sz val="10"/>
        <rFont val="宋体"/>
        <family val="3"/>
        <charset val="134"/>
      </rPr>
      <t>单位（台</t>
    </r>
    <r>
      <rPr>
        <b/>
        <sz val="10"/>
        <rFont val="Times New Roman"/>
        <family val="1"/>
      </rPr>
      <t>/</t>
    </r>
    <r>
      <rPr>
        <b/>
        <sz val="10"/>
        <rFont val="宋体"/>
        <family val="3"/>
        <charset val="134"/>
      </rPr>
      <t>套</t>
    </r>
    <r>
      <rPr>
        <b/>
        <sz val="10"/>
        <rFont val="Times New Roman"/>
        <family val="1"/>
      </rPr>
      <t>)</t>
    </r>
  </si>
  <si>
    <r>
      <rPr>
        <b/>
        <sz val="10"/>
        <rFont val="宋体"/>
        <family val="3"/>
        <charset val="134"/>
      </rPr>
      <t>数量</t>
    </r>
  </si>
  <si>
    <r>
      <rPr>
        <b/>
        <sz val="10"/>
        <rFont val="宋体"/>
        <family val="3"/>
        <charset val="134"/>
      </rPr>
      <t>设备购置费（万元、万美元）</t>
    </r>
  </si>
  <si>
    <r>
      <rPr>
        <b/>
        <sz val="10"/>
        <rFont val="宋体"/>
        <family val="3"/>
        <charset val="134"/>
      </rPr>
      <t>招标情况</t>
    </r>
  </si>
  <si>
    <r>
      <rPr>
        <b/>
        <sz val="10"/>
        <rFont val="宋体"/>
        <family val="3"/>
        <charset val="134"/>
      </rPr>
      <t>备注</t>
    </r>
  </si>
  <si>
    <r>
      <rPr>
        <b/>
        <sz val="10"/>
        <rFont val="宋体"/>
        <family val="3"/>
        <charset val="134"/>
      </rPr>
      <t>单价</t>
    </r>
  </si>
  <si>
    <r>
      <rPr>
        <b/>
        <sz val="10"/>
        <rFont val="宋体"/>
        <family val="3"/>
        <charset val="134"/>
      </rPr>
      <t>合计</t>
    </r>
  </si>
  <si>
    <r>
      <rPr>
        <b/>
        <sz val="10"/>
        <rFont val="宋体"/>
        <family val="3"/>
        <charset val="134"/>
      </rPr>
      <t>其中外汇</t>
    </r>
  </si>
  <si>
    <t>生产设备</t>
    <phoneticPr fontId="1" type="noConversion"/>
  </si>
  <si>
    <t>接板用压力架</t>
    <phoneticPr fontId="1" type="noConversion"/>
  </si>
  <si>
    <r>
      <rPr>
        <sz val="10"/>
        <color theme="1"/>
        <rFont val="宋体"/>
        <family val="3"/>
        <charset val="134"/>
      </rPr>
      <t>适用板厚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为：</t>
    </r>
    <r>
      <rPr>
        <sz val="10"/>
        <color theme="1"/>
        <rFont val="Times New Roman"/>
        <family val="1"/>
      </rPr>
      <t xml:space="preserve">2m~10mm
</t>
    </r>
    <r>
      <rPr>
        <sz val="10"/>
        <color theme="1"/>
        <rFont val="宋体"/>
        <family val="3"/>
        <charset val="134"/>
      </rPr>
      <t>板</t>
    </r>
    <r>
      <rPr>
        <sz val="10"/>
        <color theme="1"/>
        <rFont val="宋体"/>
        <family val="3"/>
        <charset val="134"/>
      </rPr>
      <t>宽范围：</t>
    </r>
    <r>
      <rPr>
        <sz val="10"/>
        <color theme="1"/>
        <rFont val="Times New Roman"/>
        <family val="1"/>
      </rPr>
      <t>1.5m~3m</t>
    </r>
    <r>
      <rPr>
        <sz val="10"/>
        <color theme="1"/>
        <rFont val="宋体"/>
        <family val="3"/>
        <charset val="134"/>
      </rPr>
      <t>；
长度范围：</t>
    </r>
    <r>
      <rPr>
        <sz val="10"/>
        <color theme="1"/>
        <rFont val="Times New Roman"/>
        <family val="1"/>
      </rPr>
      <t xml:space="preserve">4m~12m
</t>
    </r>
    <r>
      <rPr>
        <sz val="10"/>
        <color theme="1"/>
        <rFont val="宋体"/>
        <family val="3"/>
        <charset val="134"/>
      </rPr>
      <t>工作温度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极端最高气温</t>
    </r>
    <r>
      <rPr>
        <sz val="10"/>
        <color theme="1"/>
        <rFont val="Times New Roman"/>
        <family val="1"/>
      </rPr>
      <t>36</t>
    </r>
    <r>
      <rPr>
        <sz val="10"/>
        <color theme="1"/>
        <rFont val="宋体"/>
        <family val="3"/>
        <charset val="134"/>
      </rPr>
      <t>℃，极端最低温度</t>
    </r>
    <r>
      <rPr>
        <sz val="10"/>
        <color theme="1"/>
        <rFont val="Times New Roman"/>
        <family val="1"/>
      </rPr>
      <t>-22</t>
    </r>
    <r>
      <rPr>
        <sz val="10"/>
        <color theme="1"/>
        <rFont val="宋体"/>
        <family val="3"/>
        <charset val="134"/>
      </rPr>
      <t>℃</t>
    </r>
    <phoneticPr fontId="1" type="noConversion"/>
  </si>
  <si>
    <r>
      <rPr>
        <sz val="10"/>
        <color theme="1"/>
        <rFont val="宋体"/>
        <family val="2"/>
      </rPr>
      <t>国产</t>
    </r>
    <phoneticPr fontId="1" type="noConversion"/>
  </si>
  <si>
    <r>
      <rPr>
        <sz val="10"/>
        <color theme="1"/>
        <rFont val="宋体"/>
        <family val="2"/>
      </rPr>
      <t>台</t>
    </r>
    <phoneticPr fontId="1" type="noConversion"/>
  </si>
  <si>
    <r>
      <rPr>
        <sz val="10"/>
        <color theme="1"/>
        <rFont val="宋体"/>
        <family val="2"/>
      </rPr>
      <t>公开招标</t>
    </r>
    <phoneticPr fontId="1" type="noConversion"/>
  </si>
  <si>
    <t>焊接应力消除设备</t>
    <phoneticPr fontId="1" type="noConversion"/>
  </si>
  <si>
    <r>
      <rPr>
        <sz val="10"/>
        <color theme="1"/>
        <rFont val="宋体"/>
        <family val="3"/>
        <charset val="134"/>
      </rPr>
      <t>工作频率</t>
    </r>
    <r>
      <rPr>
        <sz val="10"/>
        <color theme="1"/>
        <rFont val="Times New Roman"/>
        <family val="1"/>
      </rPr>
      <t xml:space="preserve"> 20000 HZ
</t>
    </r>
    <r>
      <rPr>
        <sz val="10"/>
        <color theme="1"/>
        <rFont val="宋体"/>
        <family val="3"/>
        <charset val="134"/>
      </rPr>
      <t>最大输出振幅</t>
    </r>
    <r>
      <rPr>
        <sz val="10"/>
        <color theme="1"/>
        <rFont val="Times New Roman"/>
        <family val="1"/>
      </rPr>
      <t xml:space="preserve"> 50μm
</t>
    </r>
    <r>
      <rPr>
        <sz val="10"/>
        <color theme="1"/>
        <rFont val="宋体"/>
        <family val="3"/>
        <charset val="134"/>
      </rPr>
      <t>处理速度</t>
    </r>
    <r>
      <rPr>
        <sz val="10"/>
        <color theme="1"/>
        <rFont val="Times New Roman"/>
        <family val="1"/>
      </rPr>
      <t xml:space="preserve"> 20</t>
    </r>
    <r>
      <rPr>
        <sz val="10"/>
        <color theme="1"/>
        <rFont val="宋体"/>
        <family val="3"/>
        <charset val="134"/>
      </rPr>
      <t>～</t>
    </r>
    <r>
      <rPr>
        <sz val="10"/>
        <color theme="1"/>
        <rFont val="Times New Roman"/>
        <family val="1"/>
      </rPr>
      <t>40 m/h</t>
    </r>
    <phoneticPr fontId="1" type="noConversion"/>
  </si>
  <si>
    <t>有机废气处理设备</t>
    <phoneticPr fontId="1" type="noConversion"/>
  </si>
  <si>
    <r>
      <rPr>
        <sz val="10"/>
        <color theme="1"/>
        <rFont val="宋体"/>
        <family val="3"/>
        <charset val="134"/>
      </rPr>
      <t>额定处理风量</t>
    </r>
    <r>
      <rPr>
        <sz val="10"/>
        <color theme="1"/>
        <rFont val="Times New Roman"/>
        <family val="1"/>
      </rPr>
      <t xml:space="preserve"> 70000m³/h</t>
    </r>
    <phoneticPr fontId="1" type="noConversion"/>
  </si>
  <si>
    <r>
      <rPr>
        <sz val="10"/>
        <color theme="1"/>
        <rFont val="宋体"/>
        <family val="2"/>
      </rPr>
      <t>套</t>
    </r>
    <phoneticPr fontId="1" type="noConversion"/>
  </si>
  <si>
    <t>建筑工程费</t>
  </si>
  <si>
    <t>设备工程费</t>
  </si>
  <si>
    <t>其他费用</t>
  </si>
  <si>
    <t>基本预备费</t>
  </si>
  <si>
    <t>新增设备</t>
  </si>
  <si>
    <t>新建1-1坞中间坞门槛</t>
  </si>
  <si>
    <t>项目名称：大连船舶重工集团公司专船需求设施改造项目</t>
  </si>
  <si>
    <t>套</t>
    <phoneticPr fontId="1" type="noConversion"/>
  </si>
  <si>
    <t>设备基础费</t>
    <phoneticPr fontId="1" type="noConversion"/>
  </si>
  <si>
    <t>设备购置费及安装基础费合计</t>
    <phoneticPr fontId="1" type="noConversion"/>
  </si>
  <si>
    <t>可研批复</t>
    <phoneticPr fontId="1" type="noConversion"/>
  </si>
  <si>
    <t>新建面积</t>
    <phoneticPr fontId="1" type="noConversion"/>
  </si>
  <si>
    <t>改造面积</t>
    <phoneticPr fontId="1" type="noConversion"/>
  </si>
  <si>
    <t>设备
（台/套）</t>
    <phoneticPr fontId="1" type="noConversion"/>
  </si>
  <si>
    <t>投资</t>
    <phoneticPr fontId="1" type="noConversion"/>
  </si>
  <si>
    <t>可研批复</t>
    <phoneticPr fontId="1" type="noConversion"/>
  </si>
  <si>
    <t>设计概算</t>
    <phoneticPr fontId="1" type="noConversion"/>
  </si>
  <si>
    <t>调整情况</t>
    <phoneticPr fontId="1" type="noConversion"/>
  </si>
  <si>
    <t>表13.2-8</t>
    <phoneticPr fontId="1" type="noConversion"/>
  </si>
  <si>
    <r>
      <rPr>
        <b/>
        <sz val="16"/>
        <rFont val="宋体"/>
        <family val="3"/>
        <charset val="134"/>
      </rPr>
      <t>新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增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（改造）工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艺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设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备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对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比</t>
    </r>
    <r>
      <rPr>
        <b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表</t>
    </r>
    <phoneticPr fontId="1" type="noConversion"/>
  </si>
  <si>
    <t>初步设计</t>
    <phoneticPr fontId="1" type="noConversion"/>
  </si>
  <si>
    <r>
      <rPr>
        <b/>
        <sz val="10"/>
        <rFont val="宋体"/>
        <family val="3"/>
        <charset val="134"/>
      </rPr>
      <t>单位
（台</t>
    </r>
    <r>
      <rPr>
        <b/>
        <sz val="10"/>
        <rFont val="Times New Roman"/>
        <family val="1"/>
      </rPr>
      <t>/</t>
    </r>
    <r>
      <rPr>
        <b/>
        <sz val="10"/>
        <rFont val="宋体"/>
        <family val="3"/>
        <charset val="134"/>
      </rPr>
      <t>套</t>
    </r>
    <r>
      <rPr>
        <b/>
        <sz val="10"/>
        <rFont val="Times New Roman"/>
        <family val="1"/>
      </rPr>
      <t>)</t>
    </r>
    <phoneticPr fontId="1" type="noConversion"/>
  </si>
  <si>
    <t>其中      外汇</t>
    <phoneticPr fontId="1" type="noConversion"/>
  </si>
  <si>
    <t>其中
外汇</t>
    <phoneticPr fontId="1" type="noConversion"/>
  </si>
  <si>
    <t>其中
外汇</t>
    <phoneticPr fontId="1" type="noConversion"/>
  </si>
  <si>
    <t>其中
外汇</t>
    <phoneticPr fontId="1" type="noConversion"/>
  </si>
  <si>
    <t>新增主要公用设备表</t>
    <phoneticPr fontId="1" type="noConversion"/>
  </si>
  <si>
    <t>单位：万元</t>
  </si>
  <si>
    <t>设备名称</t>
  </si>
  <si>
    <t>规格型号</t>
  </si>
  <si>
    <t>设备价格</t>
  </si>
  <si>
    <r>
      <t>备</t>
    </r>
    <r>
      <rPr>
        <sz val="12"/>
        <rFont val="Times New Roman"/>
        <family val="1"/>
      </rPr>
      <t xml:space="preserve">  </t>
    </r>
    <r>
      <rPr>
        <sz val="12"/>
        <rFont val="宋体"/>
        <family val="3"/>
        <charset val="134"/>
      </rPr>
      <t>注</t>
    </r>
  </si>
  <si>
    <t>总价</t>
  </si>
  <si>
    <t>其中外汇</t>
  </si>
  <si>
    <t>一</t>
    <phoneticPr fontId="8" type="noConversion"/>
  </si>
  <si>
    <t>（一）</t>
    <phoneticPr fontId="8" type="noConversion"/>
  </si>
  <si>
    <t>电气工程</t>
    <phoneticPr fontId="8" type="noConversion"/>
  </si>
  <si>
    <t>小计</t>
    <phoneticPr fontId="8" type="noConversion"/>
  </si>
  <si>
    <t>（二）</t>
    <phoneticPr fontId="8" type="noConversion"/>
  </si>
  <si>
    <t>接板用压力架</t>
    <phoneticPr fontId="1" type="noConversion"/>
  </si>
  <si>
    <t>动力配电箱</t>
    <phoneticPr fontId="8" type="noConversion"/>
  </si>
  <si>
    <t>XL-52型</t>
    <phoneticPr fontId="8" type="noConversion"/>
  </si>
  <si>
    <t>台</t>
    <phoneticPr fontId="8" type="noConversion"/>
  </si>
  <si>
    <t>照明配电箱</t>
    <phoneticPr fontId="8" type="noConversion"/>
  </si>
  <si>
    <t>XLM301型</t>
    <phoneticPr fontId="1" type="noConversion"/>
  </si>
  <si>
    <t>设备安装费</t>
    <phoneticPr fontId="1" type="noConversion"/>
  </si>
  <si>
    <t>合计</t>
    <phoneticPr fontId="1" type="noConversion"/>
  </si>
  <si>
    <t>6#变电所内增加断路器</t>
    <phoneticPr fontId="1" type="noConversion"/>
  </si>
  <si>
    <t>1600A</t>
    <phoneticPr fontId="1" type="noConversion"/>
  </si>
  <si>
    <t>设备专用接地箱</t>
    <phoneticPr fontId="1" type="noConversion"/>
  </si>
  <si>
    <t>动力工程</t>
    <phoneticPr fontId="8" type="noConversion"/>
  </si>
  <si>
    <t>混合气体汇流排及接头箱</t>
    <phoneticPr fontId="8" type="noConversion"/>
  </si>
  <si>
    <t>项目名称：接板用压力架电气工程</t>
  </si>
  <si>
    <t>第 1 页   共 1 页</t>
  </si>
  <si>
    <t>费率(%)</t>
  </si>
  <si>
    <t>分部分项工程费合计</t>
  </si>
  <si>
    <t>1.1</t>
  </si>
  <si>
    <t>其中：人工费+机械费</t>
  </si>
  <si>
    <t>人工费+机械费-燃料动力价差</t>
  </si>
  <si>
    <t>11.42</t>
  </si>
  <si>
    <t>14.57</t>
  </si>
  <si>
    <t>措施项目费</t>
  </si>
  <si>
    <t>安全文明施工措施费+夜间施工增加费+二次搬运费+已完工程及设备保护费+冬雨季施工费+市政工程干扰费+其他措施项目费</t>
  </si>
  <si>
    <t>4.1</t>
  </si>
  <si>
    <t>安全文明施工措施费</t>
  </si>
  <si>
    <t>12.04</t>
  </si>
  <si>
    <t>4.2</t>
  </si>
  <si>
    <t>夜间施工增加费</t>
  </si>
  <si>
    <t>4.3</t>
  </si>
  <si>
    <t>二次搬运费</t>
  </si>
  <si>
    <t>4.4</t>
  </si>
  <si>
    <t>已完工程及设备保护费</t>
  </si>
  <si>
    <t>4.5</t>
  </si>
  <si>
    <t>冬雨季施工费</t>
  </si>
  <si>
    <t>7.06</t>
  </si>
  <si>
    <t>4.6</t>
  </si>
  <si>
    <t>市政工程干扰费</t>
  </si>
  <si>
    <t>4.05</t>
  </si>
  <si>
    <t>4.7</t>
  </si>
  <si>
    <t>其他措施项目费</t>
  </si>
  <si>
    <t>其他项目费</t>
  </si>
  <si>
    <t>税费前工程造价合计</t>
  </si>
  <si>
    <t>分部分项工程费合计+企业管理费+利润+措施项目费+其他项目费</t>
  </si>
  <si>
    <t>规费</t>
  </si>
  <si>
    <t>工程排污费+社会保障费+住房公积金+危险作业意外伤害保险</t>
  </si>
  <si>
    <t>7.1</t>
  </si>
  <si>
    <t>工程排污费</t>
  </si>
  <si>
    <t>7.2</t>
  </si>
  <si>
    <t>社会保障费</t>
  </si>
  <si>
    <t>养老保险+失业保险+医疗保险+生育保险+工伤保险</t>
  </si>
  <si>
    <t>7.2.1</t>
  </si>
  <si>
    <t>养老保险</t>
  </si>
  <si>
    <t>16.36</t>
  </si>
  <si>
    <t>7.2.2</t>
  </si>
  <si>
    <t>失业保险</t>
  </si>
  <si>
    <t>1.64</t>
  </si>
  <si>
    <t>7.2.3</t>
  </si>
  <si>
    <t>医疗保险</t>
  </si>
  <si>
    <t>6.55</t>
  </si>
  <si>
    <t>7.2.4</t>
  </si>
  <si>
    <t>生育保险</t>
  </si>
  <si>
    <t>0.82</t>
  </si>
  <si>
    <t>7.2.5</t>
  </si>
  <si>
    <t>工伤保险</t>
  </si>
  <si>
    <t>7.3</t>
  </si>
  <si>
    <t>住房公积金</t>
  </si>
  <si>
    <t>8.18</t>
  </si>
  <si>
    <t>7.4</t>
  </si>
  <si>
    <t>危险作业意外伤害保险</t>
  </si>
  <si>
    <t>8</t>
  </si>
  <si>
    <t xml:space="preserve">人工费动态调整   </t>
  </si>
  <si>
    <t>人工费+机械人工费</t>
  </si>
  <si>
    <t>0</t>
  </si>
  <si>
    <t>9</t>
  </si>
  <si>
    <t>税费前工程造价合计+规费+人工费动态调整</t>
  </si>
  <si>
    <t>11</t>
  </si>
  <si>
    <t>10</t>
  </si>
  <si>
    <t>工程总造价</t>
  </si>
  <si>
    <t>税费前工程造价合计+规费+税金+人工费动态调整</t>
  </si>
  <si>
    <t>单位工程概预算表（主材单列）</t>
  </si>
  <si>
    <t>工程名称：接板用压力架电气工程</t>
  </si>
  <si>
    <t>编码</t>
  </si>
  <si>
    <t>机械费</t>
  </si>
  <si>
    <t>2-1728换</t>
  </si>
  <si>
    <t>成套型荧光灯 吊链式 双管</t>
  </si>
  <si>
    <t>10套</t>
  </si>
  <si>
    <t>Z03384@7</t>
  </si>
  <si>
    <t>双管荧光灯 2*36W</t>
  </si>
  <si>
    <t>2-383换</t>
  </si>
  <si>
    <t>扳式暗开关(单控) 双联</t>
  </si>
  <si>
    <t>Z03702@2</t>
  </si>
  <si>
    <t>双联单极开关</t>
  </si>
  <si>
    <t>只</t>
  </si>
  <si>
    <t>2-415换</t>
  </si>
  <si>
    <t>单相暗插座15A 5孔</t>
  </si>
  <si>
    <t>Z03383@1</t>
  </si>
  <si>
    <t>二、三孔组合暗装插座</t>
  </si>
  <si>
    <t>2-413换</t>
  </si>
  <si>
    <t>三极暗插座</t>
  </si>
  <si>
    <t>Z03383@3</t>
  </si>
  <si>
    <t>三孔暗装插座</t>
  </si>
  <si>
    <t>2-608</t>
  </si>
  <si>
    <t>电力电缆敷设 电缆截面400mm2以下</t>
  </si>
  <si>
    <t>100m</t>
  </si>
  <si>
    <t>补充主材001@3</t>
  </si>
  <si>
    <t>YJV-0.6/1KV-3(1*690)+2(1*300)</t>
  </si>
  <si>
    <t>2-605换</t>
  </si>
  <si>
    <t>电力电缆敷设 电缆截面35mm2以下</t>
  </si>
  <si>
    <t>补充主材002@1</t>
  </si>
  <si>
    <t>YJV-0.6/1KV-5*10</t>
  </si>
  <si>
    <t>2-779</t>
  </si>
  <si>
    <t>钢管接地极制作、安装 普通土</t>
  </si>
  <si>
    <t>根</t>
  </si>
  <si>
    <t>补充主材001@2</t>
  </si>
  <si>
    <t xml:space="preserve">接地极  热镀锌钢管DN40  </t>
  </si>
  <si>
    <t>2-579</t>
  </si>
  <si>
    <t>扁钢安装 40×4</t>
  </si>
  <si>
    <t>100m／单相</t>
  </si>
  <si>
    <t>补充主材001@1</t>
  </si>
  <si>
    <t>热镀锌扁钢 40×4</t>
  </si>
  <si>
    <t>分部小计</t>
  </si>
  <si>
    <t>项目名称：接板用压力架土建工程</t>
  </si>
  <si>
    <t>直接费+主材费</t>
  </si>
  <si>
    <t>12.5</t>
  </si>
  <si>
    <t>15.93</t>
  </si>
  <si>
    <t>12.65</t>
  </si>
  <si>
    <t xml:space="preserve">人工费动态调整  </t>
  </si>
  <si>
    <t>2-25换</t>
  </si>
  <si>
    <t>混凝土桩 液压静力压桩机压预制钢筋混凝土方桩 静力压桩机压预制方桩 桩长在12m以内</t>
  </si>
  <si>
    <t>4-58换</t>
  </si>
  <si>
    <t>现浇混凝土板 现浇砼 基础 商砼</t>
  </si>
  <si>
    <t>12-90</t>
  </si>
  <si>
    <t>混凝土、钢筋混凝土模板及支架现浇混凝土模板 平板 组合钢模板 钢支撑</t>
  </si>
  <si>
    <t>100m2</t>
  </si>
  <si>
    <t>4-286</t>
  </si>
  <si>
    <t>现浇混凝土钢筋 螺纹钢筋 Φ20</t>
  </si>
  <si>
    <t>t</t>
  </si>
  <si>
    <t>单位工程人材机价差表</t>
  </si>
  <si>
    <t>工程名称：接板用压力架土建工程</t>
  </si>
  <si>
    <t>专业：土建工程</t>
  </si>
  <si>
    <t>材料名</t>
  </si>
  <si>
    <t>规格</t>
  </si>
  <si>
    <t>材料量</t>
  </si>
  <si>
    <t>预算价</t>
  </si>
  <si>
    <t>市场价</t>
  </si>
  <si>
    <t>价 差</t>
  </si>
  <si>
    <t>价差合计</t>
  </si>
  <si>
    <t>技工</t>
  </si>
  <si>
    <t>工日</t>
  </si>
  <si>
    <t>普工</t>
  </si>
  <si>
    <t>项目名称：大连船舶重工集团公司专船需求设施改造项目</t>
    <phoneticPr fontId="1" type="noConversion"/>
  </si>
  <si>
    <t>财建[2016]504号文</t>
    <phoneticPr fontId="1" type="noConversion"/>
  </si>
  <si>
    <r>
      <rPr>
        <sz val="12"/>
        <rFont val="宋体"/>
        <family val="3"/>
        <charset val="134"/>
      </rPr>
      <t>附表</t>
    </r>
    <r>
      <rPr>
        <sz val="12"/>
        <rFont val="Times New Roman"/>
        <family val="1"/>
      </rPr>
      <t>13.2-9</t>
    </r>
    <phoneticPr fontId="1" type="noConversion"/>
  </si>
  <si>
    <t>设计概算和可研批复投资估算对比表</t>
    <phoneticPr fontId="1" type="noConversion"/>
  </si>
  <si>
    <r>
      <rPr>
        <sz val="10"/>
        <color theme="1"/>
        <rFont val="宋体"/>
        <family val="3"/>
        <charset val="134"/>
      </rPr>
      <t>额定处理风量</t>
    </r>
    <r>
      <rPr>
        <sz val="10"/>
        <color theme="1"/>
        <rFont val="Times New Roman"/>
        <family val="1"/>
      </rPr>
      <t xml:space="preserve"> 300000m³/h</t>
    </r>
    <phoneticPr fontId="1" type="noConversion"/>
  </si>
  <si>
    <r>
      <rPr>
        <sz val="18"/>
        <color theme="1"/>
        <rFont val="宋体"/>
        <family val="2"/>
      </rPr>
      <t>室内工程概算表</t>
    </r>
    <phoneticPr fontId="1" type="noConversion"/>
  </si>
  <si>
    <r>
      <rPr>
        <sz val="11"/>
        <color theme="1"/>
        <rFont val="宋体"/>
        <family val="2"/>
      </rPr>
      <t>序号</t>
    </r>
    <phoneticPr fontId="1" type="noConversion"/>
  </si>
  <si>
    <r>
      <rPr>
        <sz val="11"/>
        <color theme="1"/>
        <rFont val="宋体"/>
        <family val="2"/>
      </rPr>
      <t>工程名称</t>
    </r>
    <phoneticPr fontId="1" type="noConversion"/>
  </si>
  <si>
    <r>
      <t xml:space="preserve"> </t>
    </r>
    <r>
      <rPr>
        <sz val="11"/>
        <color theme="1"/>
        <rFont val="宋体"/>
        <family val="2"/>
      </rPr>
      <t>建筑面积</t>
    </r>
    <r>
      <rPr>
        <sz val="11"/>
        <color theme="1"/>
        <rFont val="Times New Roman"/>
        <family val="1"/>
      </rPr>
      <t xml:space="preserve">      </t>
    </r>
    <r>
      <rPr>
        <sz val="11"/>
        <color theme="1"/>
        <rFont val="宋体"/>
        <family val="2"/>
      </rPr>
      <t>（平方米）</t>
    </r>
    <phoneticPr fontId="1" type="noConversion"/>
  </si>
  <si>
    <r>
      <rPr>
        <sz val="11"/>
        <color theme="1"/>
        <rFont val="宋体"/>
        <family val="2"/>
      </rPr>
      <t>建筑工程费（万元）</t>
    </r>
    <phoneticPr fontId="1" type="noConversion"/>
  </si>
  <si>
    <r>
      <rPr>
        <sz val="11"/>
        <color theme="1"/>
        <rFont val="宋体"/>
        <family val="2"/>
      </rPr>
      <t>工艺设备购置费（万元）</t>
    </r>
    <phoneticPr fontId="1" type="noConversion"/>
  </si>
  <si>
    <r>
      <rPr>
        <sz val="11"/>
        <color theme="1"/>
        <rFont val="宋体"/>
        <family val="2"/>
      </rPr>
      <t>工艺设备安装费（万元）</t>
    </r>
    <phoneticPr fontId="1" type="noConversion"/>
  </si>
  <si>
    <r>
      <rPr>
        <sz val="11"/>
        <color theme="1"/>
        <rFont val="宋体"/>
        <family val="2"/>
      </rPr>
      <t>合计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（万元）</t>
    </r>
    <phoneticPr fontId="1" type="noConversion"/>
  </si>
  <si>
    <r>
      <rPr>
        <sz val="11"/>
        <color theme="1"/>
        <rFont val="宋体"/>
        <family val="2"/>
      </rPr>
      <t>备注</t>
    </r>
    <phoneticPr fontId="1" type="noConversion"/>
  </si>
  <si>
    <r>
      <rPr>
        <sz val="11"/>
        <color theme="1"/>
        <rFont val="宋体"/>
        <family val="2"/>
      </rPr>
      <t>新建</t>
    </r>
    <phoneticPr fontId="1" type="noConversion"/>
  </si>
  <si>
    <r>
      <rPr>
        <sz val="11"/>
        <color theme="1"/>
        <rFont val="宋体"/>
        <family val="2"/>
      </rPr>
      <t>改造</t>
    </r>
    <phoneticPr fontId="1" type="noConversion"/>
  </si>
  <si>
    <r>
      <rPr>
        <sz val="11"/>
        <color theme="1"/>
        <rFont val="宋体"/>
        <family val="2"/>
      </rPr>
      <t>土建及专业工程费</t>
    </r>
    <phoneticPr fontId="1" type="noConversion"/>
  </si>
  <si>
    <r>
      <rPr>
        <sz val="11"/>
        <color theme="1"/>
        <rFont val="宋体"/>
        <family val="2"/>
      </rPr>
      <t>建筑设备购置费</t>
    </r>
    <phoneticPr fontId="1" type="noConversion"/>
  </si>
  <si>
    <r>
      <rPr>
        <sz val="11"/>
        <color theme="1"/>
        <rFont val="宋体"/>
        <family val="2"/>
      </rPr>
      <t>建筑设备安装费</t>
    </r>
    <phoneticPr fontId="1" type="noConversion"/>
  </si>
  <si>
    <r>
      <rPr>
        <sz val="11"/>
        <color theme="1"/>
        <rFont val="宋体"/>
        <family val="2"/>
      </rPr>
      <t>小计</t>
    </r>
    <phoneticPr fontId="1" type="noConversion"/>
  </si>
  <si>
    <r>
      <rPr>
        <sz val="11"/>
        <color theme="1"/>
        <rFont val="宋体"/>
        <family val="2"/>
      </rPr>
      <t>合计</t>
    </r>
    <phoneticPr fontId="1" type="noConversion"/>
  </si>
  <si>
    <r>
      <rPr>
        <sz val="11"/>
        <color theme="1"/>
        <rFont val="宋体"/>
        <family val="2"/>
      </rPr>
      <t>（一）</t>
    </r>
    <phoneticPr fontId="1" type="noConversion"/>
  </si>
  <si>
    <r>
      <rPr>
        <sz val="11"/>
        <color theme="1"/>
        <rFont val="宋体"/>
        <family val="2"/>
      </rPr>
      <t>工艺设备</t>
    </r>
    <phoneticPr fontId="1" type="noConversion"/>
  </si>
  <si>
    <r>
      <rPr>
        <sz val="11"/>
        <color theme="1"/>
        <rFont val="宋体"/>
        <family val="2"/>
      </rPr>
      <t>新增工艺设备</t>
    </r>
    <phoneticPr fontId="1" type="noConversion"/>
  </si>
  <si>
    <t>表13.2-1</t>
    <phoneticPr fontId="1" type="noConversion"/>
  </si>
  <si>
    <r>
      <rPr>
        <sz val="11"/>
        <color theme="1"/>
        <rFont val="宋体"/>
        <family val="2"/>
      </rPr>
      <t>表</t>
    </r>
    <r>
      <rPr>
        <sz val="11"/>
        <color theme="1"/>
        <rFont val="Times New Roman"/>
        <family val="1"/>
      </rPr>
      <t>13.2-2</t>
    </r>
    <phoneticPr fontId="1" type="noConversion"/>
  </si>
  <si>
    <t>表13.2-3</t>
    <phoneticPr fontId="1" type="noConversion"/>
  </si>
  <si>
    <t>表13.2-5</t>
    <phoneticPr fontId="1" type="noConversion"/>
  </si>
  <si>
    <t>附表13.2-6</t>
    <phoneticPr fontId="1" type="noConversion"/>
  </si>
  <si>
    <t>附表13.2-7</t>
    <phoneticPr fontId="1" type="noConversion"/>
  </si>
  <si>
    <r>
      <rPr>
        <sz val="12"/>
        <rFont val="宋体"/>
        <family val="3"/>
        <charset val="134"/>
      </rPr>
      <t>附表2.3-2</t>
    </r>
    <r>
      <rPr>
        <sz val="12"/>
        <rFont val="Times New Roman"/>
        <family val="1"/>
      </rPr>
      <t xml:space="preserve"> </t>
    </r>
    <phoneticPr fontId="1" type="noConversion"/>
  </si>
  <si>
    <t>108</t>
  </si>
  <si>
    <t>113.08</t>
  </si>
  <si>
    <t>C12素混凝土</t>
  </si>
  <si>
    <t>工程名称：船坞改造土建工程</t>
    <phoneticPr fontId="1" type="noConversion"/>
  </si>
  <si>
    <t>项目名称：船坞改造土建工程</t>
    <phoneticPr fontId="1" type="noConversion"/>
  </si>
  <si>
    <t>科工计［2005］496号</t>
    <phoneticPr fontId="1" type="noConversion"/>
  </si>
  <si>
    <t>投资概算（万元、万美元）</t>
    <phoneticPr fontId="1" type="noConversion"/>
  </si>
  <si>
    <t>备注</t>
    <phoneticPr fontId="1" type="noConversion"/>
  </si>
  <si>
    <t>合计</t>
    <phoneticPr fontId="1" type="noConversion"/>
  </si>
  <si>
    <t>工程费用</t>
    <phoneticPr fontId="1" type="noConversion"/>
  </si>
  <si>
    <t>职业卫生评价费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</si>
</sst>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2" formatCode="_ &quot;￥&quot;* #,##0_ ;_ &quot;￥&quot;* \-#,##0_ ;_ &quot;￥&quot;* &quot;-&quot;_ ;_ @_ "/>
    <numFmt numFmtId="41" formatCode="_ * #,##0_ ;_ * \-#,##0_ ;_ * &quot;-&quot;_ ;_ @_ "/>
    <numFmt numFmtId="26" formatCode="\$#,##0.00_);[Red]\(\$#,##0.00\)"/>
    <numFmt numFmtId="182" formatCode="&quot;￥&quot;#,##0_);[Red]\(&quot;￥&quot;#,##0\)"/>
    <numFmt numFmtId="184" formatCode="\$#,##0.00;\(\$#,##0.00\)"/>
    <numFmt numFmtId="203" formatCode="0.0_ "/>
    <numFmt numFmtId="204" formatCode="0.0%"/>
    <numFmt numFmtId="205" formatCode="0_);[Red]\(0\)"/>
    <numFmt numFmtId="206" formatCode="#,##0.0_);[Red]\(#,##0.0\)"/>
    <numFmt numFmtId="207" formatCode="0.0_);[Red]\(0.0\)"/>
    <numFmt numFmtId="208" formatCode="\$#,##0.0_);[Red]\(\$#,##0.0\)"/>
    <numFmt numFmtId="209" formatCode="0.0"/>
    <numFmt numFmtId="211" formatCode="0_ "/>
  </numFmts>
  <fonts count="4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8"/>
      <color theme="1"/>
      <name val="宋体"/>
      <family val="2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name val="Times New Roman"/>
      <family val="1"/>
    </font>
    <font>
      <sz val="10"/>
      <name val="MS Sans Serif"/>
      <family val="2"/>
    </font>
    <font>
      <b/>
      <sz val="16"/>
      <name val="Times New Roman"/>
      <family val="1"/>
    </font>
    <font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name val="바탕체"/>
      <family val="3"/>
    </font>
    <font>
      <sz val="9"/>
      <color indexed="0"/>
      <name val="宋体"/>
      <family val="2"/>
      <charset val="134"/>
    </font>
    <font>
      <b/>
      <sz val="20"/>
      <color indexed="0"/>
      <name val="宋体"/>
      <family val="2"/>
      <charset val="134"/>
    </font>
    <font>
      <sz val="16"/>
      <color theme="1"/>
      <name val="宋体"/>
      <family val="2"/>
      <scheme val="minor"/>
    </font>
    <font>
      <b/>
      <sz val="16"/>
      <name val="宋体"/>
      <family val="3"/>
      <charset val="134"/>
    </font>
    <font>
      <sz val="12"/>
      <color theme="6" tint="-0.249977111117893"/>
      <name val="Times New Roman"/>
      <family val="1"/>
    </font>
    <font>
      <sz val="12"/>
      <color rgb="FFFF0000"/>
      <name val="Times New Roman"/>
      <family val="1"/>
    </font>
    <font>
      <b/>
      <sz val="10"/>
      <name val="Times New Roman"/>
      <family val="1"/>
    </font>
    <font>
      <b/>
      <sz val="10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宋体"/>
      <family val="2"/>
    </font>
    <font>
      <b/>
      <sz val="10"/>
      <color theme="1"/>
      <name val="Times New Roman"/>
      <family val="1"/>
    </font>
    <font>
      <sz val="9"/>
      <name val="Times New Roman"/>
      <family val="1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8"/>
      <color theme="1"/>
      <name val="创艺简标宋"/>
      <family val="3"/>
      <charset val="134"/>
    </font>
    <font>
      <sz val="14"/>
      <color theme="1"/>
      <name val="宋体"/>
      <family val="2"/>
      <scheme val="minor"/>
    </font>
    <font>
      <sz val="11"/>
      <name val="Times New Roman"/>
      <family val="1"/>
    </font>
    <font>
      <sz val="12"/>
      <color rgb="FF000000"/>
      <name val="宋体"/>
      <family val="3"/>
      <charset val="134"/>
      <scheme val="minor"/>
    </font>
    <font>
      <b/>
      <sz val="9"/>
      <color indexed="0"/>
      <name val="宋体"/>
      <family val="2"/>
      <charset val="134"/>
    </font>
    <font>
      <sz val="11"/>
      <color theme="1"/>
      <name val="Times New Roman"/>
      <family val="1"/>
    </font>
    <font>
      <b/>
      <sz val="11"/>
      <color theme="1"/>
      <name val="宋体"/>
      <family val="2"/>
      <scheme val="minor"/>
    </font>
    <font>
      <b/>
      <sz val="11"/>
      <color theme="1"/>
      <name val="Times New Roman"/>
      <family val="1"/>
    </font>
    <font>
      <sz val="16"/>
      <color theme="1"/>
      <name val="黑体"/>
      <family val="3"/>
      <charset val="134"/>
    </font>
    <font>
      <sz val="11"/>
      <color theme="1"/>
      <name val="宋体"/>
      <family val="2"/>
    </font>
    <font>
      <sz val="18"/>
      <color theme="1"/>
      <name val="Times New Roman"/>
      <family val="1"/>
    </font>
    <font>
      <sz val="18"/>
      <color theme="1"/>
      <name val="宋体"/>
      <family val="2"/>
    </font>
    <font>
      <b/>
      <sz val="20"/>
      <name val="创艺简标宋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7" fillId="0" borderId="0"/>
    <xf numFmtId="0" fontId="9" fillId="0" borderId="0"/>
    <xf numFmtId="0" fontId="9" fillId="0" borderId="0"/>
    <xf numFmtId="0" fontId="7" fillId="0" borderId="0"/>
    <xf numFmtId="38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4" fontId="12" fillId="0" borderId="0"/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0" borderId="0"/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</cellStyleXfs>
  <cellXfs count="2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/>
    <xf numFmtId="0" fontId="19" fillId="7" borderId="14" xfId="0" applyFont="1" applyFill="1" applyBorder="1" applyAlignment="1">
      <alignment horizontal="right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right" vertical="center" wrapText="1"/>
    </xf>
    <xf numFmtId="0" fontId="19" fillId="7" borderId="17" xfId="0" applyFont="1" applyFill="1" applyBorder="1" applyAlignment="1">
      <alignment horizontal="right" vertical="center" wrapText="1"/>
    </xf>
    <xf numFmtId="0" fontId="19" fillId="7" borderId="13" xfId="0" applyFont="1" applyFill="1" applyBorder="1" applyAlignment="1">
      <alignment horizontal="left" vertical="center" wrapText="1"/>
    </xf>
    <xf numFmtId="0" fontId="19" fillId="7" borderId="15" xfId="0" applyFont="1" applyFill="1" applyBorder="1" applyAlignment="1">
      <alignment horizontal="left" vertical="center" wrapText="1"/>
    </xf>
    <xf numFmtId="20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203" fontId="0" fillId="0" borderId="1" xfId="0" applyNumberForma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204" fontId="15" fillId="0" borderId="1" xfId="0" applyNumberFormat="1" applyFont="1" applyFill="1" applyBorder="1" applyAlignment="1">
      <alignment horizontal="center" vertical="center"/>
    </xf>
    <xf numFmtId="9" fontId="0" fillId="0" borderId="1" xfId="15" applyFont="1" applyBorder="1" applyAlignment="1">
      <alignment horizontal="center" vertical="center"/>
    </xf>
    <xf numFmtId="0" fontId="21" fillId="0" borderId="0" xfId="0" applyFont="1"/>
    <xf numFmtId="0" fontId="0" fillId="0" borderId="0" xfId="0" applyAlignment="1"/>
    <xf numFmtId="0" fontId="0" fillId="0" borderId="0" xfId="0" applyFill="1" applyBorder="1" applyAlignment="1">
      <alignment wrapText="1"/>
    </xf>
    <xf numFmtId="0" fontId="17" fillId="0" borderId="0" xfId="0" applyFont="1" applyFill="1" applyBorder="1" applyAlignment="1">
      <alignment wrapText="1"/>
    </xf>
    <xf numFmtId="26" fontId="7" fillId="0" borderId="18" xfId="0" applyNumberFormat="1" applyFont="1" applyFill="1" applyBorder="1" applyAlignment="1">
      <alignment horizontal="left"/>
    </xf>
    <xf numFmtId="0" fontId="23" fillId="0" borderId="18" xfId="0" applyFont="1" applyFill="1" applyBorder="1" applyAlignment="1">
      <alignment horizontal="left" vertical="center" wrapText="1"/>
    </xf>
    <xf numFmtId="0" fontId="7" fillId="0" borderId="18" xfId="0" applyFont="1" applyFill="1" applyBorder="1" applyAlignment="1">
      <alignment horizontal="left" vertical="center" wrapText="1"/>
    </xf>
    <xf numFmtId="26" fontId="7" fillId="0" borderId="0" xfId="0" applyNumberFormat="1" applyFont="1" applyFill="1" applyBorder="1" applyAlignment="1" applyProtection="1">
      <alignment horizontal="left" vertical="center" wrapText="1"/>
      <protection locked="0"/>
    </xf>
    <xf numFmtId="205" fontId="7" fillId="0" borderId="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/>
    <xf numFmtId="0" fontId="7" fillId="0" borderId="0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 wrapText="1"/>
    </xf>
    <xf numFmtId="26" fontId="7" fillId="0" borderId="0" xfId="0" applyNumberFormat="1" applyFont="1" applyFill="1" applyBorder="1" applyAlignment="1" applyProtection="1">
      <alignment horizontal="right"/>
      <protection locked="0"/>
    </xf>
    <xf numFmtId="206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207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208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0" xfId="0" applyFont="1" applyBorder="1" applyAlignment="1">
      <alignment horizontal="justify" wrapText="1"/>
    </xf>
    <xf numFmtId="20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0" fillId="0" borderId="0" xfId="0" applyFill="1"/>
    <xf numFmtId="9" fontId="0" fillId="0" borderId="1" xfId="0" applyNumberFormat="1" applyFill="1" applyBorder="1" applyAlignment="1">
      <alignment horizontal="center" vertical="center"/>
    </xf>
    <xf numFmtId="209" fontId="12" fillId="0" borderId="0" xfId="0" applyNumberFormat="1" applyFont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9" fillId="7" borderId="16" xfId="0" applyFont="1" applyFill="1" applyBorder="1" applyAlignment="1">
      <alignment horizontal="left" vertical="center" wrapText="1"/>
    </xf>
    <xf numFmtId="0" fontId="19" fillId="7" borderId="8" xfId="0" applyFont="1" applyFill="1" applyBorder="1" applyAlignment="1">
      <alignment horizontal="left" vertical="center" wrapText="1"/>
    </xf>
    <xf numFmtId="0" fontId="19" fillId="7" borderId="8" xfId="0" applyFont="1" applyFill="1" applyBorder="1" applyAlignment="1">
      <alignment horizontal="right" vertical="center" wrapText="1"/>
    </xf>
    <xf numFmtId="0" fontId="19" fillId="7" borderId="11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209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16" fillId="0" borderId="0" xfId="0" applyFont="1"/>
    <xf numFmtId="203" fontId="33" fillId="0" borderId="1" xfId="0" applyNumberFormat="1" applyFont="1" applyBorder="1" applyAlignment="1">
      <alignment horizontal="center" vertical="center"/>
    </xf>
    <xf numFmtId="211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208" fontId="2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1" xfId="0" applyFont="1" applyFill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vertical="center"/>
    </xf>
    <xf numFmtId="0" fontId="37" fillId="0" borderId="0" xfId="0" applyFont="1" applyAlignment="1">
      <alignment vertical="top"/>
    </xf>
    <xf numFmtId="203" fontId="33" fillId="0" borderId="2" xfId="0" applyNumberFormat="1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2" fillId="0" borderId="2" xfId="0" applyFont="1" applyFill="1" applyBorder="1" applyAlignment="1">
      <alignment horizontal="left" vertical="center"/>
    </xf>
    <xf numFmtId="0" fontId="32" fillId="0" borderId="2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left" vertical="center"/>
    </xf>
    <xf numFmtId="20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33" fillId="0" borderId="2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horizontal="center" vertical="center"/>
    </xf>
    <xf numFmtId="0" fontId="0" fillId="0" borderId="0" xfId="0"/>
    <xf numFmtId="0" fontId="27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ill="1" applyBorder="1" applyAlignment="1">
      <alignment wrapText="1"/>
    </xf>
    <xf numFmtId="26" fontId="7" fillId="0" borderId="0" xfId="0" applyNumberFormat="1" applyFont="1" applyFill="1" applyBorder="1" applyAlignment="1" applyProtection="1">
      <alignment horizontal="left" vertical="center" wrapText="1"/>
      <protection locked="0"/>
    </xf>
    <xf numFmtId="205" fontId="7" fillId="0" borderId="0" xfId="0" applyNumberFormat="1" applyFont="1" applyFill="1" applyBorder="1" applyAlignment="1" applyProtection="1">
      <alignment horizontal="left" vertical="center" wrapText="1"/>
      <protection locked="0"/>
    </xf>
    <xf numFmtId="0" fontId="7" fillId="0" borderId="0" xfId="0" applyFont="1" applyFill="1" applyBorder="1" applyAlignment="1">
      <alignment vertical="center" wrapText="1"/>
    </xf>
    <xf numFmtId="206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207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208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Fill="1" applyBorder="1" applyAlignment="1">
      <alignment wrapText="1"/>
    </xf>
    <xf numFmtId="0" fontId="24" fillId="0" borderId="0" xfId="0" applyFont="1" applyFill="1" applyBorder="1" applyAlignment="1">
      <alignment vertical="center" wrapText="1"/>
    </xf>
    <xf numFmtId="0" fontId="23" fillId="0" borderId="18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/>
    </xf>
    <xf numFmtId="0" fontId="38" fillId="2" borderId="0" xfId="0" applyFont="1" applyFill="1" applyBorder="1" applyAlignment="1">
      <alignment horizontal="center" vertical="center"/>
    </xf>
    <xf numFmtId="0" fontId="0" fillId="0" borderId="0" xfId="0"/>
    <xf numFmtId="0" fontId="5" fillId="2" borderId="18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203" fontId="39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19" fillId="7" borderId="17" xfId="0" applyFont="1" applyFill="1" applyBorder="1" applyAlignment="1">
      <alignment horizontal="center" vertical="center" wrapText="1"/>
    </xf>
    <xf numFmtId="0" fontId="40" fillId="7" borderId="13" xfId="0" applyFont="1" applyFill="1" applyBorder="1" applyAlignment="1">
      <alignment horizontal="left" vertical="center" wrapText="1"/>
    </xf>
    <xf numFmtId="0" fontId="40" fillId="7" borderId="8" xfId="0" applyFont="1" applyFill="1" applyBorder="1" applyAlignment="1">
      <alignment horizontal="left" vertical="center" wrapText="1"/>
    </xf>
    <xf numFmtId="0" fontId="40" fillId="7" borderId="8" xfId="0" applyFont="1" applyFill="1" applyBorder="1" applyAlignment="1">
      <alignment horizontal="right" vertical="center" wrapText="1"/>
    </xf>
    <xf numFmtId="0" fontId="40" fillId="7" borderId="8" xfId="0" applyFont="1" applyFill="1" applyBorder="1" applyAlignment="1">
      <alignment horizontal="center" vertical="center" wrapText="1"/>
    </xf>
    <xf numFmtId="0" fontId="40" fillId="7" borderId="14" xfId="0" applyFont="1" applyFill="1" applyBorder="1" applyAlignment="1">
      <alignment horizontal="center" vertical="center" wrapText="1"/>
    </xf>
    <xf numFmtId="0" fontId="40" fillId="7" borderId="16" xfId="0" applyFont="1" applyFill="1" applyBorder="1" applyAlignment="1">
      <alignment horizontal="center" vertical="center" wrapText="1"/>
    </xf>
    <xf numFmtId="0" fontId="40" fillId="7" borderId="17" xfId="0" applyFont="1" applyFill="1" applyBorder="1" applyAlignment="1">
      <alignment horizontal="center" vertical="center" wrapText="1"/>
    </xf>
    <xf numFmtId="26" fontId="6" fillId="0" borderId="0" xfId="0" applyNumberFormat="1" applyFont="1" applyBorder="1" applyAlignment="1">
      <alignment horizontal="left"/>
    </xf>
    <xf numFmtId="26" fontId="38" fillId="0" borderId="18" xfId="0" applyNumberFormat="1" applyFont="1" applyFill="1" applyBorder="1" applyAlignment="1">
      <alignment horizontal="left"/>
    </xf>
    <xf numFmtId="0" fontId="39" fillId="0" borderId="1" xfId="0" applyFont="1" applyFill="1" applyBorder="1" applyAlignment="1">
      <alignment horizontal="left" vertical="center"/>
    </xf>
    <xf numFmtId="0" fontId="19" fillId="7" borderId="10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1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left" vertical="center" wrapText="1"/>
    </xf>
    <xf numFmtId="0" fontId="19" fillId="7" borderId="16" xfId="0" applyFont="1" applyFill="1" applyBorder="1" applyAlignment="1">
      <alignment horizontal="left" vertical="center" wrapText="1"/>
    </xf>
    <xf numFmtId="0" fontId="19" fillId="7" borderId="16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right" vertical="center" wrapText="1"/>
    </xf>
    <xf numFmtId="0" fontId="19" fillId="7" borderId="14" xfId="0" applyFont="1" applyFill="1" applyBorder="1" applyAlignment="1">
      <alignment horizontal="center" vertical="center" wrapText="1"/>
    </xf>
    <xf numFmtId="203" fontId="41" fillId="0" borderId="1" xfId="0" applyNumberFormat="1" applyFont="1" applyBorder="1" applyAlignment="1">
      <alignment horizontal="center" vertical="center"/>
    </xf>
    <xf numFmtId="203" fontId="41" fillId="0" borderId="1" xfId="0" applyNumberFormat="1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2" xfId="0" applyFont="1" applyBorder="1" applyAlignment="1">
      <alignment horizontal="left" vertical="center"/>
    </xf>
    <xf numFmtId="203" fontId="42" fillId="0" borderId="1" xfId="0" applyNumberFormat="1" applyFont="1" applyBorder="1" applyAlignment="1">
      <alignment horizontal="center" vertical="center"/>
    </xf>
    <xf numFmtId="203" fontId="43" fillId="0" borderId="1" xfId="0" applyNumberFormat="1" applyFont="1" applyBorder="1" applyAlignment="1">
      <alignment horizontal="center" vertical="center"/>
    </xf>
    <xf numFmtId="0" fontId="42" fillId="0" borderId="0" xfId="0" applyFont="1"/>
    <xf numFmtId="0" fontId="42" fillId="0" borderId="2" xfId="0" applyFont="1" applyBorder="1" applyAlignment="1">
      <alignment horizontal="center" vertical="center"/>
    </xf>
    <xf numFmtId="203" fontId="42" fillId="0" borderId="0" xfId="0" applyNumberFormat="1" applyFont="1"/>
    <xf numFmtId="0" fontId="41" fillId="0" borderId="0" xfId="0" applyFont="1" applyAlignment="1">
      <alignment vertical="top"/>
    </xf>
    <xf numFmtId="0" fontId="41" fillId="0" borderId="0" xfId="0" applyFont="1"/>
    <xf numFmtId="0" fontId="41" fillId="0" borderId="0" xfId="0" applyFont="1" applyBorder="1" applyAlignment="1">
      <alignment horizontal="left"/>
    </xf>
    <xf numFmtId="0" fontId="46" fillId="0" borderId="0" xfId="0" applyFont="1" applyBorder="1" applyAlignment="1">
      <alignment horizontal="center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/>
    </xf>
    <xf numFmtId="203" fontId="41" fillId="0" borderId="0" xfId="0" applyNumberFormat="1" applyFont="1" applyBorder="1" applyAlignment="1">
      <alignment horizontal="center" vertical="center"/>
    </xf>
    <xf numFmtId="203" fontId="41" fillId="0" borderId="0" xfId="0" applyNumberFormat="1" applyFont="1"/>
    <xf numFmtId="0" fontId="0" fillId="0" borderId="1" xfId="0" applyBorder="1" applyAlignment="1">
      <alignment horizontal="center" vertical="center"/>
    </xf>
    <xf numFmtId="205" fontId="7" fillId="0" borderId="0" xfId="0" applyNumberFormat="1" applyFont="1" applyFill="1" applyBorder="1" applyAlignment="1" applyProtection="1">
      <alignment vertical="center" wrapText="1"/>
      <protection locked="0"/>
    </xf>
    <xf numFmtId="0" fontId="14" fillId="0" borderId="0" xfId="0" applyFont="1" applyFill="1" applyBorder="1" applyAlignment="1">
      <alignment horizontal="center" vertical="center" wrapText="1"/>
    </xf>
    <xf numFmtId="205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/>
    </xf>
    <xf numFmtId="0" fontId="35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4" fillId="0" borderId="0" xfId="0" applyFont="1" applyBorder="1" applyAlignment="1">
      <alignment horizontal="center"/>
    </xf>
    <xf numFmtId="0" fontId="46" fillId="0" borderId="0" xfId="0" applyFont="1" applyBorder="1" applyAlignment="1">
      <alignment horizontal="center"/>
    </xf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48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205" fontId="25" fillId="0" borderId="1" xfId="0" applyNumberFormat="1" applyFont="1" applyFill="1" applyBorder="1" applyAlignment="1">
      <alignment horizontal="center" vertical="center" wrapText="1"/>
    </xf>
    <xf numFmtId="0" fontId="40" fillId="7" borderId="16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left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40" fillId="7" borderId="8" xfId="0" applyFont="1" applyFill="1" applyBorder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0" fontId="19" fillId="7" borderId="0" xfId="0" applyFont="1" applyFill="1" applyAlignment="1">
      <alignment horizontal="left" vertical="center" wrapText="1"/>
    </xf>
    <xf numFmtId="0" fontId="19" fillId="7" borderId="0" xfId="0" applyFont="1" applyFill="1" applyAlignment="1">
      <alignment horizontal="right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1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left" vertical="center" wrapText="1"/>
    </xf>
    <xf numFmtId="0" fontId="19" fillId="7" borderId="16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right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8">
    <cellStyle name=" 1" xfId="1"/>
    <cellStyle name=" 1 2" xfId="2"/>
    <cellStyle name=" 1 2 2" xfId="3"/>
    <cellStyle name="_军用嵌入式计算机新增工艺设备表（总表）20090821 " xfId="4"/>
    <cellStyle name="Comma [0]" xfId="5"/>
    <cellStyle name="Currency [0]" xfId="6"/>
    <cellStyle name="Currency1" xfId="7"/>
    <cellStyle name="百分比" xfId="15" builtinId="5"/>
    <cellStyle name="差_初设概算(shi)-5.14晚-7.9-8.27 last " xfId="8"/>
    <cellStyle name="差_附表-08-11  " xfId="9"/>
    <cellStyle name="差_附件 " xfId="10"/>
    <cellStyle name="常规" xfId="0" builtinId="0"/>
    <cellStyle name="好_初设概算(shi)-5.14晚-7.9-8.27 last " xfId="11"/>
    <cellStyle name="好_附表-08-11  " xfId="12"/>
    <cellStyle name="好_附件 " xfId="13"/>
    <cellStyle name="货币[0]" xfId="17" builtinId="7" hidden="1"/>
    <cellStyle name="표준_0N-HANDLING " xfId="14"/>
    <cellStyle name="千位分隔[0]" xfId="16" builtinId="6" hidde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71\&#26446;&#28976;\&#36196;&#23792;&#39044;&#31639;\&#36196;&#23792;--&#31934;&#24178;&#21253;&#21378;&#2515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701026\&#24037;&#31243;&#27010;&#31639;\2002&#24180;&#24037;&#31243;\&#24037;&#31243;&#27010;&#31639;\&#21704;&#33647;&#24635;&#21378;\&#21704;&#33647;&#24635;&#21378;&#31881;&#38024;&#21450;&#32508;&#21512;&#21046;&#21058;&#36710;&#38388;\&#21704;&#33647;&#19977;&#21378;&#31881;&#38024;&#21450;&#32508;&#21512;&#21046;&#21058;&#36710;&#383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内装修及基础计算表"/>
      <sheetName val="内装修"/>
      <sheetName val="内装修预算表"/>
      <sheetName val="内装修调价表"/>
      <sheetName val="内装修取费表"/>
      <sheetName val="工程量屋面屋架柱"/>
      <sheetName val="工程量墙梁"/>
      <sheetName val="钢结构调价表"/>
      <sheetName val="综合表"/>
      <sheetName val="内装修估价表"/>
      <sheetName val="钢结构取费表"/>
      <sheetName val="外维护估价表"/>
      <sheetName val="钢结构预算表"/>
      <sheetName val="综合表1"/>
      <sheetName val="取费表"/>
      <sheetName val="室内"/>
      <sheetName val="室外 "/>
      <sheetName val="公用设备"/>
      <sheetName val="装饰工程预算表"/>
      <sheetName val="SW-TEO"/>
      <sheetName val="Sheet3"/>
      <sheetName val="Toolbox"/>
      <sheetName val="公用3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图号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图取费"/>
      <sheetName val="装饰取费 (2)"/>
      <sheetName val="注射剂车间土建取费 (2)"/>
      <sheetName val="总图"/>
      <sheetName val="Sheet1"/>
      <sheetName val="哈药土建修改"/>
      <sheetName val="哈药总厂粉针及综合制剂车间建筑部分"/>
      <sheetName val="装饰修改"/>
      <sheetName val="装饰工程预算表"/>
      <sheetName val="工程量屋面屋架柱"/>
      <sheetName val="引进设备"/>
      <sheetName val="参数"/>
      <sheetName val="总概算表"/>
      <sheetName val="新增工艺设备表"/>
      <sheetName val="Sheet3"/>
      <sheetName val="Main"/>
      <sheetName val="22#单-概-不打勿删"/>
      <sheetName val="G.1R-Shou COP G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2"/>
  <sheetViews>
    <sheetView workbookViewId="0">
      <selection activeCell="M19" sqref="M19"/>
    </sheetView>
  </sheetViews>
  <sheetFormatPr defaultRowHeight="13.5"/>
  <cols>
    <col min="1" max="1" width="9" style="95"/>
    <col min="2" max="2" width="17.75" style="95" customWidth="1"/>
    <col min="3" max="3" width="20.75" style="95" customWidth="1"/>
    <col min="4" max="4" width="5" style="95" bestFit="1" customWidth="1"/>
    <col min="5" max="5" width="7.75" style="95" bestFit="1" customWidth="1"/>
    <col min="6" max="7" width="5" style="95" bestFit="1" customWidth="1"/>
    <col min="8" max="8" width="6.75" style="95" bestFit="1" customWidth="1"/>
    <col min="9" max="9" width="5" style="95" bestFit="1" customWidth="1"/>
    <col min="10" max="10" width="8.5" style="95" bestFit="1" customWidth="1"/>
    <col min="11" max="11" width="23.75" style="95" customWidth="1"/>
    <col min="12" max="12" width="5" style="95" bestFit="1" customWidth="1"/>
    <col min="13" max="13" width="7.75" style="95" bestFit="1" customWidth="1"/>
    <col min="14" max="15" width="5" style="95" bestFit="1" customWidth="1"/>
    <col min="16" max="16" width="6.75" style="95" bestFit="1" customWidth="1"/>
    <col min="17" max="17" width="5" style="95" bestFit="1" customWidth="1"/>
    <col min="18" max="18" width="8.5" style="95" bestFit="1" customWidth="1"/>
    <col min="19" max="19" width="5" style="95" bestFit="1" customWidth="1"/>
    <col min="20" max="16384" width="9" style="95"/>
  </cols>
  <sheetData>
    <row r="1" spans="1:22" ht="15.75">
      <c r="A1" s="165" t="s">
        <v>413</v>
      </c>
      <c r="B1" s="165"/>
      <c r="C1" s="102"/>
      <c r="D1" s="102"/>
      <c r="E1" s="102"/>
      <c r="F1" s="102"/>
      <c r="G1" s="102"/>
      <c r="H1" s="102"/>
      <c r="I1" s="102"/>
      <c r="J1" s="109"/>
      <c r="K1" s="102"/>
      <c r="L1" s="102"/>
      <c r="M1" s="102"/>
      <c r="N1" s="102"/>
      <c r="O1" s="102"/>
      <c r="P1" s="102"/>
      <c r="Q1" s="102"/>
      <c r="R1" s="109"/>
      <c r="S1" s="102"/>
      <c r="T1" s="102"/>
      <c r="U1" s="102"/>
      <c r="V1" s="102"/>
    </row>
    <row r="2" spans="1:22" ht="20.25">
      <c r="A2" s="166" t="s">
        <v>240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</row>
    <row r="3" spans="1:22" ht="15.75">
      <c r="A3" s="134" t="s">
        <v>227</v>
      </c>
      <c r="B3" s="111"/>
      <c r="C3" s="93"/>
      <c r="D3" s="103"/>
      <c r="E3" s="103"/>
      <c r="F3" s="104"/>
      <c r="G3" s="101"/>
      <c r="H3" s="101"/>
      <c r="I3" s="105"/>
      <c r="J3" s="110"/>
      <c r="K3" s="93"/>
      <c r="L3" s="103"/>
      <c r="M3" s="103"/>
      <c r="N3" s="104"/>
      <c r="O3" s="101"/>
      <c r="P3" s="101"/>
      <c r="Q3" s="105"/>
      <c r="R3" s="110"/>
      <c r="S3" s="104"/>
      <c r="T3" s="101"/>
      <c r="U3" s="101"/>
      <c r="V3" s="105"/>
    </row>
    <row r="4" spans="1:22" ht="42.75" customHeight="1">
      <c r="A4" s="167" t="s">
        <v>198</v>
      </c>
      <c r="B4" s="167" t="s">
        <v>199</v>
      </c>
      <c r="C4" s="169" t="s">
        <v>231</v>
      </c>
      <c r="D4" s="169"/>
      <c r="E4" s="169"/>
      <c r="F4" s="169"/>
      <c r="G4" s="169"/>
      <c r="H4" s="169"/>
      <c r="I4" s="169"/>
      <c r="J4" s="169"/>
      <c r="K4" s="169" t="s">
        <v>241</v>
      </c>
      <c r="L4" s="169"/>
      <c r="M4" s="169"/>
      <c r="N4" s="169"/>
      <c r="O4" s="169"/>
      <c r="P4" s="169"/>
      <c r="Q4" s="169"/>
      <c r="R4" s="169"/>
      <c r="S4" s="169" t="s">
        <v>238</v>
      </c>
      <c r="T4" s="169"/>
      <c r="U4" s="169"/>
      <c r="V4" s="169"/>
    </row>
    <row r="5" spans="1:22" ht="42.75" customHeight="1">
      <c r="A5" s="167"/>
      <c r="B5" s="167"/>
      <c r="C5" s="167" t="s">
        <v>200</v>
      </c>
      <c r="D5" s="167" t="s">
        <v>201</v>
      </c>
      <c r="E5" s="167" t="s">
        <v>242</v>
      </c>
      <c r="F5" s="167" t="s">
        <v>203</v>
      </c>
      <c r="G5" s="167" t="s">
        <v>204</v>
      </c>
      <c r="H5" s="167"/>
      <c r="I5" s="167"/>
      <c r="J5" s="167" t="s">
        <v>205</v>
      </c>
      <c r="K5" s="167" t="s">
        <v>200</v>
      </c>
      <c r="L5" s="167" t="s">
        <v>201</v>
      </c>
      <c r="M5" s="167" t="s">
        <v>242</v>
      </c>
      <c r="N5" s="167" t="s">
        <v>203</v>
      </c>
      <c r="O5" s="167" t="s">
        <v>204</v>
      </c>
      <c r="P5" s="167"/>
      <c r="Q5" s="167"/>
      <c r="R5" s="167" t="s">
        <v>205</v>
      </c>
      <c r="S5" s="167" t="s">
        <v>203</v>
      </c>
      <c r="T5" s="167" t="s">
        <v>204</v>
      </c>
      <c r="U5" s="167"/>
      <c r="V5" s="167"/>
    </row>
    <row r="6" spans="1:22" ht="24">
      <c r="A6" s="167"/>
      <c r="B6" s="167"/>
      <c r="C6" s="167"/>
      <c r="D6" s="167"/>
      <c r="E6" s="167"/>
      <c r="F6" s="167"/>
      <c r="G6" s="106" t="s">
        <v>207</v>
      </c>
      <c r="H6" s="107" t="s">
        <v>208</v>
      </c>
      <c r="I6" s="79" t="s">
        <v>243</v>
      </c>
      <c r="J6" s="168"/>
      <c r="K6" s="167"/>
      <c r="L6" s="167"/>
      <c r="M6" s="167"/>
      <c r="N6" s="167"/>
      <c r="O6" s="106" t="s">
        <v>207</v>
      </c>
      <c r="P6" s="107" t="s">
        <v>208</v>
      </c>
      <c r="Q6" s="79" t="s">
        <v>244</v>
      </c>
      <c r="R6" s="168"/>
      <c r="S6" s="167"/>
      <c r="T6" s="106" t="s">
        <v>207</v>
      </c>
      <c r="U6" s="107" t="s">
        <v>208</v>
      </c>
      <c r="V6" s="108" t="s">
        <v>209</v>
      </c>
    </row>
    <row r="7" spans="1:22" ht="42.75" customHeight="1">
      <c r="A7" s="99" t="s">
        <v>154</v>
      </c>
      <c r="B7" s="97" t="s">
        <v>210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</row>
    <row r="8" spans="1:22" ht="64.5" customHeight="1">
      <c r="A8" s="99">
        <v>1</v>
      </c>
      <c r="B8" s="112" t="s">
        <v>211</v>
      </c>
      <c r="C8" s="96" t="s">
        <v>212</v>
      </c>
      <c r="D8" s="99" t="s">
        <v>213</v>
      </c>
      <c r="E8" s="55" t="s">
        <v>228</v>
      </c>
      <c r="F8" s="99">
        <v>2</v>
      </c>
      <c r="G8" s="100">
        <v>500</v>
      </c>
      <c r="H8" s="99">
        <f>G8*F8</f>
        <v>1000</v>
      </c>
      <c r="I8" s="99"/>
      <c r="J8" s="99" t="s">
        <v>215</v>
      </c>
      <c r="K8" s="96" t="s">
        <v>212</v>
      </c>
      <c r="L8" s="99" t="s">
        <v>213</v>
      </c>
      <c r="M8" s="55" t="s">
        <v>228</v>
      </c>
      <c r="N8" s="99">
        <v>2</v>
      </c>
      <c r="O8" s="100">
        <f>'新增（改造）工艺设备明细表'!G7</f>
        <v>425</v>
      </c>
      <c r="P8" s="99">
        <f>O8*N8</f>
        <v>850</v>
      </c>
      <c r="Q8" s="99"/>
      <c r="R8" s="99" t="s">
        <v>215</v>
      </c>
      <c r="S8" s="99"/>
      <c r="T8" s="100">
        <f>O8-G8</f>
        <v>-75</v>
      </c>
      <c r="U8" s="99">
        <f>P8-H8</f>
        <v>-150</v>
      </c>
      <c r="V8" s="99"/>
    </row>
    <row r="9" spans="1:22" ht="46.5" customHeight="1">
      <c r="A9" s="99">
        <v>2</v>
      </c>
      <c r="B9" s="97" t="s">
        <v>216</v>
      </c>
      <c r="C9" s="96" t="s">
        <v>217</v>
      </c>
      <c r="D9" s="99" t="s">
        <v>213</v>
      </c>
      <c r="E9" s="99" t="s">
        <v>214</v>
      </c>
      <c r="F9" s="99">
        <v>8</v>
      </c>
      <c r="G9" s="100">
        <v>28.2</v>
      </c>
      <c r="H9" s="99">
        <f t="shared" ref="H9:H10" si="0">G9*F9</f>
        <v>225.6</v>
      </c>
      <c r="I9" s="99"/>
      <c r="J9" s="99" t="s">
        <v>215</v>
      </c>
      <c r="K9" s="96" t="s">
        <v>217</v>
      </c>
      <c r="L9" s="99" t="s">
        <v>213</v>
      </c>
      <c r="M9" s="55" t="s">
        <v>228</v>
      </c>
      <c r="N9" s="99">
        <v>8</v>
      </c>
      <c r="O9" s="100">
        <v>28.2</v>
      </c>
      <c r="P9" s="99">
        <f t="shared" ref="P9:P10" si="1">O9*N9</f>
        <v>225.6</v>
      </c>
      <c r="Q9" s="99"/>
      <c r="R9" s="99" t="s">
        <v>215</v>
      </c>
      <c r="S9" s="99"/>
      <c r="T9" s="100"/>
      <c r="U9" s="99"/>
      <c r="V9" s="99"/>
    </row>
    <row r="10" spans="1:22" ht="47.25" customHeight="1">
      <c r="A10" s="99">
        <v>3</v>
      </c>
      <c r="B10" s="112" t="s">
        <v>218</v>
      </c>
      <c r="C10" s="97" t="s">
        <v>219</v>
      </c>
      <c r="D10" s="99" t="s">
        <v>213</v>
      </c>
      <c r="E10" s="99" t="s">
        <v>220</v>
      </c>
      <c r="F10" s="99">
        <v>1</v>
      </c>
      <c r="G10" s="100">
        <v>320</v>
      </c>
      <c r="H10" s="99">
        <f t="shared" si="0"/>
        <v>320</v>
      </c>
      <c r="I10" s="99"/>
      <c r="J10" s="99" t="s">
        <v>215</v>
      </c>
      <c r="K10" s="97" t="s">
        <v>219</v>
      </c>
      <c r="L10" s="99" t="s">
        <v>213</v>
      </c>
      <c r="M10" s="99" t="s">
        <v>220</v>
      </c>
      <c r="N10" s="99">
        <v>1</v>
      </c>
      <c r="O10" s="100">
        <v>400</v>
      </c>
      <c r="P10" s="99">
        <f t="shared" si="1"/>
        <v>400</v>
      </c>
      <c r="Q10" s="99"/>
      <c r="R10" s="99" t="s">
        <v>215</v>
      </c>
      <c r="S10" s="99"/>
      <c r="T10" s="100">
        <f t="shared" ref="T10" si="2">O10-G10</f>
        <v>80</v>
      </c>
      <c r="U10" s="99">
        <f t="shared" ref="U10" si="3">P10-H10</f>
        <v>80</v>
      </c>
      <c r="V10" s="99"/>
    </row>
    <row r="11" spans="1:22">
      <c r="A11" s="9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</row>
    <row r="12" spans="1:22">
      <c r="A12" s="98"/>
      <c r="B12" s="98" t="s">
        <v>138</v>
      </c>
      <c r="C12" s="98"/>
      <c r="D12" s="98"/>
      <c r="E12" s="98"/>
      <c r="F12" s="98">
        <f>SUM(F8:F11)</f>
        <v>11</v>
      </c>
      <c r="G12" s="98"/>
      <c r="H12" s="98">
        <f>SUM(H8:H11)</f>
        <v>1545.6</v>
      </c>
      <c r="I12" s="98"/>
      <c r="J12" s="98"/>
      <c r="K12" s="98"/>
      <c r="L12" s="98"/>
      <c r="M12" s="98"/>
      <c r="N12" s="98">
        <f>SUM(N8:N11)</f>
        <v>11</v>
      </c>
      <c r="O12" s="98"/>
      <c r="P12" s="98">
        <f>SUM(P8:P11)</f>
        <v>1475.6</v>
      </c>
      <c r="Q12" s="98"/>
      <c r="R12" s="98"/>
      <c r="S12" s="98"/>
      <c r="T12" s="98"/>
      <c r="U12" s="98">
        <f>SUM(U8:U11)</f>
        <v>-70</v>
      </c>
      <c r="V12" s="98"/>
    </row>
  </sheetData>
  <mergeCells count="21">
    <mergeCell ref="L5:L6"/>
    <mergeCell ref="M5:M6"/>
    <mergeCell ref="N5:N6"/>
    <mergeCell ref="O5:Q5"/>
    <mergeCell ref="R5:R6"/>
    <mergeCell ref="A1:B1"/>
    <mergeCell ref="A2:V2"/>
    <mergeCell ref="C5:C6"/>
    <mergeCell ref="D5:D6"/>
    <mergeCell ref="E5:E6"/>
    <mergeCell ref="F5:F6"/>
    <mergeCell ref="G5:I5"/>
    <mergeCell ref="J5:J6"/>
    <mergeCell ref="A4:A6"/>
    <mergeCell ref="B4:B6"/>
    <mergeCell ref="S5:S6"/>
    <mergeCell ref="T5:V5"/>
    <mergeCell ref="S4:V4"/>
    <mergeCell ref="C4:J4"/>
    <mergeCell ref="K4:R4"/>
    <mergeCell ref="K5:K6"/>
  </mergeCells>
  <phoneticPr fontId="1" type="noConversion"/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30"/>
  <sheetViews>
    <sheetView showGridLines="0" view="pageBreakPreview" zoomScale="90" zoomScaleNormal="100" zoomScaleSheetLayoutView="90" workbookViewId="0">
      <selection activeCell="M19" sqref="M19"/>
    </sheetView>
  </sheetViews>
  <sheetFormatPr defaultRowHeight="13.5"/>
  <cols>
    <col min="2" max="2" width="27.875" customWidth="1"/>
    <col min="3" max="17" width="11.625" customWidth="1"/>
  </cols>
  <sheetData>
    <row r="1" spans="1:17" ht="18" customHeight="1">
      <c r="A1" s="84" t="s">
        <v>239</v>
      </c>
    </row>
    <row r="2" spans="1:17" ht="22.5">
      <c r="A2" s="171" t="s">
        <v>414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</row>
    <row r="3" spans="1:17" s="75" customFormat="1" ht="22.5" customHeight="1">
      <c r="A3" s="133" t="str">
        <f>设备对比表!A3</f>
        <v>项目名称：大连船舶重工集团公司专船需求设施改造项目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</row>
    <row r="4" spans="1:17" s="75" customFormat="1" ht="22.5" customHeight="1">
      <c r="A4" s="172" t="s">
        <v>1</v>
      </c>
      <c r="B4" s="83" t="s">
        <v>13</v>
      </c>
      <c r="C4" s="170" t="s">
        <v>236</v>
      </c>
      <c r="D4" s="170"/>
      <c r="E4" s="170"/>
      <c r="F4" s="170"/>
      <c r="G4" s="170"/>
      <c r="H4" s="170" t="s">
        <v>237</v>
      </c>
      <c r="I4" s="170"/>
      <c r="J4" s="170"/>
      <c r="K4" s="170"/>
      <c r="L4" s="170"/>
      <c r="M4" s="170" t="s">
        <v>238</v>
      </c>
      <c r="N4" s="170"/>
      <c r="O4" s="170"/>
      <c r="P4" s="170"/>
      <c r="Q4" s="170"/>
    </row>
    <row r="5" spans="1:17" s="75" customFormat="1" ht="22.5" customHeight="1">
      <c r="A5" s="172"/>
      <c r="B5" s="83"/>
      <c r="C5" s="74" t="s">
        <v>232</v>
      </c>
      <c r="D5" s="74" t="s">
        <v>233</v>
      </c>
      <c r="E5" s="82" t="s">
        <v>234</v>
      </c>
      <c r="F5" s="74" t="s">
        <v>235</v>
      </c>
      <c r="G5" s="81" t="s">
        <v>245</v>
      </c>
      <c r="H5" s="74" t="s">
        <v>232</v>
      </c>
      <c r="I5" s="74" t="s">
        <v>233</v>
      </c>
      <c r="J5" s="82" t="s">
        <v>234</v>
      </c>
      <c r="K5" s="74" t="s">
        <v>235</v>
      </c>
      <c r="L5" s="81" t="s">
        <v>246</v>
      </c>
      <c r="M5" s="74" t="s">
        <v>232</v>
      </c>
      <c r="N5" s="74" t="s">
        <v>233</v>
      </c>
      <c r="O5" s="82" t="s">
        <v>234</v>
      </c>
      <c r="P5" s="74" t="s">
        <v>235</v>
      </c>
      <c r="Q5" s="80" t="s">
        <v>246</v>
      </c>
    </row>
    <row r="6" spans="1:17" ht="18" customHeight="1">
      <c r="A6" s="78"/>
      <c r="B6" s="73" t="s">
        <v>138</v>
      </c>
      <c r="C6" s="72"/>
      <c r="D6" s="72"/>
      <c r="E6" s="72"/>
      <c r="F6" s="71">
        <f>SUM(F7,F12,F22)</f>
        <v>3496.0364758772557</v>
      </c>
      <c r="G6" s="72"/>
      <c r="H6" s="72"/>
      <c r="I6" s="72"/>
      <c r="J6" s="72"/>
      <c r="K6" s="71">
        <f>SUM(K7,K12,K22)</f>
        <v>3495.9599359865342</v>
      </c>
      <c r="L6" s="72"/>
      <c r="M6" s="72"/>
      <c r="N6" s="72"/>
      <c r="O6" s="72"/>
      <c r="P6" s="77"/>
      <c r="Q6" s="78"/>
    </row>
    <row r="7" spans="1:17" ht="18" customHeight="1">
      <c r="A7" s="78" t="s">
        <v>154</v>
      </c>
      <c r="B7" s="73" t="s">
        <v>155</v>
      </c>
      <c r="C7" s="72"/>
      <c r="D7" s="72"/>
      <c r="E7" s="72"/>
      <c r="F7" s="71">
        <f>SUM(F9:F11)</f>
        <v>3050.7047499999999</v>
      </c>
      <c r="G7" s="72"/>
      <c r="H7" s="72"/>
      <c r="I7" s="72"/>
      <c r="J7" s="72"/>
      <c r="K7" s="71">
        <f>SUM(K9:K11)</f>
        <v>3130.6918369999999</v>
      </c>
      <c r="L7" s="72"/>
      <c r="M7" s="72"/>
      <c r="N7" s="72"/>
      <c r="O7" s="72"/>
      <c r="P7" s="76">
        <f>K7-F7</f>
        <v>79.987086999999974</v>
      </c>
      <c r="Q7" s="78"/>
    </row>
    <row r="8" spans="1:17" ht="18" customHeight="1">
      <c r="A8" s="78" t="s">
        <v>156</v>
      </c>
      <c r="B8" s="73" t="s">
        <v>157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6"/>
      <c r="Q8" s="78"/>
    </row>
    <row r="9" spans="1:17" ht="18" customHeight="1">
      <c r="A9" s="78">
        <v>1</v>
      </c>
      <c r="B9" s="73" t="s">
        <v>225</v>
      </c>
      <c r="C9" s="72"/>
      <c r="D9" s="72"/>
      <c r="E9" s="72">
        <v>11</v>
      </c>
      <c r="F9" s="92">
        <v>1545.6</v>
      </c>
      <c r="G9" s="72"/>
      <c r="H9" s="72"/>
      <c r="I9" s="72"/>
      <c r="J9" s="72">
        <v>11</v>
      </c>
      <c r="K9" s="71">
        <f>总概算表!J8</f>
        <v>1625.5870869999999</v>
      </c>
      <c r="L9" s="72"/>
      <c r="M9" s="72"/>
      <c r="N9" s="72"/>
      <c r="O9" s="72"/>
      <c r="P9" s="76">
        <f t="shared" ref="P9:P22" si="0">K9-F9</f>
        <v>79.987086999999974</v>
      </c>
      <c r="Q9" s="78"/>
    </row>
    <row r="10" spans="1:17" ht="18" customHeight="1">
      <c r="A10" s="78" t="s">
        <v>139</v>
      </c>
      <c r="B10" s="73" t="s">
        <v>140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6"/>
      <c r="Q10" s="78"/>
    </row>
    <row r="11" spans="1:17" ht="18" customHeight="1">
      <c r="A11" s="78">
        <v>1</v>
      </c>
      <c r="B11" s="73" t="s">
        <v>226</v>
      </c>
      <c r="C11" s="72"/>
      <c r="D11" s="72"/>
      <c r="E11" s="72"/>
      <c r="F11" s="76">
        <v>1505.10475</v>
      </c>
      <c r="G11" s="72"/>
      <c r="H11" s="72"/>
      <c r="I11" s="72"/>
      <c r="J11" s="72"/>
      <c r="K11" s="76">
        <v>1505.10475</v>
      </c>
      <c r="L11" s="72"/>
      <c r="M11" s="72"/>
      <c r="N11" s="72"/>
      <c r="O11" s="72"/>
      <c r="P11" s="76"/>
      <c r="Q11" s="78"/>
    </row>
    <row r="12" spans="1:17" ht="18" customHeight="1">
      <c r="A12" s="78" t="s">
        <v>141</v>
      </c>
      <c r="B12" s="73" t="s">
        <v>142</v>
      </c>
      <c r="C12" s="72"/>
      <c r="D12" s="72"/>
      <c r="E12" s="72"/>
      <c r="F12" s="85">
        <f>SUM(F13:F21)</f>
        <v>247.53172587725578</v>
      </c>
      <c r="G12" s="72"/>
      <c r="H12" s="72"/>
      <c r="I12" s="72"/>
      <c r="J12" s="72"/>
      <c r="K12" s="71">
        <f>SUM(K13:K21)</f>
        <v>261.30284306576863</v>
      </c>
      <c r="L12" s="72"/>
      <c r="M12" s="72"/>
      <c r="N12" s="72"/>
      <c r="O12" s="72"/>
      <c r="P12" s="76">
        <f t="shared" si="0"/>
        <v>13.771117188512846</v>
      </c>
      <c r="Q12" s="78"/>
    </row>
    <row r="13" spans="1:17" ht="18" customHeight="1">
      <c r="A13" s="78">
        <v>1</v>
      </c>
      <c r="B13" s="91" t="s">
        <v>143</v>
      </c>
      <c r="C13" s="78"/>
      <c r="D13" s="78"/>
      <c r="E13" s="78"/>
      <c r="F13" s="76">
        <v>45</v>
      </c>
      <c r="G13" s="78"/>
      <c r="H13" s="78"/>
      <c r="I13" s="78"/>
      <c r="J13" s="78"/>
      <c r="K13" s="78">
        <f>总概算表!J13</f>
        <v>57.5</v>
      </c>
      <c r="L13" s="78"/>
      <c r="M13" s="78"/>
      <c r="N13" s="78"/>
      <c r="O13" s="78"/>
      <c r="P13" s="76">
        <f t="shared" si="0"/>
        <v>12.5</v>
      </c>
      <c r="Q13" s="78"/>
    </row>
    <row r="14" spans="1:17" ht="18" customHeight="1">
      <c r="A14" s="78">
        <v>2</v>
      </c>
      <c r="B14" s="91" t="s">
        <v>144</v>
      </c>
      <c r="C14" s="78"/>
      <c r="D14" s="78"/>
      <c r="E14" s="78"/>
      <c r="F14" s="76">
        <v>29.357142857142858</v>
      </c>
      <c r="G14" s="78"/>
      <c r="H14" s="78"/>
      <c r="I14" s="78"/>
      <c r="J14" s="78"/>
      <c r="K14" s="90">
        <f>总概算表!J14</f>
        <v>29.357142857142858</v>
      </c>
      <c r="L14" s="78"/>
      <c r="M14" s="78"/>
      <c r="N14" s="78"/>
      <c r="O14" s="78"/>
      <c r="P14" s="76"/>
      <c r="Q14" s="78"/>
    </row>
    <row r="15" spans="1:17" ht="18" customHeight="1">
      <c r="A15" s="78">
        <v>3</v>
      </c>
      <c r="B15" s="91" t="s">
        <v>145</v>
      </c>
      <c r="C15" s="78"/>
      <c r="D15" s="78"/>
      <c r="E15" s="78"/>
      <c r="F15" s="76">
        <v>42.222513999999997</v>
      </c>
      <c r="G15" s="78"/>
      <c r="H15" s="78"/>
      <c r="I15" s="78"/>
      <c r="J15" s="78"/>
      <c r="K15" s="90">
        <f>总概算表!J15</f>
        <v>42.222998680000003</v>
      </c>
      <c r="L15" s="78"/>
      <c r="M15" s="78"/>
      <c r="N15" s="78"/>
      <c r="O15" s="78"/>
      <c r="P15" s="76"/>
      <c r="Q15" s="78"/>
    </row>
    <row r="16" spans="1:17" ht="18" customHeight="1">
      <c r="A16" s="78">
        <v>4</v>
      </c>
      <c r="B16" s="91" t="s">
        <v>146</v>
      </c>
      <c r="C16" s="78"/>
      <c r="D16" s="78"/>
      <c r="E16" s="78"/>
      <c r="F16" s="76">
        <v>88.881313205429677</v>
      </c>
      <c r="G16" s="78"/>
      <c r="H16" s="78"/>
      <c r="I16" s="78"/>
      <c r="J16" s="78"/>
      <c r="K16" s="90">
        <f>总概算表!J16</f>
        <v>90.091362420679985</v>
      </c>
      <c r="L16" s="78"/>
      <c r="M16" s="78"/>
      <c r="N16" s="78"/>
      <c r="O16" s="78"/>
      <c r="P16" s="76">
        <f t="shared" si="0"/>
        <v>1.210049215250308</v>
      </c>
      <c r="Q16" s="78"/>
    </row>
    <row r="17" spans="1:17" ht="18" customHeight="1">
      <c r="A17" s="78">
        <v>5</v>
      </c>
      <c r="B17" s="91" t="s">
        <v>147</v>
      </c>
      <c r="C17" s="78"/>
      <c r="D17" s="78"/>
      <c r="E17" s="78"/>
      <c r="F17" s="76">
        <v>4.4440656602714839</v>
      </c>
      <c r="G17" s="78"/>
      <c r="H17" s="78"/>
      <c r="I17" s="78"/>
      <c r="J17" s="78"/>
      <c r="K17" s="90">
        <f>总概算表!J17</f>
        <v>4.5045681210339996</v>
      </c>
      <c r="L17" s="78"/>
      <c r="M17" s="78"/>
      <c r="N17" s="78"/>
      <c r="O17" s="78"/>
      <c r="P17" s="76">
        <f t="shared" si="0"/>
        <v>6.0502460762515753E-2</v>
      </c>
      <c r="Q17" s="78"/>
    </row>
    <row r="18" spans="1:17" ht="18" customHeight="1">
      <c r="A18" s="78">
        <v>6</v>
      </c>
      <c r="B18" s="91" t="s">
        <v>148</v>
      </c>
      <c r="C18" s="78"/>
      <c r="D18" s="78"/>
      <c r="E18" s="78"/>
      <c r="F18" s="76">
        <v>19.817866625000001</v>
      </c>
      <c r="G18" s="78"/>
      <c r="H18" s="78"/>
      <c r="I18" s="78"/>
      <c r="J18" s="78"/>
      <c r="K18" s="90">
        <f>总概算表!J18</f>
        <v>19.817947457500001</v>
      </c>
      <c r="L18" s="78"/>
      <c r="M18" s="78"/>
      <c r="N18" s="78"/>
      <c r="O18" s="78"/>
      <c r="P18" s="76"/>
      <c r="Q18" s="78"/>
    </row>
    <row r="19" spans="1:17" ht="18" customHeight="1">
      <c r="A19" s="78">
        <v>7</v>
      </c>
      <c r="B19" s="91" t="s">
        <v>149</v>
      </c>
      <c r="C19" s="78"/>
      <c r="D19" s="78"/>
      <c r="E19" s="78"/>
      <c r="F19" s="76">
        <v>7.8088235294117645</v>
      </c>
      <c r="G19" s="78"/>
      <c r="H19" s="78"/>
      <c r="I19" s="78"/>
      <c r="J19" s="78"/>
      <c r="K19" s="90">
        <f>总概算表!J19</f>
        <v>7.8088235294117645</v>
      </c>
      <c r="L19" s="78"/>
      <c r="M19" s="78"/>
      <c r="N19" s="78"/>
      <c r="O19" s="78"/>
      <c r="P19" s="76"/>
      <c r="Q19" s="78"/>
    </row>
    <row r="20" spans="1:17" ht="18" customHeight="1">
      <c r="A20" s="78">
        <v>8</v>
      </c>
      <c r="B20" s="89" t="s">
        <v>150</v>
      </c>
      <c r="C20" s="94"/>
      <c r="D20" s="94"/>
      <c r="E20" s="94"/>
      <c r="F20" s="76">
        <v>5</v>
      </c>
      <c r="G20" s="94"/>
      <c r="H20" s="94"/>
      <c r="I20" s="94"/>
      <c r="J20" s="94"/>
      <c r="K20" s="90">
        <f>总概算表!J20</f>
        <v>5</v>
      </c>
      <c r="L20" s="94"/>
      <c r="M20" s="94"/>
      <c r="N20" s="94"/>
      <c r="O20" s="94"/>
      <c r="P20" s="76"/>
      <c r="Q20" s="94"/>
    </row>
    <row r="21" spans="1:17" ht="18" customHeight="1">
      <c r="A21" s="78">
        <v>9</v>
      </c>
      <c r="B21" s="87" t="s">
        <v>151</v>
      </c>
      <c r="C21" s="88"/>
      <c r="D21" s="88"/>
      <c r="E21" s="88"/>
      <c r="F21" s="76">
        <v>5</v>
      </c>
      <c r="G21" s="88"/>
      <c r="H21" s="88"/>
      <c r="I21" s="88"/>
      <c r="J21" s="88"/>
      <c r="K21" s="90">
        <f>总概算表!J21</f>
        <v>5</v>
      </c>
      <c r="L21" s="88"/>
      <c r="M21" s="88"/>
      <c r="N21" s="88"/>
      <c r="O21" s="88"/>
      <c r="P21" s="76"/>
      <c r="Q21" s="94"/>
    </row>
    <row r="22" spans="1:17" ht="18" customHeight="1">
      <c r="A22" s="78" t="s">
        <v>152</v>
      </c>
      <c r="B22" s="73" t="s">
        <v>153</v>
      </c>
      <c r="C22" s="72"/>
      <c r="D22" s="72"/>
      <c r="E22" s="72"/>
      <c r="F22" s="72">
        <v>197.8</v>
      </c>
      <c r="G22" s="72"/>
      <c r="H22" s="72"/>
      <c r="I22" s="72"/>
      <c r="J22" s="72"/>
      <c r="K22" s="90">
        <f>总概算表!J22</f>
        <v>103.96525592076581</v>
      </c>
      <c r="L22" s="72"/>
      <c r="M22" s="72"/>
      <c r="N22" s="72"/>
      <c r="O22" s="72"/>
      <c r="P22" s="76">
        <f t="shared" si="0"/>
        <v>-93.834744079234198</v>
      </c>
      <c r="Q22" s="78"/>
    </row>
    <row r="26" spans="1:17" ht="14.25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</row>
    <row r="27" spans="1:17" ht="14.25"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spans="1:17" ht="14.25"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</row>
    <row r="29" spans="1:17" ht="14.25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</row>
    <row r="30" spans="1:17"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</row>
  </sheetData>
  <mergeCells count="5">
    <mergeCell ref="H4:L4"/>
    <mergeCell ref="M4:Q4"/>
    <mergeCell ref="A2:Q2"/>
    <mergeCell ref="A4:A5"/>
    <mergeCell ref="C4:G4"/>
  </mergeCells>
  <phoneticPr fontId="1" type="noConversion"/>
  <pageMargins left="0.7" right="0.7" top="0.75" bottom="0.75" header="0.3" footer="0.3"/>
  <pageSetup paperSize="8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30"/>
  <sheetViews>
    <sheetView showGridLines="0" workbookViewId="0">
      <selection activeCell="H27" sqref="H27"/>
    </sheetView>
  </sheetViews>
  <sheetFormatPr defaultRowHeight="13.5"/>
  <cols>
    <col min="2" max="2" width="26.875" customWidth="1"/>
    <col min="6" max="6" width="12" customWidth="1"/>
    <col min="7" max="7" width="15" customWidth="1"/>
    <col min="8" max="8" width="14.875" customWidth="1"/>
  </cols>
  <sheetData>
    <row r="1" spans="1:15" ht="18" customHeight="1">
      <c r="A1" s="9" t="s">
        <v>435</v>
      </c>
    </row>
    <row r="2" spans="1:15" ht="20.25">
      <c r="A2" s="174" t="s">
        <v>0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</row>
    <row r="3" spans="1:15" ht="22.5">
      <c r="A3" s="4" t="s">
        <v>411</v>
      </c>
      <c r="B3" s="3"/>
      <c r="C3" s="3"/>
      <c r="D3" s="3"/>
      <c r="E3" s="3"/>
      <c r="F3" s="3"/>
      <c r="G3" s="3"/>
      <c r="H3" s="3"/>
      <c r="I3" s="3"/>
      <c r="J3" s="3"/>
      <c r="K3" s="3"/>
      <c r="L3" s="5"/>
      <c r="M3" s="95"/>
    </row>
    <row r="4" spans="1:15" ht="18" customHeight="1">
      <c r="A4" s="173" t="s">
        <v>1</v>
      </c>
      <c r="B4" s="211" t="s">
        <v>13</v>
      </c>
      <c r="C4" s="183" t="s">
        <v>2</v>
      </c>
      <c r="D4" s="210"/>
      <c r="E4" s="185"/>
      <c r="F4" s="183" t="s">
        <v>448</v>
      </c>
      <c r="G4" s="210"/>
      <c r="H4" s="210"/>
      <c r="I4" s="210"/>
      <c r="J4" s="210"/>
      <c r="K4" s="185"/>
      <c r="L4" s="211" t="s">
        <v>449</v>
      </c>
      <c r="M4" s="95"/>
    </row>
    <row r="5" spans="1:15" ht="18" customHeight="1">
      <c r="A5" s="173"/>
      <c r="B5" s="187"/>
      <c r="C5" s="164" t="s">
        <v>3</v>
      </c>
      <c r="D5" s="164" t="s">
        <v>4</v>
      </c>
      <c r="E5" s="164" t="s">
        <v>5</v>
      </c>
      <c r="F5" s="164" t="s">
        <v>6</v>
      </c>
      <c r="G5" s="164" t="s">
        <v>7</v>
      </c>
      <c r="H5" s="164" t="s">
        <v>8</v>
      </c>
      <c r="I5" s="164" t="s">
        <v>9</v>
      </c>
      <c r="J5" s="164" t="s">
        <v>10</v>
      </c>
      <c r="K5" s="164" t="s">
        <v>11</v>
      </c>
      <c r="L5" s="187"/>
      <c r="M5" s="95"/>
    </row>
    <row r="6" spans="1:15" s="152" customFormat="1" ht="18" customHeight="1">
      <c r="A6" s="148"/>
      <c r="B6" s="153" t="s">
        <v>450</v>
      </c>
      <c r="C6" s="150"/>
      <c r="D6" s="150"/>
      <c r="E6" s="151"/>
      <c r="F6" s="151">
        <f>SUM(F7,F12,F22)</f>
        <v>1655.112032</v>
      </c>
      <c r="G6" s="151">
        <f>SUM(G7,G12,G22)</f>
        <v>1475.6</v>
      </c>
      <c r="H6" s="151"/>
      <c r="I6" s="151">
        <f>SUM(I7,I12,I22)</f>
        <v>365.26809898653443</v>
      </c>
      <c r="J6" s="151">
        <f>SUM(J7,J12,J22)</f>
        <v>3495.9801309865343</v>
      </c>
      <c r="K6" s="151"/>
      <c r="L6" s="150"/>
      <c r="M6" s="154">
        <f>O6-J6</f>
        <v>1.9869013465722674E-2</v>
      </c>
      <c r="N6" s="152">
        <v>3500</v>
      </c>
      <c r="O6" s="152">
        <v>3496</v>
      </c>
    </row>
    <row r="7" spans="1:15" s="152" customFormat="1" ht="18" customHeight="1">
      <c r="A7" s="148" t="s">
        <v>154</v>
      </c>
      <c r="B7" s="149" t="s">
        <v>451</v>
      </c>
      <c r="C7" s="150"/>
      <c r="D7" s="150"/>
      <c r="E7" s="151"/>
      <c r="F7" s="151">
        <f t="shared" ref="F7:J7" si="0">SUM(F8,F10)</f>
        <v>1655.112032</v>
      </c>
      <c r="G7" s="151">
        <f t="shared" si="0"/>
        <v>1475.6</v>
      </c>
      <c r="H7" s="151"/>
      <c r="I7" s="151"/>
      <c r="J7" s="151">
        <f t="shared" si="0"/>
        <v>3130.7120319999999</v>
      </c>
      <c r="K7" s="151"/>
      <c r="L7" s="150"/>
    </row>
    <row r="8" spans="1:15" ht="18" customHeight="1">
      <c r="A8" s="10" t="s">
        <v>156</v>
      </c>
      <c r="B8" s="20" t="s">
        <v>157</v>
      </c>
      <c r="C8" s="19"/>
      <c r="D8" s="19"/>
      <c r="E8" s="146"/>
      <c r="F8" s="146">
        <f t="shared" ref="F8:J8" si="1">SUM(F9)</f>
        <v>149.987087</v>
      </c>
      <c r="G8" s="146">
        <f t="shared" si="1"/>
        <v>1475.6</v>
      </c>
      <c r="H8" s="146"/>
      <c r="I8" s="146"/>
      <c r="J8" s="146">
        <f t="shared" si="1"/>
        <v>1625.5870869999999</v>
      </c>
      <c r="K8" s="146"/>
      <c r="L8" s="19"/>
      <c r="M8" s="95"/>
    </row>
    <row r="9" spans="1:15" ht="18" customHeight="1">
      <c r="A9" s="10">
        <v>1</v>
      </c>
      <c r="B9" s="20" t="s">
        <v>158</v>
      </c>
      <c r="C9" s="19"/>
      <c r="D9" s="19"/>
      <c r="E9" s="146"/>
      <c r="F9" s="146">
        <f>室内!H7</f>
        <v>149.987087</v>
      </c>
      <c r="G9" s="146">
        <f>室内!I6</f>
        <v>1475.6</v>
      </c>
      <c r="H9" s="146"/>
      <c r="I9" s="146"/>
      <c r="J9" s="146">
        <f>SUM(F9:I9)</f>
        <v>1625.5870869999999</v>
      </c>
      <c r="K9" s="146"/>
      <c r="L9" s="19"/>
      <c r="M9" s="95"/>
    </row>
    <row r="10" spans="1:15" ht="18" customHeight="1">
      <c r="A10" s="10" t="s">
        <v>139</v>
      </c>
      <c r="B10" s="20" t="s">
        <v>140</v>
      </c>
      <c r="C10" s="19"/>
      <c r="D10" s="19"/>
      <c r="E10" s="146"/>
      <c r="F10" s="146">
        <f>SUM(F11)</f>
        <v>1505.124945</v>
      </c>
      <c r="G10" s="146"/>
      <c r="H10" s="146"/>
      <c r="I10" s="146"/>
      <c r="J10" s="146">
        <f>SUM(J11)</f>
        <v>1505.124945</v>
      </c>
      <c r="K10" s="146"/>
      <c r="L10" s="19"/>
      <c r="M10" s="95"/>
    </row>
    <row r="11" spans="1:15" ht="18" customHeight="1">
      <c r="A11" s="10">
        <v>1</v>
      </c>
      <c r="B11" s="20" t="s">
        <v>159</v>
      </c>
      <c r="C11" s="19"/>
      <c r="D11" s="19"/>
      <c r="E11" s="146"/>
      <c r="F11" s="146">
        <f>室外!H6</f>
        <v>1505.124945</v>
      </c>
      <c r="G11" s="146"/>
      <c r="H11" s="146"/>
      <c r="I11" s="146"/>
      <c r="J11" s="146">
        <f t="shared" ref="J11:J22" si="2">SUM(F11:I11)</f>
        <v>1505.124945</v>
      </c>
      <c r="K11" s="146"/>
      <c r="L11" s="19"/>
      <c r="M11" s="95"/>
    </row>
    <row r="12" spans="1:15" s="152" customFormat="1" ht="18" customHeight="1">
      <c r="A12" s="148" t="s">
        <v>141</v>
      </c>
      <c r="B12" s="149" t="s">
        <v>142</v>
      </c>
      <c r="C12" s="150"/>
      <c r="D12" s="150"/>
      <c r="E12" s="151"/>
      <c r="F12" s="151"/>
      <c r="G12" s="151"/>
      <c r="H12" s="151"/>
      <c r="I12" s="151">
        <f>SUM(I13:I21)</f>
        <v>261.30284306576863</v>
      </c>
      <c r="J12" s="151">
        <f>SUM(J13:J21)</f>
        <v>261.30284306576863</v>
      </c>
      <c r="K12" s="151"/>
      <c r="L12" s="150"/>
    </row>
    <row r="13" spans="1:15" ht="18" customHeight="1">
      <c r="A13" s="10">
        <v>1</v>
      </c>
      <c r="B13" s="21" t="s">
        <v>143</v>
      </c>
      <c r="C13" s="19"/>
      <c r="D13" s="19"/>
      <c r="E13" s="146"/>
      <c r="F13" s="146"/>
      <c r="G13" s="146"/>
      <c r="H13" s="146"/>
      <c r="I13" s="146">
        <f>20+(N6-1000)*1.5%</f>
        <v>57.5</v>
      </c>
      <c r="J13" s="147">
        <f t="shared" si="2"/>
        <v>57.5</v>
      </c>
      <c r="K13" s="146"/>
      <c r="L13" s="19"/>
      <c r="M13" s="95"/>
    </row>
    <row r="14" spans="1:15" ht="18" customHeight="1">
      <c r="A14" s="10">
        <v>2</v>
      </c>
      <c r="B14" s="21" t="s">
        <v>144</v>
      </c>
      <c r="C14" s="19"/>
      <c r="D14" s="19"/>
      <c r="E14" s="146"/>
      <c r="F14" s="146"/>
      <c r="G14" s="146"/>
      <c r="H14" s="146"/>
      <c r="I14" s="146">
        <f>27+(60-27)*(N6-3000)/7000</f>
        <v>29.357142857142858</v>
      </c>
      <c r="J14" s="146">
        <f t="shared" si="2"/>
        <v>29.357142857142858</v>
      </c>
      <c r="K14" s="146"/>
      <c r="L14" s="19"/>
      <c r="M14" s="95"/>
    </row>
    <row r="15" spans="1:15" ht="18" customHeight="1">
      <c r="A15" s="10">
        <v>3</v>
      </c>
      <c r="B15" s="21" t="s">
        <v>145</v>
      </c>
      <c r="C15" s="19"/>
      <c r="D15" s="19"/>
      <c r="E15" s="146"/>
      <c r="F15" s="146"/>
      <c r="G15" s="146"/>
      <c r="H15" s="146"/>
      <c r="I15" s="146">
        <f>30.1+(78.1-30.1)*(F10-1000)/2000</f>
        <v>42.222998680000003</v>
      </c>
      <c r="J15" s="146">
        <f t="shared" si="2"/>
        <v>42.222998680000003</v>
      </c>
      <c r="K15" s="146"/>
      <c r="L15" s="19"/>
      <c r="M15" s="95"/>
    </row>
    <row r="16" spans="1:15" ht="18" customHeight="1">
      <c r="A16" s="10">
        <v>4</v>
      </c>
      <c r="B16" s="21" t="s">
        <v>146</v>
      </c>
      <c r="C16" s="19"/>
      <c r="D16" s="19"/>
      <c r="E16" s="146"/>
      <c r="F16" s="146"/>
      <c r="G16" s="146"/>
      <c r="H16" s="146"/>
      <c r="I16" s="146">
        <f>(103.8+(163.9-103.8)*(J7-3000)/2000)*35%*1.15*1.25+(38.8+(103.8-38.8)*(F10-1000)/2000)*65%</f>
        <v>90.091362420679985</v>
      </c>
      <c r="J16" s="146">
        <f t="shared" si="2"/>
        <v>90.091362420679985</v>
      </c>
      <c r="K16" s="146"/>
      <c r="L16" s="19"/>
      <c r="M16" s="95"/>
    </row>
    <row r="17" spans="1:12" ht="18" customHeight="1">
      <c r="A17" s="10">
        <v>5</v>
      </c>
      <c r="B17" s="21" t="s">
        <v>147</v>
      </c>
      <c r="C17" s="19"/>
      <c r="D17" s="19"/>
      <c r="E17" s="146"/>
      <c r="F17" s="146"/>
      <c r="G17" s="146"/>
      <c r="H17" s="146"/>
      <c r="I17" s="146">
        <f>I16*5%</f>
        <v>4.5045681210339996</v>
      </c>
      <c r="J17" s="146">
        <f t="shared" si="2"/>
        <v>4.5045681210339996</v>
      </c>
      <c r="K17" s="146"/>
      <c r="L17" s="19"/>
    </row>
    <row r="18" spans="1:12" ht="18" customHeight="1">
      <c r="A18" s="10">
        <v>6</v>
      </c>
      <c r="B18" s="21" t="s">
        <v>148</v>
      </c>
      <c r="C18" s="19"/>
      <c r="D18" s="19"/>
      <c r="E18" s="146"/>
      <c r="F18" s="146"/>
      <c r="G18" s="146"/>
      <c r="H18" s="146"/>
      <c r="I18" s="146">
        <v>19.817947457500001</v>
      </c>
      <c r="J18" s="146">
        <f t="shared" si="2"/>
        <v>19.817947457500001</v>
      </c>
      <c r="K18" s="146"/>
      <c r="L18" s="19"/>
    </row>
    <row r="19" spans="1:12" ht="18" customHeight="1">
      <c r="A19" s="10">
        <v>7</v>
      </c>
      <c r="B19" s="21" t="s">
        <v>149</v>
      </c>
      <c r="C19" s="19"/>
      <c r="D19" s="19"/>
      <c r="E19" s="146"/>
      <c r="F19" s="146"/>
      <c r="G19" s="146"/>
      <c r="H19" s="146"/>
      <c r="I19" s="146">
        <f>7.5+(18-7.5)*(N6-3000)/17000</f>
        <v>7.8088235294117645</v>
      </c>
      <c r="J19" s="146">
        <f t="shared" si="2"/>
        <v>7.8088235294117645</v>
      </c>
      <c r="K19" s="146"/>
      <c r="L19" s="19"/>
    </row>
    <row r="20" spans="1:12" ht="18" customHeight="1">
      <c r="A20" s="10">
        <v>8</v>
      </c>
      <c r="B20" s="22" t="s">
        <v>150</v>
      </c>
      <c r="C20" s="19"/>
      <c r="D20" s="19"/>
      <c r="E20" s="146"/>
      <c r="F20" s="146"/>
      <c r="G20" s="146"/>
      <c r="H20" s="146"/>
      <c r="I20" s="146">
        <v>5</v>
      </c>
      <c r="J20" s="146">
        <f t="shared" si="2"/>
        <v>5</v>
      </c>
      <c r="K20" s="146"/>
      <c r="L20" s="19"/>
    </row>
    <row r="21" spans="1:12" ht="18" customHeight="1">
      <c r="A21" s="10">
        <v>9</v>
      </c>
      <c r="B21" s="23" t="s">
        <v>452</v>
      </c>
      <c r="C21" s="19"/>
      <c r="D21" s="19"/>
      <c r="E21" s="146"/>
      <c r="F21" s="146"/>
      <c r="G21" s="146"/>
      <c r="H21" s="146"/>
      <c r="I21" s="146">
        <v>5</v>
      </c>
      <c r="J21" s="146">
        <f t="shared" si="2"/>
        <v>5</v>
      </c>
      <c r="K21" s="146"/>
      <c r="L21" s="19"/>
    </row>
    <row r="22" spans="1:12" s="152" customFormat="1" ht="18" customHeight="1">
      <c r="A22" s="148" t="s">
        <v>152</v>
      </c>
      <c r="B22" s="149" t="s">
        <v>153</v>
      </c>
      <c r="C22" s="150"/>
      <c r="D22" s="150"/>
      <c r="E22" s="151"/>
      <c r="F22" s="151"/>
      <c r="G22" s="151"/>
      <c r="H22" s="151"/>
      <c r="I22" s="151">
        <f>(J7+J12)*3.065%</f>
        <v>103.96525592076581</v>
      </c>
      <c r="J22" s="151">
        <f t="shared" si="2"/>
        <v>103.96525592076581</v>
      </c>
      <c r="K22" s="151"/>
      <c r="L22" s="150"/>
    </row>
    <row r="26" spans="1:12" ht="14.25">
      <c r="B26" s="51" t="s">
        <v>221</v>
      </c>
      <c r="C26" s="60">
        <f>F7</f>
        <v>1655.112032</v>
      </c>
      <c r="D26" s="52">
        <f>C26/C30</f>
        <v>0.47343290579084102</v>
      </c>
    </row>
    <row r="27" spans="1:12" ht="14.25">
      <c r="B27" s="51" t="s">
        <v>222</v>
      </c>
      <c r="C27" s="60">
        <f>G7</f>
        <v>1475.6</v>
      </c>
      <c r="D27" s="52">
        <f>C27/C30</f>
        <v>0.42208477872086725</v>
      </c>
    </row>
    <row r="28" spans="1:12" ht="14.25">
      <c r="B28" s="51" t="s">
        <v>223</v>
      </c>
      <c r="C28" s="60">
        <f>J12</f>
        <v>261.30284306576863</v>
      </c>
      <c r="D28" s="52">
        <f>C28/C30</f>
        <v>7.4743800958625956E-2</v>
      </c>
    </row>
    <row r="29" spans="1:12" ht="14.25">
      <c r="B29" s="51" t="s">
        <v>224</v>
      </c>
      <c r="C29" s="60">
        <f>J22</f>
        <v>103.96525592076581</v>
      </c>
      <c r="D29" s="52">
        <f>C29/C30</f>
        <v>2.9738514529665746E-2</v>
      </c>
    </row>
    <row r="30" spans="1:12">
      <c r="B30" s="53" t="s">
        <v>137</v>
      </c>
      <c r="C30" s="60">
        <f>SUM(C26:C29)</f>
        <v>3495.9801309865343</v>
      </c>
      <c r="D30" s="52">
        <f>SUM(D26:D29)</f>
        <v>1</v>
      </c>
    </row>
  </sheetData>
  <mergeCells count="6">
    <mergeCell ref="L4:L5"/>
    <mergeCell ref="A4:A5"/>
    <mergeCell ref="B4:B5"/>
    <mergeCell ref="A2:K2"/>
    <mergeCell ref="C4:E4"/>
    <mergeCell ref="F4:K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2"/>
  <sheetViews>
    <sheetView showGridLines="0" workbookViewId="0">
      <selection activeCell="F21" sqref="F21"/>
    </sheetView>
  </sheetViews>
  <sheetFormatPr defaultRowHeight="15"/>
  <cols>
    <col min="1" max="1" width="9" style="156"/>
    <col min="2" max="2" width="26.375" style="156" customWidth="1"/>
    <col min="3" max="3" width="8.875" style="156" customWidth="1"/>
    <col min="4" max="4" width="8.375" style="156" customWidth="1"/>
    <col min="5" max="5" width="8.5" style="156" customWidth="1"/>
    <col min="6" max="6" width="9.125" style="156" customWidth="1"/>
    <col min="7" max="7" width="8.875" style="156" customWidth="1"/>
    <col min="8" max="10" width="9" style="156"/>
    <col min="11" max="11" width="9" style="156" customWidth="1"/>
    <col min="12" max="16384" width="9" style="156"/>
  </cols>
  <sheetData>
    <row r="1" spans="1:12" ht="18" customHeight="1">
      <c r="A1" s="155" t="s">
        <v>436</v>
      </c>
    </row>
    <row r="2" spans="1:12" ht="24">
      <c r="A2" s="175" t="s">
        <v>416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</row>
    <row r="3" spans="1:12" ht="23.25">
      <c r="A3" s="157" t="str">
        <f>总概算表!A3</f>
        <v>项目名称：大连船舶重工集团公司专船需求设施改造项目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1:12" ht="25.5" customHeight="1">
      <c r="A4" s="177" t="s">
        <v>417</v>
      </c>
      <c r="B4" s="177" t="s">
        <v>418</v>
      </c>
      <c r="C4" s="176" t="s">
        <v>419</v>
      </c>
      <c r="D4" s="176"/>
      <c r="E4" s="177" t="s">
        <v>420</v>
      </c>
      <c r="F4" s="177"/>
      <c r="G4" s="177"/>
      <c r="H4" s="177"/>
      <c r="I4" s="176" t="s">
        <v>421</v>
      </c>
      <c r="J4" s="176" t="s">
        <v>422</v>
      </c>
      <c r="K4" s="176" t="s">
        <v>423</v>
      </c>
      <c r="L4" s="176" t="s">
        <v>424</v>
      </c>
    </row>
    <row r="5" spans="1:12" ht="27">
      <c r="A5" s="177"/>
      <c r="B5" s="177"/>
      <c r="C5" s="159" t="s">
        <v>425</v>
      </c>
      <c r="D5" s="159" t="s">
        <v>426</v>
      </c>
      <c r="E5" s="160" t="s">
        <v>427</v>
      </c>
      <c r="F5" s="160" t="s">
        <v>428</v>
      </c>
      <c r="G5" s="160" t="s">
        <v>429</v>
      </c>
      <c r="H5" s="160" t="s">
        <v>430</v>
      </c>
      <c r="I5" s="176"/>
      <c r="J5" s="176"/>
      <c r="K5" s="176"/>
      <c r="L5" s="176"/>
    </row>
    <row r="6" spans="1:12" ht="18" customHeight="1">
      <c r="A6" s="159"/>
      <c r="B6" s="159" t="s">
        <v>431</v>
      </c>
      <c r="C6" s="146"/>
      <c r="D6" s="146"/>
      <c r="E6" s="146">
        <f t="shared" ref="E6:H6" si="0">SUM(E7)</f>
        <v>143.379087</v>
      </c>
      <c r="F6" s="146"/>
      <c r="G6" s="146"/>
      <c r="H6" s="146">
        <f t="shared" si="0"/>
        <v>149.987087</v>
      </c>
      <c r="I6" s="146">
        <f t="shared" ref="I6:K6" si="1">SUM(I7)</f>
        <v>1475.6</v>
      </c>
      <c r="J6" s="146"/>
      <c r="K6" s="146">
        <f t="shared" si="1"/>
        <v>1625.5870869999999</v>
      </c>
      <c r="L6" s="146"/>
    </row>
    <row r="7" spans="1:12" ht="18" customHeight="1">
      <c r="A7" s="159" t="s">
        <v>432</v>
      </c>
      <c r="B7" s="159" t="s">
        <v>433</v>
      </c>
      <c r="C7" s="146"/>
      <c r="D7" s="146"/>
      <c r="E7" s="146">
        <f t="shared" ref="E7:H7" si="2">SUM(E8)</f>
        <v>143.379087</v>
      </c>
      <c r="F7" s="146"/>
      <c r="G7" s="146"/>
      <c r="H7" s="146">
        <f t="shared" si="2"/>
        <v>149.987087</v>
      </c>
      <c r="I7" s="146">
        <f t="shared" ref="I7:K7" si="3">SUM(I8)</f>
        <v>1475.6</v>
      </c>
      <c r="J7" s="146"/>
      <c r="K7" s="146">
        <f t="shared" si="3"/>
        <v>1625.5870869999999</v>
      </c>
      <c r="L7" s="146"/>
    </row>
    <row r="8" spans="1:12" ht="18" customHeight="1">
      <c r="A8" s="159">
        <v>1</v>
      </c>
      <c r="B8" s="159" t="s">
        <v>434</v>
      </c>
      <c r="C8" s="146"/>
      <c r="D8" s="146"/>
      <c r="E8" s="146">
        <f>设备取费!Q8</f>
        <v>143.379087</v>
      </c>
      <c r="F8" s="146">
        <f>公用设备!G12+公用设备!G16</f>
        <v>5.8999999999999995</v>
      </c>
      <c r="G8" s="146">
        <f>公用设备!G13+公用设备!G17</f>
        <v>0.70799999999999996</v>
      </c>
      <c r="H8" s="146">
        <f>SUM(E8:G8)</f>
        <v>149.987087</v>
      </c>
      <c r="I8" s="146">
        <f>设备取费!L7</f>
        <v>1475.6</v>
      </c>
      <c r="J8" s="146"/>
      <c r="K8" s="146">
        <f t="shared" ref="K8" si="4">SUM(H8:J8)</f>
        <v>1625.5870869999999</v>
      </c>
      <c r="L8" s="146"/>
    </row>
    <row r="9" spans="1:12" ht="18" customHeight="1">
      <c r="A9" s="161"/>
      <c r="B9" s="161"/>
      <c r="C9" s="162"/>
      <c r="D9" s="162"/>
      <c r="E9" s="162"/>
      <c r="F9" s="162"/>
      <c r="G9" s="162"/>
      <c r="H9" s="162"/>
      <c r="I9" s="162"/>
      <c r="J9" s="162"/>
      <c r="K9" s="162"/>
      <c r="L9" s="162"/>
    </row>
    <row r="12" spans="1:12">
      <c r="G12" s="163">
        <f>150-H8</f>
        <v>1.291299999999751E-2</v>
      </c>
    </row>
  </sheetData>
  <mergeCells count="9">
    <mergeCell ref="A2:L2"/>
    <mergeCell ref="I4:I5"/>
    <mergeCell ref="J4:J5"/>
    <mergeCell ref="K4:K5"/>
    <mergeCell ref="L4:L5"/>
    <mergeCell ref="A4:A5"/>
    <mergeCell ref="B4:B5"/>
    <mergeCell ref="C4:D4"/>
    <mergeCell ref="E4:H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1"/>
  <sheetViews>
    <sheetView showGridLines="0" showZeros="0" workbookViewId="0">
      <selection activeCell="E28" sqref="E28"/>
    </sheetView>
  </sheetViews>
  <sheetFormatPr defaultRowHeight="13.5"/>
  <cols>
    <col min="2" max="2" width="20" customWidth="1"/>
    <col min="5" max="5" width="16.875" customWidth="1"/>
    <col min="6" max="6" width="15.625" customWidth="1"/>
    <col min="7" max="7" width="14.375" customWidth="1"/>
    <col min="9" max="9" width="11.125" customWidth="1"/>
  </cols>
  <sheetData>
    <row r="1" spans="1:10" ht="18" customHeight="1">
      <c r="A1" s="9" t="s">
        <v>437</v>
      </c>
    </row>
    <row r="2" spans="1:10" ht="18" customHeight="1">
      <c r="A2" s="6"/>
      <c r="B2" s="6"/>
      <c r="C2" s="6"/>
      <c r="D2" s="6"/>
      <c r="E2" s="6" t="s">
        <v>17</v>
      </c>
      <c r="F2" s="7"/>
      <c r="G2" s="7"/>
      <c r="H2" s="7"/>
      <c r="I2" s="7"/>
      <c r="J2" s="7"/>
    </row>
    <row r="3" spans="1:10" ht="18" customHeight="1">
      <c r="A3" s="8" t="str">
        <f>总概算表!A3</f>
        <v>项目名称：大连船舶重工集团公司专船需求设施改造项目</v>
      </c>
    </row>
    <row r="4" spans="1:10" ht="18" customHeight="1">
      <c r="A4" s="173" t="s">
        <v>14</v>
      </c>
      <c r="B4" s="173" t="s">
        <v>18</v>
      </c>
      <c r="C4" s="173" t="s">
        <v>21</v>
      </c>
      <c r="D4" s="173" t="s">
        <v>22</v>
      </c>
      <c r="E4" s="173" t="s">
        <v>15</v>
      </c>
      <c r="F4" s="173"/>
      <c r="G4" s="173"/>
      <c r="H4" s="173"/>
      <c r="I4" s="178" t="s">
        <v>23</v>
      </c>
      <c r="J4" s="173" t="s">
        <v>24</v>
      </c>
    </row>
    <row r="5" spans="1:10" ht="18" customHeight="1">
      <c r="A5" s="173"/>
      <c r="B5" s="173"/>
      <c r="C5" s="173"/>
      <c r="D5" s="173"/>
      <c r="E5" s="1" t="s">
        <v>16</v>
      </c>
      <c r="F5" s="1" t="s">
        <v>19</v>
      </c>
      <c r="G5" s="1" t="s">
        <v>20</v>
      </c>
      <c r="H5" s="1" t="s">
        <v>10</v>
      </c>
      <c r="I5" s="178"/>
      <c r="J5" s="173"/>
    </row>
    <row r="6" spans="1:10" ht="18" customHeight="1">
      <c r="A6" s="10"/>
      <c r="B6" s="10" t="s">
        <v>138</v>
      </c>
      <c r="C6" s="10"/>
      <c r="D6" s="10"/>
      <c r="E6" s="19">
        <f t="shared" ref="E6:J6" si="0">SUM(E7)</f>
        <v>1505.124945</v>
      </c>
      <c r="F6" s="19">
        <f t="shared" si="0"/>
        <v>0</v>
      </c>
      <c r="G6" s="19">
        <f t="shared" si="0"/>
        <v>0</v>
      </c>
      <c r="H6" s="19">
        <f t="shared" si="0"/>
        <v>1505.124945</v>
      </c>
      <c r="I6" s="19">
        <f t="shared" si="0"/>
        <v>0</v>
      </c>
      <c r="J6" s="19">
        <f t="shared" si="0"/>
        <v>0</v>
      </c>
    </row>
    <row r="7" spans="1:10" ht="18" customHeight="1">
      <c r="A7" s="10">
        <v>1</v>
      </c>
      <c r="B7" s="10" t="s">
        <v>159</v>
      </c>
      <c r="C7" s="10" t="s">
        <v>160</v>
      </c>
      <c r="D7" s="10">
        <v>1</v>
      </c>
      <c r="E7" s="24">
        <f>船坞改造费用!G20/10000</f>
        <v>1505.124945</v>
      </c>
      <c r="F7" s="19"/>
      <c r="G7" s="19"/>
      <c r="H7" s="19">
        <f>SUM(E7:G7)</f>
        <v>1505.124945</v>
      </c>
      <c r="I7" s="19"/>
      <c r="J7" s="19"/>
    </row>
    <row r="11" spans="1:10">
      <c r="B11" s="8"/>
    </row>
  </sheetData>
  <mergeCells count="7">
    <mergeCell ref="J4:J5"/>
    <mergeCell ref="A4:A5"/>
    <mergeCell ref="B4:B5"/>
    <mergeCell ref="C4:C5"/>
    <mergeCell ref="D4:D5"/>
    <mergeCell ref="E4:H4"/>
    <mergeCell ref="I4:I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23"/>
  <sheetViews>
    <sheetView showGridLines="0" workbookViewId="0">
      <selection activeCell="C21" sqref="C21"/>
    </sheetView>
  </sheetViews>
  <sheetFormatPr defaultRowHeight="13.5"/>
  <cols>
    <col min="2" max="2" width="31.25" customWidth="1"/>
    <col min="3" max="3" width="32.625" customWidth="1"/>
    <col min="4" max="4" width="16.5" customWidth="1"/>
    <col min="5" max="5" width="12.125" customWidth="1"/>
    <col min="6" max="6" width="8.375" customWidth="1"/>
  </cols>
  <sheetData>
    <row r="1" spans="1:7" ht="18" customHeight="1">
      <c r="A1" s="9" t="s">
        <v>438</v>
      </c>
    </row>
    <row r="2" spans="1:7" ht="18" customHeight="1">
      <c r="A2" s="179" t="s">
        <v>25</v>
      </c>
      <c r="B2" s="179"/>
      <c r="C2" s="179"/>
      <c r="D2" s="179"/>
      <c r="E2" s="179"/>
      <c r="F2" s="179"/>
      <c r="G2" s="179"/>
    </row>
    <row r="3" spans="1:7" ht="18" customHeight="1">
      <c r="A3" t="str">
        <f>总概算表!A3</f>
        <v>项目名称：大连船舶重工集团公司专船需求设施改造项目</v>
      </c>
    </row>
    <row r="4" spans="1:7" ht="27">
      <c r="A4" s="1" t="s">
        <v>14</v>
      </c>
      <c r="B4" s="1" t="s">
        <v>26</v>
      </c>
      <c r="C4" s="1" t="s">
        <v>27</v>
      </c>
      <c r="D4" s="1" t="s">
        <v>28</v>
      </c>
      <c r="E4" s="1" t="s">
        <v>29</v>
      </c>
      <c r="F4" s="2" t="s">
        <v>30</v>
      </c>
      <c r="G4" s="1" t="s">
        <v>12</v>
      </c>
    </row>
    <row r="5" spans="1:7" ht="18" customHeight="1">
      <c r="A5" s="10"/>
      <c r="B5" s="21" t="s">
        <v>138</v>
      </c>
      <c r="C5" s="10"/>
      <c r="D5" s="10"/>
      <c r="E5" s="19"/>
      <c r="F5" s="19">
        <f>SUM(F6,F16)</f>
        <v>365.26809898653443</v>
      </c>
      <c r="G5" s="19"/>
    </row>
    <row r="6" spans="1:7" ht="18" customHeight="1">
      <c r="A6" s="10" t="s">
        <v>154</v>
      </c>
      <c r="B6" s="21" t="s">
        <v>142</v>
      </c>
      <c r="C6" s="10"/>
      <c r="D6" s="10"/>
      <c r="E6" s="19"/>
      <c r="F6" s="19">
        <f>SUM(F7:F15)</f>
        <v>261.30284306576863</v>
      </c>
      <c r="G6" s="19"/>
    </row>
    <row r="7" spans="1:7" ht="18" customHeight="1">
      <c r="A7" s="10">
        <v>1</v>
      </c>
      <c r="B7" s="21" t="str">
        <f>总概算表!B13</f>
        <v>建设单位管理费</v>
      </c>
      <c r="C7" s="21" t="s">
        <v>412</v>
      </c>
      <c r="D7" s="25" t="s">
        <v>161</v>
      </c>
      <c r="E7" s="19">
        <f>总概算表!J6</f>
        <v>3495.9801309865343</v>
      </c>
      <c r="F7" s="19">
        <f>总概算表!J13</f>
        <v>57.5</v>
      </c>
      <c r="G7" s="19"/>
    </row>
    <row r="8" spans="1:7" s="58" customFormat="1" ht="18" customHeight="1">
      <c r="A8" s="56">
        <v>2</v>
      </c>
      <c r="B8" s="61" t="str">
        <f>总概算表!B14</f>
        <v>前期工作咨询费</v>
      </c>
      <c r="C8" s="61" t="s">
        <v>162</v>
      </c>
      <c r="D8" s="57" t="s">
        <v>161</v>
      </c>
      <c r="E8" s="24">
        <f>E7</f>
        <v>3495.9801309865343</v>
      </c>
      <c r="F8" s="24">
        <f>总概算表!J14</f>
        <v>29.357142857142858</v>
      </c>
      <c r="G8" s="24"/>
    </row>
    <row r="9" spans="1:7" s="58" customFormat="1" ht="18" customHeight="1">
      <c r="A9" s="56">
        <v>3</v>
      </c>
      <c r="B9" s="61" t="str">
        <f>总概算表!B15</f>
        <v>工程建设监理费</v>
      </c>
      <c r="C9" s="61" t="s">
        <v>163</v>
      </c>
      <c r="D9" s="26" t="s">
        <v>161</v>
      </c>
      <c r="E9" s="24">
        <v>1505.0666499999998</v>
      </c>
      <c r="F9" s="24">
        <f>总概算表!J15</f>
        <v>42.222998680000003</v>
      </c>
      <c r="G9" s="24"/>
    </row>
    <row r="10" spans="1:7" s="58" customFormat="1" ht="18" customHeight="1">
      <c r="A10" s="56">
        <v>4</v>
      </c>
      <c r="B10" s="61" t="str">
        <f>总概算表!B16</f>
        <v>工程设计费</v>
      </c>
      <c r="C10" s="61" t="s">
        <v>164</v>
      </c>
      <c r="D10" s="57" t="s">
        <v>161</v>
      </c>
      <c r="E10" s="24"/>
      <c r="F10" s="24">
        <f>总概算表!J16</f>
        <v>90.091362420679985</v>
      </c>
      <c r="G10" s="24"/>
    </row>
    <row r="11" spans="1:7" s="58" customFormat="1" ht="18" customHeight="1">
      <c r="A11" s="56">
        <v>5</v>
      </c>
      <c r="B11" s="61" t="str">
        <f>总概算表!B17</f>
        <v>施工图审查费</v>
      </c>
      <c r="C11" s="61" t="s">
        <v>165</v>
      </c>
      <c r="D11" s="59">
        <v>0.05</v>
      </c>
      <c r="E11" s="24">
        <f>F10</f>
        <v>90.091362420679985</v>
      </c>
      <c r="F11" s="24">
        <f>总概算表!J17</f>
        <v>4.5045681210339996</v>
      </c>
      <c r="G11" s="24"/>
    </row>
    <row r="12" spans="1:7" ht="18" customHeight="1">
      <c r="A12" s="10">
        <v>6</v>
      </c>
      <c r="B12" s="21" t="str">
        <f>总概算表!B18</f>
        <v>招标代理服务费</v>
      </c>
      <c r="C12" s="21" t="s">
        <v>166</v>
      </c>
      <c r="D12" s="10" t="s">
        <v>167</v>
      </c>
      <c r="E12" s="19"/>
      <c r="F12" s="19">
        <f>总概算表!J18</f>
        <v>19.817947457500001</v>
      </c>
      <c r="G12" s="19"/>
    </row>
    <row r="13" spans="1:7" ht="18" customHeight="1">
      <c r="A13" s="10">
        <v>7</v>
      </c>
      <c r="B13" s="21" t="str">
        <f>总概算表!B19</f>
        <v>环境影响咨询费</v>
      </c>
      <c r="C13" s="21" t="s">
        <v>168</v>
      </c>
      <c r="D13" s="10"/>
      <c r="E13" s="19">
        <f>E8</f>
        <v>3495.9801309865343</v>
      </c>
      <c r="F13" s="19">
        <f>总概算表!J19</f>
        <v>7.8088235294117645</v>
      </c>
      <c r="G13" s="19"/>
    </row>
    <row r="14" spans="1:7" ht="18" customHeight="1">
      <c r="A14" s="10">
        <v>8</v>
      </c>
      <c r="B14" s="21" t="str">
        <f>总概算表!B20</f>
        <v>职业安全评价费</v>
      </c>
      <c r="C14" s="21" t="s">
        <v>169</v>
      </c>
      <c r="D14" s="10"/>
      <c r="E14" s="19"/>
      <c r="F14" s="19">
        <f>总概算表!J20</f>
        <v>5</v>
      </c>
      <c r="G14" s="19"/>
    </row>
    <row r="15" spans="1:7" ht="18" customHeight="1">
      <c r="A15" s="10">
        <v>9</v>
      </c>
      <c r="B15" s="21" t="str">
        <f>总概算表!B21</f>
        <v>职业卫生评价费</v>
      </c>
      <c r="C15" s="21" t="s">
        <v>170</v>
      </c>
      <c r="D15" s="10"/>
      <c r="E15" s="19"/>
      <c r="F15" s="19">
        <f>总概算表!J21</f>
        <v>5</v>
      </c>
      <c r="G15" s="19"/>
    </row>
    <row r="16" spans="1:7" ht="18" customHeight="1">
      <c r="A16" s="10" t="s">
        <v>141</v>
      </c>
      <c r="B16" s="21" t="s">
        <v>171</v>
      </c>
      <c r="C16" s="21"/>
      <c r="D16" s="10"/>
      <c r="E16" s="19"/>
      <c r="F16" s="19">
        <f>SUM(F17)</f>
        <v>103.96525592076581</v>
      </c>
      <c r="G16" s="19"/>
    </row>
    <row r="17" spans="1:7" ht="18" customHeight="1">
      <c r="A17" s="10">
        <v>1</v>
      </c>
      <c r="B17" s="21" t="s">
        <v>172</v>
      </c>
      <c r="C17" s="21" t="s">
        <v>447</v>
      </c>
      <c r="D17" s="27">
        <f>F17/E17</f>
        <v>3.065E-2</v>
      </c>
      <c r="E17" s="19">
        <f>总概算表!J7+总概算表!J12</f>
        <v>3392.0148750657686</v>
      </c>
      <c r="F17" s="19">
        <f>总概算表!J22</f>
        <v>103.96525592076581</v>
      </c>
      <c r="G17" s="19"/>
    </row>
    <row r="18" spans="1:7" ht="18" customHeight="1"/>
    <row r="19" spans="1:7" ht="18" customHeight="1"/>
    <row r="20" spans="1:7" ht="18" customHeight="1"/>
    <row r="21" spans="1:7" ht="18" customHeight="1"/>
    <row r="22" spans="1:7" ht="18" customHeight="1"/>
    <row r="23" spans="1:7" ht="18" customHeight="1"/>
  </sheetData>
  <mergeCells count="1">
    <mergeCell ref="A2:G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T20"/>
  <sheetViews>
    <sheetView showGridLines="0" showZeros="0" workbookViewId="0">
      <selection activeCell="D27" sqref="D27"/>
    </sheetView>
  </sheetViews>
  <sheetFormatPr defaultRowHeight="13.5"/>
  <cols>
    <col min="2" max="2" width="34" customWidth="1"/>
    <col min="3" max="3" width="6" customWidth="1"/>
    <col min="5" max="5" width="10.625" customWidth="1"/>
    <col min="10" max="10" width="11" bestFit="1" customWidth="1"/>
    <col min="12" max="12" width="7.75" customWidth="1"/>
    <col min="14" max="14" width="10.75" customWidth="1"/>
    <col min="16" max="16" width="8.375" customWidth="1"/>
    <col min="17" max="17" width="11.25" customWidth="1"/>
  </cols>
  <sheetData>
    <row r="1" spans="1:20" ht="18" customHeight="1">
      <c r="A1" s="9" t="s">
        <v>439</v>
      </c>
    </row>
    <row r="2" spans="1:20" s="28" customFormat="1" ht="18" customHeight="1">
      <c r="E2" s="28" t="s">
        <v>173</v>
      </c>
      <c r="T2" s="28" t="s">
        <v>174</v>
      </c>
    </row>
    <row r="3" spans="1:20" ht="18" customHeight="1">
      <c r="A3" s="29" t="s">
        <v>227</v>
      </c>
      <c r="O3" t="s">
        <v>175</v>
      </c>
      <c r="Q3" t="s">
        <v>175</v>
      </c>
    </row>
    <row r="4" spans="1:20" ht="18" customHeight="1">
      <c r="A4" s="186" t="s">
        <v>176</v>
      </c>
      <c r="B4" s="186" t="s">
        <v>177</v>
      </c>
      <c r="C4" s="180" t="s">
        <v>178</v>
      </c>
      <c r="D4" s="183" t="s">
        <v>179</v>
      </c>
      <c r="E4" s="184"/>
      <c r="F4" s="184"/>
      <c r="G4" s="184"/>
      <c r="H4" s="184"/>
      <c r="I4" s="184"/>
      <c r="J4" s="184"/>
      <c r="K4" s="185"/>
      <c r="L4" s="183" t="s">
        <v>180</v>
      </c>
      <c r="M4" s="185"/>
      <c r="N4" s="183" t="s">
        <v>181</v>
      </c>
      <c r="O4" s="185"/>
      <c r="P4" s="183" t="s">
        <v>229</v>
      </c>
      <c r="Q4" s="185"/>
      <c r="R4" s="180" t="s">
        <v>230</v>
      </c>
    </row>
    <row r="5" spans="1:20" ht="18" customHeight="1">
      <c r="A5" s="188"/>
      <c r="B5" s="188"/>
      <c r="C5" s="181"/>
      <c r="D5" s="183" t="s">
        <v>182</v>
      </c>
      <c r="E5" s="184"/>
      <c r="F5" s="184"/>
      <c r="G5" s="184"/>
      <c r="H5" s="184"/>
      <c r="I5" s="185"/>
      <c r="J5" s="186" t="s">
        <v>183</v>
      </c>
      <c r="K5" s="186" t="s">
        <v>184</v>
      </c>
      <c r="L5" s="180" t="s">
        <v>185</v>
      </c>
      <c r="M5" s="180" t="s">
        <v>186</v>
      </c>
      <c r="N5" s="180" t="s">
        <v>187</v>
      </c>
      <c r="O5" s="180" t="s">
        <v>188</v>
      </c>
      <c r="P5" s="180" t="s">
        <v>187</v>
      </c>
      <c r="Q5" s="180" t="s">
        <v>188</v>
      </c>
      <c r="R5" s="181"/>
    </row>
    <row r="6" spans="1:20" ht="28.5" customHeight="1">
      <c r="A6" s="187"/>
      <c r="B6" s="187"/>
      <c r="C6" s="182"/>
      <c r="D6" s="10" t="s">
        <v>189</v>
      </c>
      <c r="E6" s="10" t="s">
        <v>190</v>
      </c>
      <c r="F6" s="10" t="s">
        <v>191</v>
      </c>
      <c r="G6" s="10" t="s">
        <v>192</v>
      </c>
      <c r="H6" s="11" t="s">
        <v>193</v>
      </c>
      <c r="I6" s="10" t="s">
        <v>194</v>
      </c>
      <c r="J6" s="187"/>
      <c r="K6" s="187"/>
      <c r="L6" s="182"/>
      <c r="M6" s="182"/>
      <c r="N6" s="182"/>
      <c r="O6" s="182"/>
      <c r="P6" s="182"/>
      <c r="Q6" s="182"/>
      <c r="R6" s="182"/>
    </row>
    <row r="7" spans="1:20" ht="18" customHeight="1">
      <c r="A7" s="10"/>
      <c r="B7" s="10" t="s">
        <v>195</v>
      </c>
      <c r="C7" s="10"/>
      <c r="D7" s="10"/>
      <c r="E7" s="10"/>
      <c r="F7" s="10"/>
      <c r="G7" s="10"/>
      <c r="H7" s="10"/>
      <c r="I7" s="10"/>
      <c r="J7" s="10"/>
      <c r="K7" s="10"/>
      <c r="L7" s="10">
        <f t="shared" ref="L7:R7" si="0">SUM(L8)</f>
        <v>1475.6</v>
      </c>
      <c r="M7" s="10">
        <f t="shared" si="0"/>
        <v>0</v>
      </c>
      <c r="N7" s="10">
        <f t="shared" si="0"/>
        <v>0</v>
      </c>
      <c r="O7" s="10">
        <f t="shared" si="0"/>
        <v>0</v>
      </c>
      <c r="P7" s="54">
        <f t="shared" si="0"/>
        <v>0</v>
      </c>
      <c r="Q7" s="19">
        <f t="shared" si="0"/>
        <v>143.379087</v>
      </c>
      <c r="R7" s="54">
        <f t="shared" si="0"/>
        <v>1618.9790869999999</v>
      </c>
    </row>
    <row r="8" spans="1:20" ht="18" customHeight="1">
      <c r="A8" s="10" t="s">
        <v>196</v>
      </c>
      <c r="B8" s="21" t="s">
        <v>158</v>
      </c>
      <c r="C8" s="10"/>
      <c r="D8" s="19"/>
      <c r="E8" s="19"/>
      <c r="F8" s="19"/>
      <c r="G8" s="19"/>
      <c r="H8" s="19"/>
      <c r="I8" s="19"/>
      <c r="J8" s="19"/>
      <c r="K8" s="19"/>
      <c r="L8" s="19">
        <f t="shared" ref="L8:R8" si="1">SUM(L9:L11)</f>
        <v>1475.6</v>
      </c>
      <c r="M8" s="19">
        <f t="shared" si="1"/>
        <v>0</v>
      </c>
      <c r="N8" s="19">
        <f t="shared" si="1"/>
        <v>0</v>
      </c>
      <c r="O8" s="19">
        <f t="shared" si="1"/>
        <v>0</v>
      </c>
      <c r="P8" s="19">
        <f t="shared" ref="P8:Q8" si="2">SUM(P9:P11)</f>
        <v>0</v>
      </c>
      <c r="Q8" s="19">
        <f t="shared" si="2"/>
        <v>143.379087</v>
      </c>
      <c r="R8" s="19">
        <f t="shared" si="1"/>
        <v>1618.9790869999999</v>
      </c>
    </row>
    <row r="9" spans="1:20" ht="18" customHeight="1">
      <c r="A9" s="10">
        <v>1</v>
      </c>
      <c r="B9" s="21" t="str">
        <f>'新增（改造）工艺设备明细表'!B7</f>
        <v>接板用压力架</v>
      </c>
      <c r="C9" s="10">
        <f>'新增（改造）工艺设备明细表'!F7</f>
        <v>2</v>
      </c>
      <c r="D9" s="19">
        <f>'新增（改造）工艺设备明细表'!G7</f>
        <v>425</v>
      </c>
      <c r="E9" s="19"/>
      <c r="F9" s="19"/>
      <c r="G9" s="19"/>
      <c r="H9" s="19"/>
      <c r="I9" s="19"/>
      <c r="J9" s="19"/>
      <c r="K9" s="19">
        <v>425</v>
      </c>
      <c r="L9" s="19">
        <f>C9*K9</f>
        <v>850</v>
      </c>
      <c r="M9" s="19"/>
      <c r="N9" s="10"/>
      <c r="O9" s="19">
        <f>C9*D9*N9</f>
        <v>0</v>
      </c>
      <c r="P9" s="54"/>
      <c r="Q9" s="19">
        <f>(土费!G30+电费!G30)/10000</f>
        <v>143.379087</v>
      </c>
      <c r="R9" s="19">
        <f>SUM(L9,O9,Q9)</f>
        <v>993.37908700000003</v>
      </c>
    </row>
    <row r="10" spans="1:20" ht="18" customHeight="1">
      <c r="A10" s="10">
        <v>2</v>
      </c>
      <c r="B10" s="21" t="str">
        <f>'新增（改造）工艺设备明细表'!B8</f>
        <v>焊接应力消除设备</v>
      </c>
      <c r="C10" s="10">
        <f>'新增（改造）工艺设备明细表'!F8</f>
        <v>8</v>
      </c>
      <c r="D10" s="19">
        <f>'新增（改造）工艺设备明细表'!G8</f>
        <v>28.2</v>
      </c>
      <c r="E10" s="19"/>
      <c r="F10" s="19"/>
      <c r="G10" s="19"/>
      <c r="H10" s="19"/>
      <c r="I10" s="19"/>
      <c r="J10" s="19"/>
      <c r="K10" s="19">
        <f t="shared" ref="K10:K11" si="3">SUM(D10,F10:J10)</f>
        <v>28.2</v>
      </c>
      <c r="L10" s="19">
        <f t="shared" ref="L10:L11" si="4">C10*K10</f>
        <v>225.6</v>
      </c>
      <c r="M10" s="19"/>
      <c r="N10" s="10"/>
      <c r="O10" s="19">
        <f t="shared" ref="O10:O11" si="5">C10*D10*N10</f>
        <v>0</v>
      </c>
      <c r="P10" s="54"/>
      <c r="Q10" s="19">
        <f t="shared" ref="Q10:Q11" si="6">E10*F10*P10</f>
        <v>0</v>
      </c>
      <c r="R10" s="19">
        <f t="shared" ref="R10:R11" si="7">SUM(L10,O10)</f>
        <v>225.6</v>
      </c>
    </row>
    <row r="11" spans="1:20" ht="18" customHeight="1">
      <c r="A11" s="10">
        <v>3</v>
      </c>
      <c r="B11" s="21" t="str">
        <f>'新增（改造）工艺设备明细表'!B9</f>
        <v>有机废气处理设备</v>
      </c>
      <c r="C11" s="10">
        <f>'新增（改造）工艺设备明细表'!F9</f>
        <v>1</v>
      </c>
      <c r="D11" s="19">
        <f>'新增（改造）工艺设备明细表'!G9</f>
        <v>400</v>
      </c>
      <c r="E11" s="19"/>
      <c r="F11" s="19"/>
      <c r="G11" s="19"/>
      <c r="H11" s="19"/>
      <c r="I11" s="19"/>
      <c r="J11" s="19"/>
      <c r="K11" s="19">
        <f t="shared" si="3"/>
        <v>400</v>
      </c>
      <c r="L11" s="19">
        <f t="shared" si="4"/>
        <v>400</v>
      </c>
      <c r="M11" s="19"/>
      <c r="N11" s="10"/>
      <c r="O11" s="19">
        <f t="shared" si="5"/>
        <v>0</v>
      </c>
      <c r="P11" s="54"/>
      <c r="Q11" s="19">
        <f t="shared" si="6"/>
        <v>0</v>
      </c>
      <c r="R11" s="19">
        <f t="shared" si="7"/>
        <v>400</v>
      </c>
    </row>
    <row r="12" spans="1:20" ht="18" customHeight="1"/>
    <row r="13" spans="1:20" ht="18" customHeight="1"/>
    <row r="14" spans="1:20" ht="18" customHeight="1"/>
    <row r="15" spans="1:20" ht="18" customHeight="1"/>
    <row r="16" spans="1:20" ht="18" customHeight="1"/>
    <row r="17" ht="18" customHeight="1"/>
    <row r="18" ht="18" customHeight="1"/>
    <row r="19" ht="18" customHeight="1"/>
    <row r="20" ht="18" customHeight="1"/>
  </sheetData>
  <mergeCells count="17">
    <mergeCell ref="A4:A6"/>
    <mergeCell ref="B4:B6"/>
    <mergeCell ref="C4:C6"/>
    <mergeCell ref="D4:K4"/>
    <mergeCell ref="L4:M4"/>
    <mergeCell ref="R4:R6"/>
    <mergeCell ref="D5:I5"/>
    <mergeCell ref="J5:J6"/>
    <mergeCell ref="K5:K6"/>
    <mergeCell ref="L5:L6"/>
    <mergeCell ref="M5:M6"/>
    <mergeCell ref="N5:N6"/>
    <mergeCell ref="O5:O6"/>
    <mergeCell ref="N4:O4"/>
    <mergeCell ref="P4:Q4"/>
    <mergeCell ref="P5:P6"/>
    <mergeCell ref="Q5:Q6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I18"/>
  <sheetViews>
    <sheetView showGridLines="0" tabSelected="1" workbookViewId="0">
      <selection activeCell="C21" sqref="C21"/>
    </sheetView>
  </sheetViews>
  <sheetFormatPr defaultRowHeight="13.5"/>
  <cols>
    <col min="1" max="1" width="9" style="124"/>
    <col min="2" max="2" width="25.375" style="114" customWidth="1"/>
    <col min="3" max="3" width="42.5" style="114" customWidth="1"/>
    <col min="4" max="5" width="9" style="114"/>
    <col min="6" max="6" width="9.5" style="114" bestFit="1" customWidth="1"/>
    <col min="7" max="8" width="9" style="114"/>
    <col min="9" max="9" width="13.75" style="114" customWidth="1"/>
    <col min="10" max="257" width="9" style="114"/>
    <col min="258" max="258" width="24.75" style="114" customWidth="1"/>
    <col min="259" max="259" width="34.125" style="114" customWidth="1"/>
    <col min="260" max="513" width="9" style="114"/>
    <col min="514" max="514" width="24.75" style="114" customWidth="1"/>
    <col min="515" max="515" width="34.125" style="114" customWidth="1"/>
    <col min="516" max="769" width="9" style="114"/>
    <col min="770" max="770" width="24.75" style="114" customWidth="1"/>
    <col min="771" max="771" width="34.125" style="114" customWidth="1"/>
    <col min="772" max="1025" width="9" style="114"/>
    <col min="1026" max="1026" width="24.75" style="114" customWidth="1"/>
    <col min="1027" max="1027" width="34.125" style="114" customWidth="1"/>
    <col min="1028" max="1281" width="9" style="114"/>
    <col min="1282" max="1282" width="24.75" style="114" customWidth="1"/>
    <col min="1283" max="1283" width="34.125" style="114" customWidth="1"/>
    <col min="1284" max="1537" width="9" style="114"/>
    <col min="1538" max="1538" width="24.75" style="114" customWidth="1"/>
    <col min="1539" max="1539" width="34.125" style="114" customWidth="1"/>
    <col min="1540" max="1793" width="9" style="114"/>
    <col min="1794" max="1794" width="24.75" style="114" customWidth="1"/>
    <col min="1795" max="1795" width="34.125" style="114" customWidth="1"/>
    <col min="1796" max="2049" width="9" style="114"/>
    <col min="2050" max="2050" width="24.75" style="114" customWidth="1"/>
    <col min="2051" max="2051" width="34.125" style="114" customWidth="1"/>
    <col min="2052" max="2305" width="9" style="114"/>
    <col min="2306" max="2306" width="24.75" style="114" customWidth="1"/>
    <col min="2307" max="2307" width="34.125" style="114" customWidth="1"/>
    <col min="2308" max="2561" width="9" style="114"/>
    <col min="2562" max="2562" width="24.75" style="114" customWidth="1"/>
    <col min="2563" max="2563" width="34.125" style="114" customWidth="1"/>
    <col min="2564" max="2817" width="9" style="114"/>
    <col min="2818" max="2818" width="24.75" style="114" customWidth="1"/>
    <col min="2819" max="2819" width="34.125" style="114" customWidth="1"/>
    <col min="2820" max="3073" width="9" style="114"/>
    <col min="3074" max="3074" width="24.75" style="114" customWidth="1"/>
    <col min="3075" max="3075" width="34.125" style="114" customWidth="1"/>
    <col min="3076" max="3329" width="9" style="114"/>
    <col min="3330" max="3330" width="24.75" style="114" customWidth="1"/>
    <col min="3331" max="3331" width="34.125" style="114" customWidth="1"/>
    <col min="3332" max="3585" width="9" style="114"/>
    <col min="3586" max="3586" width="24.75" style="114" customWidth="1"/>
    <col min="3587" max="3587" width="34.125" style="114" customWidth="1"/>
    <col min="3588" max="3841" width="9" style="114"/>
    <col min="3842" max="3842" width="24.75" style="114" customWidth="1"/>
    <col min="3843" max="3843" width="34.125" style="114" customWidth="1"/>
    <col min="3844" max="4097" width="9" style="114"/>
    <col min="4098" max="4098" width="24.75" style="114" customWidth="1"/>
    <col min="4099" max="4099" width="34.125" style="114" customWidth="1"/>
    <col min="4100" max="4353" width="9" style="114"/>
    <col min="4354" max="4354" width="24.75" style="114" customWidth="1"/>
    <col min="4355" max="4355" width="34.125" style="114" customWidth="1"/>
    <col min="4356" max="4609" width="9" style="114"/>
    <col min="4610" max="4610" width="24.75" style="114" customWidth="1"/>
    <col min="4611" max="4611" width="34.125" style="114" customWidth="1"/>
    <col min="4612" max="4865" width="9" style="114"/>
    <col min="4866" max="4866" width="24.75" style="114" customWidth="1"/>
    <col min="4867" max="4867" width="34.125" style="114" customWidth="1"/>
    <col min="4868" max="5121" width="9" style="114"/>
    <col min="5122" max="5122" width="24.75" style="114" customWidth="1"/>
    <col min="5123" max="5123" width="34.125" style="114" customWidth="1"/>
    <col min="5124" max="5377" width="9" style="114"/>
    <col min="5378" max="5378" width="24.75" style="114" customWidth="1"/>
    <col min="5379" max="5379" width="34.125" style="114" customWidth="1"/>
    <col min="5380" max="5633" width="9" style="114"/>
    <col min="5634" max="5634" width="24.75" style="114" customWidth="1"/>
    <col min="5635" max="5635" width="34.125" style="114" customWidth="1"/>
    <col min="5636" max="5889" width="9" style="114"/>
    <col min="5890" max="5890" width="24.75" style="114" customWidth="1"/>
    <col min="5891" max="5891" width="34.125" style="114" customWidth="1"/>
    <col min="5892" max="6145" width="9" style="114"/>
    <col min="6146" max="6146" width="24.75" style="114" customWidth="1"/>
    <col min="6147" max="6147" width="34.125" style="114" customWidth="1"/>
    <col min="6148" max="6401" width="9" style="114"/>
    <col min="6402" max="6402" width="24.75" style="114" customWidth="1"/>
    <col min="6403" max="6403" width="34.125" style="114" customWidth="1"/>
    <col min="6404" max="6657" width="9" style="114"/>
    <col min="6658" max="6658" width="24.75" style="114" customWidth="1"/>
    <col min="6659" max="6659" width="34.125" style="114" customWidth="1"/>
    <col min="6660" max="6913" width="9" style="114"/>
    <col min="6914" max="6914" width="24.75" style="114" customWidth="1"/>
    <col min="6915" max="6915" width="34.125" style="114" customWidth="1"/>
    <col min="6916" max="7169" width="9" style="114"/>
    <col min="7170" max="7170" width="24.75" style="114" customWidth="1"/>
    <col min="7171" max="7171" width="34.125" style="114" customWidth="1"/>
    <col min="7172" max="7425" width="9" style="114"/>
    <col min="7426" max="7426" width="24.75" style="114" customWidth="1"/>
    <col min="7427" max="7427" width="34.125" style="114" customWidth="1"/>
    <col min="7428" max="7681" width="9" style="114"/>
    <col min="7682" max="7682" width="24.75" style="114" customWidth="1"/>
    <col min="7683" max="7683" width="34.125" style="114" customWidth="1"/>
    <col min="7684" max="7937" width="9" style="114"/>
    <col min="7938" max="7938" width="24.75" style="114" customWidth="1"/>
    <col min="7939" max="7939" width="34.125" style="114" customWidth="1"/>
    <col min="7940" max="8193" width="9" style="114"/>
    <col min="8194" max="8194" width="24.75" style="114" customWidth="1"/>
    <col min="8195" max="8195" width="34.125" style="114" customWidth="1"/>
    <col min="8196" max="8449" width="9" style="114"/>
    <col min="8450" max="8450" width="24.75" style="114" customWidth="1"/>
    <col min="8451" max="8451" width="34.125" style="114" customWidth="1"/>
    <col min="8452" max="8705" width="9" style="114"/>
    <col min="8706" max="8706" width="24.75" style="114" customWidth="1"/>
    <col min="8707" max="8707" width="34.125" style="114" customWidth="1"/>
    <col min="8708" max="8961" width="9" style="114"/>
    <col min="8962" max="8962" width="24.75" style="114" customWidth="1"/>
    <col min="8963" max="8963" width="34.125" style="114" customWidth="1"/>
    <col min="8964" max="9217" width="9" style="114"/>
    <col min="9218" max="9218" width="24.75" style="114" customWidth="1"/>
    <col min="9219" max="9219" width="34.125" style="114" customWidth="1"/>
    <col min="9220" max="9473" width="9" style="114"/>
    <col min="9474" max="9474" width="24.75" style="114" customWidth="1"/>
    <col min="9475" max="9475" width="34.125" style="114" customWidth="1"/>
    <col min="9476" max="9729" width="9" style="114"/>
    <col min="9730" max="9730" width="24.75" style="114" customWidth="1"/>
    <col min="9731" max="9731" width="34.125" style="114" customWidth="1"/>
    <col min="9732" max="9985" width="9" style="114"/>
    <col min="9986" max="9986" width="24.75" style="114" customWidth="1"/>
    <col min="9987" max="9987" width="34.125" style="114" customWidth="1"/>
    <col min="9988" max="10241" width="9" style="114"/>
    <col min="10242" max="10242" width="24.75" style="114" customWidth="1"/>
    <col min="10243" max="10243" width="34.125" style="114" customWidth="1"/>
    <col min="10244" max="10497" width="9" style="114"/>
    <col min="10498" max="10498" width="24.75" style="114" customWidth="1"/>
    <col min="10499" max="10499" width="34.125" style="114" customWidth="1"/>
    <col min="10500" max="10753" width="9" style="114"/>
    <col min="10754" max="10754" width="24.75" style="114" customWidth="1"/>
    <col min="10755" max="10755" width="34.125" style="114" customWidth="1"/>
    <col min="10756" max="11009" width="9" style="114"/>
    <col min="11010" max="11010" width="24.75" style="114" customWidth="1"/>
    <col min="11011" max="11011" width="34.125" style="114" customWidth="1"/>
    <col min="11012" max="11265" width="9" style="114"/>
    <col min="11266" max="11266" width="24.75" style="114" customWidth="1"/>
    <col min="11267" max="11267" width="34.125" style="114" customWidth="1"/>
    <col min="11268" max="11521" width="9" style="114"/>
    <col min="11522" max="11522" width="24.75" style="114" customWidth="1"/>
    <col min="11523" max="11523" width="34.125" style="114" customWidth="1"/>
    <col min="11524" max="11777" width="9" style="114"/>
    <col min="11778" max="11778" width="24.75" style="114" customWidth="1"/>
    <col min="11779" max="11779" width="34.125" style="114" customWidth="1"/>
    <col min="11780" max="12033" width="9" style="114"/>
    <col min="12034" max="12034" width="24.75" style="114" customWidth="1"/>
    <col min="12035" max="12035" width="34.125" style="114" customWidth="1"/>
    <col min="12036" max="12289" width="9" style="114"/>
    <col min="12290" max="12290" width="24.75" style="114" customWidth="1"/>
    <col min="12291" max="12291" width="34.125" style="114" customWidth="1"/>
    <col min="12292" max="12545" width="9" style="114"/>
    <col min="12546" max="12546" width="24.75" style="114" customWidth="1"/>
    <col min="12547" max="12547" width="34.125" style="114" customWidth="1"/>
    <col min="12548" max="12801" width="9" style="114"/>
    <col min="12802" max="12802" width="24.75" style="114" customWidth="1"/>
    <col min="12803" max="12803" width="34.125" style="114" customWidth="1"/>
    <col min="12804" max="13057" width="9" style="114"/>
    <col min="13058" max="13058" width="24.75" style="114" customWidth="1"/>
    <col min="13059" max="13059" width="34.125" style="114" customWidth="1"/>
    <col min="13060" max="13313" width="9" style="114"/>
    <col min="13314" max="13314" width="24.75" style="114" customWidth="1"/>
    <col min="13315" max="13315" width="34.125" style="114" customWidth="1"/>
    <col min="13316" max="13569" width="9" style="114"/>
    <col min="13570" max="13570" width="24.75" style="114" customWidth="1"/>
    <col min="13571" max="13571" width="34.125" style="114" customWidth="1"/>
    <col min="13572" max="13825" width="9" style="114"/>
    <col min="13826" max="13826" width="24.75" style="114" customWidth="1"/>
    <col min="13827" max="13827" width="34.125" style="114" customWidth="1"/>
    <col min="13828" max="14081" width="9" style="114"/>
    <col min="14082" max="14082" width="24.75" style="114" customWidth="1"/>
    <col min="14083" max="14083" width="34.125" style="114" customWidth="1"/>
    <col min="14084" max="14337" width="9" style="114"/>
    <col min="14338" max="14338" width="24.75" style="114" customWidth="1"/>
    <col min="14339" max="14339" width="34.125" style="114" customWidth="1"/>
    <col min="14340" max="14593" width="9" style="114"/>
    <col min="14594" max="14594" width="24.75" style="114" customWidth="1"/>
    <col min="14595" max="14595" width="34.125" style="114" customWidth="1"/>
    <col min="14596" max="14849" width="9" style="114"/>
    <col min="14850" max="14850" width="24.75" style="114" customWidth="1"/>
    <col min="14851" max="14851" width="34.125" style="114" customWidth="1"/>
    <col min="14852" max="15105" width="9" style="114"/>
    <col min="15106" max="15106" width="24.75" style="114" customWidth="1"/>
    <col min="15107" max="15107" width="34.125" style="114" customWidth="1"/>
    <col min="15108" max="15361" width="9" style="114"/>
    <col min="15362" max="15362" width="24.75" style="114" customWidth="1"/>
    <col min="15363" max="15363" width="34.125" style="114" customWidth="1"/>
    <col min="15364" max="15617" width="9" style="114"/>
    <col min="15618" max="15618" width="24.75" style="114" customWidth="1"/>
    <col min="15619" max="15619" width="34.125" style="114" customWidth="1"/>
    <col min="15620" max="15873" width="9" style="114"/>
    <col min="15874" max="15874" width="24.75" style="114" customWidth="1"/>
    <col min="15875" max="15875" width="34.125" style="114" customWidth="1"/>
    <col min="15876" max="16129" width="9" style="114"/>
    <col min="16130" max="16130" width="24.75" style="114" customWidth="1"/>
    <col min="16131" max="16131" width="34.125" style="114" customWidth="1"/>
    <col min="16132" max="16384" width="9" style="114"/>
  </cols>
  <sheetData>
    <row r="1" spans="1:9" ht="15">
      <c r="A1" s="189" t="s">
        <v>440</v>
      </c>
      <c r="B1" s="189"/>
      <c r="C1" s="113"/>
      <c r="D1" s="113"/>
      <c r="E1" s="113"/>
      <c r="F1" s="113"/>
      <c r="G1" s="113"/>
      <c r="H1" s="113"/>
      <c r="I1" s="113"/>
    </row>
    <row r="2" spans="1:9" ht="24.75">
      <c r="A2" s="190" t="s">
        <v>247</v>
      </c>
      <c r="B2" s="190"/>
      <c r="C2" s="190"/>
      <c r="D2" s="190"/>
      <c r="E2" s="190"/>
      <c r="F2" s="190"/>
      <c r="G2" s="190"/>
      <c r="H2" s="190"/>
      <c r="I2" s="190"/>
    </row>
    <row r="3" spans="1:9" ht="15.75" customHeight="1">
      <c r="A3" s="115" t="str">
        <f>总概算表!A3</f>
        <v>项目名称：大连船舶重工集团公司专船需求设施改造项目</v>
      </c>
      <c r="B3" s="116"/>
      <c r="C3" s="116"/>
      <c r="D3" s="117"/>
      <c r="E3" s="116"/>
      <c r="F3" s="117"/>
      <c r="H3" s="118"/>
      <c r="I3" s="119" t="s">
        <v>248</v>
      </c>
    </row>
    <row r="4" spans="1:9" ht="15.75">
      <c r="A4" s="191" t="s">
        <v>31</v>
      </c>
      <c r="B4" s="191" t="s">
        <v>249</v>
      </c>
      <c r="C4" s="191" t="s">
        <v>250</v>
      </c>
      <c r="D4" s="191" t="s">
        <v>32</v>
      </c>
      <c r="E4" s="191" t="s">
        <v>33</v>
      </c>
      <c r="F4" s="191" t="s">
        <v>251</v>
      </c>
      <c r="G4" s="192"/>
      <c r="H4" s="192"/>
      <c r="I4" s="191" t="s">
        <v>252</v>
      </c>
    </row>
    <row r="5" spans="1:9" ht="14.25">
      <c r="A5" s="192"/>
      <c r="B5" s="192"/>
      <c r="C5" s="192"/>
      <c r="D5" s="192"/>
      <c r="E5" s="192"/>
      <c r="F5" s="120" t="s">
        <v>34</v>
      </c>
      <c r="G5" s="120" t="s">
        <v>253</v>
      </c>
      <c r="H5" s="120" t="s">
        <v>254</v>
      </c>
      <c r="I5" s="192"/>
    </row>
    <row r="6" spans="1:9" s="123" customFormat="1" ht="18" customHeight="1">
      <c r="A6" s="121" t="s">
        <v>255</v>
      </c>
      <c r="B6" s="135" t="s">
        <v>211</v>
      </c>
      <c r="C6" s="121"/>
      <c r="D6" s="121"/>
      <c r="E6" s="121"/>
      <c r="F6" s="121"/>
      <c r="G6" s="122"/>
      <c r="H6" s="122"/>
      <c r="I6" s="121"/>
    </row>
    <row r="7" spans="1:9" s="123" customFormat="1" ht="18" customHeight="1">
      <c r="A7" s="121" t="s">
        <v>256</v>
      </c>
      <c r="B7" s="135" t="s">
        <v>257</v>
      </c>
      <c r="C7" s="121"/>
      <c r="D7" s="121"/>
      <c r="E7" s="121"/>
      <c r="F7" s="121"/>
      <c r="G7" s="122"/>
      <c r="H7" s="122"/>
      <c r="I7" s="121"/>
    </row>
    <row r="8" spans="1:9" s="123" customFormat="1" ht="18" customHeight="1">
      <c r="A8" s="121">
        <v>1</v>
      </c>
      <c r="B8" s="135" t="s">
        <v>261</v>
      </c>
      <c r="C8" s="121" t="s">
        <v>262</v>
      </c>
      <c r="D8" s="121" t="s">
        <v>263</v>
      </c>
      <c r="E8" s="121">
        <v>1</v>
      </c>
      <c r="F8" s="121">
        <v>0.4</v>
      </c>
      <c r="G8" s="122">
        <f>F8*E8</f>
        <v>0.4</v>
      </c>
      <c r="H8" s="122"/>
      <c r="I8" s="121"/>
    </row>
    <row r="9" spans="1:9" s="123" customFormat="1" ht="18" customHeight="1">
      <c r="A9" s="121">
        <v>2</v>
      </c>
      <c r="B9" s="135" t="s">
        <v>264</v>
      </c>
      <c r="C9" s="121" t="s">
        <v>265</v>
      </c>
      <c r="D9" s="121" t="s">
        <v>263</v>
      </c>
      <c r="E9" s="121">
        <v>1</v>
      </c>
      <c r="F9" s="121">
        <v>0.4</v>
      </c>
      <c r="G9" s="122">
        <f>F9*E9</f>
        <v>0.4</v>
      </c>
      <c r="H9" s="122"/>
      <c r="I9" s="121"/>
    </row>
    <row r="10" spans="1:9" s="123" customFormat="1" ht="18" customHeight="1">
      <c r="A10" s="121">
        <v>3</v>
      </c>
      <c r="B10" s="135" t="s">
        <v>268</v>
      </c>
      <c r="C10" s="121" t="s">
        <v>269</v>
      </c>
      <c r="D10" s="121" t="s">
        <v>263</v>
      </c>
      <c r="E10" s="121">
        <v>1</v>
      </c>
      <c r="F10" s="121">
        <v>3</v>
      </c>
      <c r="G10" s="122">
        <f>F10*E10</f>
        <v>3</v>
      </c>
      <c r="H10" s="122"/>
      <c r="I10" s="121"/>
    </row>
    <row r="11" spans="1:9" s="123" customFormat="1" ht="18" customHeight="1">
      <c r="A11" s="121">
        <v>4</v>
      </c>
      <c r="B11" s="135" t="s">
        <v>270</v>
      </c>
      <c r="C11" s="121"/>
      <c r="D11" s="121" t="s">
        <v>263</v>
      </c>
      <c r="E11" s="121">
        <v>3</v>
      </c>
      <c r="F11" s="121">
        <v>0.3</v>
      </c>
      <c r="G11" s="122">
        <f>F11*E11</f>
        <v>0.89999999999999991</v>
      </c>
      <c r="H11" s="122"/>
      <c r="I11" s="121"/>
    </row>
    <row r="12" spans="1:9" s="123" customFormat="1" ht="18" customHeight="1">
      <c r="A12" s="121"/>
      <c r="B12" s="135" t="s">
        <v>258</v>
      </c>
      <c r="C12" s="121"/>
      <c r="D12" s="121"/>
      <c r="E12" s="121"/>
      <c r="F12" s="121"/>
      <c r="G12" s="122">
        <f>SUM(G8:G11)</f>
        <v>4.6999999999999993</v>
      </c>
      <c r="H12" s="122"/>
      <c r="I12" s="121"/>
    </row>
    <row r="13" spans="1:9" s="123" customFormat="1" ht="18" customHeight="1">
      <c r="A13" s="121"/>
      <c r="B13" s="135" t="s">
        <v>266</v>
      </c>
      <c r="C13" s="121"/>
      <c r="D13" s="121"/>
      <c r="E13" s="121"/>
      <c r="F13" s="121"/>
      <c r="G13" s="122">
        <f>G12*12%</f>
        <v>0.56399999999999995</v>
      </c>
      <c r="H13" s="122"/>
      <c r="I13" s="121"/>
    </row>
    <row r="14" spans="1:9" s="123" customFormat="1" ht="18" customHeight="1">
      <c r="A14" s="121" t="s">
        <v>259</v>
      </c>
      <c r="B14" s="135" t="s">
        <v>271</v>
      </c>
      <c r="C14" s="121"/>
      <c r="D14" s="121"/>
      <c r="E14" s="121"/>
      <c r="F14" s="121"/>
      <c r="G14" s="122"/>
      <c r="H14" s="122"/>
      <c r="I14" s="121"/>
    </row>
    <row r="15" spans="1:9" s="123" customFormat="1" ht="18" customHeight="1">
      <c r="A15" s="121">
        <v>1</v>
      </c>
      <c r="B15" s="135" t="s">
        <v>272</v>
      </c>
      <c r="C15" s="121"/>
      <c r="D15" s="121" t="s">
        <v>263</v>
      </c>
      <c r="E15" s="121">
        <v>2</v>
      </c>
      <c r="F15" s="121">
        <v>0.6</v>
      </c>
      <c r="G15" s="122">
        <f>F15*E15</f>
        <v>1.2</v>
      </c>
      <c r="H15" s="122"/>
      <c r="I15" s="121"/>
    </row>
    <row r="16" spans="1:9" s="123" customFormat="1" ht="18" customHeight="1">
      <c r="A16" s="121"/>
      <c r="B16" s="135" t="s">
        <v>258</v>
      </c>
      <c r="C16" s="121"/>
      <c r="D16" s="121"/>
      <c r="E16" s="121"/>
      <c r="F16" s="121"/>
      <c r="G16" s="122">
        <f>SUM(G15:G15)</f>
        <v>1.2</v>
      </c>
      <c r="H16" s="122"/>
      <c r="I16" s="121"/>
    </row>
    <row r="17" spans="1:9" s="123" customFormat="1" ht="18" customHeight="1">
      <c r="A17" s="121"/>
      <c r="B17" s="135" t="s">
        <v>266</v>
      </c>
      <c r="C17" s="121"/>
      <c r="D17" s="121"/>
      <c r="E17" s="121"/>
      <c r="F17" s="121"/>
      <c r="G17" s="122">
        <f>G16*12%</f>
        <v>0.14399999999999999</v>
      </c>
      <c r="H17" s="122"/>
      <c r="I17" s="121"/>
    </row>
    <row r="18" spans="1:9" s="123" customFormat="1" ht="18" customHeight="1">
      <c r="A18" s="121"/>
      <c r="B18" s="121" t="s">
        <v>267</v>
      </c>
      <c r="C18" s="121"/>
      <c r="D18" s="121"/>
      <c r="E18" s="121"/>
      <c r="F18" s="121"/>
      <c r="G18" s="122">
        <f>SUM(G12:G13,G16:G17)</f>
        <v>6.6079999999999997</v>
      </c>
      <c r="H18" s="122"/>
      <c r="I18" s="121"/>
    </row>
  </sheetData>
  <mergeCells count="9">
    <mergeCell ref="A1:B1"/>
    <mergeCell ref="A2:I2"/>
    <mergeCell ref="A4:A5"/>
    <mergeCell ref="B4:B5"/>
    <mergeCell ref="C4:C5"/>
    <mergeCell ref="D4:D5"/>
    <mergeCell ref="E4:E5"/>
    <mergeCell ref="F4:H4"/>
    <mergeCell ref="I4:I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fitToHeight="0" orientation="landscape" blackAndWhite="1" r:id="rId1"/>
  <headerFooter>
    <oddFooter>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11"/>
  <sheetViews>
    <sheetView workbookViewId="0">
      <selection activeCell="D29" sqref="D29"/>
    </sheetView>
  </sheetViews>
  <sheetFormatPr defaultRowHeight="13.5"/>
  <cols>
    <col min="2" max="2" width="35.75" customWidth="1"/>
    <col min="3" max="3" width="23.75" customWidth="1"/>
    <col min="5" max="5" width="7.5" customWidth="1"/>
    <col min="6" max="6" width="5" bestFit="1" customWidth="1"/>
    <col min="9" max="9" width="5.125" customWidth="1"/>
  </cols>
  <sheetData>
    <row r="1" spans="1:11" ht="15.75">
      <c r="A1" s="165" t="s">
        <v>441</v>
      </c>
      <c r="B1" s="165"/>
      <c r="C1" s="30"/>
      <c r="D1" s="30"/>
      <c r="E1" s="30"/>
      <c r="F1" s="30"/>
      <c r="G1" s="30"/>
      <c r="H1" s="30"/>
      <c r="I1" s="30"/>
      <c r="J1" s="31"/>
      <c r="K1" s="30"/>
    </row>
    <row r="2" spans="1:11" ht="20.25">
      <c r="A2" s="166" t="s">
        <v>197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</row>
    <row r="3" spans="1:11" ht="15.75">
      <c r="A3" s="32" t="s">
        <v>227</v>
      </c>
      <c r="B3" s="33"/>
      <c r="C3" s="34"/>
      <c r="D3" s="35"/>
      <c r="E3" s="35"/>
      <c r="F3" s="36"/>
      <c r="G3" s="37"/>
      <c r="H3" s="37"/>
      <c r="I3" s="38"/>
      <c r="J3" s="39"/>
      <c r="K3" s="40"/>
    </row>
    <row r="4" spans="1:11" ht="38.25" customHeight="1">
      <c r="A4" s="167" t="s">
        <v>198</v>
      </c>
      <c r="B4" s="167" t="s">
        <v>199</v>
      </c>
      <c r="C4" s="167" t="s">
        <v>200</v>
      </c>
      <c r="D4" s="167" t="s">
        <v>201</v>
      </c>
      <c r="E4" s="167" t="s">
        <v>202</v>
      </c>
      <c r="F4" s="167" t="s">
        <v>203</v>
      </c>
      <c r="G4" s="167" t="s">
        <v>204</v>
      </c>
      <c r="H4" s="167"/>
      <c r="I4" s="167"/>
      <c r="J4" s="167" t="s">
        <v>205</v>
      </c>
      <c r="K4" s="167" t="s">
        <v>206</v>
      </c>
    </row>
    <row r="5" spans="1:11" ht="38.25" customHeight="1">
      <c r="A5" s="168"/>
      <c r="B5" s="167"/>
      <c r="C5" s="167"/>
      <c r="D5" s="168"/>
      <c r="E5" s="168"/>
      <c r="F5" s="193"/>
      <c r="G5" s="41" t="s">
        <v>207</v>
      </c>
      <c r="H5" s="42" t="s">
        <v>208</v>
      </c>
      <c r="I5" s="43" t="s">
        <v>209</v>
      </c>
      <c r="J5" s="168"/>
      <c r="K5" s="168"/>
    </row>
    <row r="6" spans="1:11">
      <c r="A6" s="44" t="s">
        <v>154</v>
      </c>
      <c r="B6" s="45" t="s">
        <v>210</v>
      </c>
      <c r="C6" s="44"/>
      <c r="D6" s="44"/>
      <c r="E6" s="44"/>
      <c r="F6" s="44"/>
      <c r="G6" s="44"/>
      <c r="H6" s="44"/>
      <c r="I6" s="44"/>
      <c r="J6" s="44"/>
      <c r="K6" s="44"/>
    </row>
    <row r="7" spans="1:11" ht="63.75">
      <c r="A7" s="44">
        <v>1</v>
      </c>
      <c r="B7" s="46" t="s">
        <v>260</v>
      </c>
      <c r="C7" s="47" t="s">
        <v>212</v>
      </c>
      <c r="D7" s="44" t="s">
        <v>213</v>
      </c>
      <c r="E7" s="55" t="s">
        <v>228</v>
      </c>
      <c r="F7" s="44">
        <v>2</v>
      </c>
      <c r="G7" s="48">
        <v>425</v>
      </c>
      <c r="H7" s="44">
        <f>G7*F7</f>
        <v>850</v>
      </c>
      <c r="I7" s="44"/>
      <c r="J7" s="44" t="s">
        <v>215</v>
      </c>
      <c r="K7" s="44"/>
    </row>
    <row r="8" spans="1:11" ht="38.25">
      <c r="A8" s="44">
        <v>2</v>
      </c>
      <c r="B8" s="45" t="s">
        <v>216</v>
      </c>
      <c r="C8" s="47" t="s">
        <v>217</v>
      </c>
      <c r="D8" s="44" t="s">
        <v>213</v>
      </c>
      <c r="E8" s="99" t="s">
        <v>220</v>
      </c>
      <c r="F8" s="44">
        <v>8</v>
      </c>
      <c r="G8" s="48">
        <v>28.2</v>
      </c>
      <c r="H8" s="44">
        <f t="shared" ref="H8:H9" si="0">G8*F8</f>
        <v>225.6</v>
      </c>
      <c r="I8" s="44"/>
      <c r="J8" s="44" t="s">
        <v>215</v>
      </c>
      <c r="K8" s="44"/>
    </row>
    <row r="9" spans="1:11">
      <c r="A9" s="44">
        <v>3</v>
      </c>
      <c r="B9" s="46" t="s">
        <v>218</v>
      </c>
      <c r="C9" s="45" t="s">
        <v>415</v>
      </c>
      <c r="D9" s="44" t="s">
        <v>213</v>
      </c>
      <c r="E9" s="44" t="s">
        <v>220</v>
      </c>
      <c r="F9" s="44">
        <v>1</v>
      </c>
      <c r="G9" s="48">
        <v>400</v>
      </c>
      <c r="H9" s="44">
        <f t="shared" si="0"/>
        <v>400</v>
      </c>
      <c r="I9" s="44"/>
      <c r="J9" s="44" t="s">
        <v>215</v>
      </c>
      <c r="K9" s="44"/>
    </row>
    <row r="10" spans="1:11">
      <c r="A10" s="44"/>
      <c r="B10" s="44"/>
      <c r="C10" s="44"/>
      <c r="D10" s="44"/>
      <c r="E10" s="44"/>
      <c r="F10" s="44"/>
      <c r="G10" s="49"/>
      <c r="H10" s="44"/>
      <c r="I10" s="44"/>
      <c r="J10" s="44"/>
      <c r="K10" s="44"/>
    </row>
    <row r="11" spans="1:11">
      <c r="A11" s="50"/>
      <c r="B11" s="50" t="s">
        <v>138</v>
      </c>
      <c r="C11" s="50"/>
      <c r="D11" s="50"/>
      <c r="E11" s="50"/>
      <c r="F11" s="50">
        <f>SUM(F7:F10)</f>
        <v>11</v>
      </c>
      <c r="G11" s="50"/>
      <c r="H11" s="50">
        <f>SUM(H7:H10)</f>
        <v>1475.6</v>
      </c>
      <c r="I11" s="50"/>
      <c r="J11" s="50"/>
      <c r="K11" s="50"/>
    </row>
  </sheetData>
  <mergeCells count="11">
    <mergeCell ref="K4:K5"/>
    <mergeCell ref="A1:B1"/>
    <mergeCell ref="A2:K2"/>
    <mergeCell ref="A4:A5"/>
    <mergeCell ref="B4:B5"/>
    <mergeCell ref="C4:C5"/>
    <mergeCell ref="D4:D5"/>
    <mergeCell ref="E4:E5"/>
    <mergeCell ref="F4:F5"/>
    <mergeCell ref="G4:I4"/>
    <mergeCell ref="J4:J5"/>
  </mergeCells>
  <phoneticPr fontId="1" type="noConversion"/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44"/>
  <sheetViews>
    <sheetView workbookViewId="0">
      <selection activeCell="P17" sqref="P17"/>
    </sheetView>
  </sheetViews>
  <sheetFormatPr defaultRowHeight="11.25"/>
  <cols>
    <col min="1" max="1" width="4.625" style="12" customWidth="1"/>
    <col min="2" max="2" width="10.375" style="12" customWidth="1"/>
    <col min="3" max="3" width="12.25" style="12" customWidth="1"/>
    <col min="4" max="4" width="8" style="12" customWidth="1"/>
    <col min="5" max="5" width="4.75" style="12" customWidth="1"/>
    <col min="6" max="6" width="8.875" style="12" customWidth="1"/>
    <col min="7" max="7" width="9.25" style="12" customWidth="1"/>
    <col min="8" max="8" width="0.75" style="12" customWidth="1"/>
    <col min="9" max="9" width="9.125" style="12" customWidth="1"/>
    <col min="10" max="10" width="8.625" style="12" customWidth="1"/>
    <col min="11" max="11" width="9.25" style="12" customWidth="1"/>
    <col min="12" max="256" width="8" style="12" customWidth="1"/>
    <col min="257" max="257" width="4.625" style="12" customWidth="1"/>
    <col min="258" max="258" width="10.375" style="12" customWidth="1"/>
    <col min="259" max="259" width="12.25" style="12" customWidth="1"/>
    <col min="260" max="260" width="8" style="12" customWidth="1"/>
    <col min="261" max="261" width="4.75" style="12" customWidth="1"/>
    <col min="262" max="262" width="8.875" style="12" customWidth="1"/>
    <col min="263" max="263" width="9.25" style="12" customWidth="1"/>
    <col min="264" max="264" width="0.75" style="12" customWidth="1"/>
    <col min="265" max="265" width="9.125" style="12" customWidth="1"/>
    <col min="266" max="266" width="8.625" style="12" customWidth="1"/>
    <col min="267" max="267" width="9.25" style="12" customWidth="1"/>
    <col min="268" max="512" width="8" style="12" customWidth="1"/>
    <col min="513" max="513" width="4.625" style="12" customWidth="1"/>
    <col min="514" max="514" width="10.375" style="12" customWidth="1"/>
    <col min="515" max="515" width="12.25" style="12" customWidth="1"/>
    <col min="516" max="516" width="8" style="12" customWidth="1"/>
    <col min="517" max="517" width="4.75" style="12" customWidth="1"/>
    <col min="518" max="518" width="8.875" style="12" customWidth="1"/>
    <col min="519" max="519" width="9.25" style="12" customWidth="1"/>
    <col min="520" max="520" width="0.75" style="12" customWidth="1"/>
    <col min="521" max="521" width="9.125" style="12" customWidth="1"/>
    <col min="522" max="522" width="8.625" style="12" customWidth="1"/>
    <col min="523" max="523" width="9.25" style="12" customWidth="1"/>
    <col min="524" max="768" width="8" style="12" customWidth="1"/>
    <col min="769" max="769" width="4.625" style="12" customWidth="1"/>
    <col min="770" max="770" width="10.375" style="12" customWidth="1"/>
    <col min="771" max="771" width="12.25" style="12" customWidth="1"/>
    <col min="772" max="772" width="8" style="12" customWidth="1"/>
    <col min="773" max="773" width="4.75" style="12" customWidth="1"/>
    <col min="774" max="774" width="8.875" style="12" customWidth="1"/>
    <col min="775" max="775" width="9.25" style="12" customWidth="1"/>
    <col min="776" max="776" width="0.75" style="12" customWidth="1"/>
    <col min="777" max="777" width="9.125" style="12" customWidth="1"/>
    <col min="778" max="778" width="8.625" style="12" customWidth="1"/>
    <col min="779" max="779" width="9.25" style="12" customWidth="1"/>
    <col min="780" max="1024" width="8" style="12" customWidth="1"/>
    <col min="1025" max="1025" width="4.625" style="12" customWidth="1"/>
    <col min="1026" max="1026" width="10.375" style="12" customWidth="1"/>
    <col min="1027" max="1027" width="12.25" style="12" customWidth="1"/>
    <col min="1028" max="1028" width="8" style="12" customWidth="1"/>
    <col min="1029" max="1029" width="4.75" style="12" customWidth="1"/>
    <col min="1030" max="1030" width="8.875" style="12" customWidth="1"/>
    <col min="1031" max="1031" width="9.25" style="12" customWidth="1"/>
    <col min="1032" max="1032" width="0.75" style="12" customWidth="1"/>
    <col min="1033" max="1033" width="9.125" style="12" customWidth="1"/>
    <col min="1034" max="1034" width="8.625" style="12" customWidth="1"/>
    <col min="1035" max="1035" width="9.25" style="12" customWidth="1"/>
    <col min="1036" max="1280" width="8" style="12" customWidth="1"/>
    <col min="1281" max="1281" width="4.625" style="12" customWidth="1"/>
    <col min="1282" max="1282" width="10.375" style="12" customWidth="1"/>
    <col min="1283" max="1283" width="12.25" style="12" customWidth="1"/>
    <col min="1284" max="1284" width="8" style="12" customWidth="1"/>
    <col min="1285" max="1285" width="4.75" style="12" customWidth="1"/>
    <col min="1286" max="1286" width="8.875" style="12" customWidth="1"/>
    <col min="1287" max="1287" width="9.25" style="12" customWidth="1"/>
    <col min="1288" max="1288" width="0.75" style="12" customWidth="1"/>
    <col min="1289" max="1289" width="9.125" style="12" customWidth="1"/>
    <col min="1290" max="1290" width="8.625" style="12" customWidth="1"/>
    <col min="1291" max="1291" width="9.25" style="12" customWidth="1"/>
    <col min="1292" max="1536" width="8" style="12" customWidth="1"/>
    <col min="1537" max="1537" width="4.625" style="12" customWidth="1"/>
    <col min="1538" max="1538" width="10.375" style="12" customWidth="1"/>
    <col min="1539" max="1539" width="12.25" style="12" customWidth="1"/>
    <col min="1540" max="1540" width="8" style="12" customWidth="1"/>
    <col min="1541" max="1541" width="4.75" style="12" customWidth="1"/>
    <col min="1542" max="1542" width="8.875" style="12" customWidth="1"/>
    <col min="1543" max="1543" width="9.25" style="12" customWidth="1"/>
    <col min="1544" max="1544" width="0.75" style="12" customWidth="1"/>
    <col min="1545" max="1545" width="9.125" style="12" customWidth="1"/>
    <col min="1546" max="1546" width="8.625" style="12" customWidth="1"/>
    <col min="1547" max="1547" width="9.25" style="12" customWidth="1"/>
    <col min="1548" max="1792" width="8" style="12" customWidth="1"/>
    <col min="1793" max="1793" width="4.625" style="12" customWidth="1"/>
    <col min="1794" max="1794" width="10.375" style="12" customWidth="1"/>
    <col min="1795" max="1795" width="12.25" style="12" customWidth="1"/>
    <col min="1796" max="1796" width="8" style="12" customWidth="1"/>
    <col min="1797" max="1797" width="4.75" style="12" customWidth="1"/>
    <col min="1798" max="1798" width="8.875" style="12" customWidth="1"/>
    <col min="1799" max="1799" width="9.25" style="12" customWidth="1"/>
    <col min="1800" max="1800" width="0.75" style="12" customWidth="1"/>
    <col min="1801" max="1801" width="9.125" style="12" customWidth="1"/>
    <col min="1802" max="1802" width="8.625" style="12" customWidth="1"/>
    <col min="1803" max="1803" width="9.25" style="12" customWidth="1"/>
    <col min="1804" max="2048" width="8" style="12" customWidth="1"/>
    <col min="2049" max="2049" width="4.625" style="12" customWidth="1"/>
    <col min="2050" max="2050" width="10.375" style="12" customWidth="1"/>
    <col min="2051" max="2051" width="12.25" style="12" customWidth="1"/>
    <col min="2052" max="2052" width="8" style="12" customWidth="1"/>
    <col min="2053" max="2053" width="4.75" style="12" customWidth="1"/>
    <col min="2054" max="2054" width="8.875" style="12" customWidth="1"/>
    <col min="2055" max="2055" width="9.25" style="12" customWidth="1"/>
    <col min="2056" max="2056" width="0.75" style="12" customWidth="1"/>
    <col min="2057" max="2057" width="9.125" style="12" customWidth="1"/>
    <col min="2058" max="2058" width="8.625" style="12" customWidth="1"/>
    <col min="2059" max="2059" width="9.25" style="12" customWidth="1"/>
    <col min="2060" max="2304" width="8" style="12" customWidth="1"/>
    <col min="2305" max="2305" width="4.625" style="12" customWidth="1"/>
    <col min="2306" max="2306" width="10.375" style="12" customWidth="1"/>
    <col min="2307" max="2307" width="12.25" style="12" customWidth="1"/>
    <col min="2308" max="2308" width="8" style="12" customWidth="1"/>
    <col min="2309" max="2309" width="4.75" style="12" customWidth="1"/>
    <col min="2310" max="2310" width="8.875" style="12" customWidth="1"/>
    <col min="2311" max="2311" width="9.25" style="12" customWidth="1"/>
    <col min="2312" max="2312" width="0.75" style="12" customWidth="1"/>
    <col min="2313" max="2313" width="9.125" style="12" customWidth="1"/>
    <col min="2314" max="2314" width="8.625" style="12" customWidth="1"/>
    <col min="2315" max="2315" width="9.25" style="12" customWidth="1"/>
    <col min="2316" max="2560" width="8" style="12" customWidth="1"/>
    <col min="2561" max="2561" width="4.625" style="12" customWidth="1"/>
    <col min="2562" max="2562" width="10.375" style="12" customWidth="1"/>
    <col min="2563" max="2563" width="12.25" style="12" customWidth="1"/>
    <col min="2564" max="2564" width="8" style="12" customWidth="1"/>
    <col min="2565" max="2565" width="4.75" style="12" customWidth="1"/>
    <col min="2566" max="2566" width="8.875" style="12" customWidth="1"/>
    <col min="2567" max="2567" width="9.25" style="12" customWidth="1"/>
    <col min="2568" max="2568" width="0.75" style="12" customWidth="1"/>
    <col min="2569" max="2569" width="9.125" style="12" customWidth="1"/>
    <col min="2570" max="2570" width="8.625" style="12" customWidth="1"/>
    <col min="2571" max="2571" width="9.25" style="12" customWidth="1"/>
    <col min="2572" max="2816" width="8" style="12" customWidth="1"/>
    <col min="2817" max="2817" width="4.625" style="12" customWidth="1"/>
    <col min="2818" max="2818" width="10.375" style="12" customWidth="1"/>
    <col min="2819" max="2819" width="12.25" style="12" customWidth="1"/>
    <col min="2820" max="2820" width="8" style="12" customWidth="1"/>
    <col min="2821" max="2821" width="4.75" style="12" customWidth="1"/>
    <col min="2822" max="2822" width="8.875" style="12" customWidth="1"/>
    <col min="2823" max="2823" width="9.25" style="12" customWidth="1"/>
    <col min="2824" max="2824" width="0.75" style="12" customWidth="1"/>
    <col min="2825" max="2825" width="9.125" style="12" customWidth="1"/>
    <col min="2826" max="2826" width="8.625" style="12" customWidth="1"/>
    <col min="2827" max="2827" width="9.25" style="12" customWidth="1"/>
    <col min="2828" max="3072" width="8" style="12" customWidth="1"/>
    <col min="3073" max="3073" width="4.625" style="12" customWidth="1"/>
    <col min="3074" max="3074" width="10.375" style="12" customWidth="1"/>
    <col min="3075" max="3075" width="12.25" style="12" customWidth="1"/>
    <col min="3076" max="3076" width="8" style="12" customWidth="1"/>
    <col min="3077" max="3077" width="4.75" style="12" customWidth="1"/>
    <col min="3078" max="3078" width="8.875" style="12" customWidth="1"/>
    <col min="3079" max="3079" width="9.25" style="12" customWidth="1"/>
    <col min="3080" max="3080" width="0.75" style="12" customWidth="1"/>
    <col min="3081" max="3081" width="9.125" style="12" customWidth="1"/>
    <col min="3082" max="3082" width="8.625" style="12" customWidth="1"/>
    <col min="3083" max="3083" width="9.25" style="12" customWidth="1"/>
    <col min="3084" max="3328" width="8" style="12" customWidth="1"/>
    <col min="3329" max="3329" width="4.625" style="12" customWidth="1"/>
    <col min="3330" max="3330" width="10.375" style="12" customWidth="1"/>
    <col min="3331" max="3331" width="12.25" style="12" customWidth="1"/>
    <col min="3332" max="3332" width="8" style="12" customWidth="1"/>
    <col min="3333" max="3333" width="4.75" style="12" customWidth="1"/>
    <col min="3334" max="3334" width="8.875" style="12" customWidth="1"/>
    <col min="3335" max="3335" width="9.25" style="12" customWidth="1"/>
    <col min="3336" max="3336" width="0.75" style="12" customWidth="1"/>
    <col min="3337" max="3337" width="9.125" style="12" customWidth="1"/>
    <col min="3338" max="3338" width="8.625" style="12" customWidth="1"/>
    <col min="3339" max="3339" width="9.25" style="12" customWidth="1"/>
    <col min="3340" max="3584" width="8" style="12" customWidth="1"/>
    <col min="3585" max="3585" width="4.625" style="12" customWidth="1"/>
    <col min="3586" max="3586" width="10.375" style="12" customWidth="1"/>
    <col min="3587" max="3587" width="12.25" style="12" customWidth="1"/>
    <col min="3588" max="3588" width="8" style="12" customWidth="1"/>
    <col min="3589" max="3589" width="4.75" style="12" customWidth="1"/>
    <col min="3590" max="3590" width="8.875" style="12" customWidth="1"/>
    <col min="3591" max="3591" width="9.25" style="12" customWidth="1"/>
    <col min="3592" max="3592" width="0.75" style="12" customWidth="1"/>
    <col min="3593" max="3593" width="9.125" style="12" customWidth="1"/>
    <col min="3594" max="3594" width="8.625" style="12" customWidth="1"/>
    <col min="3595" max="3595" width="9.25" style="12" customWidth="1"/>
    <col min="3596" max="3840" width="8" style="12" customWidth="1"/>
    <col min="3841" max="3841" width="4.625" style="12" customWidth="1"/>
    <col min="3842" max="3842" width="10.375" style="12" customWidth="1"/>
    <col min="3843" max="3843" width="12.25" style="12" customWidth="1"/>
    <col min="3844" max="3844" width="8" style="12" customWidth="1"/>
    <col min="3845" max="3845" width="4.75" style="12" customWidth="1"/>
    <col min="3846" max="3846" width="8.875" style="12" customWidth="1"/>
    <col min="3847" max="3847" width="9.25" style="12" customWidth="1"/>
    <col min="3848" max="3848" width="0.75" style="12" customWidth="1"/>
    <col min="3849" max="3849" width="9.125" style="12" customWidth="1"/>
    <col min="3850" max="3850" width="8.625" style="12" customWidth="1"/>
    <col min="3851" max="3851" width="9.25" style="12" customWidth="1"/>
    <col min="3852" max="4096" width="8" style="12" customWidth="1"/>
    <col min="4097" max="4097" width="4.625" style="12" customWidth="1"/>
    <col min="4098" max="4098" width="10.375" style="12" customWidth="1"/>
    <col min="4099" max="4099" width="12.25" style="12" customWidth="1"/>
    <col min="4100" max="4100" width="8" style="12" customWidth="1"/>
    <col min="4101" max="4101" width="4.75" style="12" customWidth="1"/>
    <col min="4102" max="4102" width="8.875" style="12" customWidth="1"/>
    <col min="4103" max="4103" width="9.25" style="12" customWidth="1"/>
    <col min="4104" max="4104" width="0.75" style="12" customWidth="1"/>
    <col min="4105" max="4105" width="9.125" style="12" customWidth="1"/>
    <col min="4106" max="4106" width="8.625" style="12" customWidth="1"/>
    <col min="4107" max="4107" width="9.25" style="12" customWidth="1"/>
    <col min="4108" max="4352" width="8" style="12" customWidth="1"/>
    <col min="4353" max="4353" width="4.625" style="12" customWidth="1"/>
    <col min="4354" max="4354" width="10.375" style="12" customWidth="1"/>
    <col min="4355" max="4355" width="12.25" style="12" customWidth="1"/>
    <col min="4356" max="4356" width="8" style="12" customWidth="1"/>
    <col min="4357" max="4357" width="4.75" style="12" customWidth="1"/>
    <col min="4358" max="4358" width="8.875" style="12" customWidth="1"/>
    <col min="4359" max="4359" width="9.25" style="12" customWidth="1"/>
    <col min="4360" max="4360" width="0.75" style="12" customWidth="1"/>
    <col min="4361" max="4361" width="9.125" style="12" customWidth="1"/>
    <col min="4362" max="4362" width="8.625" style="12" customWidth="1"/>
    <col min="4363" max="4363" width="9.25" style="12" customWidth="1"/>
    <col min="4364" max="4608" width="8" style="12" customWidth="1"/>
    <col min="4609" max="4609" width="4.625" style="12" customWidth="1"/>
    <col min="4610" max="4610" width="10.375" style="12" customWidth="1"/>
    <col min="4611" max="4611" width="12.25" style="12" customWidth="1"/>
    <col min="4612" max="4612" width="8" style="12" customWidth="1"/>
    <col min="4613" max="4613" width="4.75" style="12" customWidth="1"/>
    <col min="4614" max="4614" width="8.875" style="12" customWidth="1"/>
    <col min="4615" max="4615" width="9.25" style="12" customWidth="1"/>
    <col min="4616" max="4616" width="0.75" style="12" customWidth="1"/>
    <col min="4617" max="4617" width="9.125" style="12" customWidth="1"/>
    <col min="4618" max="4618" width="8.625" style="12" customWidth="1"/>
    <col min="4619" max="4619" width="9.25" style="12" customWidth="1"/>
    <col min="4620" max="4864" width="8" style="12" customWidth="1"/>
    <col min="4865" max="4865" width="4.625" style="12" customWidth="1"/>
    <col min="4866" max="4866" width="10.375" style="12" customWidth="1"/>
    <col min="4867" max="4867" width="12.25" style="12" customWidth="1"/>
    <col min="4868" max="4868" width="8" style="12" customWidth="1"/>
    <col min="4869" max="4869" width="4.75" style="12" customWidth="1"/>
    <col min="4870" max="4870" width="8.875" style="12" customWidth="1"/>
    <col min="4871" max="4871" width="9.25" style="12" customWidth="1"/>
    <col min="4872" max="4872" width="0.75" style="12" customWidth="1"/>
    <col min="4873" max="4873" width="9.125" style="12" customWidth="1"/>
    <col min="4874" max="4874" width="8.625" style="12" customWidth="1"/>
    <col min="4875" max="4875" width="9.25" style="12" customWidth="1"/>
    <col min="4876" max="5120" width="8" style="12" customWidth="1"/>
    <col min="5121" max="5121" width="4.625" style="12" customWidth="1"/>
    <col min="5122" max="5122" width="10.375" style="12" customWidth="1"/>
    <col min="5123" max="5123" width="12.25" style="12" customWidth="1"/>
    <col min="5124" max="5124" width="8" style="12" customWidth="1"/>
    <col min="5125" max="5125" width="4.75" style="12" customWidth="1"/>
    <col min="5126" max="5126" width="8.875" style="12" customWidth="1"/>
    <col min="5127" max="5127" width="9.25" style="12" customWidth="1"/>
    <col min="5128" max="5128" width="0.75" style="12" customWidth="1"/>
    <col min="5129" max="5129" width="9.125" style="12" customWidth="1"/>
    <col min="5130" max="5130" width="8.625" style="12" customWidth="1"/>
    <col min="5131" max="5131" width="9.25" style="12" customWidth="1"/>
    <col min="5132" max="5376" width="8" style="12" customWidth="1"/>
    <col min="5377" max="5377" width="4.625" style="12" customWidth="1"/>
    <col min="5378" max="5378" width="10.375" style="12" customWidth="1"/>
    <col min="5379" max="5379" width="12.25" style="12" customWidth="1"/>
    <col min="5380" max="5380" width="8" style="12" customWidth="1"/>
    <col min="5381" max="5381" width="4.75" style="12" customWidth="1"/>
    <col min="5382" max="5382" width="8.875" style="12" customWidth="1"/>
    <col min="5383" max="5383" width="9.25" style="12" customWidth="1"/>
    <col min="5384" max="5384" width="0.75" style="12" customWidth="1"/>
    <col min="5385" max="5385" width="9.125" style="12" customWidth="1"/>
    <col min="5386" max="5386" width="8.625" style="12" customWidth="1"/>
    <col min="5387" max="5387" width="9.25" style="12" customWidth="1"/>
    <col min="5388" max="5632" width="8" style="12" customWidth="1"/>
    <col min="5633" max="5633" width="4.625" style="12" customWidth="1"/>
    <col min="5634" max="5634" width="10.375" style="12" customWidth="1"/>
    <col min="5635" max="5635" width="12.25" style="12" customWidth="1"/>
    <col min="5636" max="5636" width="8" style="12" customWidth="1"/>
    <col min="5637" max="5637" width="4.75" style="12" customWidth="1"/>
    <col min="5638" max="5638" width="8.875" style="12" customWidth="1"/>
    <col min="5639" max="5639" width="9.25" style="12" customWidth="1"/>
    <col min="5640" max="5640" width="0.75" style="12" customWidth="1"/>
    <col min="5641" max="5641" width="9.125" style="12" customWidth="1"/>
    <col min="5642" max="5642" width="8.625" style="12" customWidth="1"/>
    <col min="5643" max="5643" width="9.25" style="12" customWidth="1"/>
    <col min="5644" max="5888" width="8" style="12" customWidth="1"/>
    <col min="5889" max="5889" width="4.625" style="12" customWidth="1"/>
    <col min="5890" max="5890" width="10.375" style="12" customWidth="1"/>
    <col min="5891" max="5891" width="12.25" style="12" customWidth="1"/>
    <col min="5892" max="5892" width="8" style="12" customWidth="1"/>
    <col min="5893" max="5893" width="4.75" style="12" customWidth="1"/>
    <col min="5894" max="5894" width="8.875" style="12" customWidth="1"/>
    <col min="5895" max="5895" width="9.25" style="12" customWidth="1"/>
    <col min="5896" max="5896" width="0.75" style="12" customWidth="1"/>
    <col min="5897" max="5897" width="9.125" style="12" customWidth="1"/>
    <col min="5898" max="5898" width="8.625" style="12" customWidth="1"/>
    <col min="5899" max="5899" width="9.25" style="12" customWidth="1"/>
    <col min="5900" max="6144" width="8" style="12" customWidth="1"/>
    <col min="6145" max="6145" width="4.625" style="12" customWidth="1"/>
    <col min="6146" max="6146" width="10.375" style="12" customWidth="1"/>
    <col min="6147" max="6147" width="12.25" style="12" customWidth="1"/>
    <col min="6148" max="6148" width="8" style="12" customWidth="1"/>
    <col min="6149" max="6149" width="4.75" style="12" customWidth="1"/>
    <col min="6150" max="6150" width="8.875" style="12" customWidth="1"/>
    <col min="6151" max="6151" width="9.25" style="12" customWidth="1"/>
    <col min="6152" max="6152" width="0.75" style="12" customWidth="1"/>
    <col min="6153" max="6153" width="9.125" style="12" customWidth="1"/>
    <col min="6154" max="6154" width="8.625" style="12" customWidth="1"/>
    <col min="6155" max="6155" width="9.25" style="12" customWidth="1"/>
    <col min="6156" max="6400" width="8" style="12" customWidth="1"/>
    <col min="6401" max="6401" width="4.625" style="12" customWidth="1"/>
    <col min="6402" max="6402" width="10.375" style="12" customWidth="1"/>
    <col min="6403" max="6403" width="12.25" style="12" customWidth="1"/>
    <col min="6404" max="6404" width="8" style="12" customWidth="1"/>
    <col min="6405" max="6405" width="4.75" style="12" customWidth="1"/>
    <col min="6406" max="6406" width="8.875" style="12" customWidth="1"/>
    <col min="6407" max="6407" width="9.25" style="12" customWidth="1"/>
    <col min="6408" max="6408" width="0.75" style="12" customWidth="1"/>
    <col min="6409" max="6409" width="9.125" style="12" customWidth="1"/>
    <col min="6410" max="6410" width="8.625" style="12" customWidth="1"/>
    <col min="6411" max="6411" width="9.25" style="12" customWidth="1"/>
    <col min="6412" max="6656" width="8" style="12" customWidth="1"/>
    <col min="6657" max="6657" width="4.625" style="12" customWidth="1"/>
    <col min="6658" max="6658" width="10.375" style="12" customWidth="1"/>
    <col min="6659" max="6659" width="12.25" style="12" customWidth="1"/>
    <col min="6660" max="6660" width="8" style="12" customWidth="1"/>
    <col min="6661" max="6661" width="4.75" style="12" customWidth="1"/>
    <col min="6662" max="6662" width="8.875" style="12" customWidth="1"/>
    <col min="6663" max="6663" width="9.25" style="12" customWidth="1"/>
    <col min="6664" max="6664" width="0.75" style="12" customWidth="1"/>
    <col min="6665" max="6665" width="9.125" style="12" customWidth="1"/>
    <col min="6666" max="6666" width="8.625" style="12" customWidth="1"/>
    <col min="6667" max="6667" width="9.25" style="12" customWidth="1"/>
    <col min="6668" max="6912" width="8" style="12" customWidth="1"/>
    <col min="6913" max="6913" width="4.625" style="12" customWidth="1"/>
    <col min="6914" max="6914" width="10.375" style="12" customWidth="1"/>
    <col min="6915" max="6915" width="12.25" style="12" customWidth="1"/>
    <col min="6916" max="6916" width="8" style="12" customWidth="1"/>
    <col min="6917" max="6917" width="4.75" style="12" customWidth="1"/>
    <col min="6918" max="6918" width="8.875" style="12" customWidth="1"/>
    <col min="6919" max="6919" width="9.25" style="12" customWidth="1"/>
    <col min="6920" max="6920" width="0.75" style="12" customWidth="1"/>
    <col min="6921" max="6921" width="9.125" style="12" customWidth="1"/>
    <col min="6922" max="6922" width="8.625" style="12" customWidth="1"/>
    <col min="6923" max="6923" width="9.25" style="12" customWidth="1"/>
    <col min="6924" max="7168" width="8" style="12" customWidth="1"/>
    <col min="7169" max="7169" width="4.625" style="12" customWidth="1"/>
    <col min="7170" max="7170" width="10.375" style="12" customWidth="1"/>
    <col min="7171" max="7171" width="12.25" style="12" customWidth="1"/>
    <col min="7172" max="7172" width="8" style="12" customWidth="1"/>
    <col min="7173" max="7173" width="4.75" style="12" customWidth="1"/>
    <col min="7174" max="7174" width="8.875" style="12" customWidth="1"/>
    <col min="7175" max="7175" width="9.25" style="12" customWidth="1"/>
    <col min="7176" max="7176" width="0.75" style="12" customWidth="1"/>
    <col min="7177" max="7177" width="9.125" style="12" customWidth="1"/>
    <col min="7178" max="7178" width="8.625" style="12" customWidth="1"/>
    <col min="7179" max="7179" width="9.25" style="12" customWidth="1"/>
    <col min="7180" max="7424" width="8" style="12" customWidth="1"/>
    <col min="7425" max="7425" width="4.625" style="12" customWidth="1"/>
    <col min="7426" max="7426" width="10.375" style="12" customWidth="1"/>
    <col min="7427" max="7427" width="12.25" style="12" customWidth="1"/>
    <col min="7428" max="7428" width="8" style="12" customWidth="1"/>
    <col min="7429" max="7429" width="4.75" style="12" customWidth="1"/>
    <col min="7430" max="7430" width="8.875" style="12" customWidth="1"/>
    <col min="7431" max="7431" width="9.25" style="12" customWidth="1"/>
    <col min="7432" max="7432" width="0.75" style="12" customWidth="1"/>
    <col min="7433" max="7433" width="9.125" style="12" customWidth="1"/>
    <col min="7434" max="7434" width="8.625" style="12" customWidth="1"/>
    <col min="7435" max="7435" width="9.25" style="12" customWidth="1"/>
    <col min="7436" max="7680" width="8" style="12" customWidth="1"/>
    <col min="7681" max="7681" width="4.625" style="12" customWidth="1"/>
    <col min="7682" max="7682" width="10.375" style="12" customWidth="1"/>
    <col min="7683" max="7683" width="12.25" style="12" customWidth="1"/>
    <col min="7684" max="7684" width="8" style="12" customWidth="1"/>
    <col min="7685" max="7685" width="4.75" style="12" customWidth="1"/>
    <col min="7686" max="7686" width="8.875" style="12" customWidth="1"/>
    <col min="7687" max="7687" width="9.25" style="12" customWidth="1"/>
    <col min="7688" max="7688" width="0.75" style="12" customWidth="1"/>
    <col min="7689" max="7689" width="9.125" style="12" customWidth="1"/>
    <col min="7690" max="7690" width="8.625" style="12" customWidth="1"/>
    <col min="7691" max="7691" width="9.25" style="12" customWidth="1"/>
    <col min="7692" max="7936" width="8" style="12" customWidth="1"/>
    <col min="7937" max="7937" width="4.625" style="12" customWidth="1"/>
    <col min="7938" max="7938" width="10.375" style="12" customWidth="1"/>
    <col min="7939" max="7939" width="12.25" style="12" customWidth="1"/>
    <col min="7940" max="7940" width="8" style="12" customWidth="1"/>
    <col min="7941" max="7941" width="4.75" style="12" customWidth="1"/>
    <col min="7942" max="7942" width="8.875" style="12" customWidth="1"/>
    <col min="7943" max="7943" width="9.25" style="12" customWidth="1"/>
    <col min="7944" max="7944" width="0.75" style="12" customWidth="1"/>
    <col min="7945" max="7945" width="9.125" style="12" customWidth="1"/>
    <col min="7946" max="7946" width="8.625" style="12" customWidth="1"/>
    <col min="7947" max="7947" width="9.25" style="12" customWidth="1"/>
    <col min="7948" max="8192" width="8" style="12" customWidth="1"/>
    <col min="8193" max="8193" width="4.625" style="12" customWidth="1"/>
    <col min="8194" max="8194" width="10.375" style="12" customWidth="1"/>
    <col min="8195" max="8195" width="12.25" style="12" customWidth="1"/>
    <col min="8196" max="8196" width="8" style="12" customWidth="1"/>
    <col min="8197" max="8197" width="4.75" style="12" customWidth="1"/>
    <col min="8198" max="8198" width="8.875" style="12" customWidth="1"/>
    <col min="8199" max="8199" width="9.25" style="12" customWidth="1"/>
    <col min="8200" max="8200" width="0.75" style="12" customWidth="1"/>
    <col min="8201" max="8201" width="9.125" style="12" customWidth="1"/>
    <col min="8202" max="8202" width="8.625" style="12" customWidth="1"/>
    <col min="8203" max="8203" width="9.25" style="12" customWidth="1"/>
    <col min="8204" max="8448" width="8" style="12" customWidth="1"/>
    <col min="8449" max="8449" width="4.625" style="12" customWidth="1"/>
    <col min="8450" max="8450" width="10.375" style="12" customWidth="1"/>
    <col min="8451" max="8451" width="12.25" style="12" customWidth="1"/>
    <col min="8452" max="8452" width="8" style="12" customWidth="1"/>
    <col min="8453" max="8453" width="4.75" style="12" customWidth="1"/>
    <col min="8454" max="8454" width="8.875" style="12" customWidth="1"/>
    <col min="8455" max="8455" width="9.25" style="12" customWidth="1"/>
    <col min="8456" max="8456" width="0.75" style="12" customWidth="1"/>
    <col min="8457" max="8457" width="9.125" style="12" customWidth="1"/>
    <col min="8458" max="8458" width="8.625" style="12" customWidth="1"/>
    <col min="8459" max="8459" width="9.25" style="12" customWidth="1"/>
    <col min="8460" max="8704" width="8" style="12" customWidth="1"/>
    <col min="8705" max="8705" width="4.625" style="12" customWidth="1"/>
    <col min="8706" max="8706" width="10.375" style="12" customWidth="1"/>
    <col min="8707" max="8707" width="12.25" style="12" customWidth="1"/>
    <col min="8708" max="8708" width="8" style="12" customWidth="1"/>
    <col min="8709" max="8709" width="4.75" style="12" customWidth="1"/>
    <col min="8710" max="8710" width="8.875" style="12" customWidth="1"/>
    <col min="8711" max="8711" width="9.25" style="12" customWidth="1"/>
    <col min="8712" max="8712" width="0.75" style="12" customWidth="1"/>
    <col min="8713" max="8713" width="9.125" style="12" customWidth="1"/>
    <col min="8714" max="8714" width="8.625" style="12" customWidth="1"/>
    <col min="8715" max="8715" width="9.25" style="12" customWidth="1"/>
    <col min="8716" max="8960" width="8" style="12" customWidth="1"/>
    <col min="8961" max="8961" width="4.625" style="12" customWidth="1"/>
    <col min="8962" max="8962" width="10.375" style="12" customWidth="1"/>
    <col min="8963" max="8963" width="12.25" style="12" customWidth="1"/>
    <col min="8964" max="8964" width="8" style="12" customWidth="1"/>
    <col min="8965" max="8965" width="4.75" style="12" customWidth="1"/>
    <col min="8966" max="8966" width="8.875" style="12" customWidth="1"/>
    <col min="8967" max="8967" width="9.25" style="12" customWidth="1"/>
    <col min="8968" max="8968" width="0.75" style="12" customWidth="1"/>
    <col min="8969" max="8969" width="9.125" style="12" customWidth="1"/>
    <col min="8970" max="8970" width="8.625" style="12" customWidth="1"/>
    <col min="8971" max="8971" width="9.25" style="12" customWidth="1"/>
    <col min="8972" max="9216" width="8" style="12" customWidth="1"/>
    <col min="9217" max="9217" width="4.625" style="12" customWidth="1"/>
    <col min="9218" max="9218" width="10.375" style="12" customWidth="1"/>
    <col min="9219" max="9219" width="12.25" style="12" customWidth="1"/>
    <col min="9220" max="9220" width="8" style="12" customWidth="1"/>
    <col min="9221" max="9221" width="4.75" style="12" customWidth="1"/>
    <col min="9222" max="9222" width="8.875" style="12" customWidth="1"/>
    <col min="9223" max="9223" width="9.25" style="12" customWidth="1"/>
    <col min="9224" max="9224" width="0.75" style="12" customWidth="1"/>
    <col min="9225" max="9225" width="9.125" style="12" customWidth="1"/>
    <col min="9226" max="9226" width="8.625" style="12" customWidth="1"/>
    <col min="9227" max="9227" width="9.25" style="12" customWidth="1"/>
    <col min="9228" max="9472" width="8" style="12" customWidth="1"/>
    <col min="9473" max="9473" width="4.625" style="12" customWidth="1"/>
    <col min="9474" max="9474" width="10.375" style="12" customWidth="1"/>
    <col min="9475" max="9475" width="12.25" style="12" customWidth="1"/>
    <col min="9476" max="9476" width="8" style="12" customWidth="1"/>
    <col min="9477" max="9477" width="4.75" style="12" customWidth="1"/>
    <col min="9478" max="9478" width="8.875" style="12" customWidth="1"/>
    <col min="9479" max="9479" width="9.25" style="12" customWidth="1"/>
    <col min="9480" max="9480" width="0.75" style="12" customWidth="1"/>
    <col min="9481" max="9481" width="9.125" style="12" customWidth="1"/>
    <col min="9482" max="9482" width="8.625" style="12" customWidth="1"/>
    <col min="9483" max="9483" width="9.25" style="12" customWidth="1"/>
    <col min="9484" max="9728" width="8" style="12" customWidth="1"/>
    <col min="9729" max="9729" width="4.625" style="12" customWidth="1"/>
    <col min="9730" max="9730" width="10.375" style="12" customWidth="1"/>
    <col min="9731" max="9731" width="12.25" style="12" customWidth="1"/>
    <col min="9732" max="9732" width="8" style="12" customWidth="1"/>
    <col min="9733" max="9733" width="4.75" style="12" customWidth="1"/>
    <col min="9734" max="9734" width="8.875" style="12" customWidth="1"/>
    <col min="9735" max="9735" width="9.25" style="12" customWidth="1"/>
    <col min="9736" max="9736" width="0.75" style="12" customWidth="1"/>
    <col min="9737" max="9737" width="9.125" style="12" customWidth="1"/>
    <col min="9738" max="9738" width="8.625" style="12" customWidth="1"/>
    <col min="9739" max="9739" width="9.25" style="12" customWidth="1"/>
    <col min="9740" max="9984" width="8" style="12" customWidth="1"/>
    <col min="9985" max="9985" width="4.625" style="12" customWidth="1"/>
    <col min="9986" max="9986" width="10.375" style="12" customWidth="1"/>
    <col min="9987" max="9987" width="12.25" style="12" customWidth="1"/>
    <col min="9988" max="9988" width="8" style="12" customWidth="1"/>
    <col min="9989" max="9989" width="4.75" style="12" customWidth="1"/>
    <col min="9990" max="9990" width="8.875" style="12" customWidth="1"/>
    <col min="9991" max="9991" width="9.25" style="12" customWidth="1"/>
    <col min="9992" max="9992" width="0.75" style="12" customWidth="1"/>
    <col min="9993" max="9993" width="9.125" style="12" customWidth="1"/>
    <col min="9994" max="9994" width="8.625" style="12" customWidth="1"/>
    <col min="9995" max="9995" width="9.25" style="12" customWidth="1"/>
    <col min="9996" max="10240" width="8" style="12" customWidth="1"/>
    <col min="10241" max="10241" width="4.625" style="12" customWidth="1"/>
    <col min="10242" max="10242" width="10.375" style="12" customWidth="1"/>
    <col min="10243" max="10243" width="12.25" style="12" customWidth="1"/>
    <col min="10244" max="10244" width="8" style="12" customWidth="1"/>
    <col min="10245" max="10245" width="4.75" style="12" customWidth="1"/>
    <col min="10246" max="10246" width="8.875" style="12" customWidth="1"/>
    <col min="10247" max="10247" width="9.25" style="12" customWidth="1"/>
    <col min="10248" max="10248" width="0.75" style="12" customWidth="1"/>
    <col min="10249" max="10249" width="9.125" style="12" customWidth="1"/>
    <col min="10250" max="10250" width="8.625" style="12" customWidth="1"/>
    <col min="10251" max="10251" width="9.25" style="12" customWidth="1"/>
    <col min="10252" max="10496" width="8" style="12" customWidth="1"/>
    <col min="10497" max="10497" width="4.625" style="12" customWidth="1"/>
    <col min="10498" max="10498" width="10.375" style="12" customWidth="1"/>
    <col min="10499" max="10499" width="12.25" style="12" customWidth="1"/>
    <col min="10500" max="10500" width="8" style="12" customWidth="1"/>
    <col min="10501" max="10501" width="4.75" style="12" customWidth="1"/>
    <col min="10502" max="10502" width="8.875" style="12" customWidth="1"/>
    <col min="10503" max="10503" width="9.25" style="12" customWidth="1"/>
    <col min="10504" max="10504" width="0.75" style="12" customWidth="1"/>
    <col min="10505" max="10505" width="9.125" style="12" customWidth="1"/>
    <col min="10506" max="10506" width="8.625" style="12" customWidth="1"/>
    <col min="10507" max="10507" width="9.25" style="12" customWidth="1"/>
    <col min="10508" max="10752" width="8" style="12" customWidth="1"/>
    <col min="10753" max="10753" width="4.625" style="12" customWidth="1"/>
    <col min="10754" max="10754" width="10.375" style="12" customWidth="1"/>
    <col min="10755" max="10755" width="12.25" style="12" customWidth="1"/>
    <col min="10756" max="10756" width="8" style="12" customWidth="1"/>
    <col min="10757" max="10757" width="4.75" style="12" customWidth="1"/>
    <col min="10758" max="10758" width="8.875" style="12" customWidth="1"/>
    <col min="10759" max="10759" width="9.25" style="12" customWidth="1"/>
    <col min="10760" max="10760" width="0.75" style="12" customWidth="1"/>
    <col min="10761" max="10761" width="9.125" style="12" customWidth="1"/>
    <col min="10762" max="10762" width="8.625" style="12" customWidth="1"/>
    <col min="10763" max="10763" width="9.25" style="12" customWidth="1"/>
    <col min="10764" max="11008" width="8" style="12" customWidth="1"/>
    <col min="11009" max="11009" width="4.625" style="12" customWidth="1"/>
    <col min="11010" max="11010" width="10.375" style="12" customWidth="1"/>
    <col min="11011" max="11011" width="12.25" style="12" customWidth="1"/>
    <col min="11012" max="11012" width="8" style="12" customWidth="1"/>
    <col min="11013" max="11013" width="4.75" style="12" customWidth="1"/>
    <col min="11014" max="11014" width="8.875" style="12" customWidth="1"/>
    <col min="11015" max="11015" width="9.25" style="12" customWidth="1"/>
    <col min="11016" max="11016" width="0.75" style="12" customWidth="1"/>
    <col min="11017" max="11017" width="9.125" style="12" customWidth="1"/>
    <col min="11018" max="11018" width="8.625" style="12" customWidth="1"/>
    <col min="11019" max="11019" width="9.25" style="12" customWidth="1"/>
    <col min="11020" max="11264" width="8" style="12" customWidth="1"/>
    <col min="11265" max="11265" width="4.625" style="12" customWidth="1"/>
    <col min="11266" max="11266" width="10.375" style="12" customWidth="1"/>
    <col min="11267" max="11267" width="12.25" style="12" customWidth="1"/>
    <col min="11268" max="11268" width="8" style="12" customWidth="1"/>
    <col min="11269" max="11269" width="4.75" style="12" customWidth="1"/>
    <col min="11270" max="11270" width="8.875" style="12" customWidth="1"/>
    <col min="11271" max="11271" width="9.25" style="12" customWidth="1"/>
    <col min="11272" max="11272" width="0.75" style="12" customWidth="1"/>
    <col min="11273" max="11273" width="9.125" style="12" customWidth="1"/>
    <col min="11274" max="11274" width="8.625" style="12" customWidth="1"/>
    <col min="11275" max="11275" width="9.25" style="12" customWidth="1"/>
    <col min="11276" max="11520" width="8" style="12" customWidth="1"/>
    <col min="11521" max="11521" width="4.625" style="12" customWidth="1"/>
    <col min="11522" max="11522" width="10.375" style="12" customWidth="1"/>
    <col min="11523" max="11523" width="12.25" style="12" customWidth="1"/>
    <col min="11524" max="11524" width="8" style="12" customWidth="1"/>
    <col min="11525" max="11525" width="4.75" style="12" customWidth="1"/>
    <col min="11526" max="11526" width="8.875" style="12" customWidth="1"/>
    <col min="11527" max="11527" width="9.25" style="12" customWidth="1"/>
    <col min="11528" max="11528" width="0.75" style="12" customWidth="1"/>
    <col min="11529" max="11529" width="9.125" style="12" customWidth="1"/>
    <col min="11530" max="11530" width="8.625" style="12" customWidth="1"/>
    <col min="11531" max="11531" width="9.25" style="12" customWidth="1"/>
    <col min="11532" max="11776" width="8" style="12" customWidth="1"/>
    <col min="11777" max="11777" width="4.625" style="12" customWidth="1"/>
    <col min="11778" max="11778" width="10.375" style="12" customWidth="1"/>
    <col min="11779" max="11779" width="12.25" style="12" customWidth="1"/>
    <col min="11780" max="11780" width="8" style="12" customWidth="1"/>
    <col min="11781" max="11781" width="4.75" style="12" customWidth="1"/>
    <col min="11782" max="11782" width="8.875" style="12" customWidth="1"/>
    <col min="11783" max="11783" width="9.25" style="12" customWidth="1"/>
    <col min="11784" max="11784" width="0.75" style="12" customWidth="1"/>
    <col min="11785" max="11785" width="9.125" style="12" customWidth="1"/>
    <col min="11786" max="11786" width="8.625" style="12" customWidth="1"/>
    <col min="11787" max="11787" width="9.25" style="12" customWidth="1"/>
    <col min="11788" max="12032" width="8" style="12" customWidth="1"/>
    <col min="12033" max="12033" width="4.625" style="12" customWidth="1"/>
    <col min="12034" max="12034" width="10.375" style="12" customWidth="1"/>
    <col min="12035" max="12035" width="12.25" style="12" customWidth="1"/>
    <col min="12036" max="12036" width="8" style="12" customWidth="1"/>
    <col min="12037" max="12037" width="4.75" style="12" customWidth="1"/>
    <col min="12038" max="12038" width="8.875" style="12" customWidth="1"/>
    <col min="12039" max="12039" width="9.25" style="12" customWidth="1"/>
    <col min="12040" max="12040" width="0.75" style="12" customWidth="1"/>
    <col min="12041" max="12041" width="9.125" style="12" customWidth="1"/>
    <col min="12042" max="12042" width="8.625" style="12" customWidth="1"/>
    <col min="12043" max="12043" width="9.25" style="12" customWidth="1"/>
    <col min="12044" max="12288" width="8" style="12" customWidth="1"/>
    <col min="12289" max="12289" width="4.625" style="12" customWidth="1"/>
    <col min="12290" max="12290" width="10.375" style="12" customWidth="1"/>
    <col min="12291" max="12291" width="12.25" style="12" customWidth="1"/>
    <col min="12292" max="12292" width="8" style="12" customWidth="1"/>
    <col min="12293" max="12293" width="4.75" style="12" customWidth="1"/>
    <col min="12294" max="12294" width="8.875" style="12" customWidth="1"/>
    <col min="12295" max="12295" width="9.25" style="12" customWidth="1"/>
    <col min="12296" max="12296" width="0.75" style="12" customWidth="1"/>
    <col min="12297" max="12297" width="9.125" style="12" customWidth="1"/>
    <col min="12298" max="12298" width="8.625" style="12" customWidth="1"/>
    <col min="12299" max="12299" width="9.25" style="12" customWidth="1"/>
    <col min="12300" max="12544" width="8" style="12" customWidth="1"/>
    <col min="12545" max="12545" width="4.625" style="12" customWidth="1"/>
    <col min="12546" max="12546" width="10.375" style="12" customWidth="1"/>
    <col min="12547" max="12547" width="12.25" style="12" customWidth="1"/>
    <col min="12548" max="12548" width="8" style="12" customWidth="1"/>
    <col min="12549" max="12549" width="4.75" style="12" customWidth="1"/>
    <col min="12550" max="12550" width="8.875" style="12" customWidth="1"/>
    <col min="12551" max="12551" width="9.25" style="12" customWidth="1"/>
    <col min="12552" max="12552" width="0.75" style="12" customWidth="1"/>
    <col min="12553" max="12553" width="9.125" style="12" customWidth="1"/>
    <col min="12554" max="12554" width="8.625" style="12" customWidth="1"/>
    <col min="12555" max="12555" width="9.25" style="12" customWidth="1"/>
    <col min="12556" max="12800" width="8" style="12" customWidth="1"/>
    <col min="12801" max="12801" width="4.625" style="12" customWidth="1"/>
    <col min="12802" max="12802" width="10.375" style="12" customWidth="1"/>
    <col min="12803" max="12803" width="12.25" style="12" customWidth="1"/>
    <col min="12804" max="12804" width="8" style="12" customWidth="1"/>
    <col min="12805" max="12805" width="4.75" style="12" customWidth="1"/>
    <col min="12806" max="12806" width="8.875" style="12" customWidth="1"/>
    <col min="12807" max="12807" width="9.25" style="12" customWidth="1"/>
    <col min="12808" max="12808" width="0.75" style="12" customWidth="1"/>
    <col min="12809" max="12809" width="9.125" style="12" customWidth="1"/>
    <col min="12810" max="12810" width="8.625" style="12" customWidth="1"/>
    <col min="12811" max="12811" width="9.25" style="12" customWidth="1"/>
    <col min="12812" max="13056" width="8" style="12" customWidth="1"/>
    <col min="13057" max="13057" width="4.625" style="12" customWidth="1"/>
    <col min="13058" max="13058" width="10.375" style="12" customWidth="1"/>
    <col min="13059" max="13059" width="12.25" style="12" customWidth="1"/>
    <col min="13060" max="13060" width="8" style="12" customWidth="1"/>
    <col min="13061" max="13061" width="4.75" style="12" customWidth="1"/>
    <col min="13062" max="13062" width="8.875" style="12" customWidth="1"/>
    <col min="13063" max="13063" width="9.25" style="12" customWidth="1"/>
    <col min="13064" max="13064" width="0.75" style="12" customWidth="1"/>
    <col min="13065" max="13065" width="9.125" style="12" customWidth="1"/>
    <col min="13066" max="13066" width="8.625" style="12" customWidth="1"/>
    <col min="13067" max="13067" width="9.25" style="12" customWidth="1"/>
    <col min="13068" max="13312" width="8" style="12" customWidth="1"/>
    <col min="13313" max="13313" width="4.625" style="12" customWidth="1"/>
    <col min="13314" max="13314" width="10.375" style="12" customWidth="1"/>
    <col min="13315" max="13315" width="12.25" style="12" customWidth="1"/>
    <col min="13316" max="13316" width="8" style="12" customWidth="1"/>
    <col min="13317" max="13317" width="4.75" style="12" customWidth="1"/>
    <col min="13318" max="13318" width="8.875" style="12" customWidth="1"/>
    <col min="13319" max="13319" width="9.25" style="12" customWidth="1"/>
    <col min="13320" max="13320" width="0.75" style="12" customWidth="1"/>
    <col min="13321" max="13321" width="9.125" style="12" customWidth="1"/>
    <col min="13322" max="13322" width="8.625" style="12" customWidth="1"/>
    <col min="13323" max="13323" width="9.25" style="12" customWidth="1"/>
    <col min="13324" max="13568" width="8" style="12" customWidth="1"/>
    <col min="13569" max="13569" width="4.625" style="12" customWidth="1"/>
    <col min="13570" max="13570" width="10.375" style="12" customWidth="1"/>
    <col min="13571" max="13571" width="12.25" style="12" customWidth="1"/>
    <col min="13572" max="13572" width="8" style="12" customWidth="1"/>
    <col min="13573" max="13573" width="4.75" style="12" customWidth="1"/>
    <col min="13574" max="13574" width="8.875" style="12" customWidth="1"/>
    <col min="13575" max="13575" width="9.25" style="12" customWidth="1"/>
    <col min="13576" max="13576" width="0.75" style="12" customWidth="1"/>
    <col min="13577" max="13577" width="9.125" style="12" customWidth="1"/>
    <col min="13578" max="13578" width="8.625" style="12" customWidth="1"/>
    <col min="13579" max="13579" width="9.25" style="12" customWidth="1"/>
    <col min="13580" max="13824" width="8" style="12" customWidth="1"/>
    <col min="13825" max="13825" width="4.625" style="12" customWidth="1"/>
    <col min="13826" max="13826" width="10.375" style="12" customWidth="1"/>
    <col min="13827" max="13827" width="12.25" style="12" customWidth="1"/>
    <col min="13828" max="13828" width="8" style="12" customWidth="1"/>
    <col min="13829" max="13829" width="4.75" style="12" customWidth="1"/>
    <col min="13830" max="13830" width="8.875" style="12" customWidth="1"/>
    <col min="13831" max="13831" width="9.25" style="12" customWidth="1"/>
    <col min="13832" max="13832" width="0.75" style="12" customWidth="1"/>
    <col min="13833" max="13833" width="9.125" style="12" customWidth="1"/>
    <col min="13834" max="13834" width="8.625" style="12" customWidth="1"/>
    <col min="13835" max="13835" width="9.25" style="12" customWidth="1"/>
    <col min="13836" max="14080" width="8" style="12" customWidth="1"/>
    <col min="14081" max="14081" width="4.625" style="12" customWidth="1"/>
    <col min="14082" max="14082" width="10.375" style="12" customWidth="1"/>
    <col min="14083" max="14083" width="12.25" style="12" customWidth="1"/>
    <col min="14084" max="14084" width="8" style="12" customWidth="1"/>
    <col min="14085" max="14085" width="4.75" style="12" customWidth="1"/>
    <col min="14086" max="14086" width="8.875" style="12" customWidth="1"/>
    <col min="14087" max="14087" width="9.25" style="12" customWidth="1"/>
    <col min="14088" max="14088" width="0.75" style="12" customWidth="1"/>
    <col min="14089" max="14089" width="9.125" style="12" customWidth="1"/>
    <col min="14090" max="14090" width="8.625" style="12" customWidth="1"/>
    <col min="14091" max="14091" width="9.25" style="12" customWidth="1"/>
    <col min="14092" max="14336" width="8" style="12" customWidth="1"/>
    <col min="14337" max="14337" width="4.625" style="12" customWidth="1"/>
    <col min="14338" max="14338" width="10.375" style="12" customWidth="1"/>
    <col min="14339" max="14339" width="12.25" style="12" customWidth="1"/>
    <col min="14340" max="14340" width="8" style="12" customWidth="1"/>
    <col min="14341" max="14341" width="4.75" style="12" customWidth="1"/>
    <col min="14342" max="14342" width="8.875" style="12" customWidth="1"/>
    <col min="14343" max="14343" width="9.25" style="12" customWidth="1"/>
    <col min="14344" max="14344" width="0.75" style="12" customWidth="1"/>
    <col min="14345" max="14345" width="9.125" style="12" customWidth="1"/>
    <col min="14346" max="14346" width="8.625" style="12" customWidth="1"/>
    <col min="14347" max="14347" width="9.25" style="12" customWidth="1"/>
    <col min="14348" max="14592" width="8" style="12" customWidth="1"/>
    <col min="14593" max="14593" width="4.625" style="12" customWidth="1"/>
    <col min="14594" max="14594" width="10.375" style="12" customWidth="1"/>
    <col min="14595" max="14595" width="12.25" style="12" customWidth="1"/>
    <col min="14596" max="14596" width="8" style="12" customWidth="1"/>
    <col min="14597" max="14597" width="4.75" style="12" customWidth="1"/>
    <col min="14598" max="14598" width="8.875" style="12" customWidth="1"/>
    <col min="14599" max="14599" width="9.25" style="12" customWidth="1"/>
    <col min="14600" max="14600" width="0.75" style="12" customWidth="1"/>
    <col min="14601" max="14601" width="9.125" style="12" customWidth="1"/>
    <col min="14602" max="14602" width="8.625" style="12" customWidth="1"/>
    <col min="14603" max="14603" width="9.25" style="12" customWidth="1"/>
    <col min="14604" max="14848" width="8" style="12" customWidth="1"/>
    <col min="14849" max="14849" width="4.625" style="12" customWidth="1"/>
    <col min="14850" max="14850" width="10.375" style="12" customWidth="1"/>
    <col min="14851" max="14851" width="12.25" style="12" customWidth="1"/>
    <col min="14852" max="14852" width="8" style="12" customWidth="1"/>
    <col min="14853" max="14853" width="4.75" style="12" customWidth="1"/>
    <col min="14854" max="14854" width="8.875" style="12" customWidth="1"/>
    <col min="14855" max="14855" width="9.25" style="12" customWidth="1"/>
    <col min="14856" max="14856" width="0.75" style="12" customWidth="1"/>
    <col min="14857" max="14857" width="9.125" style="12" customWidth="1"/>
    <col min="14858" max="14858" width="8.625" style="12" customWidth="1"/>
    <col min="14859" max="14859" width="9.25" style="12" customWidth="1"/>
    <col min="14860" max="15104" width="8" style="12" customWidth="1"/>
    <col min="15105" max="15105" width="4.625" style="12" customWidth="1"/>
    <col min="15106" max="15106" width="10.375" style="12" customWidth="1"/>
    <col min="15107" max="15107" width="12.25" style="12" customWidth="1"/>
    <col min="15108" max="15108" width="8" style="12" customWidth="1"/>
    <col min="15109" max="15109" width="4.75" style="12" customWidth="1"/>
    <col min="15110" max="15110" width="8.875" style="12" customWidth="1"/>
    <col min="15111" max="15111" width="9.25" style="12" customWidth="1"/>
    <col min="15112" max="15112" width="0.75" style="12" customWidth="1"/>
    <col min="15113" max="15113" width="9.125" style="12" customWidth="1"/>
    <col min="15114" max="15114" width="8.625" style="12" customWidth="1"/>
    <col min="15115" max="15115" width="9.25" style="12" customWidth="1"/>
    <col min="15116" max="15360" width="8" style="12" customWidth="1"/>
    <col min="15361" max="15361" width="4.625" style="12" customWidth="1"/>
    <col min="15362" max="15362" width="10.375" style="12" customWidth="1"/>
    <col min="15363" max="15363" width="12.25" style="12" customWidth="1"/>
    <col min="15364" max="15364" width="8" style="12" customWidth="1"/>
    <col min="15365" max="15365" width="4.75" style="12" customWidth="1"/>
    <col min="15366" max="15366" width="8.875" style="12" customWidth="1"/>
    <col min="15367" max="15367" width="9.25" style="12" customWidth="1"/>
    <col min="15368" max="15368" width="0.75" style="12" customWidth="1"/>
    <col min="15369" max="15369" width="9.125" style="12" customWidth="1"/>
    <col min="15370" max="15370" width="8.625" style="12" customWidth="1"/>
    <col min="15371" max="15371" width="9.25" style="12" customWidth="1"/>
    <col min="15372" max="15616" width="8" style="12" customWidth="1"/>
    <col min="15617" max="15617" width="4.625" style="12" customWidth="1"/>
    <col min="15618" max="15618" width="10.375" style="12" customWidth="1"/>
    <col min="15619" max="15619" width="12.25" style="12" customWidth="1"/>
    <col min="15620" max="15620" width="8" style="12" customWidth="1"/>
    <col min="15621" max="15621" width="4.75" style="12" customWidth="1"/>
    <col min="15622" max="15622" width="8.875" style="12" customWidth="1"/>
    <col min="15623" max="15623" width="9.25" style="12" customWidth="1"/>
    <col min="15624" max="15624" width="0.75" style="12" customWidth="1"/>
    <col min="15625" max="15625" width="9.125" style="12" customWidth="1"/>
    <col min="15626" max="15626" width="8.625" style="12" customWidth="1"/>
    <col min="15627" max="15627" width="9.25" style="12" customWidth="1"/>
    <col min="15628" max="15872" width="8" style="12" customWidth="1"/>
    <col min="15873" max="15873" width="4.625" style="12" customWidth="1"/>
    <col min="15874" max="15874" width="10.375" style="12" customWidth="1"/>
    <col min="15875" max="15875" width="12.25" style="12" customWidth="1"/>
    <col min="15876" max="15876" width="8" style="12" customWidth="1"/>
    <col min="15877" max="15877" width="4.75" style="12" customWidth="1"/>
    <col min="15878" max="15878" width="8.875" style="12" customWidth="1"/>
    <col min="15879" max="15879" width="9.25" style="12" customWidth="1"/>
    <col min="15880" max="15880" width="0.75" style="12" customWidth="1"/>
    <col min="15881" max="15881" width="9.125" style="12" customWidth="1"/>
    <col min="15882" max="15882" width="8.625" style="12" customWidth="1"/>
    <col min="15883" max="15883" width="9.25" style="12" customWidth="1"/>
    <col min="15884" max="16128" width="8" style="12" customWidth="1"/>
    <col min="16129" max="16129" width="4.625" style="12" customWidth="1"/>
    <col min="16130" max="16130" width="10.375" style="12" customWidth="1"/>
    <col min="16131" max="16131" width="12.25" style="12" customWidth="1"/>
    <col min="16132" max="16132" width="8" style="12" customWidth="1"/>
    <col min="16133" max="16133" width="4.75" style="12" customWidth="1"/>
    <col min="16134" max="16134" width="8.875" style="12" customWidth="1"/>
    <col min="16135" max="16135" width="9.25" style="12" customWidth="1"/>
    <col min="16136" max="16136" width="0.75" style="12" customWidth="1"/>
    <col min="16137" max="16137" width="9.125" style="12" customWidth="1"/>
    <col min="16138" max="16138" width="8.625" style="12" customWidth="1"/>
    <col min="16139" max="16139" width="9.25" style="12" customWidth="1"/>
    <col min="16140" max="16384" width="8" style="12" customWidth="1"/>
  </cols>
  <sheetData>
    <row r="1" spans="1:11" ht="30" customHeight="1">
      <c r="A1" s="198" t="s">
        <v>94</v>
      </c>
      <c r="B1" s="198" t="s">
        <v>36</v>
      </c>
      <c r="C1" s="198" t="s">
        <v>36</v>
      </c>
      <c r="D1" s="198" t="s">
        <v>36</v>
      </c>
      <c r="E1" s="198" t="s">
        <v>36</v>
      </c>
      <c r="F1" s="198" t="s">
        <v>36</v>
      </c>
      <c r="G1" s="198" t="s">
        <v>36</v>
      </c>
      <c r="H1" s="198" t="s">
        <v>36</v>
      </c>
      <c r="I1" s="198" t="s">
        <v>36</v>
      </c>
      <c r="J1" s="198" t="s">
        <v>36</v>
      </c>
      <c r="K1" s="198" t="s">
        <v>36</v>
      </c>
    </row>
    <row r="2" spans="1:11" ht="26.25" customHeight="1" thickBot="1">
      <c r="A2" s="199" t="s">
        <v>382</v>
      </c>
      <c r="B2" s="199" t="s">
        <v>36</v>
      </c>
      <c r="C2" s="199" t="s">
        <v>36</v>
      </c>
      <c r="D2" s="199" t="s">
        <v>36</v>
      </c>
      <c r="E2" s="199" t="s">
        <v>36</v>
      </c>
      <c r="F2" s="199" t="s">
        <v>36</v>
      </c>
      <c r="G2" s="199" t="s">
        <v>36</v>
      </c>
      <c r="H2" s="199" t="s">
        <v>36</v>
      </c>
      <c r="I2" s="200" t="s">
        <v>274</v>
      </c>
      <c r="J2" s="200" t="s">
        <v>36</v>
      </c>
      <c r="K2" s="200" t="s">
        <v>36</v>
      </c>
    </row>
    <row r="3" spans="1:11" ht="15.75" customHeight="1">
      <c r="A3" s="201" t="s">
        <v>31</v>
      </c>
      <c r="B3" s="203" t="s">
        <v>342</v>
      </c>
      <c r="C3" s="203" t="s">
        <v>96</v>
      </c>
      <c r="D3" s="203" t="s">
        <v>36</v>
      </c>
      <c r="E3" s="203" t="s">
        <v>97</v>
      </c>
      <c r="F3" s="203" t="s">
        <v>36</v>
      </c>
      <c r="G3" s="203" t="s">
        <v>98</v>
      </c>
      <c r="H3" s="203" t="s">
        <v>36</v>
      </c>
      <c r="I3" s="203" t="s">
        <v>36</v>
      </c>
      <c r="J3" s="203" t="s">
        <v>99</v>
      </c>
      <c r="K3" s="204" t="s">
        <v>36</v>
      </c>
    </row>
    <row r="4" spans="1:11" ht="15" customHeight="1">
      <c r="A4" s="202" t="s">
        <v>36</v>
      </c>
      <c r="B4" s="196" t="s">
        <v>36</v>
      </c>
      <c r="C4" s="196" t="s">
        <v>36</v>
      </c>
      <c r="D4" s="196" t="s">
        <v>36</v>
      </c>
      <c r="E4" s="67" t="s">
        <v>32</v>
      </c>
      <c r="F4" s="67" t="s">
        <v>33</v>
      </c>
      <c r="G4" s="67" t="s">
        <v>34</v>
      </c>
      <c r="H4" s="196" t="s">
        <v>100</v>
      </c>
      <c r="I4" s="196" t="s">
        <v>36</v>
      </c>
      <c r="J4" s="67" t="s">
        <v>101</v>
      </c>
      <c r="K4" s="68" t="s">
        <v>102</v>
      </c>
    </row>
    <row r="5" spans="1:11" ht="48.75" customHeight="1">
      <c r="A5" s="70">
        <v>1</v>
      </c>
      <c r="B5" s="63" t="s">
        <v>388</v>
      </c>
      <c r="C5" s="195" t="s">
        <v>389</v>
      </c>
      <c r="D5" s="195" t="s">
        <v>36</v>
      </c>
      <c r="E5" s="63" t="s">
        <v>105</v>
      </c>
      <c r="F5" s="67">
        <v>19.5</v>
      </c>
      <c r="G5" s="67">
        <v>18560.919999999998</v>
      </c>
      <c r="H5" s="196">
        <v>361937.94</v>
      </c>
      <c r="I5" s="196" t="s">
        <v>36</v>
      </c>
      <c r="J5" s="67">
        <v>69642.69</v>
      </c>
      <c r="K5" s="68">
        <v>24787.62</v>
      </c>
    </row>
    <row r="6" spans="1:11" ht="26.25" customHeight="1">
      <c r="A6" s="70">
        <v>2</v>
      </c>
      <c r="B6" s="63" t="s">
        <v>390</v>
      </c>
      <c r="C6" s="195" t="s">
        <v>391</v>
      </c>
      <c r="D6" s="195" t="s">
        <v>36</v>
      </c>
      <c r="E6" s="63" t="s">
        <v>105</v>
      </c>
      <c r="F6" s="67">
        <v>86.4</v>
      </c>
      <c r="G6" s="67">
        <v>4151.3100000000004</v>
      </c>
      <c r="H6" s="196">
        <v>358673.18</v>
      </c>
      <c r="I6" s="196" t="s">
        <v>36</v>
      </c>
      <c r="J6" s="67">
        <v>22876.99</v>
      </c>
      <c r="K6" s="68">
        <v>335796.19</v>
      </c>
    </row>
    <row r="7" spans="1:11" ht="37.5" customHeight="1">
      <c r="A7" s="70">
        <v>3</v>
      </c>
      <c r="B7" s="63" t="s">
        <v>392</v>
      </c>
      <c r="C7" s="195" t="s">
        <v>393</v>
      </c>
      <c r="D7" s="195" t="s">
        <v>36</v>
      </c>
      <c r="E7" s="63" t="s">
        <v>394</v>
      </c>
      <c r="F7" s="67">
        <v>8.64</v>
      </c>
      <c r="G7" s="67">
        <v>3266.78</v>
      </c>
      <c r="H7" s="196">
        <v>28224.98</v>
      </c>
      <c r="I7" s="196" t="s">
        <v>36</v>
      </c>
      <c r="J7" s="67">
        <v>19217.349999999999</v>
      </c>
      <c r="K7" s="68">
        <v>7106.75</v>
      </c>
    </row>
    <row r="8" spans="1:11" ht="26.25" customHeight="1">
      <c r="A8" s="70">
        <v>4</v>
      </c>
      <c r="B8" s="63" t="s">
        <v>395</v>
      </c>
      <c r="C8" s="195" t="s">
        <v>396</v>
      </c>
      <c r="D8" s="195" t="s">
        <v>36</v>
      </c>
      <c r="E8" s="63" t="s">
        <v>397</v>
      </c>
      <c r="F8" s="67">
        <v>25.92</v>
      </c>
      <c r="G8" s="67">
        <v>3553.35</v>
      </c>
      <c r="H8" s="196">
        <v>92102.83</v>
      </c>
      <c r="I8" s="196" t="s">
        <v>36</v>
      </c>
      <c r="J8" s="67">
        <v>9392.6299999999992</v>
      </c>
      <c r="K8" s="68">
        <v>81065.58</v>
      </c>
    </row>
    <row r="9" spans="1:11" ht="15" customHeight="1">
      <c r="A9" s="126" t="s">
        <v>36</v>
      </c>
      <c r="B9" s="127" t="s">
        <v>36</v>
      </c>
      <c r="C9" s="197" t="s">
        <v>381</v>
      </c>
      <c r="D9" s="197" t="s">
        <v>36</v>
      </c>
      <c r="E9" s="127" t="s">
        <v>36</v>
      </c>
      <c r="F9" s="127" t="s">
        <v>36</v>
      </c>
      <c r="G9" s="127" t="s">
        <v>36</v>
      </c>
      <c r="H9" s="197">
        <v>840938.93</v>
      </c>
      <c r="I9" s="197" t="s">
        <v>36</v>
      </c>
      <c r="J9" s="129">
        <v>121129.66</v>
      </c>
      <c r="K9" s="130">
        <v>448756.14</v>
      </c>
    </row>
    <row r="10" spans="1:11" ht="14.25" customHeight="1">
      <c r="A10" s="70" t="s">
        <v>36</v>
      </c>
      <c r="B10" s="63" t="s">
        <v>36</v>
      </c>
      <c r="C10" s="195" t="s">
        <v>36</v>
      </c>
      <c r="D10" s="195" t="s">
        <v>36</v>
      </c>
      <c r="E10" s="63" t="s">
        <v>36</v>
      </c>
      <c r="F10" s="67" t="s">
        <v>36</v>
      </c>
      <c r="G10" s="67" t="s">
        <v>36</v>
      </c>
      <c r="H10" s="196" t="s">
        <v>36</v>
      </c>
      <c r="I10" s="196" t="s">
        <v>36</v>
      </c>
      <c r="J10" s="67" t="s">
        <v>36</v>
      </c>
      <c r="K10" s="68" t="s">
        <v>36</v>
      </c>
    </row>
    <row r="11" spans="1:11" ht="14.25" customHeight="1">
      <c r="A11" s="70" t="s">
        <v>36</v>
      </c>
      <c r="B11" s="63" t="s">
        <v>36</v>
      </c>
      <c r="C11" s="195" t="s">
        <v>36</v>
      </c>
      <c r="D11" s="195" t="s">
        <v>36</v>
      </c>
      <c r="E11" s="63" t="s">
        <v>36</v>
      </c>
      <c r="F11" s="67" t="s">
        <v>36</v>
      </c>
      <c r="G11" s="67" t="s">
        <v>36</v>
      </c>
      <c r="H11" s="196" t="s">
        <v>36</v>
      </c>
      <c r="I11" s="196" t="s">
        <v>36</v>
      </c>
      <c r="J11" s="67" t="s">
        <v>36</v>
      </c>
      <c r="K11" s="68" t="s">
        <v>36</v>
      </c>
    </row>
    <row r="12" spans="1:11" ht="14.25" customHeight="1">
      <c r="A12" s="70" t="s">
        <v>36</v>
      </c>
      <c r="B12" s="63" t="s">
        <v>36</v>
      </c>
      <c r="C12" s="195" t="s">
        <v>36</v>
      </c>
      <c r="D12" s="195" t="s">
        <v>36</v>
      </c>
      <c r="E12" s="63" t="s">
        <v>36</v>
      </c>
      <c r="F12" s="67" t="s">
        <v>36</v>
      </c>
      <c r="G12" s="67" t="s">
        <v>36</v>
      </c>
      <c r="H12" s="196" t="s">
        <v>36</v>
      </c>
      <c r="I12" s="196" t="s">
        <v>36</v>
      </c>
      <c r="J12" s="67" t="s">
        <v>36</v>
      </c>
      <c r="K12" s="68" t="s">
        <v>36</v>
      </c>
    </row>
    <row r="13" spans="1:11" ht="14.25" customHeight="1">
      <c r="A13" s="70" t="s">
        <v>36</v>
      </c>
      <c r="B13" s="63" t="s">
        <v>36</v>
      </c>
      <c r="C13" s="195" t="s">
        <v>36</v>
      </c>
      <c r="D13" s="195" t="s">
        <v>36</v>
      </c>
      <c r="E13" s="63" t="s">
        <v>36</v>
      </c>
      <c r="F13" s="67" t="s">
        <v>36</v>
      </c>
      <c r="G13" s="67" t="s">
        <v>36</v>
      </c>
      <c r="H13" s="196" t="s">
        <v>36</v>
      </c>
      <c r="I13" s="196" t="s">
        <v>36</v>
      </c>
      <c r="J13" s="67" t="s">
        <v>36</v>
      </c>
      <c r="K13" s="68" t="s">
        <v>36</v>
      </c>
    </row>
    <row r="14" spans="1:11" ht="14.25" customHeight="1">
      <c r="A14" s="70" t="s">
        <v>36</v>
      </c>
      <c r="B14" s="63" t="s">
        <v>36</v>
      </c>
      <c r="C14" s="195" t="s">
        <v>36</v>
      </c>
      <c r="D14" s="195" t="s">
        <v>36</v>
      </c>
      <c r="E14" s="63" t="s">
        <v>36</v>
      </c>
      <c r="F14" s="67" t="s">
        <v>36</v>
      </c>
      <c r="G14" s="67" t="s">
        <v>36</v>
      </c>
      <c r="H14" s="196" t="s">
        <v>36</v>
      </c>
      <c r="I14" s="196" t="s">
        <v>36</v>
      </c>
      <c r="J14" s="67" t="s">
        <v>36</v>
      </c>
      <c r="K14" s="68" t="s">
        <v>36</v>
      </c>
    </row>
    <row r="15" spans="1:11" ht="14.25" customHeight="1">
      <c r="A15" s="70" t="s">
        <v>36</v>
      </c>
      <c r="B15" s="63" t="s">
        <v>36</v>
      </c>
      <c r="C15" s="195" t="s">
        <v>36</v>
      </c>
      <c r="D15" s="195" t="s">
        <v>36</v>
      </c>
      <c r="E15" s="63" t="s">
        <v>36</v>
      </c>
      <c r="F15" s="67" t="s">
        <v>36</v>
      </c>
      <c r="G15" s="67" t="s">
        <v>36</v>
      </c>
      <c r="H15" s="196" t="s">
        <v>36</v>
      </c>
      <c r="I15" s="196" t="s">
        <v>36</v>
      </c>
      <c r="J15" s="67" t="s">
        <v>36</v>
      </c>
      <c r="K15" s="68" t="s">
        <v>36</v>
      </c>
    </row>
    <row r="16" spans="1:11" ht="14.25" customHeight="1">
      <c r="A16" s="70" t="s">
        <v>36</v>
      </c>
      <c r="B16" s="63" t="s">
        <v>36</v>
      </c>
      <c r="C16" s="195" t="s">
        <v>36</v>
      </c>
      <c r="D16" s="195" t="s">
        <v>36</v>
      </c>
      <c r="E16" s="63" t="s">
        <v>36</v>
      </c>
      <c r="F16" s="67" t="s">
        <v>36</v>
      </c>
      <c r="G16" s="67" t="s">
        <v>36</v>
      </c>
      <c r="H16" s="196" t="s">
        <v>36</v>
      </c>
      <c r="I16" s="196" t="s">
        <v>36</v>
      </c>
      <c r="J16" s="67" t="s">
        <v>36</v>
      </c>
      <c r="K16" s="68" t="s">
        <v>36</v>
      </c>
    </row>
    <row r="17" spans="1:11" ht="14.25" customHeight="1">
      <c r="A17" s="70" t="s">
        <v>36</v>
      </c>
      <c r="B17" s="63" t="s">
        <v>36</v>
      </c>
      <c r="C17" s="195" t="s">
        <v>36</v>
      </c>
      <c r="D17" s="195" t="s">
        <v>36</v>
      </c>
      <c r="E17" s="63" t="s">
        <v>36</v>
      </c>
      <c r="F17" s="67" t="s">
        <v>36</v>
      </c>
      <c r="G17" s="67" t="s">
        <v>36</v>
      </c>
      <c r="H17" s="196" t="s">
        <v>36</v>
      </c>
      <c r="I17" s="196" t="s">
        <v>36</v>
      </c>
      <c r="J17" s="67" t="s">
        <v>36</v>
      </c>
      <c r="K17" s="68" t="s">
        <v>36</v>
      </c>
    </row>
    <row r="18" spans="1:11" ht="14.25" customHeight="1">
      <c r="A18" s="70" t="s">
        <v>36</v>
      </c>
      <c r="B18" s="63" t="s">
        <v>36</v>
      </c>
      <c r="C18" s="195" t="s">
        <v>36</v>
      </c>
      <c r="D18" s="195" t="s">
        <v>36</v>
      </c>
      <c r="E18" s="63" t="s">
        <v>36</v>
      </c>
      <c r="F18" s="67" t="s">
        <v>36</v>
      </c>
      <c r="G18" s="67" t="s">
        <v>36</v>
      </c>
      <c r="H18" s="196" t="s">
        <v>36</v>
      </c>
      <c r="I18" s="196" t="s">
        <v>36</v>
      </c>
      <c r="J18" s="67" t="s">
        <v>36</v>
      </c>
      <c r="K18" s="68" t="s">
        <v>36</v>
      </c>
    </row>
    <row r="19" spans="1:11" ht="14.25" customHeight="1">
      <c r="A19" s="70" t="s">
        <v>36</v>
      </c>
      <c r="B19" s="63" t="s">
        <v>36</v>
      </c>
      <c r="C19" s="195" t="s">
        <v>36</v>
      </c>
      <c r="D19" s="195" t="s">
        <v>36</v>
      </c>
      <c r="E19" s="63" t="s">
        <v>36</v>
      </c>
      <c r="F19" s="67" t="s">
        <v>36</v>
      </c>
      <c r="G19" s="67" t="s">
        <v>36</v>
      </c>
      <c r="H19" s="196" t="s">
        <v>36</v>
      </c>
      <c r="I19" s="196" t="s">
        <v>36</v>
      </c>
      <c r="J19" s="67" t="s">
        <v>36</v>
      </c>
      <c r="K19" s="68" t="s">
        <v>36</v>
      </c>
    </row>
    <row r="20" spans="1:11" ht="14.25" customHeight="1">
      <c r="A20" s="70" t="s">
        <v>36</v>
      </c>
      <c r="B20" s="63" t="s">
        <v>36</v>
      </c>
      <c r="C20" s="195" t="s">
        <v>36</v>
      </c>
      <c r="D20" s="195" t="s">
        <v>36</v>
      </c>
      <c r="E20" s="63" t="s">
        <v>36</v>
      </c>
      <c r="F20" s="67" t="s">
        <v>36</v>
      </c>
      <c r="G20" s="67" t="s">
        <v>36</v>
      </c>
      <c r="H20" s="196" t="s">
        <v>36</v>
      </c>
      <c r="I20" s="196" t="s">
        <v>36</v>
      </c>
      <c r="J20" s="67" t="s">
        <v>36</v>
      </c>
      <c r="K20" s="68" t="s">
        <v>36</v>
      </c>
    </row>
    <row r="21" spans="1:11" ht="14.25" customHeight="1">
      <c r="A21" s="70" t="s">
        <v>36</v>
      </c>
      <c r="B21" s="63" t="s">
        <v>36</v>
      </c>
      <c r="C21" s="195" t="s">
        <v>36</v>
      </c>
      <c r="D21" s="195" t="s">
        <v>36</v>
      </c>
      <c r="E21" s="63" t="s">
        <v>36</v>
      </c>
      <c r="F21" s="67" t="s">
        <v>36</v>
      </c>
      <c r="G21" s="67" t="s">
        <v>36</v>
      </c>
      <c r="H21" s="196" t="s">
        <v>36</v>
      </c>
      <c r="I21" s="196" t="s">
        <v>36</v>
      </c>
      <c r="J21" s="67" t="s">
        <v>36</v>
      </c>
      <c r="K21" s="68" t="s">
        <v>36</v>
      </c>
    </row>
    <row r="22" spans="1:11" ht="14.25" customHeight="1">
      <c r="A22" s="70" t="s">
        <v>36</v>
      </c>
      <c r="B22" s="63" t="s">
        <v>36</v>
      </c>
      <c r="C22" s="195" t="s">
        <v>36</v>
      </c>
      <c r="D22" s="195" t="s">
        <v>36</v>
      </c>
      <c r="E22" s="63" t="s">
        <v>36</v>
      </c>
      <c r="F22" s="67" t="s">
        <v>36</v>
      </c>
      <c r="G22" s="67" t="s">
        <v>36</v>
      </c>
      <c r="H22" s="196" t="s">
        <v>36</v>
      </c>
      <c r="I22" s="196" t="s">
        <v>36</v>
      </c>
      <c r="J22" s="67" t="s">
        <v>36</v>
      </c>
      <c r="K22" s="68" t="s">
        <v>36</v>
      </c>
    </row>
    <row r="23" spans="1:11" ht="14.25" customHeight="1">
      <c r="A23" s="70" t="s">
        <v>36</v>
      </c>
      <c r="B23" s="63" t="s">
        <v>36</v>
      </c>
      <c r="C23" s="195" t="s">
        <v>36</v>
      </c>
      <c r="D23" s="195" t="s">
        <v>36</v>
      </c>
      <c r="E23" s="63" t="s">
        <v>36</v>
      </c>
      <c r="F23" s="67" t="s">
        <v>36</v>
      </c>
      <c r="G23" s="67" t="s">
        <v>36</v>
      </c>
      <c r="H23" s="196" t="s">
        <v>36</v>
      </c>
      <c r="I23" s="196" t="s">
        <v>36</v>
      </c>
      <c r="J23" s="67" t="s">
        <v>36</v>
      </c>
      <c r="K23" s="68" t="s">
        <v>36</v>
      </c>
    </row>
    <row r="24" spans="1:11" ht="14.25" customHeight="1">
      <c r="A24" s="70" t="s">
        <v>36</v>
      </c>
      <c r="B24" s="63" t="s">
        <v>36</v>
      </c>
      <c r="C24" s="195" t="s">
        <v>36</v>
      </c>
      <c r="D24" s="195" t="s">
        <v>36</v>
      </c>
      <c r="E24" s="63" t="s">
        <v>36</v>
      </c>
      <c r="F24" s="67" t="s">
        <v>36</v>
      </c>
      <c r="G24" s="67" t="s">
        <v>36</v>
      </c>
      <c r="H24" s="196" t="s">
        <v>36</v>
      </c>
      <c r="I24" s="196" t="s">
        <v>36</v>
      </c>
      <c r="J24" s="67" t="s">
        <v>36</v>
      </c>
      <c r="K24" s="68" t="s">
        <v>36</v>
      </c>
    </row>
    <row r="25" spans="1:11" ht="14.25" customHeight="1">
      <c r="A25" s="70" t="s">
        <v>36</v>
      </c>
      <c r="B25" s="63" t="s">
        <v>36</v>
      </c>
      <c r="C25" s="195" t="s">
        <v>36</v>
      </c>
      <c r="D25" s="195" t="s">
        <v>36</v>
      </c>
      <c r="E25" s="63" t="s">
        <v>36</v>
      </c>
      <c r="F25" s="67" t="s">
        <v>36</v>
      </c>
      <c r="G25" s="67" t="s">
        <v>36</v>
      </c>
      <c r="H25" s="196" t="s">
        <v>36</v>
      </c>
      <c r="I25" s="196" t="s">
        <v>36</v>
      </c>
      <c r="J25" s="67" t="s">
        <v>36</v>
      </c>
      <c r="K25" s="68" t="s">
        <v>36</v>
      </c>
    </row>
    <row r="26" spans="1:11" ht="14.25" customHeight="1">
      <c r="A26" s="70" t="s">
        <v>36</v>
      </c>
      <c r="B26" s="63" t="s">
        <v>36</v>
      </c>
      <c r="C26" s="195" t="s">
        <v>36</v>
      </c>
      <c r="D26" s="195" t="s">
        <v>36</v>
      </c>
      <c r="E26" s="63" t="s">
        <v>36</v>
      </c>
      <c r="F26" s="67" t="s">
        <v>36</v>
      </c>
      <c r="G26" s="67" t="s">
        <v>36</v>
      </c>
      <c r="H26" s="196" t="s">
        <v>36</v>
      </c>
      <c r="I26" s="196" t="s">
        <v>36</v>
      </c>
      <c r="J26" s="67" t="s">
        <v>36</v>
      </c>
      <c r="K26" s="68" t="s">
        <v>36</v>
      </c>
    </row>
    <row r="27" spans="1:11" ht="14.25" customHeight="1">
      <c r="A27" s="70" t="s">
        <v>36</v>
      </c>
      <c r="B27" s="63" t="s">
        <v>36</v>
      </c>
      <c r="C27" s="195" t="s">
        <v>36</v>
      </c>
      <c r="D27" s="195" t="s">
        <v>36</v>
      </c>
      <c r="E27" s="63" t="s">
        <v>36</v>
      </c>
      <c r="F27" s="67" t="s">
        <v>36</v>
      </c>
      <c r="G27" s="67" t="s">
        <v>36</v>
      </c>
      <c r="H27" s="196" t="s">
        <v>36</v>
      </c>
      <c r="I27" s="196" t="s">
        <v>36</v>
      </c>
      <c r="J27" s="67" t="s">
        <v>36</v>
      </c>
      <c r="K27" s="68" t="s">
        <v>36</v>
      </c>
    </row>
    <row r="28" spans="1:11" ht="14.25" customHeight="1">
      <c r="A28" s="70" t="s">
        <v>36</v>
      </c>
      <c r="B28" s="63" t="s">
        <v>36</v>
      </c>
      <c r="C28" s="195" t="s">
        <v>36</v>
      </c>
      <c r="D28" s="195" t="s">
        <v>36</v>
      </c>
      <c r="E28" s="63" t="s">
        <v>36</v>
      </c>
      <c r="F28" s="67" t="s">
        <v>36</v>
      </c>
      <c r="G28" s="67" t="s">
        <v>36</v>
      </c>
      <c r="H28" s="196" t="s">
        <v>36</v>
      </c>
      <c r="I28" s="196" t="s">
        <v>36</v>
      </c>
      <c r="J28" s="67" t="s">
        <v>36</v>
      </c>
      <c r="K28" s="68" t="s">
        <v>36</v>
      </c>
    </row>
    <row r="29" spans="1:11" ht="14.25" customHeight="1">
      <c r="A29" s="70" t="s">
        <v>36</v>
      </c>
      <c r="B29" s="63" t="s">
        <v>36</v>
      </c>
      <c r="C29" s="195" t="s">
        <v>36</v>
      </c>
      <c r="D29" s="195" t="s">
        <v>36</v>
      </c>
      <c r="E29" s="63" t="s">
        <v>36</v>
      </c>
      <c r="F29" s="67" t="s">
        <v>36</v>
      </c>
      <c r="G29" s="67" t="s">
        <v>36</v>
      </c>
      <c r="H29" s="196" t="s">
        <v>36</v>
      </c>
      <c r="I29" s="196" t="s">
        <v>36</v>
      </c>
      <c r="J29" s="67" t="s">
        <v>36</v>
      </c>
      <c r="K29" s="68" t="s">
        <v>36</v>
      </c>
    </row>
    <row r="30" spans="1:11" ht="14.25" customHeight="1">
      <c r="A30" s="70" t="s">
        <v>36</v>
      </c>
      <c r="B30" s="63" t="s">
        <v>36</v>
      </c>
      <c r="C30" s="195" t="s">
        <v>36</v>
      </c>
      <c r="D30" s="195" t="s">
        <v>36</v>
      </c>
      <c r="E30" s="63" t="s">
        <v>36</v>
      </c>
      <c r="F30" s="67" t="s">
        <v>36</v>
      </c>
      <c r="G30" s="67" t="s">
        <v>36</v>
      </c>
      <c r="H30" s="196" t="s">
        <v>36</v>
      </c>
      <c r="I30" s="196" t="s">
        <v>36</v>
      </c>
      <c r="J30" s="67" t="s">
        <v>36</v>
      </c>
      <c r="K30" s="68" t="s">
        <v>36</v>
      </c>
    </row>
    <row r="31" spans="1:11" ht="14.25" customHeight="1">
      <c r="A31" s="70" t="s">
        <v>36</v>
      </c>
      <c r="B31" s="63" t="s">
        <v>36</v>
      </c>
      <c r="C31" s="195" t="s">
        <v>36</v>
      </c>
      <c r="D31" s="195" t="s">
        <v>36</v>
      </c>
      <c r="E31" s="63" t="s">
        <v>36</v>
      </c>
      <c r="F31" s="67" t="s">
        <v>36</v>
      </c>
      <c r="G31" s="67" t="s">
        <v>36</v>
      </c>
      <c r="H31" s="196" t="s">
        <v>36</v>
      </c>
      <c r="I31" s="196" t="s">
        <v>36</v>
      </c>
      <c r="J31" s="67" t="s">
        <v>36</v>
      </c>
      <c r="K31" s="68" t="s">
        <v>36</v>
      </c>
    </row>
    <row r="32" spans="1:11" ht="14.25" customHeight="1">
      <c r="A32" s="70" t="s">
        <v>36</v>
      </c>
      <c r="B32" s="63" t="s">
        <v>36</v>
      </c>
      <c r="C32" s="195" t="s">
        <v>36</v>
      </c>
      <c r="D32" s="195" t="s">
        <v>36</v>
      </c>
      <c r="E32" s="63" t="s">
        <v>36</v>
      </c>
      <c r="F32" s="67" t="s">
        <v>36</v>
      </c>
      <c r="G32" s="67" t="s">
        <v>36</v>
      </c>
      <c r="H32" s="196" t="s">
        <v>36</v>
      </c>
      <c r="I32" s="196" t="s">
        <v>36</v>
      </c>
      <c r="J32" s="67" t="s">
        <v>36</v>
      </c>
      <c r="K32" s="68" t="s">
        <v>36</v>
      </c>
    </row>
    <row r="33" spans="1:11" ht="14.25" customHeight="1">
      <c r="A33" s="70" t="s">
        <v>36</v>
      </c>
      <c r="B33" s="63" t="s">
        <v>36</v>
      </c>
      <c r="C33" s="195" t="s">
        <v>36</v>
      </c>
      <c r="D33" s="195" t="s">
        <v>36</v>
      </c>
      <c r="E33" s="63" t="s">
        <v>36</v>
      </c>
      <c r="F33" s="67" t="s">
        <v>36</v>
      </c>
      <c r="G33" s="67" t="s">
        <v>36</v>
      </c>
      <c r="H33" s="196" t="s">
        <v>36</v>
      </c>
      <c r="I33" s="196" t="s">
        <v>36</v>
      </c>
      <c r="J33" s="67" t="s">
        <v>36</v>
      </c>
      <c r="K33" s="68" t="s">
        <v>36</v>
      </c>
    </row>
    <row r="34" spans="1:11" ht="14.25" customHeight="1">
      <c r="A34" s="70" t="s">
        <v>36</v>
      </c>
      <c r="B34" s="63" t="s">
        <v>36</v>
      </c>
      <c r="C34" s="195" t="s">
        <v>36</v>
      </c>
      <c r="D34" s="195" t="s">
        <v>36</v>
      </c>
      <c r="E34" s="63" t="s">
        <v>36</v>
      </c>
      <c r="F34" s="67" t="s">
        <v>36</v>
      </c>
      <c r="G34" s="67" t="s">
        <v>36</v>
      </c>
      <c r="H34" s="196" t="s">
        <v>36</v>
      </c>
      <c r="I34" s="196" t="s">
        <v>36</v>
      </c>
      <c r="J34" s="67" t="s">
        <v>36</v>
      </c>
      <c r="K34" s="68" t="s">
        <v>36</v>
      </c>
    </row>
    <row r="35" spans="1:11" ht="14.25" customHeight="1">
      <c r="A35" s="70" t="s">
        <v>36</v>
      </c>
      <c r="B35" s="63" t="s">
        <v>36</v>
      </c>
      <c r="C35" s="195" t="s">
        <v>36</v>
      </c>
      <c r="D35" s="195" t="s">
        <v>36</v>
      </c>
      <c r="E35" s="63" t="s">
        <v>36</v>
      </c>
      <c r="F35" s="67" t="s">
        <v>36</v>
      </c>
      <c r="G35" s="67" t="s">
        <v>36</v>
      </c>
      <c r="H35" s="196" t="s">
        <v>36</v>
      </c>
      <c r="I35" s="196" t="s">
        <v>36</v>
      </c>
      <c r="J35" s="67" t="s">
        <v>36</v>
      </c>
      <c r="K35" s="68" t="s">
        <v>36</v>
      </c>
    </row>
    <row r="36" spans="1:11" ht="14.25" customHeight="1">
      <c r="A36" s="70" t="s">
        <v>36</v>
      </c>
      <c r="B36" s="63" t="s">
        <v>36</v>
      </c>
      <c r="C36" s="195" t="s">
        <v>36</v>
      </c>
      <c r="D36" s="195" t="s">
        <v>36</v>
      </c>
      <c r="E36" s="63" t="s">
        <v>36</v>
      </c>
      <c r="F36" s="67" t="s">
        <v>36</v>
      </c>
      <c r="G36" s="67" t="s">
        <v>36</v>
      </c>
      <c r="H36" s="196" t="s">
        <v>36</v>
      </c>
      <c r="I36" s="196" t="s">
        <v>36</v>
      </c>
      <c r="J36" s="67" t="s">
        <v>36</v>
      </c>
      <c r="K36" s="68" t="s">
        <v>36</v>
      </c>
    </row>
    <row r="37" spans="1:11" ht="14.25" customHeight="1">
      <c r="A37" s="70" t="s">
        <v>36</v>
      </c>
      <c r="B37" s="63" t="s">
        <v>36</v>
      </c>
      <c r="C37" s="195" t="s">
        <v>36</v>
      </c>
      <c r="D37" s="195" t="s">
        <v>36</v>
      </c>
      <c r="E37" s="63" t="s">
        <v>36</v>
      </c>
      <c r="F37" s="67" t="s">
        <v>36</v>
      </c>
      <c r="G37" s="67" t="s">
        <v>36</v>
      </c>
      <c r="H37" s="196" t="s">
        <v>36</v>
      </c>
      <c r="I37" s="196" t="s">
        <v>36</v>
      </c>
      <c r="J37" s="67" t="s">
        <v>36</v>
      </c>
      <c r="K37" s="68" t="s">
        <v>36</v>
      </c>
    </row>
    <row r="38" spans="1:11" ht="14.25" customHeight="1">
      <c r="A38" s="70" t="s">
        <v>36</v>
      </c>
      <c r="B38" s="63" t="s">
        <v>36</v>
      </c>
      <c r="C38" s="195" t="s">
        <v>36</v>
      </c>
      <c r="D38" s="195" t="s">
        <v>36</v>
      </c>
      <c r="E38" s="63" t="s">
        <v>36</v>
      </c>
      <c r="F38" s="67" t="s">
        <v>36</v>
      </c>
      <c r="G38" s="67" t="s">
        <v>36</v>
      </c>
      <c r="H38" s="196" t="s">
        <v>36</v>
      </c>
      <c r="I38" s="196" t="s">
        <v>36</v>
      </c>
      <c r="J38" s="67" t="s">
        <v>36</v>
      </c>
      <c r="K38" s="68" t="s">
        <v>36</v>
      </c>
    </row>
    <row r="39" spans="1:11" ht="14.25" customHeight="1">
      <c r="A39" s="70" t="s">
        <v>36</v>
      </c>
      <c r="B39" s="63" t="s">
        <v>36</v>
      </c>
      <c r="C39" s="195" t="s">
        <v>36</v>
      </c>
      <c r="D39" s="195" t="s">
        <v>36</v>
      </c>
      <c r="E39" s="63" t="s">
        <v>36</v>
      </c>
      <c r="F39" s="67" t="s">
        <v>36</v>
      </c>
      <c r="G39" s="67" t="s">
        <v>36</v>
      </c>
      <c r="H39" s="196" t="s">
        <v>36</v>
      </c>
      <c r="I39" s="196" t="s">
        <v>36</v>
      </c>
      <c r="J39" s="67" t="s">
        <v>36</v>
      </c>
      <c r="K39" s="68" t="s">
        <v>36</v>
      </c>
    </row>
    <row r="40" spans="1:11" ht="14.25" customHeight="1">
      <c r="A40" s="70" t="s">
        <v>36</v>
      </c>
      <c r="B40" s="63" t="s">
        <v>36</v>
      </c>
      <c r="C40" s="195" t="s">
        <v>36</v>
      </c>
      <c r="D40" s="195" t="s">
        <v>36</v>
      </c>
      <c r="E40" s="63" t="s">
        <v>36</v>
      </c>
      <c r="F40" s="67" t="s">
        <v>36</v>
      </c>
      <c r="G40" s="67" t="s">
        <v>36</v>
      </c>
      <c r="H40" s="196" t="s">
        <v>36</v>
      </c>
      <c r="I40" s="196" t="s">
        <v>36</v>
      </c>
      <c r="J40" s="67" t="s">
        <v>36</v>
      </c>
      <c r="K40" s="68" t="s">
        <v>36</v>
      </c>
    </row>
    <row r="41" spans="1:11" ht="14.25" customHeight="1">
      <c r="A41" s="70" t="s">
        <v>36</v>
      </c>
      <c r="B41" s="63" t="s">
        <v>36</v>
      </c>
      <c r="C41" s="195" t="s">
        <v>36</v>
      </c>
      <c r="D41" s="195" t="s">
        <v>36</v>
      </c>
      <c r="E41" s="63" t="s">
        <v>36</v>
      </c>
      <c r="F41" s="67" t="s">
        <v>36</v>
      </c>
      <c r="G41" s="67" t="s">
        <v>36</v>
      </c>
      <c r="H41" s="196" t="s">
        <v>36</v>
      </c>
      <c r="I41" s="196" t="s">
        <v>36</v>
      </c>
      <c r="J41" s="67" t="s">
        <v>36</v>
      </c>
      <c r="K41" s="68" t="s">
        <v>36</v>
      </c>
    </row>
    <row r="42" spans="1:11" ht="14.25" customHeight="1">
      <c r="A42" s="70" t="s">
        <v>36</v>
      </c>
      <c r="B42" s="63" t="s">
        <v>36</v>
      </c>
      <c r="C42" s="195" t="s">
        <v>36</v>
      </c>
      <c r="D42" s="195" t="s">
        <v>36</v>
      </c>
      <c r="E42" s="63" t="s">
        <v>36</v>
      </c>
      <c r="F42" s="67" t="s">
        <v>36</v>
      </c>
      <c r="G42" s="67" t="s">
        <v>36</v>
      </c>
      <c r="H42" s="196" t="s">
        <v>36</v>
      </c>
      <c r="I42" s="196" t="s">
        <v>36</v>
      </c>
      <c r="J42" s="67" t="s">
        <v>36</v>
      </c>
      <c r="K42" s="68" t="s">
        <v>36</v>
      </c>
    </row>
    <row r="43" spans="1:11" ht="15" customHeight="1">
      <c r="A43" s="17" t="s">
        <v>36</v>
      </c>
      <c r="B43" s="63" t="s">
        <v>36</v>
      </c>
      <c r="C43" s="197" t="s">
        <v>35</v>
      </c>
      <c r="D43" s="197" t="s">
        <v>36</v>
      </c>
      <c r="E43" s="63" t="s">
        <v>36</v>
      </c>
      <c r="F43" s="63" t="s">
        <v>36</v>
      </c>
      <c r="G43" s="63" t="s">
        <v>36</v>
      </c>
      <c r="H43" s="197">
        <v>840938.93</v>
      </c>
      <c r="I43" s="197" t="s">
        <v>36</v>
      </c>
      <c r="J43" s="129">
        <v>121129.66</v>
      </c>
      <c r="K43" s="130">
        <v>448756.14</v>
      </c>
    </row>
    <row r="44" spans="1:11" ht="15" customHeight="1" thickBot="1">
      <c r="A44" s="18" t="s">
        <v>36</v>
      </c>
      <c r="B44" s="62" t="s">
        <v>36</v>
      </c>
      <c r="C44" s="194" t="s">
        <v>137</v>
      </c>
      <c r="D44" s="194" t="s">
        <v>36</v>
      </c>
      <c r="E44" s="62" t="s">
        <v>36</v>
      </c>
      <c r="F44" s="62" t="s">
        <v>36</v>
      </c>
      <c r="G44" s="62" t="s">
        <v>36</v>
      </c>
      <c r="H44" s="194">
        <v>840938.93</v>
      </c>
      <c r="I44" s="194" t="s">
        <v>36</v>
      </c>
      <c r="J44" s="131">
        <v>121129.66</v>
      </c>
      <c r="K44" s="132">
        <v>448756.14</v>
      </c>
    </row>
  </sheetData>
  <mergeCells count="90">
    <mergeCell ref="A1:K1"/>
    <mergeCell ref="A2:H2"/>
    <mergeCell ref="I2:K2"/>
    <mergeCell ref="A3:A4"/>
    <mergeCell ref="B3:B4"/>
    <mergeCell ref="C3:D4"/>
    <mergeCell ref="E3:F3"/>
    <mergeCell ref="G3:I3"/>
    <mergeCell ref="J3:K3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C23:D23"/>
    <mergeCell ref="H23:I23"/>
    <mergeCell ref="C24:D24"/>
    <mergeCell ref="H24:I24"/>
    <mergeCell ref="C25:D25"/>
    <mergeCell ref="H25:I25"/>
    <mergeCell ref="C26:D26"/>
    <mergeCell ref="H26:I26"/>
    <mergeCell ref="C27:D27"/>
    <mergeCell ref="H27:I27"/>
    <mergeCell ref="C28:D28"/>
    <mergeCell ref="H28:I28"/>
    <mergeCell ref="C29:D29"/>
    <mergeCell ref="H29:I29"/>
    <mergeCell ref="C30:D30"/>
    <mergeCell ref="H30:I30"/>
    <mergeCell ref="C31:D31"/>
    <mergeCell ref="H31:I31"/>
    <mergeCell ref="C32:D32"/>
    <mergeCell ref="H32:I32"/>
    <mergeCell ref="C33:D33"/>
    <mergeCell ref="H33:I33"/>
    <mergeCell ref="C34:D34"/>
    <mergeCell ref="H34:I34"/>
    <mergeCell ref="C35:D35"/>
    <mergeCell ref="H35:I35"/>
    <mergeCell ref="C36:D36"/>
    <mergeCell ref="H36:I36"/>
    <mergeCell ref="C37:D37"/>
    <mergeCell ref="H37:I37"/>
    <mergeCell ref="C38:D38"/>
    <mergeCell ref="H38:I38"/>
    <mergeCell ref="C39:D39"/>
    <mergeCell ref="H39:I39"/>
    <mergeCell ref="C40:D40"/>
    <mergeCell ref="H40:I40"/>
    <mergeCell ref="C44:D44"/>
    <mergeCell ref="H44:I44"/>
    <mergeCell ref="C41:D41"/>
    <mergeCell ref="H41:I41"/>
    <mergeCell ref="C42:D42"/>
    <mergeCell ref="H42:I42"/>
    <mergeCell ref="C43:D43"/>
    <mergeCell ref="H43:I43"/>
  </mergeCells>
  <phoneticPr fontId="1" type="noConversion"/>
  <pageMargins left="0.51475000000000004" right="0.51475000000000004" top="0.59375" bottom="0.59375" header="0.59375" footer="0.59375"/>
  <pageSetup paperSize="9" orientation="portrait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43"/>
  <sheetViews>
    <sheetView topLeftCell="A16" workbookViewId="0">
      <selection activeCell="H24" sqref="H24"/>
    </sheetView>
  </sheetViews>
  <sheetFormatPr defaultRowHeight="11.25"/>
  <cols>
    <col min="1" max="1" width="8.25" style="12" customWidth="1"/>
    <col min="2" max="2" width="20.5" style="12" customWidth="1"/>
    <col min="3" max="3" width="5.125" style="12" customWidth="1"/>
    <col min="4" max="4" width="23.625" style="12" customWidth="1"/>
    <col min="5" max="5" width="3.625" style="12" customWidth="1"/>
    <col min="6" max="6" width="8.75" style="12" customWidth="1"/>
    <col min="7" max="7" width="14.875" style="12" customWidth="1"/>
    <col min="8" max="256" width="8" style="12" customWidth="1"/>
    <col min="257" max="257" width="8.25" style="12" customWidth="1"/>
    <col min="258" max="258" width="20.5" style="12" customWidth="1"/>
    <col min="259" max="259" width="5.125" style="12" customWidth="1"/>
    <col min="260" max="260" width="23.625" style="12" customWidth="1"/>
    <col min="261" max="261" width="3.625" style="12" customWidth="1"/>
    <col min="262" max="262" width="8.75" style="12" customWidth="1"/>
    <col min="263" max="263" width="14.875" style="12" customWidth="1"/>
    <col min="264" max="512" width="8" style="12" customWidth="1"/>
    <col min="513" max="513" width="8.25" style="12" customWidth="1"/>
    <col min="514" max="514" width="20.5" style="12" customWidth="1"/>
    <col min="515" max="515" width="5.125" style="12" customWidth="1"/>
    <col min="516" max="516" width="23.625" style="12" customWidth="1"/>
    <col min="517" max="517" width="3.625" style="12" customWidth="1"/>
    <col min="518" max="518" width="8.75" style="12" customWidth="1"/>
    <col min="519" max="519" width="14.875" style="12" customWidth="1"/>
    <col min="520" max="768" width="8" style="12" customWidth="1"/>
    <col min="769" max="769" width="8.25" style="12" customWidth="1"/>
    <col min="770" max="770" width="20.5" style="12" customWidth="1"/>
    <col min="771" max="771" width="5.125" style="12" customWidth="1"/>
    <col min="772" max="772" width="23.625" style="12" customWidth="1"/>
    <col min="773" max="773" width="3.625" style="12" customWidth="1"/>
    <col min="774" max="774" width="8.75" style="12" customWidth="1"/>
    <col min="775" max="775" width="14.875" style="12" customWidth="1"/>
    <col min="776" max="1024" width="8" style="12" customWidth="1"/>
    <col min="1025" max="1025" width="8.25" style="12" customWidth="1"/>
    <col min="1026" max="1026" width="20.5" style="12" customWidth="1"/>
    <col min="1027" max="1027" width="5.125" style="12" customWidth="1"/>
    <col min="1028" max="1028" width="23.625" style="12" customWidth="1"/>
    <col min="1029" max="1029" width="3.625" style="12" customWidth="1"/>
    <col min="1030" max="1030" width="8.75" style="12" customWidth="1"/>
    <col min="1031" max="1031" width="14.875" style="12" customWidth="1"/>
    <col min="1032" max="1280" width="8" style="12" customWidth="1"/>
    <col min="1281" max="1281" width="8.25" style="12" customWidth="1"/>
    <col min="1282" max="1282" width="20.5" style="12" customWidth="1"/>
    <col min="1283" max="1283" width="5.125" style="12" customWidth="1"/>
    <col min="1284" max="1284" width="23.625" style="12" customWidth="1"/>
    <col min="1285" max="1285" width="3.625" style="12" customWidth="1"/>
    <col min="1286" max="1286" width="8.75" style="12" customWidth="1"/>
    <col min="1287" max="1287" width="14.875" style="12" customWidth="1"/>
    <col min="1288" max="1536" width="8" style="12" customWidth="1"/>
    <col min="1537" max="1537" width="8.25" style="12" customWidth="1"/>
    <col min="1538" max="1538" width="20.5" style="12" customWidth="1"/>
    <col min="1539" max="1539" width="5.125" style="12" customWidth="1"/>
    <col min="1540" max="1540" width="23.625" style="12" customWidth="1"/>
    <col min="1541" max="1541" width="3.625" style="12" customWidth="1"/>
    <col min="1542" max="1542" width="8.75" style="12" customWidth="1"/>
    <col min="1543" max="1543" width="14.875" style="12" customWidth="1"/>
    <col min="1544" max="1792" width="8" style="12" customWidth="1"/>
    <col min="1793" max="1793" width="8.25" style="12" customWidth="1"/>
    <col min="1794" max="1794" width="20.5" style="12" customWidth="1"/>
    <col min="1795" max="1795" width="5.125" style="12" customWidth="1"/>
    <col min="1796" max="1796" width="23.625" style="12" customWidth="1"/>
    <col min="1797" max="1797" width="3.625" style="12" customWidth="1"/>
    <col min="1798" max="1798" width="8.75" style="12" customWidth="1"/>
    <col min="1799" max="1799" width="14.875" style="12" customWidth="1"/>
    <col min="1800" max="2048" width="8" style="12" customWidth="1"/>
    <col min="2049" max="2049" width="8.25" style="12" customWidth="1"/>
    <col min="2050" max="2050" width="20.5" style="12" customWidth="1"/>
    <col min="2051" max="2051" width="5.125" style="12" customWidth="1"/>
    <col min="2052" max="2052" width="23.625" style="12" customWidth="1"/>
    <col min="2053" max="2053" width="3.625" style="12" customWidth="1"/>
    <col min="2054" max="2054" width="8.75" style="12" customWidth="1"/>
    <col min="2055" max="2055" width="14.875" style="12" customWidth="1"/>
    <col min="2056" max="2304" width="8" style="12" customWidth="1"/>
    <col min="2305" max="2305" width="8.25" style="12" customWidth="1"/>
    <col min="2306" max="2306" width="20.5" style="12" customWidth="1"/>
    <col min="2307" max="2307" width="5.125" style="12" customWidth="1"/>
    <col min="2308" max="2308" width="23.625" style="12" customWidth="1"/>
    <col min="2309" max="2309" width="3.625" style="12" customWidth="1"/>
    <col min="2310" max="2310" width="8.75" style="12" customWidth="1"/>
    <col min="2311" max="2311" width="14.875" style="12" customWidth="1"/>
    <col min="2312" max="2560" width="8" style="12" customWidth="1"/>
    <col min="2561" max="2561" width="8.25" style="12" customWidth="1"/>
    <col min="2562" max="2562" width="20.5" style="12" customWidth="1"/>
    <col min="2563" max="2563" width="5.125" style="12" customWidth="1"/>
    <col min="2564" max="2564" width="23.625" style="12" customWidth="1"/>
    <col min="2565" max="2565" width="3.625" style="12" customWidth="1"/>
    <col min="2566" max="2566" width="8.75" style="12" customWidth="1"/>
    <col min="2567" max="2567" width="14.875" style="12" customWidth="1"/>
    <col min="2568" max="2816" width="8" style="12" customWidth="1"/>
    <col min="2817" max="2817" width="8.25" style="12" customWidth="1"/>
    <col min="2818" max="2818" width="20.5" style="12" customWidth="1"/>
    <col min="2819" max="2819" width="5.125" style="12" customWidth="1"/>
    <col min="2820" max="2820" width="23.625" style="12" customWidth="1"/>
    <col min="2821" max="2821" width="3.625" style="12" customWidth="1"/>
    <col min="2822" max="2822" width="8.75" style="12" customWidth="1"/>
    <col min="2823" max="2823" width="14.875" style="12" customWidth="1"/>
    <col min="2824" max="3072" width="8" style="12" customWidth="1"/>
    <col min="3073" max="3073" width="8.25" style="12" customWidth="1"/>
    <col min="3074" max="3074" width="20.5" style="12" customWidth="1"/>
    <col min="3075" max="3075" width="5.125" style="12" customWidth="1"/>
    <col min="3076" max="3076" width="23.625" style="12" customWidth="1"/>
    <col min="3077" max="3077" width="3.625" style="12" customWidth="1"/>
    <col min="3078" max="3078" width="8.75" style="12" customWidth="1"/>
    <col min="3079" max="3079" width="14.875" style="12" customWidth="1"/>
    <col min="3080" max="3328" width="8" style="12" customWidth="1"/>
    <col min="3329" max="3329" width="8.25" style="12" customWidth="1"/>
    <col min="3330" max="3330" width="20.5" style="12" customWidth="1"/>
    <col min="3331" max="3331" width="5.125" style="12" customWidth="1"/>
    <col min="3332" max="3332" width="23.625" style="12" customWidth="1"/>
    <col min="3333" max="3333" width="3.625" style="12" customWidth="1"/>
    <col min="3334" max="3334" width="8.75" style="12" customWidth="1"/>
    <col min="3335" max="3335" width="14.875" style="12" customWidth="1"/>
    <col min="3336" max="3584" width="8" style="12" customWidth="1"/>
    <col min="3585" max="3585" width="8.25" style="12" customWidth="1"/>
    <col min="3586" max="3586" width="20.5" style="12" customWidth="1"/>
    <col min="3587" max="3587" width="5.125" style="12" customWidth="1"/>
    <col min="3588" max="3588" width="23.625" style="12" customWidth="1"/>
    <col min="3589" max="3589" width="3.625" style="12" customWidth="1"/>
    <col min="3590" max="3590" width="8.75" style="12" customWidth="1"/>
    <col min="3591" max="3591" width="14.875" style="12" customWidth="1"/>
    <col min="3592" max="3840" width="8" style="12" customWidth="1"/>
    <col min="3841" max="3841" width="8.25" style="12" customWidth="1"/>
    <col min="3842" max="3842" width="20.5" style="12" customWidth="1"/>
    <col min="3843" max="3843" width="5.125" style="12" customWidth="1"/>
    <col min="3844" max="3844" width="23.625" style="12" customWidth="1"/>
    <col min="3845" max="3845" width="3.625" style="12" customWidth="1"/>
    <col min="3846" max="3846" width="8.75" style="12" customWidth="1"/>
    <col min="3847" max="3847" width="14.875" style="12" customWidth="1"/>
    <col min="3848" max="4096" width="8" style="12" customWidth="1"/>
    <col min="4097" max="4097" width="8.25" style="12" customWidth="1"/>
    <col min="4098" max="4098" width="20.5" style="12" customWidth="1"/>
    <col min="4099" max="4099" width="5.125" style="12" customWidth="1"/>
    <col min="4100" max="4100" width="23.625" style="12" customWidth="1"/>
    <col min="4101" max="4101" width="3.625" style="12" customWidth="1"/>
    <col min="4102" max="4102" width="8.75" style="12" customWidth="1"/>
    <col min="4103" max="4103" width="14.875" style="12" customWidth="1"/>
    <col min="4104" max="4352" width="8" style="12" customWidth="1"/>
    <col min="4353" max="4353" width="8.25" style="12" customWidth="1"/>
    <col min="4354" max="4354" width="20.5" style="12" customWidth="1"/>
    <col min="4355" max="4355" width="5.125" style="12" customWidth="1"/>
    <col min="4356" max="4356" width="23.625" style="12" customWidth="1"/>
    <col min="4357" max="4357" width="3.625" style="12" customWidth="1"/>
    <col min="4358" max="4358" width="8.75" style="12" customWidth="1"/>
    <col min="4359" max="4359" width="14.875" style="12" customWidth="1"/>
    <col min="4360" max="4608" width="8" style="12" customWidth="1"/>
    <col min="4609" max="4609" width="8.25" style="12" customWidth="1"/>
    <col min="4610" max="4610" width="20.5" style="12" customWidth="1"/>
    <col min="4611" max="4611" width="5.125" style="12" customWidth="1"/>
    <col min="4612" max="4612" width="23.625" style="12" customWidth="1"/>
    <col min="4613" max="4613" width="3.625" style="12" customWidth="1"/>
    <col min="4614" max="4614" width="8.75" style="12" customWidth="1"/>
    <col min="4615" max="4615" width="14.875" style="12" customWidth="1"/>
    <col min="4616" max="4864" width="8" style="12" customWidth="1"/>
    <col min="4865" max="4865" width="8.25" style="12" customWidth="1"/>
    <col min="4866" max="4866" width="20.5" style="12" customWidth="1"/>
    <col min="4867" max="4867" width="5.125" style="12" customWidth="1"/>
    <col min="4868" max="4868" width="23.625" style="12" customWidth="1"/>
    <col min="4869" max="4869" width="3.625" style="12" customWidth="1"/>
    <col min="4870" max="4870" width="8.75" style="12" customWidth="1"/>
    <col min="4871" max="4871" width="14.875" style="12" customWidth="1"/>
    <col min="4872" max="5120" width="8" style="12" customWidth="1"/>
    <col min="5121" max="5121" width="8.25" style="12" customWidth="1"/>
    <col min="5122" max="5122" width="20.5" style="12" customWidth="1"/>
    <col min="5123" max="5123" width="5.125" style="12" customWidth="1"/>
    <col min="5124" max="5124" width="23.625" style="12" customWidth="1"/>
    <col min="5125" max="5125" width="3.625" style="12" customWidth="1"/>
    <col min="5126" max="5126" width="8.75" style="12" customWidth="1"/>
    <col min="5127" max="5127" width="14.875" style="12" customWidth="1"/>
    <col min="5128" max="5376" width="8" style="12" customWidth="1"/>
    <col min="5377" max="5377" width="8.25" style="12" customWidth="1"/>
    <col min="5378" max="5378" width="20.5" style="12" customWidth="1"/>
    <col min="5379" max="5379" width="5.125" style="12" customWidth="1"/>
    <col min="5380" max="5380" width="23.625" style="12" customWidth="1"/>
    <col min="5381" max="5381" width="3.625" style="12" customWidth="1"/>
    <col min="5382" max="5382" width="8.75" style="12" customWidth="1"/>
    <col min="5383" max="5383" width="14.875" style="12" customWidth="1"/>
    <col min="5384" max="5632" width="8" style="12" customWidth="1"/>
    <col min="5633" max="5633" width="8.25" style="12" customWidth="1"/>
    <col min="5634" max="5634" width="20.5" style="12" customWidth="1"/>
    <col min="5635" max="5635" width="5.125" style="12" customWidth="1"/>
    <col min="5636" max="5636" width="23.625" style="12" customWidth="1"/>
    <col min="5637" max="5637" width="3.625" style="12" customWidth="1"/>
    <col min="5638" max="5638" width="8.75" style="12" customWidth="1"/>
    <col min="5639" max="5639" width="14.875" style="12" customWidth="1"/>
    <col min="5640" max="5888" width="8" style="12" customWidth="1"/>
    <col min="5889" max="5889" width="8.25" style="12" customWidth="1"/>
    <col min="5890" max="5890" width="20.5" style="12" customWidth="1"/>
    <col min="5891" max="5891" width="5.125" style="12" customWidth="1"/>
    <col min="5892" max="5892" width="23.625" style="12" customWidth="1"/>
    <col min="5893" max="5893" width="3.625" style="12" customWidth="1"/>
    <col min="5894" max="5894" width="8.75" style="12" customWidth="1"/>
    <col min="5895" max="5895" width="14.875" style="12" customWidth="1"/>
    <col min="5896" max="6144" width="8" style="12" customWidth="1"/>
    <col min="6145" max="6145" width="8.25" style="12" customWidth="1"/>
    <col min="6146" max="6146" width="20.5" style="12" customWidth="1"/>
    <col min="6147" max="6147" width="5.125" style="12" customWidth="1"/>
    <col min="6148" max="6148" width="23.625" style="12" customWidth="1"/>
    <col min="6149" max="6149" width="3.625" style="12" customWidth="1"/>
    <col min="6150" max="6150" width="8.75" style="12" customWidth="1"/>
    <col min="6151" max="6151" width="14.875" style="12" customWidth="1"/>
    <col min="6152" max="6400" width="8" style="12" customWidth="1"/>
    <col min="6401" max="6401" width="8.25" style="12" customWidth="1"/>
    <col min="6402" max="6402" width="20.5" style="12" customWidth="1"/>
    <col min="6403" max="6403" width="5.125" style="12" customWidth="1"/>
    <col min="6404" max="6404" width="23.625" style="12" customWidth="1"/>
    <col min="6405" max="6405" width="3.625" style="12" customWidth="1"/>
    <col min="6406" max="6406" width="8.75" style="12" customWidth="1"/>
    <col min="6407" max="6407" width="14.875" style="12" customWidth="1"/>
    <col min="6408" max="6656" width="8" style="12" customWidth="1"/>
    <col min="6657" max="6657" width="8.25" style="12" customWidth="1"/>
    <col min="6658" max="6658" width="20.5" style="12" customWidth="1"/>
    <col min="6659" max="6659" width="5.125" style="12" customWidth="1"/>
    <col min="6660" max="6660" width="23.625" style="12" customWidth="1"/>
    <col min="6661" max="6661" width="3.625" style="12" customWidth="1"/>
    <col min="6662" max="6662" width="8.75" style="12" customWidth="1"/>
    <col min="6663" max="6663" width="14.875" style="12" customWidth="1"/>
    <col min="6664" max="6912" width="8" style="12" customWidth="1"/>
    <col min="6913" max="6913" width="8.25" style="12" customWidth="1"/>
    <col min="6914" max="6914" width="20.5" style="12" customWidth="1"/>
    <col min="6915" max="6915" width="5.125" style="12" customWidth="1"/>
    <col min="6916" max="6916" width="23.625" style="12" customWidth="1"/>
    <col min="6917" max="6917" width="3.625" style="12" customWidth="1"/>
    <col min="6918" max="6918" width="8.75" style="12" customWidth="1"/>
    <col min="6919" max="6919" width="14.875" style="12" customWidth="1"/>
    <col min="6920" max="7168" width="8" style="12" customWidth="1"/>
    <col min="7169" max="7169" width="8.25" style="12" customWidth="1"/>
    <col min="7170" max="7170" width="20.5" style="12" customWidth="1"/>
    <col min="7171" max="7171" width="5.125" style="12" customWidth="1"/>
    <col min="7172" max="7172" width="23.625" style="12" customWidth="1"/>
    <col min="7173" max="7173" width="3.625" style="12" customWidth="1"/>
    <col min="7174" max="7174" width="8.75" style="12" customWidth="1"/>
    <col min="7175" max="7175" width="14.875" style="12" customWidth="1"/>
    <col min="7176" max="7424" width="8" style="12" customWidth="1"/>
    <col min="7425" max="7425" width="8.25" style="12" customWidth="1"/>
    <col min="7426" max="7426" width="20.5" style="12" customWidth="1"/>
    <col min="7427" max="7427" width="5.125" style="12" customWidth="1"/>
    <col min="7428" max="7428" width="23.625" style="12" customWidth="1"/>
    <col min="7429" max="7429" width="3.625" style="12" customWidth="1"/>
    <col min="7430" max="7430" width="8.75" style="12" customWidth="1"/>
    <col min="7431" max="7431" width="14.875" style="12" customWidth="1"/>
    <col min="7432" max="7680" width="8" style="12" customWidth="1"/>
    <col min="7681" max="7681" width="8.25" style="12" customWidth="1"/>
    <col min="7682" max="7682" width="20.5" style="12" customWidth="1"/>
    <col min="7683" max="7683" width="5.125" style="12" customWidth="1"/>
    <col min="7684" max="7684" width="23.625" style="12" customWidth="1"/>
    <col min="7685" max="7685" width="3.625" style="12" customWidth="1"/>
    <col min="7686" max="7686" width="8.75" style="12" customWidth="1"/>
    <col min="7687" max="7687" width="14.875" style="12" customWidth="1"/>
    <col min="7688" max="7936" width="8" style="12" customWidth="1"/>
    <col min="7937" max="7937" width="8.25" style="12" customWidth="1"/>
    <col min="7938" max="7938" width="20.5" style="12" customWidth="1"/>
    <col min="7939" max="7939" width="5.125" style="12" customWidth="1"/>
    <col min="7940" max="7940" width="23.625" style="12" customWidth="1"/>
    <col min="7941" max="7941" width="3.625" style="12" customWidth="1"/>
    <col min="7942" max="7942" width="8.75" style="12" customWidth="1"/>
    <col min="7943" max="7943" width="14.875" style="12" customWidth="1"/>
    <col min="7944" max="8192" width="8" style="12" customWidth="1"/>
    <col min="8193" max="8193" width="8.25" style="12" customWidth="1"/>
    <col min="8194" max="8194" width="20.5" style="12" customWidth="1"/>
    <col min="8195" max="8195" width="5.125" style="12" customWidth="1"/>
    <col min="8196" max="8196" width="23.625" style="12" customWidth="1"/>
    <col min="8197" max="8197" width="3.625" style="12" customWidth="1"/>
    <col min="8198" max="8198" width="8.75" style="12" customWidth="1"/>
    <col min="8199" max="8199" width="14.875" style="12" customWidth="1"/>
    <col min="8200" max="8448" width="8" style="12" customWidth="1"/>
    <col min="8449" max="8449" width="8.25" style="12" customWidth="1"/>
    <col min="8450" max="8450" width="20.5" style="12" customWidth="1"/>
    <col min="8451" max="8451" width="5.125" style="12" customWidth="1"/>
    <col min="8452" max="8452" width="23.625" style="12" customWidth="1"/>
    <col min="8453" max="8453" width="3.625" style="12" customWidth="1"/>
    <col min="8454" max="8454" width="8.75" style="12" customWidth="1"/>
    <col min="8455" max="8455" width="14.875" style="12" customWidth="1"/>
    <col min="8456" max="8704" width="8" style="12" customWidth="1"/>
    <col min="8705" max="8705" width="8.25" style="12" customWidth="1"/>
    <col min="8706" max="8706" width="20.5" style="12" customWidth="1"/>
    <col min="8707" max="8707" width="5.125" style="12" customWidth="1"/>
    <col min="8708" max="8708" width="23.625" style="12" customWidth="1"/>
    <col min="8709" max="8709" width="3.625" style="12" customWidth="1"/>
    <col min="8710" max="8710" width="8.75" style="12" customWidth="1"/>
    <col min="8711" max="8711" width="14.875" style="12" customWidth="1"/>
    <col min="8712" max="8960" width="8" style="12" customWidth="1"/>
    <col min="8961" max="8961" width="8.25" style="12" customWidth="1"/>
    <col min="8962" max="8962" width="20.5" style="12" customWidth="1"/>
    <col min="8963" max="8963" width="5.125" style="12" customWidth="1"/>
    <col min="8964" max="8964" width="23.625" style="12" customWidth="1"/>
    <col min="8965" max="8965" width="3.625" style="12" customWidth="1"/>
    <col min="8966" max="8966" width="8.75" style="12" customWidth="1"/>
    <col min="8967" max="8967" width="14.875" style="12" customWidth="1"/>
    <col min="8968" max="9216" width="8" style="12" customWidth="1"/>
    <col min="9217" max="9217" width="8.25" style="12" customWidth="1"/>
    <col min="9218" max="9218" width="20.5" style="12" customWidth="1"/>
    <col min="9219" max="9219" width="5.125" style="12" customWidth="1"/>
    <col min="9220" max="9220" width="23.625" style="12" customWidth="1"/>
    <col min="9221" max="9221" width="3.625" style="12" customWidth="1"/>
    <col min="9222" max="9222" width="8.75" style="12" customWidth="1"/>
    <col min="9223" max="9223" width="14.875" style="12" customWidth="1"/>
    <col min="9224" max="9472" width="8" style="12" customWidth="1"/>
    <col min="9473" max="9473" width="8.25" style="12" customWidth="1"/>
    <col min="9474" max="9474" width="20.5" style="12" customWidth="1"/>
    <col min="9475" max="9475" width="5.125" style="12" customWidth="1"/>
    <col min="9476" max="9476" width="23.625" style="12" customWidth="1"/>
    <col min="9477" max="9477" width="3.625" style="12" customWidth="1"/>
    <col min="9478" max="9478" width="8.75" style="12" customWidth="1"/>
    <col min="9479" max="9479" width="14.875" style="12" customWidth="1"/>
    <col min="9480" max="9728" width="8" style="12" customWidth="1"/>
    <col min="9729" max="9729" width="8.25" style="12" customWidth="1"/>
    <col min="9730" max="9730" width="20.5" style="12" customWidth="1"/>
    <col min="9731" max="9731" width="5.125" style="12" customWidth="1"/>
    <col min="9732" max="9732" width="23.625" style="12" customWidth="1"/>
    <col min="9733" max="9733" width="3.625" style="12" customWidth="1"/>
    <col min="9734" max="9734" width="8.75" style="12" customWidth="1"/>
    <col min="9735" max="9735" width="14.875" style="12" customWidth="1"/>
    <col min="9736" max="9984" width="8" style="12" customWidth="1"/>
    <col min="9985" max="9985" width="8.25" style="12" customWidth="1"/>
    <col min="9986" max="9986" width="20.5" style="12" customWidth="1"/>
    <col min="9987" max="9987" width="5.125" style="12" customWidth="1"/>
    <col min="9988" max="9988" width="23.625" style="12" customWidth="1"/>
    <col min="9989" max="9989" width="3.625" style="12" customWidth="1"/>
    <col min="9990" max="9990" width="8.75" style="12" customWidth="1"/>
    <col min="9991" max="9991" width="14.875" style="12" customWidth="1"/>
    <col min="9992" max="10240" width="8" style="12" customWidth="1"/>
    <col min="10241" max="10241" width="8.25" style="12" customWidth="1"/>
    <col min="10242" max="10242" width="20.5" style="12" customWidth="1"/>
    <col min="10243" max="10243" width="5.125" style="12" customWidth="1"/>
    <col min="10244" max="10244" width="23.625" style="12" customWidth="1"/>
    <col min="10245" max="10245" width="3.625" style="12" customWidth="1"/>
    <col min="10246" max="10246" width="8.75" style="12" customWidth="1"/>
    <col min="10247" max="10247" width="14.875" style="12" customWidth="1"/>
    <col min="10248" max="10496" width="8" style="12" customWidth="1"/>
    <col min="10497" max="10497" width="8.25" style="12" customWidth="1"/>
    <col min="10498" max="10498" width="20.5" style="12" customWidth="1"/>
    <col min="10499" max="10499" width="5.125" style="12" customWidth="1"/>
    <col min="10500" max="10500" width="23.625" style="12" customWidth="1"/>
    <col min="10501" max="10501" width="3.625" style="12" customWidth="1"/>
    <col min="10502" max="10502" width="8.75" style="12" customWidth="1"/>
    <col min="10503" max="10503" width="14.875" style="12" customWidth="1"/>
    <col min="10504" max="10752" width="8" style="12" customWidth="1"/>
    <col min="10753" max="10753" width="8.25" style="12" customWidth="1"/>
    <col min="10754" max="10754" width="20.5" style="12" customWidth="1"/>
    <col min="10755" max="10755" width="5.125" style="12" customWidth="1"/>
    <col min="10756" max="10756" width="23.625" style="12" customWidth="1"/>
    <col min="10757" max="10757" width="3.625" style="12" customWidth="1"/>
    <col min="10758" max="10758" width="8.75" style="12" customWidth="1"/>
    <col min="10759" max="10759" width="14.875" style="12" customWidth="1"/>
    <col min="10760" max="11008" width="8" style="12" customWidth="1"/>
    <col min="11009" max="11009" width="8.25" style="12" customWidth="1"/>
    <col min="11010" max="11010" width="20.5" style="12" customWidth="1"/>
    <col min="11011" max="11011" width="5.125" style="12" customWidth="1"/>
    <col min="11012" max="11012" width="23.625" style="12" customWidth="1"/>
    <col min="11013" max="11013" width="3.625" style="12" customWidth="1"/>
    <col min="11014" max="11014" width="8.75" style="12" customWidth="1"/>
    <col min="11015" max="11015" width="14.875" style="12" customWidth="1"/>
    <col min="11016" max="11264" width="8" style="12" customWidth="1"/>
    <col min="11265" max="11265" width="8.25" style="12" customWidth="1"/>
    <col min="11266" max="11266" width="20.5" style="12" customWidth="1"/>
    <col min="11267" max="11267" width="5.125" style="12" customWidth="1"/>
    <col min="11268" max="11268" width="23.625" style="12" customWidth="1"/>
    <col min="11269" max="11269" width="3.625" style="12" customWidth="1"/>
    <col min="11270" max="11270" width="8.75" style="12" customWidth="1"/>
    <col min="11271" max="11271" width="14.875" style="12" customWidth="1"/>
    <col min="11272" max="11520" width="8" style="12" customWidth="1"/>
    <col min="11521" max="11521" width="8.25" style="12" customWidth="1"/>
    <col min="11522" max="11522" width="20.5" style="12" customWidth="1"/>
    <col min="11523" max="11523" width="5.125" style="12" customWidth="1"/>
    <col min="11524" max="11524" width="23.625" style="12" customWidth="1"/>
    <col min="11525" max="11525" width="3.625" style="12" customWidth="1"/>
    <col min="11526" max="11526" width="8.75" style="12" customWidth="1"/>
    <col min="11527" max="11527" width="14.875" style="12" customWidth="1"/>
    <col min="11528" max="11776" width="8" style="12" customWidth="1"/>
    <col min="11777" max="11777" width="8.25" style="12" customWidth="1"/>
    <col min="11778" max="11778" width="20.5" style="12" customWidth="1"/>
    <col min="11779" max="11779" width="5.125" style="12" customWidth="1"/>
    <col min="11780" max="11780" width="23.625" style="12" customWidth="1"/>
    <col min="11781" max="11781" width="3.625" style="12" customWidth="1"/>
    <col min="11782" max="11782" width="8.75" style="12" customWidth="1"/>
    <col min="11783" max="11783" width="14.875" style="12" customWidth="1"/>
    <col min="11784" max="12032" width="8" style="12" customWidth="1"/>
    <col min="12033" max="12033" width="8.25" style="12" customWidth="1"/>
    <col min="12034" max="12034" width="20.5" style="12" customWidth="1"/>
    <col min="12035" max="12035" width="5.125" style="12" customWidth="1"/>
    <col min="12036" max="12036" width="23.625" style="12" customWidth="1"/>
    <col min="12037" max="12037" width="3.625" style="12" customWidth="1"/>
    <col min="12038" max="12038" width="8.75" style="12" customWidth="1"/>
    <col min="12039" max="12039" width="14.875" style="12" customWidth="1"/>
    <col min="12040" max="12288" width="8" style="12" customWidth="1"/>
    <col min="12289" max="12289" width="8.25" style="12" customWidth="1"/>
    <col min="12290" max="12290" width="20.5" style="12" customWidth="1"/>
    <col min="12291" max="12291" width="5.125" style="12" customWidth="1"/>
    <col min="12292" max="12292" width="23.625" style="12" customWidth="1"/>
    <col min="12293" max="12293" width="3.625" style="12" customWidth="1"/>
    <col min="12294" max="12294" width="8.75" style="12" customWidth="1"/>
    <col min="12295" max="12295" width="14.875" style="12" customWidth="1"/>
    <col min="12296" max="12544" width="8" style="12" customWidth="1"/>
    <col min="12545" max="12545" width="8.25" style="12" customWidth="1"/>
    <col min="12546" max="12546" width="20.5" style="12" customWidth="1"/>
    <col min="12547" max="12547" width="5.125" style="12" customWidth="1"/>
    <col min="12548" max="12548" width="23.625" style="12" customWidth="1"/>
    <col min="12549" max="12549" width="3.625" style="12" customWidth="1"/>
    <col min="12550" max="12550" width="8.75" style="12" customWidth="1"/>
    <col min="12551" max="12551" width="14.875" style="12" customWidth="1"/>
    <col min="12552" max="12800" width="8" style="12" customWidth="1"/>
    <col min="12801" max="12801" width="8.25" style="12" customWidth="1"/>
    <col min="12802" max="12802" width="20.5" style="12" customWidth="1"/>
    <col min="12803" max="12803" width="5.125" style="12" customWidth="1"/>
    <col min="12804" max="12804" width="23.625" style="12" customWidth="1"/>
    <col min="12805" max="12805" width="3.625" style="12" customWidth="1"/>
    <col min="12806" max="12806" width="8.75" style="12" customWidth="1"/>
    <col min="12807" max="12807" width="14.875" style="12" customWidth="1"/>
    <col min="12808" max="13056" width="8" style="12" customWidth="1"/>
    <col min="13057" max="13057" width="8.25" style="12" customWidth="1"/>
    <col min="13058" max="13058" width="20.5" style="12" customWidth="1"/>
    <col min="13059" max="13059" width="5.125" style="12" customWidth="1"/>
    <col min="13060" max="13060" width="23.625" style="12" customWidth="1"/>
    <col min="13061" max="13061" width="3.625" style="12" customWidth="1"/>
    <col min="13062" max="13062" width="8.75" style="12" customWidth="1"/>
    <col min="13063" max="13063" width="14.875" style="12" customWidth="1"/>
    <col min="13064" max="13312" width="8" style="12" customWidth="1"/>
    <col min="13313" max="13313" width="8.25" style="12" customWidth="1"/>
    <col min="13314" max="13314" width="20.5" style="12" customWidth="1"/>
    <col min="13315" max="13315" width="5.125" style="12" customWidth="1"/>
    <col min="13316" max="13316" width="23.625" style="12" customWidth="1"/>
    <col min="13317" max="13317" width="3.625" style="12" customWidth="1"/>
    <col min="13318" max="13318" width="8.75" style="12" customWidth="1"/>
    <col min="13319" max="13319" width="14.875" style="12" customWidth="1"/>
    <col min="13320" max="13568" width="8" style="12" customWidth="1"/>
    <col min="13569" max="13569" width="8.25" style="12" customWidth="1"/>
    <col min="13570" max="13570" width="20.5" style="12" customWidth="1"/>
    <col min="13571" max="13571" width="5.125" style="12" customWidth="1"/>
    <col min="13572" max="13572" width="23.625" style="12" customWidth="1"/>
    <col min="13573" max="13573" width="3.625" style="12" customWidth="1"/>
    <col min="13574" max="13574" width="8.75" style="12" customWidth="1"/>
    <col min="13575" max="13575" width="14.875" style="12" customWidth="1"/>
    <col min="13576" max="13824" width="8" style="12" customWidth="1"/>
    <col min="13825" max="13825" width="8.25" style="12" customWidth="1"/>
    <col min="13826" max="13826" width="20.5" style="12" customWidth="1"/>
    <col min="13827" max="13827" width="5.125" style="12" customWidth="1"/>
    <col min="13828" max="13828" width="23.625" style="12" customWidth="1"/>
    <col min="13829" max="13829" width="3.625" style="12" customWidth="1"/>
    <col min="13830" max="13830" width="8.75" style="12" customWidth="1"/>
    <col min="13831" max="13831" width="14.875" style="12" customWidth="1"/>
    <col min="13832" max="14080" width="8" style="12" customWidth="1"/>
    <col min="14081" max="14081" width="8.25" style="12" customWidth="1"/>
    <col min="14082" max="14082" width="20.5" style="12" customWidth="1"/>
    <col min="14083" max="14083" width="5.125" style="12" customWidth="1"/>
    <col min="14084" max="14084" width="23.625" style="12" customWidth="1"/>
    <col min="14085" max="14085" width="3.625" style="12" customWidth="1"/>
    <col min="14086" max="14086" width="8.75" style="12" customWidth="1"/>
    <col min="14087" max="14087" width="14.875" style="12" customWidth="1"/>
    <col min="14088" max="14336" width="8" style="12" customWidth="1"/>
    <col min="14337" max="14337" width="8.25" style="12" customWidth="1"/>
    <col min="14338" max="14338" width="20.5" style="12" customWidth="1"/>
    <col min="14339" max="14339" width="5.125" style="12" customWidth="1"/>
    <col min="14340" max="14340" width="23.625" style="12" customWidth="1"/>
    <col min="14341" max="14341" width="3.625" style="12" customWidth="1"/>
    <col min="14342" max="14342" width="8.75" style="12" customWidth="1"/>
    <col min="14343" max="14343" width="14.875" style="12" customWidth="1"/>
    <col min="14344" max="14592" width="8" style="12" customWidth="1"/>
    <col min="14593" max="14593" width="8.25" style="12" customWidth="1"/>
    <col min="14594" max="14594" width="20.5" style="12" customWidth="1"/>
    <col min="14595" max="14595" width="5.125" style="12" customWidth="1"/>
    <col min="14596" max="14596" width="23.625" style="12" customWidth="1"/>
    <col min="14597" max="14597" width="3.625" style="12" customWidth="1"/>
    <col min="14598" max="14598" width="8.75" style="12" customWidth="1"/>
    <col min="14599" max="14599" width="14.875" style="12" customWidth="1"/>
    <col min="14600" max="14848" width="8" style="12" customWidth="1"/>
    <col min="14849" max="14849" width="8.25" style="12" customWidth="1"/>
    <col min="14850" max="14850" width="20.5" style="12" customWidth="1"/>
    <col min="14851" max="14851" width="5.125" style="12" customWidth="1"/>
    <col min="14852" max="14852" width="23.625" style="12" customWidth="1"/>
    <col min="14853" max="14853" width="3.625" style="12" customWidth="1"/>
    <col min="14854" max="14854" width="8.75" style="12" customWidth="1"/>
    <col min="14855" max="14855" width="14.875" style="12" customWidth="1"/>
    <col min="14856" max="15104" width="8" style="12" customWidth="1"/>
    <col min="15105" max="15105" width="8.25" style="12" customWidth="1"/>
    <col min="15106" max="15106" width="20.5" style="12" customWidth="1"/>
    <col min="15107" max="15107" width="5.125" style="12" customWidth="1"/>
    <col min="15108" max="15108" width="23.625" style="12" customWidth="1"/>
    <col min="15109" max="15109" width="3.625" style="12" customWidth="1"/>
    <col min="15110" max="15110" width="8.75" style="12" customWidth="1"/>
    <col min="15111" max="15111" width="14.875" style="12" customWidth="1"/>
    <col min="15112" max="15360" width="8" style="12" customWidth="1"/>
    <col min="15361" max="15361" width="8.25" style="12" customWidth="1"/>
    <col min="15362" max="15362" width="20.5" style="12" customWidth="1"/>
    <col min="15363" max="15363" width="5.125" style="12" customWidth="1"/>
    <col min="15364" max="15364" width="23.625" style="12" customWidth="1"/>
    <col min="15365" max="15365" width="3.625" style="12" customWidth="1"/>
    <col min="15366" max="15366" width="8.75" style="12" customWidth="1"/>
    <col min="15367" max="15367" width="14.875" style="12" customWidth="1"/>
    <col min="15368" max="15616" width="8" style="12" customWidth="1"/>
    <col min="15617" max="15617" width="8.25" style="12" customWidth="1"/>
    <col min="15618" max="15618" width="20.5" style="12" customWidth="1"/>
    <col min="15619" max="15619" width="5.125" style="12" customWidth="1"/>
    <col min="15620" max="15620" width="23.625" style="12" customWidth="1"/>
    <col min="15621" max="15621" width="3.625" style="12" customWidth="1"/>
    <col min="15622" max="15622" width="8.75" style="12" customWidth="1"/>
    <col min="15623" max="15623" width="14.875" style="12" customWidth="1"/>
    <col min="15624" max="15872" width="8" style="12" customWidth="1"/>
    <col min="15873" max="15873" width="8.25" style="12" customWidth="1"/>
    <col min="15874" max="15874" width="20.5" style="12" customWidth="1"/>
    <col min="15875" max="15875" width="5.125" style="12" customWidth="1"/>
    <col min="15876" max="15876" width="23.625" style="12" customWidth="1"/>
    <col min="15877" max="15877" width="3.625" style="12" customWidth="1"/>
    <col min="15878" max="15878" width="8.75" style="12" customWidth="1"/>
    <col min="15879" max="15879" width="14.875" style="12" customWidth="1"/>
    <col min="15880" max="16128" width="8" style="12" customWidth="1"/>
    <col min="16129" max="16129" width="8.25" style="12" customWidth="1"/>
    <col min="16130" max="16130" width="20.5" style="12" customWidth="1"/>
    <col min="16131" max="16131" width="5.125" style="12" customWidth="1"/>
    <col min="16132" max="16132" width="23.625" style="12" customWidth="1"/>
    <col min="16133" max="16133" width="3.625" style="12" customWidth="1"/>
    <col min="16134" max="16134" width="8.75" style="12" customWidth="1"/>
    <col min="16135" max="16135" width="14.875" style="12" customWidth="1"/>
    <col min="16136" max="16384" width="8" style="12" customWidth="1"/>
  </cols>
  <sheetData>
    <row r="1" spans="1:7" ht="30" customHeight="1">
      <c r="A1" s="198" t="s">
        <v>37</v>
      </c>
      <c r="B1" s="198" t="s">
        <v>36</v>
      </c>
      <c r="C1" s="198" t="s">
        <v>36</v>
      </c>
      <c r="D1" s="198" t="s">
        <v>36</v>
      </c>
      <c r="E1" s="198" t="s">
        <v>36</v>
      </c>
      <c r="F1" s="198" t="s">
        <v>36</v>
      </c>
      <c r="G1" s="198" t="s">
        <v>36</v>
      </c>
    </row>
    <row r="2" spans="1:7" ht="26.25" customHeight="1" thickBot="1">
      <c r="A2" s="199" t="s">
        <v>382</v>
      </c>
      <c r="B2" s="199" t="s">
        <v>36</v>
      </c>
      <c r="C2" s="199" t="s">
        <v>36</v>
      </c>
      <c r="D2" s="199" t="s">
        <v>36</v>
      </c>
      <c r="E2" s="199" t="s">
        <v>36</v>
      </c>
      <c r="F2" s="200" t="s">
        <v>274</v>
      </c>
      <c r="G2" s="200" t="s">
        <v>36</v>
      </c>
    </row>
    <row r="3" spans="1:7" ht="15" customHeight="1">
      <c r="A3" s="69" t="s">
        <v>31</v>
      </c>
      <c r="B3" s="203" t="s">
        <v>39</v>
      </c>
      <c r="C3" s="203" t="s">
        <v>36</v>
      </c>
      <c r="D3" s="65" t="s">
        <v>40</v>
      </c>
      <c r="E3" s="203" t="s">
        <v>275</v>
      </c>
      <c r="F3" s="203" t="s">
        <v>36</v>
      </c>
      <c r="G3" s="66" t="s">
        <v>42</v>
      </c>
    </row>
    <row r="4" spans="1:7" ht="15" customHeight="1">
      <c r="A4" s="70" t="s">
        <v>53</v>
      </c>
      <c r="B4" s="195" t="s">
        <v>276</v>
      </c>
      <c r="C4" s="195" t="s">
        <v>36</v>
      </c>
      <c r="D4" s="63" t="s">
        <v>383</v>
      </c>
      <c r="E4" s="196" t="s">
        <v>46</v>
      </c>
      <c r="F4" s="196" t="s">
        <v>36</v>
      </c>
      <c r="G4" s="68">
        <v>882985.88</v>
      </c>
    </row>
    <row r="5" spans="1:7" ht="15" customHeight="1">
      <c r="A5" s="70" t="s">
        <v>277</v>
      </c>
      <c r="B5" s="195" t="s">
        <v>278</v>
      </c>
      <c r="C5" s="195" t="s">
        <v>36</v>
      </c>
      <c r="D5" s="63" t="s">
        <v>279</v>
      </c>
      <c r="E5" s="196" t="s">
        <v>36</v>
      </c>
      <c r="F5" s="196" t="s">
        <v>36</v>
      </c>
      <c r="G5" s="68">
        <v>392182.8</v>
      </c>
    </row>
    <row r="6" spans="1:7" ht="15" customHeight="1">
      <c r="A6" s="70" t="s">
        <v>56</v>
      </c>
      <c r="B6" s="195" t="s">
        <v>75</v>
      </c>
      <c r="C6" s="195" t="s">
        <v>36</v>
      </c>
      <c r="D6" s="63" t="s">
        <v>278</v>
      </c>
      <c r="E6" s="196" t="s">
        <v>384</v>
      </c>
      <c r="F6" s="196" t="s">
        <v>36</v>
      </c>
      <c r="G6" s="68">
        <v>49022.85</v>
      </c>
    </row>
    <row r="7" spans="1:7" ht="15" customHeight="1">
      <c r="A7" s="70" t="s">
        <v>59</v>
      </c>
      <c r="B7" s="195" t="s">
        <v>82</v>
      </c>
      <c r="C7" s="195" t="s">
        <v>36</v>
      </c>
      <c r="D7" s="63" t="s">
        <v>278</v>
      </c>
      <c r="E7" s="196" t="s">
        <v>385</v>
      </c>
      <c r="F7" s="196" t="s">
        <v>36</v>
      </c>
      <c r="G7" s="68">
        <v>62474.720000000001</v>
      </c>
    </row>
    <row r="8" spans="1:7" ht="48.75" customHeight="1">
      <c r="A8" s="70" t="s">
        <v>62</v>
      </c>
      <c r="B8" s="195" t="s">
        <v>282</v>
      </c>
      <c r="C8" s="195" t="s">
        <v>36</v>
      </c>
      <c r="D8" s="63" t="s">
        <v>283</v>
      </c>
      <c r="E8" s="196" t="s">
        <v>36</v>
      </c>
      <c r="F8" s="196" t="s">
        <v>36</v>
      </c>
      <c r="G8" s="68">
        <v>93182.63</v>
      </c>
    </row>
    <row r="9" spans="1:7" ht="15" customHeight="1">
      <c r="A9" s="70" t="s">
        <v>284</v>
      </c>
      <c r="B9" s="195" t="s">
        <v>285</v>
      </c>
      <c r="C9" s="195" t="s">
        <v>36</v>
      </c>
      <c r="D9" s="63" t="s">
        <v>278</v>
      </c>
      <c r="E9" s="196" t="s">
        <v>386</v>
      </c>
      <c r="F9" s="196" t="s">
        <v>36</v>
      </c>
      <c r="G9" s="68">
        <v>49611.12</v>
      </c>
    </row>
    <row r="10" spans="1:7" ht="15" customHeight="1">
      <c r="A10" s="70" t="s">
        <v>287</v>
      </c>
      <c r="B10" s="195" t="s">
        <v>288</v>
      </c>
      <c r="C10" s="195" t="s">
        <v>36</v>
      </c>
      <c r="D10" s="63" t="s">
        <v>36</v>
      </c>
      <c r="E10" s="196" t="s">
        <v>36</v>
      </c>
      <c r="F10" s="196" t="s">
        <v>36</v>
      </c>
      <c r="G10" s="68" t="s">
        <v>36</v>
      </c>
    </row>
    <row r="11" spans="1:7" ht="15" customHeight="1">
      <c r="A11" s="70" t="s">
        <v>289</v>
      </c>
      <c r="B11" s="195" t="s">
        <v>290</v>
      </c>
      <c r="C11" s="195" t="s">
        <v>36</v>
      </c>
      <c r="D11" s="63" t="s">
        <v>36</v>
      </c>
      <c r="E11" s="196" t="s">
        <v>36</v>
      </c>
      <c r="F11" s="196" t="s">
        <v>36</v>
      </c>
      <c r="G11" s="68" t="s">
        <v>36</v>
      </c>
    </row>
    <row r="12" spans="1:7" ht="15" customHeight="1">
      <c r="A12" s="70" t="s">
        <v>291</v>
      </c>
      <c r="B12" s="195" t="s">
        <v>292</v>
      </c>
      <c r="C12" s="195" t="s">
        <v>36</v>
      </c>
      <c r="D12" s="63" t="s">
        <v>36</v>
      </c>
      <c r="E12" s="196" t="s">
        <v>36</v>
      </c>
      <c r="F12" s="196" t="s">
        <v>36</v>
      </c>
      <c r="G12" s="68" t="s">
        <v>36</v>
      </c>
    </row>
    <row r="13" spans="1:7" ht="15" customHeight="1">
      <c r="A13" s="70" t="s">
        <v>293</v>
      </c>
      <c r="B13" s="195" t="s">
        <v>294</v>
      </c>
      <c r="C13" s="195" t="s">
        <v>36</v>
      </c>
      <c r="D13" s="63" t="s">
        <v>278</v>
      </c>
      <c r="E13" s="196" t="s">
        <v>295</v>
      </c>
      <c r="F13" s="196" t="s">
        <v>36</v>
      </c>
      <c r="G13" s="68">
        <v>27688.11</v>
      </c>
    </row>
    <row r="14" spans="1:7" ht="15" customHeight="1">
      <c r="A14" s="70" t="s">
        <v>296</v>
      </c>
      <c r="B14" s="195" t="s">
        <v>297</v>
      </c>
      <c r="C14" s="195" t="s">
        <v>36</v>
      </c>
      <c r="D14" s="63" t="s">
        <v>278</v>
      </c>
      <c r="E14" s="196" t="s">
        <v>298</v>
      </c>
      <c r="F14" s="196" t="s">
        <v>36</v>
      </c>
      <c r="G14" s="68">
        <v>15883.4</v>
      </c>
    </row>
    <row r="15" spans="1:7" ht="15" customHeight="1">
      <c r="A15" s="70" t="s">
        <v>299</v>
      </c>
      <c r="B15" s="195" t="s">
        <v>300</v>
      </c>
      <c r="C15" s="195" t="s">
        <v>36</v>
      </c>
      <c r="D15" s="63" t="s">
        <v>36</v>
      </c>
      <c r="E15" s="196" t="s">
        <v>36</v>
      </c>
      <c r="F15" s="196" t="s">
        <v>36</v>
      </c>
      <c r="G15" s="68" t="s">
        <v>36</v>
      </c>
    </row>
    <row r="16" spans="1:7" ht="15" customHeight="1">
      <c r="A16" s="70" t="s">
        <v>65</v>
      </c>
      <c r="B16" s="195" t="s">
        <v>301</v>
      </c>
      <c r="C16" s="195" t="s">
        <v>36</v>
      </c>
      <c r="D16" s="63" t="s">
        <v>36</v>
      </c>
      <c r="E16" s="196" t="s">
        <v>36</v>
      </c>
      <c r="F16" s="196" t="s">
        <v>36</v>
      </c>
      <c r="G16" s="68" t="s">
        <v>36</v>
      </c>
    </row>
    <row r="17" spans="1:7" ht="26.25" customHeight="1">
      <c r="A17" s="70" t="s">
        <v>68</v>
      </c>
      <c r="B17" s="195" t="s">
        <v>302</v>
      </c>
      <c r="C17" s="195" t="s">
        <v>36</v>
      </c>
      <c r="D17" s="63" t="s">
        <v>303</v>
      </c>
      <c r="E17" s="196" t="s">
        <v>36</v>
      </c>
      <c r="F17" s="196" t="s">
        <v>36</v>
      </c>
      <c r="G17" s="68">
        <v>1087666.08</v>
      </c>
    </row>
    <row r="18" spans="1:7" ht="26.25" customHeight="1">
      <c r="A18" s="70" t="s">
        <v>84</v>
      </c>
      <c r="B18" s="195" t="s">
        <v>304</v>
      </c>
      <c r="C18" s="195" t="s">
        <v>36</v>
      </c>
      <c r="D18" s="63" t="s">
        <v>305</v>
      </c>
      <c r="E18" s="196" t="s">
        <v>36</v>
      </c>
      <c r="F18" s="196" t="s">
        <v>36</v>
      </c>
      <c r="G18" s="68">
        <v>134793.23000000001</v>
      </c>
    </row>
    <row r="19" spans="1:7" ht="15" customHeight="1">
      <c r="A19" s="70" t="s">
        <v>306</v>
      </c>
      <c r="B19" s="195" t="s">
        <v>307</v>
      </c>
      <c r="C19" s="195" t="s">
        <v>36</v>
      </c>
      <c r="D19" s="63" t="s">
        <v>36</v>
      </c>
      <c r="E19" s="196" t="s">
        <v>36</v>
      </c>
      <c r="F19" s="196" t="s">
        <v>36</v>
      </c>
      <c r="G19" s="68" t="s">
        <v>36</v>
      </c>
    </row>
    <row r="20" spans="1:7" ht="26.25" customHeight="1">
      <c r="A20" s="70" t="s">
        <v>308</v>
      </c>
      <c r="B20" s="195" t="s">
        <v>309</v>
      </c>
      <c r="C20" s="195" t="s">
        <v>36</v>
      </c>
      <c r="D20" s="63" t="s">
        <v>310</v>
      </c>
      <c r="E20" s="196" t="s">
        <v>36</v>
      </c>
      <c r="F20" s="196" t="s">
        <v>36</v>
      </c>
      <c r="G20" s="68">
        <v>102712.68</v>
      </c>
    </row>
    <row r="21" spans="1:7" ht="15" customHeight="1">
      <c r="A21" s="70" t="s">
        <v>311</v>
      </c>
      <c r="B21" s="195" t="s">
        <v>312</v>
      </c>
      <c r="C21" s="195" t="s">
        <v>36</v>
      </c>
      <c r="D21" s="63" t="s">
        <v>278</v>
      </c>
      <c r="E21" s="196" t="s">
        <v>313</v>
      </c>
      <c r="F21" s="196" t="s">
        <v>36</v>
      </c>
      <c r="G21" s="68">
        <v>64161.11</v>
      </c>
    </row>
    <row r="22" spans="1:7" ht="15" customHeight="1">
      <c r="A22" s="70" t="s">
        <v>314</v>
      </c>
      <c r="B22" s="195" t="s">
        <v>315</v>
      </c>
      <c r="C22" s="195" t="s">
        <v>36</v>
      </c>
      <c r="D22" s="63" t="s">
        <v>278</v>
      </c>
      <c r="E22" s="196" t="s">
        <v>316</v>
      </c>
      <c r="F22" s="196" t="s">
        <v>36</v>
      </c>
      <c r="G22" s="68">
        <v>6431.8</v>
      </c>
    </row>
    <row r="23" spans="1:7" ht="15" customHeight="1">
      <c r="A23" s="70" t="s">
        <v>317</v>
      </c>
      <c r="B23" s="195" t="s">
        <v>318</v>
      </c>
      <c r="C23" s="195" t="s">
        <v>36</v>
      </c>
      <c r="D23" s="63" t="s">
        <v>278</v>
      </c>
      <c r="E23" s="196" t="s">
        <v>319</v>
      </c>
      <c r="F23" s="196" t="s">
        <v>36</v>
      </c>
      <c r="G23" s="68">
        <v>25687.97</v>
      </c>
    </row>
    <row r="24" spans="1:7" ht="15" customHeight="1">
      <c r="A24" s="70" t="s">
        <v>320</v>
      </c>
      <c r="B24" s="195" t="s">
        <v>321</v>
      </c>
      <c r="C24" s="195" t="s">
        <v>36</v>
      </c>
      <c r="D24" s="63" t="s">
        <v>278</v>
      </c>
      <c r="E24" s="196" t="s">
        <v>322</v>
      </c>
      <c r="F24" s="196" t="s">
        <v>36</v>
      </c>
      <c r="G24" s="68">
        <v>3215.9</v>
      </c>
    </row>
    <row r="25" spans="1:7" ht="15" customHeight="1">
      <c r="A25" s="70" t="s">
        <v>323</v>
      </c>
      <c r="B25" s="195" t="s">
        <v>324</v>
      </c>
      <c r="C25" s="195" t="s">
        <v>36</v>
      </c>
      <c r="D25" s="63" t="s">
        <v>278</v>
      </c>
      <c r="E25" s="196" t="s">
        <v>322</v>
      </c>
      <c r="F25" s="196" t="s">
        <v>36</v>
      </c>
      <c r="G25" s="68">
        <v>3215.9</v>
      </c>
    </row>
    <row r="26" spans="1:7" ht="15" customHeight="1">
      <c r="A26" s="70" t="s">
        <v>325</v>
      </c>
      <c r="B26" s="195" t="s">
        <v>326</v>
      </c>
      <c r="C26" s="195" t="s">
        <v>36</v>
      </c>
      <c r="D26" s="63" t="s">
        <v>278</v>
      </c>
      <c r="E26" s="196" t="s">
        <v>327</v>
      </c>
      <c r="F26" s="196" t="s">
        <v>36</v>
      </c>
      <c r="G26" s="68">
        <v>32080.55</v>
      </c>
    </row>
    <row r="27" spans="1:7" ht="15" customHeight="1">
      <c r="A27" s="70" t="s">
        <v>328</v>
      </c>
      <c r="B27" s="195" t="s">
        <v>329</v>
      </c>
      <c r="C27" s="195" t="s">
        <v>36</v>
      </c>
      <c r="D27" s="63" t="s">
        <v>36</v>
      </c>
      <c r="E27" s="196" t="s">
        <v>36</v>
      </c>
      <c r="F27" s="196" t="s">
        <v>36</v>
      </c>
      <c r="G27" s="68" t="s">
        <v>36</v>
      </c>
    </row>
    <row r="28" spans="1:7" ht="15" customHeight="1">
      <c r="A28" s="70" t="s">
        <v>330</v>
      </c>
      <c r="B28" s="195" t="s">
        <v>387</v>
      </c>
      <c r="C28" s="195" t="s">
        <v>36</v>
      </c>
      <c r="D28" s="63" t="s">
        <v>332</v>
      </c>
      <c r="E28" s="196" t="s">
        <v>333</v>
      </c>
      <c r="F28" s="196" t="s">
        <v>36</v>
      </c>
      <c r="G28" s="68" t="s">
        <v>36</v>
      </c>
    </row>
    <row r="29" spans="1:7" ht="26.25" customHeight="1">
      <c r="A29" s="70" t="s">
        <v>334</v>
      </c>
      <c r="B29" s="195" t="s">
        <v>86</v>
      </c>
      <c r="C29" s="195" t="s">
        <v>36</v>
      </c>
      <c r="D29" s="63" t="s">
        <v>335</v>
      </c>
      <c r="E29" s="196" t="s">
        <v>336</v>
      </c>
      <c r="F29" s="196" t="s">
        <v>36</v>
      </c>
      <c r="G29" s="68">
        <v>134470.51999999999</v>
      </c>
    </row>
    <row r="30" spans="1:7" ht="26.25" customHeight="1">
      <c r="A30" s="70" t="s">
        <v>337</v>
      </c>
      <c r="B30" s="195" t="s">
        <v>338</v>
      </c>
      <c r="C30" s="195" t="s">
        <v>36</v>
      </c>
      <c r="D30" s="63" t="s">
        <v>339</v>
      </c>
      <c r="E30" s="196" t="s">
        <v>36</v>
      </c>
      <c r="F30" s="196" t="s">
        <v>36</v>
      </c>
      <c r="G30" s="68">
        <v>1356929.83</v>
      </c>
    </row>
    <row r="31" spans="1:7" ht="14.25" customHeight="1">
      <c r="A31" s="70" t="s">
        <v>36</v>
      </c>
      <c r="B31" s="195" t="s">
        <v>36</v>
      </c>
      <c r="C31" s="195" t="s">
        <v>36</v>
      </c>
      <c r="D31" s="63" t="s">
        <v>36</v>
      </c>
      <c r="E31" s="196" t="s">
        <v>36</v>
      </c>
      <c r="F31" s="196" t="s">
        <v>36</v>
      </c>
      <c r="G31" s="68" t="s">
        <v>36</v>
      </c>
    </row>
    <row r="32" spans="1:7" ht="14.25" customHeight="1">
      <c r="A32" s="70" t="s">
        <v>36</v>
      </c>
      <c r="B32" s="195" t="s">
        <v>36</v>
      </c>
      <c r="C32" s="195" t="s">
        <v>36</v>
      </c>
      <c r="D32" s="63" t="s">
        <v>36</v>
      </c>
      <c r="E32" s="196" t="s">
        <v>36</v>
      </c>
      <c r="F32" s="196" t="s">
        <v>36</v>
      </c>
      <c r="G32" s="68" t="s">
        <v>36</v>
      </c>
    </row>
    <row r="33" spans="1:7" ht="14.25" customHeight="1">
      <c r="A33" s="70" t="s">
        <v>36</v>
      </c>
      <c r="B33" s="195" t="s">
        <v>36</v>
      </c>
      <c r="C33" s="195" t="s">
        <v>36</v>
      </c>
      <c r="D33" s="63" t="s">
        <v>36</v>
      </c>
      <c r="E33" s="196" t="s">
        <v>36</v>
      </c>
      <c r="F33" s="196" t="s">
        <v>36</v>
      </c>
      <c r="G33" s="68" t="s">
        <v>36</v>
      </c>
    </row>
    <row r="34" spans="1:7" ht="14.25" customHeight="1">
      <c r="A34" s="70" t="s">
        <v>36</v>
      </c>
      <c r="B34" s="195" t="s">
        <v>36</v>
      </c>
      <c r="C34" s="195" t="s">
        <v>36</v>
      </c>
      <c r="D34" s="63" t="s">
        <v>36</v>
      </c>
      <c r="E34" s="196" t="s">
        <v>36</v>
      </c>
      <c r="F34" s="196" t="s">
        <v>36</v>
      </c>
      <c r="G34" s="68" t="s">
        <v>36</v>
      </c>
    </row>
    <row r="35" spans="1:7" ht="14.25" customHeight="1">
      <c r="A35" s="70" t="s">
        <v>36</v>
      </c>
      <c r="B35" s="195" t="s">
        <v>36</v>
      </c>
      <c r="C35" s="195" t="s">
        <v>36</v>
      </c>
      <c r="D35" s="63" t="s">
        <v>36</v>
      </c>
      <c r="E35" s="196" t="s">
        <v>36</v>
      </c>
      <c r="F35" s="196" t="s">
        <v>36</v>
      </c>
      <c r="G35" s="68" t="s">
        <v>36</v>
      </c>
    </row>
    <row r="36" spans="1:7" ht="14.25" customHeight="1">
      <c r="A36" s="70" t="s">
        <v>36</v>
      </c>
      <c r="B36" s="195" t="s">
        <v>36</v>
      </c>
      <c r="C36" s="195" t="s">
        <v>36</v>
      </c>
      <c r="D36" s="63" t="s">
        <v>36</v>
      </c>
      <c r="E36" s="196" t="s">
        <v>36</v>
      </c>
      <c r="F36" s="196" t="s">
        <v>36</v>
      </c>
      <c r="G36" s="68" t="s">
        <v>36</v>
      </c>
    </row>
    <row r="37" spans="1:7" ht="14.25" customHeight="1">
      <c r="A37" s="70" t="s">
        <v>36</v>
      </c>
      <c r="B37" s="195" t="s">
        <v>36</v>
      </c>
      <c r="C37" s="195" t="s">
        <v>36</v>
      </c>
      <c r="D37" s="63" t="s">
        <v>36</v>
      </c>
      <c r="E37" s="196" t="s">
        <v>36</v>
      </c>
      <c r="F37" s="196" t="s">
        <v>36</v>
      </c>
      <c r="G37" s="68" t="s">
        <v>36</v>
      </c>
    </row>
    <row r="38" spans="1:7" ht="14.25" customHeight="1">
      <c r="A38" s="70" t="s">
        <v>36</v>
      </c>
      <c r="B38" s="195" t="s">
        <v>36</v>
      </c>
      <c r="C38" s="195" t="s">
        <v>36</v>
      </c>
      <c r="D38" s="63" t="s">
        <v>36</v>
      </c>
      <c r="E38" s="196" t="s">
        <v>36</v>
      </c>
      <c r="F38" s="196" t="s">
        <v>36</v>
      </c>
      <c r="G38" s="68" t="s">
        <v>36</v>
      </c>
    </row>
    <row r="39" spans="1:7" ht="14.25" customHeight="1">
      <c r="A39" s="70" t="s">
        <v>36</v>
      </c>
      <c r="B39" s="195" t="s">
        <v>36</v>
      </c>
      <c r="C39" s="195" t="s">
        <v>36</v>
      </c>
      <c r="D39" s="63" t="s">
        <v>36</v>
      </c>
      <c r="E39" s="196" t="s">
        <v>36</v>
      </c>
      <c r="F39" s="196" t="s">
        <v>36</v>
      </c>
      <c r="G39" s="68" t="s">
        <v>36</v>
      </c>
    </row>
    <row r="40" spans="1:7" ht="14.25" customHeight="1">
      <c r="A40" s="70" t="s">
        <v>36</v>
      </c>
      <c r="B40" s="195" t="s">
        <v>36</v>
      </c>
      <c r="C40" s="195" t="s">
        <v>36</v>
      </c>
      <c r="D40" s="63" t="s">
        <v>36</v>
      </c>
      <c r="E40" s="196" t="s">
        <v>36</v>
      </c>
      <c r="F40" s="196" t="s">
        <v>36</v>
      </c>
      <c r="G40" s="68" t="s">
        <v>36</v>
      </c>
    </row>
    <row r="41" spans="1:7" ht="14.25" customHeight="1">
      <c r="A41" s="70" t="s">
        <v>36</v>
      </c>
      <c r="B41" s="195" t="s">
        <v>36</v>
      </c>
      <c r="C41" s="195" t="s">
        <v>36</v>
      </c>
      <c r="D41" s="63" t="s">
        <v>36</v>
      </c>
      <c r="E41" s="196" t="s">
        <v>36</v>
      </c>
      <c r="F41" s="196" t="s">
        <v>36</v>
      </c>
      <c r="G41" s="68" t="s">
        <v>36</v>
      </c>
    </row>
    <row r="42" spans="1:7" ht="14.25" customHeight="1">
      <c r="A42" s="70" t="s">
        <v>36</v>
      </c>
      <c r="B42" s="195" t="s">
        <v>36</v>
      </c>
      <c r="C42" s="195" t="s">
        <v>36</v>
      </c>
      <c r="D42" s="63" t="s">
        <v>36</v>
      </c>
      <c r="E42" s="196" t="s">
        <v>36</v>
      </c>
      <c r="F42" s="196" t="s">
        <v>36</v>
      </c>
      <c r="G42" s="68" t="s">
        <v>36</v>
      </c>
    </row>
    <row r="43" spans="1:7" ht="14.25" customHeight="1" thickBot="1">
      <c r="A43" s="14" t="s">
        <v>36</v>
      </c>
      <c r="B43" s="205" t="s">
        <v>36</v>
      </c>
      <c r="C43" s="205" t="s">
        <v>36</v>
      </c>
      <c r="D43" s="62" t="s">
        <v>36</v>
      </c>
      <c r="E43" s="206" t="s">
        <v>36</v>
      </c>
      <c r="F43" s="206" t="s">
        <v>36</v>
      </c>
      <c r="G43" s="125" t="s">
        <v>36</v>
      </c>
    </row>
  </sheetData>
  <mergeCells count="85">
    <mergeCell ref="B4:C4"/>
    <mergeCell ref="E4:F4"/>
    <mergeCell ref="A1:G1"/>
    <mergeCell ref="A2:E2"/>
    <mergeCell ref="F2:G2"/>
    <mergeCell ref="B3:C3"/>
    <mergeCell ref="E3:F3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</mergeCells>
  <phoneticPr fontId="1" type="noConversion"/>
  <pageMargins left="0.51475000000000004" right="0.51475000000000004" top="0.59375" bottom="0.59375" header="0.59375" footer="0.59375"/>
  <pageSetup paperSize="9" orientation="portrait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49"/>
  <sheetViews>
    <sheetView workbookViewId="0">
      <selection activeCell="H5" sqref="H5"/>
    </sheetView>
  </sheetViews>
  <sheetFormatPr defaultRowHeight="11.25"/>
  <cols>
    <col min="1" max="1" width="6.25" style="12" customWidth="1"/>
    <col min="2" max="2" width="14.625" style="12" customWidth="1"/>
    <col min="3" max="3" width="8.375" style="12" customWidth="1"/>
    <col min="4" max="4" width="4.625" style="12" customWidth="1"/>
    <col min="5" max="5" width="10.375" style="12" customWidth="1"/>
    <col min="6" max="6" width="0.875" style="12" customWidth="1"/>
    <col min="7" max="7" width="9.125" style="12" customWidth="1"/>
    <col min="8" max="8" width="10.125" style="12" customWidth="1"/>
    <col min="9" max="9" width="3.625" style="12" customWidth="1"/>
    <col min="10" max="10" width="5.75" style="12" customWidth="1"/>
    <col min="11" max="11" width="11.125" style="12" customWidth="1"/>
    <col min="12" max="256" width="8" style="12" customWidth="1"/>
    <col min="257" max="257" width="6.25" style="12" customWidth="1"/>
    <col min="258" max="258" width="14.625" style="12" customWidth="1"/>
    <col min="259" max="259" width="8.375" style="12" customWidth="1"/>
    <col min="260" max="260" width="4.625" style="12" customWidth="1"/>
    <col min="261" max="261" width="10.375" style="12" customWidth="1"/>
    <col min="262" max="262" width="0.875" style="12" customWidth="1"/>
    <col min="263" max="263" width="9.125" style="12" customWidth="1"/>
    <col min="264" max="264" width="10.125" style="12" customWidth="1"/>
    <col min="265" max="265" width="3.625" style="12" customWidth="1"/>
    <col min="266" max="266" width="5.75" style="12" customWidth="1"/>
    <col min="267" max="267" width="11.125" style="12" customWidth="1"/>
    <col min="268" max="512" width="8" style="12" customWidth="1"/>
    <col min="513" max="513" width="6.25" style="12" customWidth="1"/>
    <col min="514" max="514" width="14.625" style="12" customWidth="1"/>
    <col min="515" max="515" width="8.375" style="12" customWidth="1"/>
    <col min="516" max="516" width="4.625" style="12" customWidth="1"/>
    <col min="517" max="517" width="10.375" style="12" customWidth="1"/>
    <col min="518" max="518" width="0.875" style="12" customWidth="1"/>
    <col min="519" max="519" width="9.125" style="12" customWidth="1"/>
    <col min="520" max="520" width="10.125" style="12" customWidth="1"/>
    <col min="521" max="521" width="3.625" style="12" customWidth="1"/>
    <col min="522" max="522" width="5.75" style="12" customWidth="1"/>
    <col min="523" max="523" width="11.125" style="12" customWidth="1"/>
    <col min="524" max="768" width="8" style="12" customWidth="1"/>
    <col min="769" max="769" width="6.25" style="12" customWidth="1"/>
    <col min="770" max="770" width="14.625" style="12" customWidth="1"/>
    <col min="771" max="771" width="8.375" style="12" customWidth="1"/>
    <col min="772" max="772" width="4.625" style="12" customWidth="1"/>
    <col min="773" max="773" width="10.375" style="12" customWidth="1"/>
    <col min="774" max="774" width="0.875" style="12" customWidth="1"/>
    <col min="775" max="775" width="9.125" style="12" customWidth="1"/>
    <col min="776" max="776" width="10.125" style="12" customWidth="1"/>
    <col min="777" max="777" width="3.625" style="12" customWidth="1"/>
    <col min="778" max="778" width="5.75" style="12" customWidth="1"/>
    <col min="779" max="779" width="11.125" style="12" customWidth="1"/>
    <col min="780" max="1024" width="8" style="12" customWidth="1"/>
    <col min="1025" max="1025" width="6.25" style="12" customWidth="1"/>
    <col min="1026" max="1026" width="14.625" style="12" customWidth="1"/>
    <col min="1027" max="1027" width="8.375" style="12" customWidth="1"/>
    <col min="1028" max="1028" width="4.625" style="12" customWidth="1"/>
    <col min="1029" max="1029" width="10.375" style="12" customWidth="1"/>
    <col min="1030" max="1030" width="0.875" style="12" customWidth="1"/>
    <col min="1031" max="1031" width="9.125" style="12" customWidth="1"/>
    <col min="1032" max="1032" width="10.125" style="12" customWidth="1"/>
    <col min="1033" max="1033" width="3.625" style="12" customWidth="1"/>
    <col min="1034" max="1034" width="5.75" style="12" customWidth="1"/>
    <col min="1035" max="1035" width="11.125" style="12" customWidth="1"/>
    <col min="1036" max="1280" width="8" style="12" customWidth="1"/>
    <col min="1281" max="1281" width="6.25" style="12" customWidth="1"/>
    <col min="1282" max="1282" width="14.625" style="12" customWidth="1"/>
    <col min="1283" max="1283" width="8.375" style="12" customWidth="1"/>
    <col min="1284" max="1284" width="4.625" style="12" customWidth="1"/>
    <col min="1285" max="1285" width="10.375" style="12" customWidth="1"/>
    <col min="1286" max="1286" width="0.875" style="12" customWidth="1"/>
    <col min="1287" max="1287" width="9.125" style="12" customWidth="1"/>
    <col min="1288" max="1288" width="10.125" style="12" customWidth="1"/>
    <col min="1289" max="1289" width="3.625" style="12" customWidth="1"/>
    <col min="1290" max="1290" width="5.75" style="12" customWidth="1"/>
    <col min="1291" max="1291" width="11.125" style="12" customWidth="1"/>
    <col min="1292" max="1536" width="8" style="12" customWidth="1"/>
    <col min="1537" max="1537" width="6.25" style="12" customWidth="1"/>
    <col min="1538" max="1538" width="14.625" style="12" customWidth="1"/>
    <col min="1539" max="1539" width="8.375" style="12" customWidth="1"/>
    <col min="1540" max="1540" width="4.625" style="12" customWidth="1"/>
    <col min="1541" max="1541" width="10.375" style="12" customWidth="1"/>
    <col min="1542" max="1542" width="0.875" style="12" customWidth="1"/>
    <col min="1543" max="1543" width="9.125" style="12" customWidth="1"/>
    <col min="1544" max="1544" width="10.125" style="12" customWidth="1"/>
    <col min="1545" max="1545" width="3.625" style="12" customWidth="1"/>
    <col min="1546" max="1546" width="5.75" style="12" customWidth="1"/>
    <col min="1547" max="1547" width="11.125" style="12" customWidth="1"/>
    <col min="1548" max="1792" width="8" style="12" customWidth="1"/>
    <col min="1793" max="1793" width="6.25" style="12" customWidth="1"/>
    <col min="1794" max="1794" width="14.625" style="12" customWidth="1"/>
    <col min="1795" max="1795" width="8.375" style="12" customWidth="1"/>
    <col min="1796" max="1796" width="4.625" style="12" customWidth="1"/>
    <col min="1797" max="1797" width="10.375" style="12" customWidth="1"/>
    <col min="1798" max="1798" width="0.875" style="12" customWidth="1"/>
    <col min="1799" max="1799" width="9.125" style="12" customWidth="1"/>
    <col min="1800" max="1800" width="10.125" style="12" customWidth="1"/>
    <col min="1801" max="1801" width="3.625" style="12" customWidth="1"/>
    <col min="1802" max="1802" width="5.75" style="12" customWidth="1"/>
    <col min="1803" max="1803" width="11.125" style="12" customWidth="1"/>
    <col min="1804" max="2048" width="8" style="12" customWidth="1"/>
    <col min="2049" max="2049" width="6.25" style="12" customWidth="1"/>
    <col min="2050" max="2050" width="14.625" style="12" customWidth="1"/>
    <col min="2051" max="2051" width="8.375" style="12" customWidth="1"/>
    <col min="2052" max="2052" width="4.625" style="12" customWidth="1"/>
    <col min="2053" max="2053" width="10.375" style="12" customWidth="1"/>
    <col min="2054" max="2054" width="0.875" style="12" customWidth="1"/>
    <col min="2055" max="2055" width="9.125" style="12" customWidth="1"/>
    <col min="2056" max="2056" width="10.125" style="12" customWidth="1"/>
    <col min="2057" max="2057" width="3.625" style="12" customWidth="1"/>
    <col min="2058" max="2058" width="5.75" style="12" customWidth="1"/>
    <col min="2059" max="2059" width="11.125" style="12" customWidth="1"/>
    <col min="2060" max="2304" width="8" style="12" customWidth="1"/>
    <col min="2305" max="2305" width="6.25" style="12" customWidth="1"/>
    <col min="2306" max="2306" width="14.625" style="12" customWidth="1"/>
    <col min="2307" max="2307" width="8.375" style="12" customWidth="1"/>
    <col min="2308" max="2308" width="4.625" style="12" customWidth="1"/>
    <col min="2309" max="2309" width="10.375" style="12" customWidth="1"/>
    <col min="2310" max="2310" width="0.875" style="12" customWidth="1"/>
    <col min="2311" max="2311" width="9.125" style="12" customWidth="1"/>
    <col min="2312" max="2312" width="10.125" style="12" customWidth="1"/>
    <col min="2313" max="2313" width="3.625" style="12" customWidth="1"/>
    <col min="2314" max="2314" width="5.75" style="12" customWidth="1"/>
    <col min="2315" max="2315" width="11.125" style="12" customWidth="1"/>
    <col min="2316" max="2560" width="8" style="12" customWidth="1"/>
    <col min="2561" max="2561" width="6.25" style="12" customWidth="1"/>
    <col min="2562" max="2562" width="14.625" style="12" customWidth="1"/>
    <col min="2563" max="2563" width="8.375" style="12" customWidth="1"/>
    <col min="2564" max="2564" width="4.625" style="12" customWidth="1"/>
    <col min="2565" max="2565" width="10.375" style="12" customWidth="1"/>
    <col min="2566" max="2566" width="0.875" style="12" customWidth="1"/>
    <col min="2567" max="2567" width="9.125" style="12" customWidth="1"/>
    <col min="2568" max="2568" width="10.125" style="12" customWidth="1"/>
    <col min="2569" max="2569" width="3.625" style="12" customWidth="1"/>
    <col min="2570" max="2570" width="5.75" style="12" customWidth="1"/>
    <col min="2571" max="2571" width="11.125" style="12" customWidth="1"/>
    <col min="2572" max="2816" width="8" style="12" customWidth="1"/>
    <col min="2817" max="2817" width="6.25" style="12" customWidth="1"/>
    <col min="2818" max="2818" width="14.625" style="12" customWidth="1"/>
    <col min="2819" max="2819" width="8.375" style="12" customWidth="1"/>
    <col min="2820" max="2820" width="4.625" style="12" customWidth="1"/>
    <col min="2821" max="2821" width="10.375" style="12" customWidth="1"/>
    <col min="2822" max="2822" width="0.875" style="12" customWidth="1"/>
    <col min="2823" max="2823" width="9.125" style="12" customWidth="1"/>
    <col min="2824" max="2824" width="10.125" style="12" customWidth="1"/>
    <col min="2825" max="2825" width="3.625" style="12" customWidth="1"/>
    <col min="2826" max="2826" width="5.75" style="12" customWidth="1"/>
    <col min="2827" max="2827" width="11.125" style="12" customWidth="1"/>
    <col min="2828" max="3072" width="8" style="12" customWidth="1"/>
    <col min="3073" max="3073" width="6.25" style="12" customWidth="1"/>
    <col min="3074" max="3074" width="14.625" style="12" customWidth="1"/>
    <col min="3075" max="3075" width="8.375" style="12" customWidth="1"/>
    <col min="3076" max="3076" width="4.625" style="12" customWidth="1"/>
    <col min="3077" max="3077" width="10.375" style="12" customWidth="1"/>
    <col min="3078" max="3078" width="0.875" style="12" customWidth="1"/>
    <col min="3079" max="3079" width="9.125" style="12" customWidth="1"/>
    <col min="3080" max="3080" width="10.125" style="12" customWidth="1"/>
    <col min="3081" max="3081" width="3.625" style="12" customWidth="1"/>
    <col min="3082" max="3082" width="5.75" style="12" customWidth="1"/>
    <col min="3083" max="3083" width="11.125" style="12" customWidth="1"/>
    <col min="3084" max="3328" width="8" style="12" customWidth="1"/>
    <col min="3329" max="3329" width="6.25" style="12" customWidth="1"/>
    <col min="3330" max="3330" width="14.625" style="12" customWidth="1"/>
    <col min="3331" max="3331" width="8.375" style="12" customWidth="1"/>
    <col min="3332" max="3332" width="4.625" style="12" customWidth="1"/>
    <col min="3333" max="3333" width="10.375" style="12" customWidth="1"/>
    <col min="3334" max="3334" width="0.875" style="12" customWidth="1"/>
    <col min="3335" max="3335" width="9.125" style="12" customWidth="1"/>
    <col min="3336" max="3336" width="10.125" style="12" customWidth="1"/>
    <col min="3337" max="3337" width="3.625" style="12" customWidth="1"/>
    <col min="3338" max="3338" width="5.75" style="12" customWidth="1"/>
    <col min="3339" max="3339" width="11.125" style="12" customWidth="1"/>
    <col min="3340" max="3584" width="8" style="12" customWidth="1"/>
    <col min="3585" max="3585" width="6.25" style="12" customWidth="1"/>
    <col min="3586" max="3586" width="14.625" style="12" customWidth="1"/>
    <col min="3587" max="3587" width="8.375" style="12" customWidth="1"/>
    <col min="3588" max="3588" width="4.625" style="12" customWidth="1"/>
    <col min="3589" max="3589" width="10.375" style="12" customWidth="1"/>
    <col min="3590" max="3590" width="0.875" style="12" customWidth="1"/>
    <col min="3591" max="3591" width="9.125" style="12" customWidth="1"/>
    <col min="3592" max="3592" width="10.125" style="12" customWidth="1"/>
    <col min="3593" max="3593" width="3.625" style="12" customWidth="1"/>
    <col min="3594" max="3594" width="5.75" style="12" customWidth="1"/>
    <col min="3595" max="3595" width="11.125" style="12" customWidth="1"/>
    <col min="3596" max="3840" width="8" style="12" customWidth="1"/>
    <col min="3841" max="3841" width="6.25" style="12" customWidth="1"/>
    <col min="3842" max="3842" width="14.625" style="12" customWidth="1"/>
    <col min="3843" max="3843" width="8.375" style="12" customWidth="1"/>
    <col min="3844" max="3844" width="4.625" style="12" customWidth="1"/>
    <col min="3845" max="3845" width="10.375" style="12" customWidth="1"/>
    <col min="3846" max="3846" width="0.875" style="12" customWidth="1"/>
    <col min="3847" max="3847" width="9.125" style="12" customWidth="1"/>
    <col min="3848" max="3848" width="10.125" style="12" customWidth="1"/>
    <col min="3849" max="3849" width="3.625" style="12" customWidth="1"/>
    <col min="3850" max="3850" width="5.75" style="12" customWidth="1"/>
    <col min="3851" max="3851" width="11.125" style="12" customWidth="1"/>
    <col min="3852" max="4096" width="8" style="12" customWidth="1"/>
    <col min="4097" max="4097" width="6.25" style="12" customWidth="1"/>
    <col min="4098" max="4098" width="14.625" style="12" customWidth="1"/>
    <col min="4099" max="4099" width="8.375" style="12" customWidth="1"/>
    <col min="4100" max="4100" width="4.625" style="12" customWidth="1"/>
    <col min="4101" max="4101" width="10.375" style="12" customWidth="1"/>
    <col min="4102" max="4102" width="0.875" style="12" customWidth="1"/>
    <col min="4103" max="4103" width="9.125" style="12" customWidth="1"/>
    <col min="4104" max="4104" width="10.125" style="12" customWidth="1"/>
    <col min="4105" max="4105" width="3.625" style="12" customWidth="1"/>
    <col min="4106" max="4106" width="5.75" style="12" customWidth="1"/>
    <col min="4107" max="4107" width="11.125" style="12" customWidth="1"/>
    <col min="4108" max="4352" width="8" style="12" customWidth="1"/>
    <col min="4353" max="4353" width="6.25" style="12" customWidth="1"/>
    <col min="4354" max="4354" width="14.625" style="12" customWidth="1"/>
    <col min="4355" max="4355" width="8.375" style="12" customWidth="1"/>
    <col min="4356" max="4356" width="4.625" style="12" customWidth="1"/>
    <col min="4357" max="4357" width="10.375" style="12" customWidth="1"/>
    <col min="4358" max="4358" width="0.875" style="12" customWidth="1"/>
    <col min="4359" max="4359" width="9.125" style="12" customWidth="1"/>
    <col min="4360" max="4360" width="10.125" style="12" customWidth="1"/>
    <col min="4361" max="4361" width="3.625" style="12" customWidth="1"/>
    <col min="4362" max="4362" width="5.75" style="12" customWidth="1"/>
    <col min="4363" max="4363" width="11.125" style="12" customWidth="1"/>
    <col min="4364" max="4608" width="8" style="12" customWidth="1"/>
    <col min="4609" max="4609" width="6.25" style="12" customWidth="1"/>
    <col min="4610" max="4610" width="14.625" style="12" customWidth="1"/>
    <col min="4611" max="4611" width="8.375" style="12" customWidth="1"/>
    <col min="4612" max="4612" width="4.625" style="12" customWidth="1"/>
    <col min="4613" max="4613" width="10.375" style="12" customWidth="1"/>
    <col min="4614" max="4614" width="0.875" style="12" customWidth="1"/>
    <col min="4615" max="4615" width="9.125" style="12" customWidth="1"/>
    <col min="4616" max="4616" width="10.125" style="12" customWidth="1"/>
    <col min="4617" max="4617" width="3.625" style="12" customWidth="1"/>
    <col min="4618" max="4618" width="5.75" style="12" customWidth="1"/>
    <col min="4619" max="4619" width="11.125" style="12" customWidth="1"/>
    <col min="4620" max="4864" width="8" style="12" customWidth="1"/>
    <col min="4865" max="4865" width="6.25" style="12" customWidth="1"/>
    <col min="4866" max="4866" width="14.625" style="12" customWidth="1"/>
    <col min="4867" max="4867" width="8.375" style="12" customWidth="1"/>
    <col min="4868" max="4868" width="4.625" style="12" customWidth="1"/>
    <col min="4869" max="4869" width="10.375" style="12" customWidth="1"/>
    <col min="4870" max="4870" width="0.875" style="12" customWidth="1"/>
    <col min="4871" max="4871" width="9.125" style="12" customWidth="1"/>
    <col min="4872" max="4872" width="10.125" style="12" customWidth="1"/>
    <col min="4873" max="4873" width="3.625" style="12" customWidth="1"/>
    <col min="4874" max="4874" width="5.75" style="12" customWidth="1"/>
    <col min="4875" max="4875" width="11.125" style="12" customWidth="1"/>
    <col min="4876" max="5120" width="8" style="12" customWidth="1"/>
    <col min="5121" max="5121" width="6.25" style="12" customWidth="1"/>
    <col min="5122" max="5122" width="14.625" style="12" customWidth="1"/>
    <col min="5123" max="5123" width="8.375" style="12" customWidth="1"/>
    <col min="5124" max="5124" width="4.625" style="12" customWidth="1"/>
    <col min="5125" max="5125" width="10.375" style="12" customWidth="1"/>
    <col min="5126" max="5126" width="0.875" style="12" customWidth="1"/>
    <col min="5127" max="5127" width="9.125" style="12" customWidth="1"/>
    <col min="5128" max="5128" width="10.125" style="12" customWidth="1"/>
    <col min="5129" max="5129" width="3.625" style="12" customWidth="1"/>
    <col min="5130" max="5130" width="5.75" style="12" customWidth="1"/>
    <col min="5131" max="5131" width="11.125" style="12" customWidth="1"/>
    <col min="5132" max="5376" width="8" style="12" customWidth="1"/>
    <col min="5377" max="5377" width="6.25" style="12" customWidth="1"/>
    <col min="5378" max="5378" width="14.625" style="12" customWidth="1"/>
    <col min="5379" max="5379" width="8.375" style="12" customWidth="1"/>
    <col min="5380" max="5380" width="4.625" style="12" customWidth="1"/>
    <col min="5381" max="5381" width="10.375" style="12" customWidth="1"/>
    <col min="5382" max="5382" width="0.875" style="12" customWidth="1"/>
    <col min="5383" max="5383" width="9.125" style="12" customWidth="1"/>
    <col min="5384" max="5384" width="10.125" style="12" customWidth="1"/>
    <col min="5385" max="5385" width="3.625" style="12" customWidth="1"/>
    <col min="5386" max="5386" width="5.75" style="12" customWidth="1"/>
    <col min="5387" max="5387" width="11.125" style="12" customWidth="1"/>
    <col min="5388" max="5632" width="8" style="12" customWidth="1"/>
    <col min="5633" max="5633" width="6.25" style="12" customWidth="1"/>
    <col min="5634" max="5634" width="14.625" style="12" customWidth="1"/>
    <col min="5635" max="5635" width="8.375" style="12" customWidth="1"/>
    <col min="5636" max="5636" width="4.625" style="12" customWidth="1"/>
    <col min="5637" max="5637" width="10.375" style="12" customWidth="1"/>
    <col min="5638" max="5638" width="0.875" style="12" customWidth="1"/>
    <col min="5639" max="5639" width="9.125" style="12" customWidth="1"/>
    <col min="5640" max="5640" width="10.125" style="12" customWidth="1"/>
    <col min="5641" max="5641" width="3.625" style="12" customWidth="1"/>
    <col min="5642" max="5642" width="5.75" style="12" customWidth="1"/>
    <col min="5643" max="5643" width="11.125" style="12" customWidth="1"/>
    <col min="5644" max="5888" width="8" style="12" customWidth="1"/>
    <col min="5889" max="5889" width="6.25" style="12" customWidth="1"/>
    <col min="5890" max="5890" width="14.625" style="12" customWidth="1"/>
    <col min="5891" max="5891" width="8.375" style="12" customWidth="1"/>
    <col min="5892" max="5892" width="4.625" style="12" customWidth="1"/>
    <col min="5893" max="5893" width="10.375" style="12" customWidth="1"/>
    <col min="5894" max="5894" width="0.875" style="12" customWidth="1"/>
    <col min="5895" max="5895" width="9.125" style="12" customWidth="1"/>
    <col min="5896" max="5896" width="10.125" style="12" customWidth="1"/>
    <col min="5897" max="5897" width="3.625" style="12" customWidth="1"/>
    <col min="5898" max="5898" width="5.75" style="12" customWidth="1"/>
    <col min="5899" max="5899" width="11.125" style="12" customWidth="1"/>
    <col min="5900" max="6144" width="8" style="12" customWidth="1"/>
    <col min="6145" max="6145" width="6.25" style="12" customWidth="1"/>
    <col min="6146" max="6146" width="14.625" style="12" customWidth="1"/>
    <col min="6147" max="6147" width="8.375" style="12" customWidth="1"/>
    <col min="6148" max="6148" width="4.625" style="12" customWidth="1"/>
    <col min="6149" max="6149" width="10.375" style="12" customWidth="1"/>
    <col min="6150" max="6150" width="0.875" style="12" customWidth="1"/>
    <col min="6151" max="6151" width="9.125" style="12" customWidth="1"/>
    <col min="6152" max="6152" width="10.125" style="12" customWidth="1"/>
    <col min="6153" max="6153" width="3.625" style="12" customWidth="1"/>
    <col min="6154" max="6154" width="5.75" style="12" customWidth="1"/>
    <col min="6155" max="6155" width="11.125" style="12" customWidth="1"/>
    <col min="6156" max="6400" width="8" style="12" customWidth="1"/>
    <col min="6401" max="6401" width="6.25" style="12" customWidth="1"/>
    <col min="6402" max="6402" width="14.625" style="12" customWidth="1"/>
    <col min="6403" max="6403" width="8.375" style="12" customWidth="1"/>
    <col min="6404" max="6404" width="4.625" style="12" customWidth="1"/>
    <col min="6405" max="6405" width="10.375" style="12" customWidth="1"/>
    <col min="6406" max="6406" width="0.875" style="12" customWidth="1"/>
    <col min="6407" max="6407" width="9.125" style="12" customWidth="1"/>
    <col min="6408" max="6408" width="10.125" style="12" customWidth="1"/>
    <col min="6409" max="6409" width="3.625" style="12" customWidth="1"/>
    <col min="6410" max="6410" width="5.75" style="12" customWidth="1"/>
    <col min="6411" max="6411" width="11.125" style="12" customWidth="1"/>
    <col min="6412" max="6656" width="8" style="12" customWidth="1"/>
    <col min="6657" max="6657" width="6.25" style="12" customWidth="1"/>
    <col min="6658" max="6658" width="14.625" style="12" customWidth="1"/>
    <col min="6659" max="6659" width="8.375" style="12" customWidth="1"/>
    <col min="6660" max="6660" width="4.625" style="12" customWidth="1"/>
    <col min="6661" max="6661" width="10.375" style="12" customWidth="1"/>
    <col min="6662" max="6662" width="0.875" style="12" customWidth="1"/>
    <col min="6663" max="6663" width="9.125" style="12" customWidth="1"/>
    <col min="6664" max="6664" width="10.125" style="12" customWidth="1"/>
    <col min="6665" max="6665" width="3.625" style="12" customWidth="1"/>
    <col min="6666" max="6666" width="5.75" style="12" customWidth="1"/>
    <col min="6667" max="6667" width="11.125" style="12" customWidth="1"/>
    <col min="6668" max="6912" width="8" style="12" customWidth="1"/>
    <col min="6913" max="6913" width="6.25" style="12" customWidth="1"/>
    <col min="6914" max="6914" width="14.625" style="12" customWidth="1"/>
    <col min="6915" max="6915" width="8.375" style="12" customWidth="1"/>
    <col min="6916" max="6916" width="4.625" style="12" customWidth="1"/>
    <col min="6917" max="6917" width="10.375" style="12" customWidth="1"/>
    <col min="6918" max="6918" width="0.875" style="12" customWidth="1"/>
    <col min="6919" max="6919" width="9.125" style="12" customWidth="1"/>
    <col min="6920" max="6920" width="10.125" style="12" customWidth="1"/>
    <col min="6921" max="6921" width="3.625" style="12" customWidth="1"/>
    <col min="6922" max="6922" width="5.75" style="12" customWidth="1"/>
    <col min="6923" max="6923" width="11.125" style="12" customWidth="1"/>
    <col min="6924" max="7168" width="8" style="12" customWidth="1"/>
    <col min="7169" max="7169" width="6.25" style="12" customWidth="1"/>
    <col min="7170" max="7170" width="14.625" style="12" customWidth="1"/>
    <col min="7171" max="7171" width="8.375" style="12" customWidth="1"/>
    <col min="7172" max="7172" width="4.625" style="12" customWidth="1"/>
    <col min="7173" max="7173" width="10.375" style="12" customWidth="1"/>
    <col min="7174" max="7174" width="0.875" style="12" customWidth="1"/>
    <col min="7175" max="7175" width="9.125" style="12" customWidth="1"/>
    <col min="7176" max="7176" width="10.125" style="12" customWidth="1"/>
    <col min="7177" max="7177" width="3.625" style="12" customWidth="1"/>
    <col min="7178" max="7178" width="5.75" style="12" customWidth="1"/>
    <col min="7179" max="7179" width="11.125" style="12" customWidth="1"/>
    <col min="7180" max="7424" width="8" style="12" customWidth="1"/>
    <col min="7425" max="7425" width="6.25" style="12" customWidth="1"/>
    <col min="7426" max="7426" width="14.625" style="12" customWidth="1"/>
    <col min="7427" max="7427" width="8.375" style="12" customWidth="1"/>
    <col min="7428" max="7428" width="4.625" style="12" customWidth="1"/>
    <col min="7429" max="7429" width="10.375" style="12" customWidth="1"/>
    <col min="7430" max="7430" width="0.875" style="12" customWidth="1"/>
    <col min="7431" max="7431" width="9.125" style="12" customWidth="1"/>
    <col min="7432" max="7432" width="10.125" style="12" customWidth="1"/>
    <col min="7433" max="7433" width="3.625" style="12" customWidth="1"/>
    <col min="7434" max="7434" width="5.75" style="12" customWidth="1"/>
    <col min="7435" max="7435" width="11.125" style="12" customWidth="1"/>
    <col min="7436" max="7680" width="8" style="12" customWidth="1"/>
    <col min="7681" max="7681" width="6.25" style="12" customWidth="1"/>
    <col min="7682" max="7682" width="14.625" style="12" customWidth="1"/>
    <col min="7683" max="7683" width="8.375" style="12" customWidth="1"/>
    <col min="7684" max="7684" width="4.625" style="12" customWidth="1"/>
    <col min="7685" max="7685" width="10.375" style="12" customWidth="1"/>
    <col min="7686" max="7686" width="0.875" style="12" customWidth="1"/>
    <col min="7687" max="7687" width="9.125" style="12" customWidth="1"/>
    <col min="7688" max="7688" width="10.125" style="12" customWidth="1"/>
    <col min="7689" max="7689" width="3.625" style="12" customWidth="1"/>
    <col min="7690" max="7690" width="5.75" style="12" customWidth="1"/>
    <col min="7691" max="7691" width="11.125" style="12" customWidth="1"/>
    <col min="7692" max="7936" width="8" style="12" customWidth="1"/>
    <col min="7937" max="7937" width="6.25" style="12" customWidth="1"/>
    <col min="7938" max="7938" width="14.625" style="12" customWidth="1"/>
    <col min="7939" max="7939" width="8.375" style="12" customWidth="1"/>
    <col min="7940" max="7940" width="4.625" style="12" customWidth="1"/>
    <col min="7941" max="7941" width="10.375" style="12" customWidth="1"/>
    <col min="7942" max="7942" width="0.875" style="12" customWidth="1"/>
    <col min="7943" max="7943" width="9.125" style="12" customWidth="1"/>
    <col min="7944" max="7944" width="10.125" style="12" customWidth="1"/>
    <col min="7945" max="7945" width="3.625" style="12" customWidth="1"/>
    <col min="7946" max="7946" width="5.75" style="12" customWidth="1"/>
    <col min="7947" max="7947" width="11.125" style="12" customWidth="1"/>
    <col min="7948" max="8192" width="8" style="12" customWidth="1"/>
    <col min="8193" max="8193" width="6.25" style="12" customWidth="1"/>
    <col min="8194" max="8194" width="14.625" style="12" customWidth="1"/>
    <col min="8195" max="8195" width="8.375" style="12" customWidth="1"/>
    <col min="8196" max="8196" width="4.625" style="12" customWidth="1"/>
    <col min="8197" max="8197" width="10.375" style="12" customWidth="1"/>
    <col min="8198" max="8198" width="0.875" style="12" customWidth="1"/>
    <col min="8199" max="8199" width="9.125" style="12" customWidth="1"/>
    <col min="8200" max="8200" width="10.125" style="12" customWidth="1"/>
    <col min="8201" max="8201" width="3.625" style="12" customWidth="1"/>
    <col min="8202" max="8202" width="5.75" style="12" customWidth="1"/>
    <col min="8203" max="8203" width="11.125" style="12" customWidth="1"/>
    <col min="8204" max="8448" width="8" style="12" customWidth="1"/>
    <col min="8449" max="8449" width="6.25" style="12" customWidth="1"/>
    <col min="8450" max="8450" width="14.625" style="12" customWidth="1"/>
    <col min="8451" max="8451" width="8.375" style="12" customWidth="1"/>
    <col min="8452" max="8452" width="4.625" style="12" customWidth="1"/>
    <col min="8453" max="8453" width="10.375" style="12" customWidth="1"/>
    <col min="8454" max="8454" width="0.875" style="12" customWidth="1"/>
    <col min="8455" max="8455" width="9.125" style="12" customWidth="1"/>
    <col min="8456" max="8456" width="10.125" style="12" customWidth="1"/>
    <col min="8457" max="8457" width="3.625" style="12" customWidth="1"/>
    <col min="8458" max="8458" width="5.75" style="12" customWidth="1"/>
    <col min="8459" max="8459" width="11.125" style="12" customWidth="1"/>
    <col min="8460" max="8704" width="8" style="12" customWidth="1"/>
    <col min="8705" max="8705" width="6.25" style="12" customWidth="1"/>
    <col min="8706" max="8706" width="14.625" style="12" customWidth="1"/>
    <col min="8707" max="8707" width="8.375" style="12" customWidth="1"/>
    <col min="8708" max="8708" width="4.625" style="12" customWidth="1"/>
    <col min="8709" max="8709" width="10.375" style="12" customWidth="1"/>
    <col min="8710" max="8710" width="0.875" style="12" customWidth="1"/>
    <col min="8711" max="8711" width="9.125" style="12" customWidth="1"/>
    <col min="8712" max="8712" width="10.125" style="12" customWidth="1"/>
    <col min="8713" max="8713" width="3.625" style="12" customWidth="1"/>
    <col min="8714" max="8714" width="5.75" style="12" customWidth="1"/>
    <col min="8715" max="8715" width="11.125" style="12" customWidth="1"/>
    <col min="8716" max="8960" width="8" style="12" customWidth="1"/>
    <col min="8961" max="8961" width="6.25" style="12" customWidth="1"/>
    <col min="8962" max="8962" width="14.625" style="12" customWidth="1"/>
    <col min="8963" max="8963" width="8.375" style="12" customWidth="1"/>
    <col min="8964" max="8964" width="4.625" style="12" customWidth="1"/>
    <col min="8965" max="8965" width="10.375" style="12" customWidth="1"/>
    <col min="8966" max="8966" width="0.875" style="12" customWidth="1"/>
    <col min="8967" max="8967" width="9.125" style="12" customWidth="1"/>
    <col min="8968" max="8968" width="10.125" style="12" customWidth="1"/>
    <col min="8969" max="8969" width="3.625" style="12" customWidth="1"/>
    <col min="8970" max="8970" width="5.75" style="12" customWidth="1"/>
    <col min="8971" max="8971" width="11.125" style="12" customWidth="1"/>
    <col min="8972" max="9216" width="8" style="12" customWidth="1"/>
    <col min="9217" max="9217" width="6.25" style="12" customWidth="1"/>
    <col min="9218" max="9218" width="14.625" style="12" customWidth="1"/>
    <col min="9219" max="9219" width="8.375" style="12" customWidth="1"/>
    <col min="9220" max="9220" width="4.625" style="12" customWidth="1"/>
    <col min="9221" max="9221" width="10.375" style="12" customWidth="1"/>
    <col min="9222" max="9222" width="0.875" style="12" customWidth="1"/>
    <col min="9223" max="9223" width="9.125" style="12" customWidth="1"/>
    <col min="9224" max="9224" width="10.125" style="12" customWidth="1"/>
    <col min="9225" max="9225" width="3.625" style="12" customWidth="1"/>
    <col min="9226" max="9226" width="5.75" style="12" customWidth="1"/>
    <col min="9227" max="9227" width="11.125" style="12" customWidth="1"/>
    <col min="9228" max="9472" width="8" style="12" customWidth="1"/>
    <col min="9473" max="9473" width="6.25" style="12" customWidth="1"/>
    <col min="9474" max="9474" width="14.625" style="12" customWidth="1"/>
    <col min="9475" max="9475" width="8.375" style="12" customWidth="1"/>
    <col min="9476" max="9476" width="4.625" style="12" customWidth="1"/>
    <col min="9477" max="9477" width="10.375" style="12" customWidth="1"/>
    <col min="9478" max="9478" width="0.875" style="12" customWidth="1"/>
    <col min="9479" max="9479" width="9.125" style="12" customWidth="1"/>
    <col min="9480" max="9480" width="10.125" style="12" customWidth="1"/>
    <col min="9481" max="9481" width="3.625" style="12" customWidth="1"/>
    <col min="9482" max="9482" width="5.75" style="12" customWidth="1"/>
    <col min="9483" max="9483" width="11.125" style="12" customWidth="1"/>
    <col min="9484" max="9728" width="8" style="12" customWidth="1"/>
    <col min="9729" max="9729" width="6.25" style="12" customWidth="1"/>
    <col min="9730" max="9730" width="14.625" style="12" customWidth="1"/>
    <col min="9731" max="9731" width="8.375" style="12" customWidth="1"/>
    <col min="9732" max="9732" width="4.625" style="12" customWidth="1"/>
    <col min="9733" max="9733" width="10.375" style="12" customWidth="1"/>
    <col min="9734" max="9734" width="0.875" style="12" customWidth="1"/>
    <col min="9735" max="9735" width="9.125" style="12" customWidth="1"/>
    <col min="9736" max="9736" width="10.125" style="12" customWidth="1"/>
    <col min="9737" max="9737" width="3.625" style="12" customWidth="1"/>
    <col min="9738" max="9738" width="5.75" style="12" customWidth="1"/>
    <col min="9739" max="9739" width="11.125" style="12" customWidth="1"/>
    <col min="9740" max="9984" width="8" style="12" customWidth="1"/>
    <col min="9985" max="9985" width="6.25" style="12" customWidth="1"/>
    <col min="9986" max="9986" width="14.625" style="12" customWidth="1"/>
    <col min="9987" max="9987" width="8.375" style="12" customWidth="1"/>
    <col min="9988" max="9988" width="4.625" style="12" customWidth="1"/>
    <col min="9989" max="9989" width="10.375" style="12" customWidth="1"/>
    <col min="9990" max="9990" width="0.875" style="12" customWidth="1"/>
    <col min="9991" max="9991" width="9.125" style="12" customWidth="1"/>
    <col min="9992" max="9992" width="10.125" style="12" customWidth="1"/>
    <col min="9993" max="9993" width="3.625" style="12" customWidth="1"/>
    <col min="9994" max="9994" width="5.75" style="12" customWidth="1"/>
    <col min="9995" max="9995" width="11.125" style="12" customWidth="1"/>
    <col min="9996" max="10240" width="8" style="12" customWidth="1"/>
    <col min="10241" max="10241" width="6.25" style="12" customWidth="1"/>
    <col min="10242" max="10242" width="14.625" style="12" customWidth="1"/>
    <col min="10243" max="10243" width="8.375" style="12" customWidth="1"/>
    <col min="10244" max="10244" width="4.625" style="12" customWidth="1"/>
    <col min="10245" max="10245" width="10.375" style="12" customWidth="1"/>
    <col min="10246" max="10246" width="0.875" style="12" customWidth="1"/>
    <col min="10247" max="10247" width="9.125" style="12" customWidth="1"/>
    <col min="10248" max="10248" width="10.125" style="12" customWidth="1"/>
    <col min="10249" max="10249" width="3.625" style="12" customWidth="1"/>
    <col min="10250" max="10250" width="5.75" style="12" customWidth="1"/>
    <col min="10251" max="10251" width="11.125" style="12" customWidth="1"/>
    <col min="10252" max="10496" width="8" style="12" customWidth="1"/>
    <col min="10497" max="10497" width="6.25" style="12" customWidth="1"/>
    <col min="10498" max="10498" width="14.625" style="12" customWidth="1"/>
    <col min="10499" max="10499" width="8.375" style="12" customWidth="1"/>
    <col min="10500" max="10500" width="4.625" style="12" customWidth="1"/>
    <col min="10501" max="10501" width="10.375" style="12" customWidth="1"/>
    <col min="10502" max="10502" width="0.875" style="12" customWidth="1"/>
    <col min="10503" max="10503" width="9.125" style="12" customWidth="1"/>
    <col min="10504" max="10504" width="10.125" style="12" customWidth="1"/>
    <col min="10505" max="10505" width="3.625" style="12" customWidth="1"/>
    <col min="10506" max="10506" width="5.75" style="12" customWidth="1"/>
    <col min="10507" max="10507" width="11.125" style="12" customWidth="1"/>
    <col min="10508" max="10752" width="8" style="12" customWidth="1"/>
    <col min="10753" max="10753" width="6.25" style="12" customWidth="1"/>
    <col min="10754" max="10754" width="14.625" style="12" customWidth="1"/>
    <col min="10755" max="10755" width="8.375" style="12" customWidth="1"/>
    <col min="10756" max="10756" width="4.625" style="12" customWidth="1"/>
    <col min="10757" max="10757" width="10.375" style="12" customWidth="1"/>
    <col min="10758" max="10758" width="0.875" style="12" customWidth="1"/>
    <col min="10759" max="10759" width="9.125" style="12" customWidth="1"/>
    <col min="10760" max="10760" width="10.125" style="12" customWidth="1"/>
    <col min="10761" max="10761" width="3.625" style="12" customWidth="1"/>
    <col min="10762" max="10762" width="5.75" style="12" customWidth="1"/>
    <col min="10763" max="10763" width="11.125" style="12" customWidth="1"/>
    <col min="10764" max="11008" width="8" style="12" customWidth="1"/>
    <col min="11009" max="11009" width="6.25" style="12" customWidth="1"/>
    <col min="11010" max="11010" width="14.625" style="12" customWidth="1"/>
    <col min="11011" max="11011" width="8.375" style="12" customWidth="1"/>
    <col min="11012" max="11012" width="4.625" style="12" customWidth="1"/>
    <col min="11013" max="11013" width="10.375" style="12" customWidth="1"/>
    <col min="11014" max="11014" width="0.875" style="12" customWidth="1"/>
    <col min="11015" max="11015" width="9.125" style="12" customWidth="1"/>
    <col min="11016" max="11016" width="10.125" style="12" customWidth="1"/>
    <col min="11017" max="11017" width="3.625" style="12" customWidth="1"/>
    <col min="11018" max="11018" width="5.75" style="12" customWidth="1"/>
    <col min="11019" max="11019" width="11.125" style="12" customWidth="1"/>
    <col min="11020" max="11264" width="8" style="12" customWidth="1"/>
    <col min="11265" max="11265" width="6.25" style="12" customWidth="1"/>
    <col min="11266" max="11266" width="14.625" style="12" customWidth="1"/>
    <col min="11267" max="11267" width="8.375" style="12" customWidth="1"/>
    <col min="11268" max="11268" width="4.625" style="12" customWidth="1"/>
    <col min="11269" max="11269" width="10.375" style="12" customWidth="1"/>
    <col min="11270" max="11270" width="0.875" style="12" customWidth="1"/>
    <col min="11271" max="11271" width="9.125" style="12" customWidth="1"/>
    <col min="11272" max="11272" width="10.125" style="12" customWidth="1"/>
    <col min="11273" max="11273" width="3.625" style="12" customWidth="1"/>
    <col min="11274" max="11274" width="5.75" style="12" customWidth="1"/>
    <col min="11275" max="11275" width="11.125" style="12" customWidth="1"/>
    <col min="11276" max="11520" width="8" style="12" customWidth="1"/>
    <col min="11521" max="11521" width="6.25" style="12" customWidth="1"/>
    <col min="11522" max="11522" width="14.625" style="12" customWidth="1"/>
    <col min="11523" max="11523" width="8.375" style="12" customWidth="1"/>
    <col min="11524" max="11524" width="4.625" style="12" customWidth="1"/>
    <col min="11525" max="11525" width="10.375" style="12" customWidth="1"/>
    <col min="11526" max="11526" width="0.875" style="12" customWidth="1"/>
    <col min="11527" max="11527" width="9.125" style="12" customWidth="1"/>
    <col min="11528" max="11528" width="10.125" style="12" customWidth="1"/>
    <col min="11529" max="11529" width="3.625" style="12" customWidth="1"/>
    <col min="11530" max="11530" width="5.75" style="12" customWidth="1"/>
    <col min="11531" max="11531" width="11.125" style="12" customWidth="1"/>
    <col min="11532" max="11776" width="8" style="12" customWidth="1"/>
    <col min="11777" max="11777" width="6.25" style="12" customWidth="1"/>
    <col min="11778" max="11778" width="14.625" style="12" customWidth="1"/>
    <col min="11779" max="11779" width="8.375" style="12" customWidth="1"/>
    <col min="11780" max="11780" width="4.625" style="12" customWidth="1"/>
    <col min="11781" max="11781" width="10.375" style="12" customWidth="1"/>
    <col min="11782" max="11782" width="0.875" style="12" customWidth="1"/>
    <col min="11783" max="11783" width="9.125" style="12" customWidth="1"/>
    <col min="11784" max="11784" width="10.125" style="12" customWidth="1"/>
    <col min="11785" max="11785" width="3.625" style="12" customWidth="1"/>
    <col min="11786" max="11786" width="5.75" style="12" customWidth="1"/>
    <col min="11787" max="11787" width="11.125" style="12" customWidth="1"/>
    <col min="11788" max="12032" width="8" style="12" customWidth="1"/>
    <col min="12033" max="12033" width="6.25" style="12" customWidth="1"/>
    <col min="12034" max="12034" width="14.625" style="12" customWidth="1"/>
    <col min="12035" max="12035" width="8.375" style="12" customWidth="1"/>
    <col min="12036" max="12036" width="4.625" style="12" customWidth="1"/>
    <col min="12037" max="12037" width="10.375" style="12" customWidth="1"/>
    <col min="12038" max="12038" width="0.875" style="12" customWidth="1"/>
    <col min="12039" max="12039" width="9.125" style="12" customWidth="1"/>
    <col min="12040" max="12040" width="10.125" style="12" customWidth="1"/>
    <col min="12041" max="12041" width="3.625" style="12" customWidth="1"/>
    <col min="12042" max="12042" width="5.75" style="12" customWidth="1"/>
    <col min="12043" max="12043" width="11.125" style="12" customWidth="1"/>
    <col min="12044" max="12288" width="8" style="12" customWidth="1"/>
    <col min="12289" max="12289" width="6.25" style="12" customWidth="1"/>
    <col min="12290" max="12290" width="14.625" style="12" customWidth="1"/>
    <col min="12291" max="12291" width="8.375" style="12" customWidth="1"/>
    <col min="12292" max="12292" width="4.625" style="12" customWidth="1"/>
    <col min="12293" max="12293" width="10.375" style="12" customWidth="1"/>
    <col min="12294" max="12294" width="0.875" style="12" customWidth="1"/>
    <col min="12295" max="12295" width="9.125" style="12" customWidth="1"/>
    <col min="12296" max="12296" width="10.125" style="12" customWidth="1"/>
    <col min="12297" max="12297" width="3.625" style="12" customWidth="1"/>
    <col min="12298" max="12298" width="5.75" style="12" customWidth="1"/>
    <col min="12299" max="12299" width="11.125" style="12" customWidth="1"/>
    <col min="12300" max="12544" width="8" style="12" customWidth="1"/>
    <col min="12545" max="12545" width="6.25" style="12" customWidth="1"/>
    <col min="12546" max="12546" width="14.625" style="12" customWidth="1"/>
    <col min="12547" max="12547" width="8.375" style="12" customWidth="1"/>
    <col min="12548" max="12548" width="4.625" style="12" customWidth="1"/>
    <col min="12549" max="12549" width="10.375" style="12" customWidth="1"/>
    <col min="12550" max="12550" width="0.875" style="12" customWidth="1"/>
    <col min="12551" max="12551" width="9.125" style="12" customWidth="1"/>
    <col min="12552" max="12552" width="10.125" style="12" customWidth="1"/>
    <col min="12553" max="12553" width="3.625" style="12" customWidth="1"/>
    <col min="12554" max="12554" width="5.75" style="12" customWidth="1"/>
    <col min="12555" max="12555" width="11.125" style="12" customWidth="1"/>
    <col min="12556" max="12800" width="8" style="12" customWidth="1"/>
    <col min="12801" max="12801" width="6.25" style="12" customWidth="1"/>
    <col min="12802" max="12802" width="14.625" style="12" customWidth="1"/>
    <col min="12803" max="12803" width="8.375" style="12" customWidth="1"/>
    <col min="12804" max="12804" width="4.625" style="12" customWidth="1"/>
    <col min="12805" max="12805" width="10.375" style="12" customWidth="1"/>
    <col min="12806" max="12806" width="0.875" style="12" customWidth="1"/>
    <col min="12807" max="12807" width="9.125" style="12" customWidth="1"/>
    <col min="12808" max="12808" width="10.125" style="12" customWidth="1"/>
    <col min="12809" max="12809" width="3.625" style="12" customWidth="1"/>
    <col min="12810" max="12810" width="5.75" style="12" customWidth="1"/>
    <col min="12811" max="12811" width="11.125" style="12" customWidth="1"/>
    <col min="12812" max="13056" width="8" style="12" customWidth="1"/>
    <col min="13057" max="13057" width="6.25" style="12" customWidth="1"/>
    <col min="13058" max="13058" width="14.625" style="12" customWidth="1"/>
    <col min="13059" max="13059" width="8.375" style="12" customWidth="1"/>
    <col min="13060" max="13060" width="4.625" style="12" customWidth="1"/>
    <col min="13061" max="13061" width="10.375" style="12" customWidth="1"/>
    <col min="13062" max="13062" width="0.875" style="12" customWidth="1"/>
    <col min="13063" max="13063" width="9.125" style="12" customWidth="1"/>
    <col min="13064" max="13064" width="10.125" style="12" customWidth="1"/>
    <col min="13065" max="13065" width="3.625" style="12" customWidth="1"/>
    <col min="13066" max="13066" width="5.75" style="12" customWidth="1"/>
    <col min="13067" max="13067" width="11.125" style="12" customWidth="1"/>
    <col min="13068" max="13312" width="8" style="12" customWidth="1"/>
    <col min="13313" max="13313" width="6.25" style="12" customWidth="1"/>
    <col min="13314" max="13314" width="14.625" style="12" customWidth="1"/>
    <col min="13315" max="13315" width="8.375" style="12" customWidth="1"/>
    <col min="13316" max="13316" width="4.625" style="12" customWidth="1"/>
    <col min="13317" max="13317" width="10.375" style="12" customWidth="1"/>
    <col min="13318" max="13318" width="0.875" style="12" customWidth="1"/>
    <col min="13319" max="13319" width="9.125" style="12" customWidth="1"/>
    <col min="13320" max="13320" width="10.125" style="12" customWidth="1"/>
    <col min="13321" max="13321" width="3.625" style="12" customWidth="1"/>
    <col min="13322" max="13322" width="5.75" style="12" customWidth="1"/>
    <col min="13323" max="13323" width="11.125" style="12" customWidth="1"/>
    <col min="13324" max="13568" width="8" style="12" customWidth="1"/>
    <col min="13569" max="13569" width="6.25" style="12" customWidth="1"/>
    <col min="13570" max="13570" width="14.625" style="12" customWidth="1"/>
    <col min="13571" max="13571" width="8.375" style="12" customWidth="1"/>
    <col min="13572" max="13572" width="4.625" style="12" customWidth="1"/>
    <col min="13573" max="13573" width="10.375" style="12" customWidth="1"/>
    <col min="13574" max="13574" width="0.875" style="12" customWidth="1"/>
    <col min="13575" max="13575" width="9.125" style="12" customWidth="1"/>
    <col min="13576" max="13576" width="10.125" style="12" customWidth="1"/>
    <col min="13577" max="13577" width="3.625" style="12" customWidth="1"/>
    <col min="13578" max="13578" width="5.75" style="12" customWidth="1"/>
    <col min="13579" max="13579" width="11.125" style="12" customWidth="1"/>
    <col min="13580" max="13824" width="8" style="12" customWidth="1"/>
    <col min="13825" max="13825" width="6.25" style="12" customWidth="1"/>
    <col min="13826" max="13826" width="14.625" style="12" customWidth="1"/>
    <col min="13827" max="13827" width="8.375" style="12" customWidth="1"/>
    <col min="13828" max="13828" width="4.625" style="12" customWidth="1"/>
    <col min="13829" max="13829" width="10.375" style="12" customWidth="1"/>
    <col min="13830" max="13830" width="0.875" style="12" customWidth="1"/>
    <col min="13831" max="13831" width="9.125" style="12" customWidth="1"/>
    <col min="13832" max="13832" width="10.125" style="12" customWidth="1"/>
    <col min="13833" max="13833" width="3.625" style="12" customWidth="1"/>
    <col min="13834" max="13834" width="5.75" style="12" customWidth="1"/>
    <col min="13835" max="13835" width="11.125" style="12" customWidth="1"/>
    <col min="13836" max="14080" width="8" style="12" customWidth="1"/>
    <col min="14081" max="14081" width="6.25" style="12" customWidth="1"/>
    <col min="14082" max="14082" width="14.625" style="12" customWidth="1"/>
    <col min="14083" max="14083" width="8.375" style="12" customWidth="1"/>
    <col min="14084" max="14084" width="4.625" style="12" customWidth="1"/>
    <col min="14085" max="14085" width="10.375" style="12" customWidth="1"/>
    <col min="14086" max="14086" width="0.875" style="12" customWidth="1"/>
    <col min="14087" max="14087" width="9.125" style="12" customWidth="1"/>
    <col min="14088" max="14088" width="10.125" style="12" customWidth="1"/>
    <col min="14089" max="14089" width="3.625" style="12" customWidth="1"/>
    <col min="14090" max="14090" width="5.75" style="12" customWidth="1"/>
    <col min="14091" max="14091" width="11.125" style="12" customWidth="1"/>
    <col min="14092" max="14336" width="8" style="12" customWidth="1"/>
    <col min="14337" max="14337" width="6.25" style="12" customWidth="1"/>
    <col min="14338" max="14338" width="14.625" style="12" customWidth="1"/>
    <col min="14339" max="14339" width="8.375" style="12" customWidth="1"/>
    <col min="14340" max="14340" width="4.625" style="12" customWidth="1"/>
    <col min="14341" max="14341" width="10.375" style="12" customWidth="1"/>
    <col min="14342" max="14342" width="0.875" style="12" customWidth="1"/>
    <col min="14343" max="14343" width="9.125" style="12" customWidth="1"/>
    <col min="14344" max="14344" width="10.125" style="12" customWidth="1"/>
    <col min="14345" max="14345" width="3.625" style="12" customWidth="1"/>
    <col min="14346" max="14346" width="5.75" style="12" customWidth="1"/>
    <col min="14347" max="14347" width="11.125" style="12" customWidth="1"/>
    <col min="14348" max="14592" width="8" style="12" customWidth="1"/>
    <col min="14593" max="14593" width="6.25" style="12" customWidth="1"/>
    <col min="14594" max="14594" width="14.625" style="12" customWidth="1"/>
    <col min="14595" max="14595" width="8.375" style="12" customWidth="1"/>
    <col min="14596" max="14596" width="4.625" style="12" customWidth="1"/>
    <col min="14597" max="14597" width="10.375" style="12" customWidth="1"/>
    <col min="14598" max="14598" width="0.875" style="12" customWidth="1"/>
    <col min="14599" max="14599" width="9.125" style="12" customWidth="1"/>
    <col min="14600" max="14600" width="10.125" style="12" customWidth="1"/>
    <col min="14601" max="14601" width="3.625" style="12" customWidth="1"/>
    <col min="14602" max="14602" width="5.75" style="12" customWidth="1"/>
    <col min="14603" max="14603" width="11.125" style="12" customWidth="1"/>
    <col min="14604" max="14848" width="8" style="12" customWidth="1"/>
    <col min="14849" max="14849" width="6.25" style="12" customWidth="1"/>
    <col min="14850" max="14850" width="14.625" style="12" customWidth="1"/>
    <col min="14851" max="14851" width="8.375" style="12" customWidth="1"/>
    <col min="14852" max="14852" width="4.625" style="12" customWidth="1"/>
    <col min="14853" max="14853" width="10.375" style="12" customWidth="1"/>
    <col min="14854" max="14854" width="0.875" style="12" customWidth="1"/>
    <col min="14855" max="14855" width="9.125" style="12" customWidth="1"/>
    <col min="14856" max="14856" width="10.125" style="12" customWidth="1"/>
    <col min="14857" max="14857" width="3.625" style="12" customWidth="1"/>
    <col min="14858" max="14858" width="5.75" style="12" customWidth="1"/>
    <col min="14859" max="14859" width="11.125" style="12" customWidth="1"/>
    <col min="14860" max="15104" width="8" style="12" customWidth="1"/>
    <col min="15105" max="15105" width="6.25" style="12" customWidth="1"/>
    <col min="15106" max="15106" width="14.625" style="12" customWidth="1"/>
    <col min="15107" max="15107" width="8.375" style="12" customWidth="1"/>
    <col min="15108" max="15108" width="4.625" style="12" customWidth="1"/>
    <col min="15109" max="15109" width="10.375" style="12" customWidth="1"/>
    <col min="15110" max="15110" width="0.875" style="12" customWidth="1"/>
    <col min="15111" max="15111" width="9.125" style="12" customWidth="1"/>
    <col min="15112" max="15112" width="10.125" style="12" customWidth="1"/>
    <col min="15113" max="15113" width="3.625" style="12" customWidth="1"/>
    <col min="15114" max="15114" width="5.75" style="12" customWidth="1"/>
    <col min="15115" max="15115" width="11.125" style="12" customWidth="1"/>
    <col min="15116" max="15360" width="8" style="12" customWidth="1"/>
    <col min="15361" max="15361" width="6.25" style="12" customWidth="1"/>
    <col min="15362" max="15362" width="14.625" style="12" customWidth="1"/>
    <col min="15363" max="15363" width="8.375" style="12" customWidth="1"/>
    <col min="15364" max="15364" width="4.625" style="12" customWidth="1"/>
    <col min="15365" max="15365" width="10.375" style="12" customWidth="1"/>
    <col min="15366" max="15366" width="0.875" style="12" customWidth="1"/>
    <col min="15367" max="15367" width="9.125" style="12" customWidth="1"/>
    <col min="15368" max="15368" width="10.125" style="12" customWidth="1"/>
    <col min="15369" max="15369" width="3.625" style="12" customWidth="1"/>
    <col min="15370" max="15370" width="5.75" style="12" customWidth="1"/>
    <col min="15371" max="15371" width="11.125" style="12" customWidth="1"/>
    <col min="15372" max="15616" width="8" style="12" customWidth="1"/>
    <col min="15617" max="15617" width="6.25" style="12" customWidth="1"/>
    <col min="15618" max="15618" width="14.625" style="12" customWidth="1"/>
    <col min="15619" max="15619" width="8.375" style="12" customWidth="1"/>
    <col min="15620" max="15620" width="4.625" style="12" customWidth="1"/>
    <col min="15621" max="15621" width="10.375" style="12" customWidth="1"/>
    <col min="15622" max="15622" width="0.875" style="12" customWidth="1"/>
    <col min="15623" max="15623" width="9.125" style="12" customWidth="1"/>
    <col min="15624" max="15624" width="10.125" style="12" customWidth="1"/>
    <col min="15625" max="15625" width="3.625" style="12" customWidth="1"/>
    <col min="15626" max="15626" width="5.75" style="12" customWidth="1"/>
    <col min="15627" max="15627" width="11.125" style="12" customWidth="1"/>
    <col min="15628" max="15872" width="8" style="12" customWidth="1"/>
    <col min="15873" max="15873" width="6.25" style="12" customWidth="1"/>
    <col min="15874" max="15874" width="14.625" style="12" customWidth="1"/>
    <col min="15875" max="15875" width="8.375" style="12" customWidth="1"/>
    <col min="15876" max="15876" width="4.625" style="12" customWidth="1"/>
    <col min="15877" max="15877" width="10.375" style="12" customWidth="1"/>
    <col min="15878" max="15878" width="0.875" style="12" customWidth="1"/>
    <col min="15879" max="15879" width="9.125" style="12" customWidth="1"/>
    <col min="15880" max="15880" width="10.125" style="12" customWidth="1"/>
    <col min="15881" max="15881" width="3.625" style="12" customWidth="1"/>
    <col min="15882" max="15882" width="5.75" style="12" customWidth="1"/>
    <col min="15883" max="15883" width="11.125" style="12" customWidth="1"/>
    <col min="15884" max="16128" width="8" style="12" customWidth="1"/>
    <col min="16129" max="16129" width="6.25" style="12" customWidth="1"/>
    <col min="16130" max="16130" width="14.625" style="12" customWidth="1"/>
    <col min="16131" max="16131" width="8.375" style="12" customWidth="1"/>
    <col min="16132" max="16132" width="4.625" style="12" customWidth="1"/>
    <col min="16133" max="16133" width="10.375" style="12" customWidth="1"/>
    <col min="16134" max="16134" width="0.875" style="12" customWidth="1"/>
    <col min="16135" max="16135" width="9.125" style="12" customWidth="1"/>
    <col min="16136" max="16136" width="10.125" style="12" customWidth="1"/>
    <col min="16137" max="16137" width="3.625" style="12" customWidth="1"/>
    <col min="16138" max="16138" width="5.75" style="12" customWidth="1"/>
    <col min="16139" max="16139" width="11.125" style="12" customWidth="1"/>
    <col min="16140" max="16384" width="8" style="12" customWidth="1"/>
  </cols>
  <sheetData>
    <row r="1" spans="1:11" ht="30" customHeight="1">
      <c r="A1" s="198" t="s">
        <v>398</v>
      </c>
      <c r="B1" s="198" t="s">
        <v>36</v>
      </c>
      <c r="C1" s="198" t="s">
        <v>36</v>
      </c>
      <c r="D1" s="198" t="s">
        <v>36</v>
      </c>
      <c r="E1" s="198" t="s">
        <v>36</v>
      </c>
      <c r="F1" s="198" t="s">
        <v>36</v>
      </c>
      <c r="G1" s="198" t="s">
        <v>36</v>
      </c>
      <c r="H1" s="198" t="s">
        <v>36</v>
      </c>
      <c r="I1" s="198" t="s">
        <v>36</v>
      </c>
      <c r="J1" s="198" t="s">
        <v>36</v>
      </c>
      <c r="K1" s="198" t="s">
        <v>36</v>
      </c>
    </row>
    <row r="2" spans="1:11" ht="37.5" customHeight="1" thickBot="1">
      <c r="A2" s="199" t="s">
        <v>399</v>
      </c>
      <c r="B2" s="199" t="s">
        <v>36</v>
      </c>
      <c r="C2" s="199" t="s">
        <v>36</v>
      </c>
      <c r="D2" s="199" t="s">
        <v>36</v>
      </c>
      <c r="E2" s="199" t="s">
        <v>36</v>
      </c>
      <c r="F2" s="199" t="s">
        <v>36</v>
      </c>
      <c r="G2" s="199" t="s">
        <v>400</v>
      </c>
      <c r="H2" s="199" t="s">
        <v>36</v>
      </c>
      <c r="I2" s="199" t="s">
        <v>36</v>
      </c>
      <c r="J2" s="200" t="s">
        <v>274</v>
      </c>
      <c r="K2" s="200" t="s">
        <v>36</v>
      </c>
    </row>
    <row r="3" spans="1:11" ht="16.5" customHeight="1">
      <c r="A3" s="69" t="s">
        <v>31</v>
      </c>
      <c r="B3" s="65" t="s">
        <v>401</v>
      </c>
      <c r="C3" s="65" t="s">
        <v>402</v>
      </c>
      <c r="D3" s="65" t="s">
        <v>32</v>
      </c>
      <c r="E3" s="65" t="s">
        <v>403</v>
      </c>
      <c r="F3" s="203" t="s">
        <v>404</v>
      </c>
      <c r="G3" s="203" t="s">
        <v>36</v>
      </c>
      <c r="H3" s="65" t="s">
        <v>405</v>
      </c>
      <c r="I3" s="203" t="s">
        <v>406</v>
      </c>
      <c r="J3" s="203" t="s">
        <v>36</v>
      </c>
      <c r="K3" s="66" t="s">
        <v>407</v>
      </c>
    </row>
    <row r="4" spans="1:11" ht="15" customHeight="1">
      <c r="A4" s="70">
        <v>1</v>
      </c>
      <c r="B4" s="63" t="s">
        <v>408</v>
      </c>
      <c r="C4" s="63" t="s">
        <v>36</v>
      </c>
      <c r="D4" s="67" t="s">
        <v>409</v>
      </c>
      <c r="E4" s="67">
        <v>223.64</v>
      </c>
      <c r="F4" s="207">
        <v>68</v>
      </c>
      <c r="G4" s="207" t="s">
        <v>36</v>
      </c>
      <c r="H4" s="64">
        <v>81</v>
      </c>
      <c r="I4" s="207">
        <v>13</v>
      </c>
      <c r="J4" s="207" t="s">
        <v>36</v>
      </c>
      <c r="K4" s="13">
        <v>2907.37</v>
      </c>
    </row>
    <row r="5" spans="1:11" ht="15" customHeight="1">
      <c r="A5" s="70">
        <v>2</v>
      </c>
      <c r="B5" s="63" t="s">
        <v>410</v>
      </c>
      <c r="C5" s="63" t="s">
        <v>36</v>
      </c>
      <c r="D5" s="67" t="s">
        <v>409</v>
      </c>
      <c r="E5" s="67">
        <v>560.85</v>
      </c>
      <c r="F5" s="207">
        <v>53</v>
      </c>
      <c r="G5" s="207" t="s">
        <v>36</v>
      </c>
      <c r="H5" s="64">
        <v>66</v>
      </c>
      <c r="I5" s="207">
        <v>13</v>
      </c>
      <c r="J5" s="207" t="s">
        <v>36</v>
      </c>
      <c r="K5" s="13">
        <v>7291.09</v>
      </c>
    </row>
    <row r="6" spans="1:11" ht="14.25" customHeight="1">
      <c r="A6" s="70" t="s">
        <v>36</v>
      </c>
      <c r="B6" s="63" t="s">
        <v>36</v>
      </c>
      <c r="C6" s="63" t="s">
        <v>36</v>
      </c>
      <c r="D6" s="67" t="s">
        <v>36</v>
      </c>
      <c r="E6" s="67" t="s">
        <v>36</v>
      </c>
      <c r="F6" s="207" t="s">
        <v>36</v>
      </c>
      <c r="G6" s="207" t="s">
        <v>36</v>
      </c>
      <c r="H6" s="64" t="s">
        <v>36</v>
      </c>
      <c r="I6" s="207" t="s">
        <v>36</v>
      </c>
      <c r="J6" s="207" t="s">
        <v>36</v>
      </c>
      <c r="K6" s="13" t="s">
        <v>36</v>
      </c>
    </row>
    <row r="7" spans="1:11" ht="14.25" customHeight="1">
      <c r="A7" s="70" t="s">
        <v>36</v>
      </c>
      <c r="B7" s="63" t="s">
        <v>36</v>
      </c>
      <c r="C7" s="63" t="s">
        <v>36</v>
      </c>
      <c r="D7" s="67" t="s">
        <v>36</v>
      </c>
      <c r="E7" s="67" t="s">
        <v>36</v>
      </c>
      <c r="F7" s="207" t="s">
        <v>36</v>
      </c>
      <c r="G7" s="207" t="s">
        <v>36</v>
      </c>
      <c r="H7" s="64" t="s">
        <v>36</v>
      </c>
      <c r="I7" s="207" t="s">
        <v>36</v>
      </c>
      <c r="J7" s="207" t="s">
        <v>36</v>
      </c>
      <c r="K7" s="13" t="s">
        <v>36</v>
      </c>
    </row>
    <row r="8" spans="1:11" ht="14.25" customHeight="1">
      <c r="A8" s="70" t="s">
        <v>36</v>
      </c>
      <c r="B8" s="63" t="s">
        <v>36</v>
      </c>
      <c r="C8" s="63" t="s">
        <v>36</v>
      </c>
      <c r="D8" s="67" t="s">
        <v>36</v>
      </c>
      <c r="E8" s="67" t="s">
        <v>36</v>
      </c>
      <c r="F8" s="207" t="s">
        <v>36</v>
      </c>
      <c r="G8" s="207" t="s">
        <v>36</v>
      </c>
      <c r="H8" s="64" t="s">
        <v>36</v>
      </c>
      <c r="I8" s="207" t="s">
        <v>36</v>
      </c>
      <c r="J8" s="207" t="s">
        <v>36</v>
      </c>
      <c r="K8" s="13" t="s">
        <v>36</v>
      </c>
    </row>
    <row r="9" spans="1:11" ht="14.25" customHeight="1">
      <c r="A9" s="70" t="s">
        <v>36</v>
      </c>
      <c r="B9" s="63" t="s">
        <v>36</v>
      </c>
      <c r="C9" s="63" t="s">
        <v>36</v>
      </c>
      <c r="D9" s="67" t="s">
        <v>36</v>
      </c>
      <c r="E9" s="67" t="s">
        <v>36</v>
      </c>
      <c r="F9" s="207" t="s">
        <v>36</v>
      </c>
      <c r="G9" s="207" t="s">
        <v>36</v>
      </c>
      <c r="H9" s="64" t="s">
        <v>36</v>
      </c>
      <c r="I9" s="207" t="s">
        <v>36</v>
      </c>
      <c r="J9" s="207" t="s">
        <v>36</v>
      </c>
      <c r="K9" s="13" t="s">
        <v>36</v>
      </c>
    </row>
    <row r="10" spans="1:11" ht="14.25" customHeight="1">
      <c r="A10" s="70" t="s">
        <v>36</v>
      </c>
      <c r="B10" s="63" t="s">
        <v>36</v>
      </c>
      <c r="C10" s="63" t="s">
        <v>36</v>
      </c>
      <c r="D10" s="67" t="s">
        <v>36</v>
      </c>
      <c r="E10" s="67" t="s">
        <v>36</v>
      </c>
      <c r="F10" s="207" t="s">
        <v>36</v>
      </c>
      <c r="G10" s="207" t="s">
        <v>36</v>
      </c>
      <c r="H10" s="64" t="s">
        <v>36</v>
      </c>
      <c r="I10" s="207" t="s">
        <v>36</v>
      </c>
      <c r="J10" s="207" t="s">
        <v>36</v>
      </c>
      <c r="K10" s="13" t="s">
        <v>36</v>
      </c>
    </row>
    <row r="11" spans="1:11" ht="14.25" customHeight="1">
      <c r="A11" s="70" t="s">
        <v>36</v>
      </c>
      <c r="B11" s="63" t="s">
        <v>36</v>
      </c>
      <c r="C11" s="63" t="s">
        <v>36</v>
      </c>
      <c r="D11" s="67" t="s">
        <v>36</v>
      </c>
      <c r="E11" s="67" t="s">
        <v>36</v>
      </c>
      <c r="F11" s="207" t="s">
        <v>36</v>
      </c>
      <c r="G11" s="207" t="s">
        <v>36</v>
      </c>
      <c r="H11" s="64" t="s">
        <v>36</v>
      </c>
      <c r="I11" s="207" t="s">
        <v>36</v>
      </c>
      <c r="J11" s="207" t="s">
        <v>36</v>
      </c>
      <c r="K11" s="13" t="s">
        <v>36</v>
      </c>
    </row>
    <row r="12" spans="1:11" ht="14.25" customHeight="1">
      <c r="A12" s="70" t="s">
        <v>36</v>
      </c>
      <c r="B12" s="63" t="s">
        <v>36</v>
      </c>
      <c r="C12" s="63" t="s">
        <v>36</v>
      </c>
      <c r="D12" s="67" t="s">
        <v>36</v>
      </c>
      <c r="E12" s="67" t="s">
        <v>36</v>
      </c>
      <c r="F12" s="207" t="s">
        <v>36</v>
      </c>
      <c r="G12" s="207" t="s">
        <v>36</v>
      </c>
      <c r="H12" s="64" t="s">
        <v>36</v>
      </c>
      <c r="I12" s="207" t="s">
        <v>36</v>
      </c>
      <c r="J12" s="207" t="s">
        <v>36</v>
      </c>
      <c r="K12" s="13" t="s">
        <v>36</v>
      </c>
    </row>
    <row r="13" spans="1:11" ht="14.25" customHeight="1">
      <c r="A13" s="70" t="s">
        <v>36</v>
      </c>
      <c r="B13" s="63" t="s">
        <v>36</v>
      </c>
      <c r="C13" s="63" t="s">
        <v>36</v>
      </c>
      <c r="D13" s="67" t="s">
        <v>36</v>
      </c>
      <c r="E13" s="67" t="s">
        <v>36</v>
      </c>
      <c r="F13" s="207" t="s">
        <v>36</v>
      </c>
      <c r="G13" s="207" t="s">
        <v>36</v>
      </c>
      <c r="H13" s="64" t="s">
        <v>36</v>
      </c>
      <c r="I13" s="207" t="s">
        <v>36</v>
      </c>
      <c r="J13" s="207" t="s">
        <v>36</v>
      </c>
      <c r="K13" s="13" t="s">
        <v>36</v>
      </c>
    </row>
    <row r="14" spans="1:11" ht="14.25" customHeight="1">
      <c r="A14" s="70" t="s">
        <v>36</v>
      </c>
      <c r="B14" s="63" t="s">
        <v>36</v>
      </c>
      <c r="C14" s="63" t="s">
        <v>36</v>
      </c>
      <c r="D14" s="67" t="s">
        <v>36</v>
      </c>
      <c r="E14" s="67" t="s">
        <v>36</v>
      </c>
      <c r="F14" s="207" t="s">
        <v>36</v>
      </c>
      <c r="G14" s="207" t="s">
        <v>36</v>
      </c>
      <c r="H14" s="64" t="s">
        <v>36</v>
      </c>
      <c r="I14" s="207" t="s">
        <v>36</v>
      </c>
      <c r="J14" s="207" t="s">
        <v>36</v>
      </c>
      <c r="K14" s="13" t="s">
        <v>36</v>
      </c>
    </row>
    <row r="15" spans="1:11" ht="14.25" customHeight="1">
      <c r="A15" s="70" t="s">
        <v>36</v>
      </c>
      <c r="B15" s="63" t="s">
        <v>36</v>
      </c>
      <c r="C15" s="63" t="s">
        <v>36</v>
      </c>
      <c r="D15" s="67" t="s">
        <v>36</v>
      </c>
      <c r="E15" s="67" t="s">
        <v>36</v>
      </c>
      <c r="F15" s="207" t="s">
        <v>36</v>
      </c>
      <c r="G15" s="207" t="s">
        <v>36</v>
      </c>
      <c r="H15" s="64" t="s">
        <v>36</v>
      </c>
      <c r="I15" s="207" t="s">
        <v>36</v>
      </c>
      <c r="J15" s="207" t="s">
        <v>36</v>
      </c>
      <c r="K15" s="13" t="s">
        <v>36</v>
      </c>
    </row>
    <row r="16" spans="1:11" ht="14.25" customHeight="1">
      <c r="A16" s="70" t="s">
        <v>36</v>
      </c>
      <c r="B16" s="63" t="s">
        <v>36</v>
      </c>
      <c r="C16" s="63" t="s">
        <v>36</v>
      </c>
      <c r="D16" s="67" t="s">
        <v>36</v>
      </c>
      <c r="E16" s="67" t="s">
        <v>36</v>
      </c>
      <c r="F16" s="207" t="s">
        <v>36</v>
      </c>
      <c r="G16" s="207" t="s">
        <v>36</v>
      </c>
      <c r="H16" s="64" t="s">
        <v>36</v>
      </c>
      <c r="I16" s="207" t="s">
        <v>36</v>
      </c>
      <c r="J16" s="207" t="s">
        <v>36</v>
      </c>
      <c r="K16" s="13" t="s">
        <v>36</v>
      </c>
    </row>
    <row r="17" spans="1:11" ht="14.25" customHeight="1">
      <c r="A17" s="70" t="s">
        <v>36</v>
      </c>
      <c r="B17" s="63" t="s">
        <v>36</v>
      </c>
      <c r="C17" s="63" t="s">
        <v>36</v>
      </c>
      <c r="D17" s="67" t="s">
        <v>36</v>
      </c>
      <c r="E17" s="67" t="s">
        <v>36</v>
      </c>
      <c r="F17" s="207" t="s">
        <v>36</v>
      </c>
      <c r="G17" s="207" t="s">
        <v>36</v>
      </c>
      <c r="H17" s="64" t="s">
        <v>36</v>
      </c>
      <c r="I17" s="207" t="s">
        <v>36</v>
      </c>
      <c r="J17" s="207" t="s">
        <v>36</v>
      </c>
      <c r="K17" s="13" t="s">
        <v>36</v>
      </c>
    </row>
    <row r="18" spans="1:11" ht="14.25" customHeight="1">
      <c r="A18" s="70" t="s">
        <v>36</v>
      </c>
      <c r="B18" s="63" t="s">
        <v>36</v>
      </c>
      <c r="C18" s="63" t="s">
        <v>36</v>
      </c>
      <c r="D18" s="67" t="s">
        <v>36</v>
      </c>
      <c r="E18" s="67" t="s">
        <v>36</v>
      </c>
      <c r="F18" s="207" t="s">
        <v>36</v>
      </c>
      <c r="G18" s="207" t="s">
        <v>36</v>
      </c>
      <c r="H18" s="64" t="s">
        <v>36</v>
      </c>
      <c r="I18" s="207" t="s">
        <v>36</v>
      </c>
      <c r="J18" s="207" t="s">
        <v>36</v>
      </c>
      <c r="K18" s="13" t="s">
        <v>36</v>
      </c>
    </row>
    <row r="19" spans="1:11" ht="14.25" customHeight="1">
      <c r="A19" s="70" t="s">
        <v>36</v>
      </c>
      <c r="B19" s="63" t="s">
        <v>36</v>
      </c>
      <c r="C19" s="63" t="s">
        <v>36</v>
      </c>
      <c r="D19" s="67" t="s">
        <v>36</v>
      </c>
      <c r="E19" s="67" t="s">
        <v>36</v>
      </c>
      <c r="F19" s="207" t="s">
        <v>36</v>
      </c>
      <c r="G19" s="207" t="s">
        <v>36</v>
      </c>
      <c r="H19" s="64" t="s">
        <v>36</v>
      </c>
      <c r="I19" s="207" t="s">
        <v>36</v>
      </c>
      <c r="J19" s="207" t="s">
        <v>36</v>
      </c>
      <c r="K19" s="13" t="s">
        <v>36</v>
      </c>
    </row>
    <row r="20" spans="1:11" ht="14.25" customHeight="1">
      <c r="A20" s="70" t="s">
        <v>36</v>
      </c>
      <c r="B20" s="63" t="s">
        <v>36</v>
      </c>
      <c r="C20" s="63" t="s">
        <v>36</v>
      </c>
      <c r="D20" s="67" t="s">
        <v>36</v>
      </c>
      <c r="E20" s="67" t="s">
        <v>36</v>
      </c>
      <c r="F20" s="207" t="s">
        <v>36</v>
      </c>
      <c r="G20" s="207" t="s">
        <v>36</v>
      </c>
      <c r="H20" s="64" t="s">
        <v>36</v>
      </c>
      <c r="I20" s="207" t="s">
        <v>36</v>
      </c>
      <c r="J20" s="207" t="s">
        <v>36</v>
      </c>
      <c r="K20" s="13" t="s">
        <v>36</v>
      </c>
    </row>
    <row r="21" spans="1:11" ht="14.25" customHeight="1">
      <c r="A21" s="70" t="s">
        <v>36</v>
      </c>
      <c r="B21" s="63" t="s">
        <v>36</v>
      </c>
      <c r="C21" s="63" t="s">
        <v>36</v>
      </c>
      <c r="D21" s="67" t="s">
        <v>36</v>
      </c>
      <c r="E21" s="67" t="s">
        <v>36</v>
      </c>
      <c r="F21" s="207" t="s">
        <v>36</v>
      </c>
      <c r="G21" s="207" t="s">
        <v>36</v>
      </c>
      <c r="H21" s="64" t="s">
        <v>36</v>
      </c>
      <c r="I21" s="207" t="s">
        <v>36</v>
      </c>
      <c r="J21" s="207" t="s">
        <v>36</v>
      </c>
      <c r="K21" s="13" t="s">
        <v>36</v>
      </c>
    </row>
    <row r="22" spans="1:11" ht="14.25" customHeight="1">
      <c r="A22" s="70" t="s">
        <v>36</v>
      </c>
      <c r="B22" s="63" t="s">
        <v>36</v>
      </c>
      <c r="C22" s="63" t="s">
        <v>36</v>
      </c>
      <c r="D22" s="67" t="s">
        <v>36</v>
      </c>
      <c r="E22" s="67" t="s">
        <v>36</v>
      </c>
      <c r="F22" s="207" t="s">
        <v>36</v>
      </c>
      <c r="G22" s="207" t="s">
        <v>36</v>
      </c>
      <c r="H22" s="64" t="s">
        <v>36</v>
      </c>
      <c r="I22" s="207" t="s">
        <v>36</v>
      </c>
      <c r="J22" s="207" t="s">
        <v>36</v>
      </c>
      <c r="K22" s="13" t="s">
        <v>36</v>
      </c>
    </row>
    <row r="23" spans="1:11" ht="14.25" customHeight="1">
      <c r="A23" s="70" t="s">
        <v>36</v>
      </c>
      <c r="B23" s="63" t="s">
        <v>36</v>
      </c>
      <c r="C23" s="63" t="s">
        <v>36</v>
      </c>
      <c r="D23" s="67" t="s">
        <v>36</v>
      </c>
      <c r="E23" s="67" t="s">
        <v>36</v>
      </c>
      <c r="F23" s="207" t="s">
        <v>36</v>
      </c>
      <c r="G23" s="207" t="s">
        <v>36</v>
      </c>
      <c r="H23" s="64" t="s">
        <v>36</v>
      </c>
      <c r="I23" s="207" t="s">
        <v>36</v>
      </c>
      <c r="J23" s="207" t="s">
        <v>36</v>
      </c>
      <c r="K23" s="13" t="s">
        <v>36</v>
      </c>
    </row>
    <row r="24" spans="1:11" ht="14.25" customHeight="1">
      <c r="A24" s="70" t="s">
        <v>36</v>
      </c>
      <c r="B24" s="63" t="s">
        <v>36</v>
      </c>
      <c r="C24" s="63" t="s">
        <v>36</v>
      </c>
      <c r="D24" s="67" t="s">
        <v>36</v>
      </c>
      <c r="E24" s="67" t="s">
        <v>36</v>
      </c>
      <c r="F24" s="207" t="s">
        <v>36</v>
      </c>
      <c r="G24" s="207" t="s">
        <v>36</v>
      </c>
      <c r="H24" s="64" t="s">
        <v>36</v>
      </c>
      <c r="I24" s="207" t="s">
        <v>36</v>
      </c>
      <c r="J24" s="207" t="s">
        <v>36</v>
      </c>
      <c r="K24" s="13" t="s">
        <v>36</v>
      </c>
    </row>
    <row r="25" spans="1:11" ht="14.25" customHeight="1">
      <c r="A25" s="70" t="s">
        <v>36</v>
      </c>
      <c r="B25" s="63" t="s">
        <v>36</v>
      </c>
      <c r="C25" s="63" t="s">
        <v>36</v>
      </c>
      <c r="D25" s="67" t="s">
        <v>36</v>
      </c>
      <c r="E25" s="67" t="s">
        <v>36</v>
      </c>
      <c r="F25" s="207" t="s">
        <v>36</v>
      </c>
      <c r="G25" s="207" t="s">
        <v>36</v>
      </c>
      <c r="H25" s="64" t="s">
        <v>36</v>
      </c>
      <c r="I25" s="207" t="s">
        <v>36</v>
      </c>
      <c r="J25" s="207" t="s">
        <v>36</v>
      </c>
      <c r="K25" s="13" t="s">
        <v>36</v>
      </c>
    </row>
    <row r="26" spans="1:11" ht="14.25" customHeight="1">
      <c r="A26" s="70" t="s">
        <v>36</v>
      </c>
      <c r="B26" s="63" t="s">
        <v>36</v>
      </c>
      <c r="C26" s="63" t="s">
        <v>36</v>
      </c>
      <c r="D26" s="67" t="s">
        <v>36</v>
      </c>
      <c r="E26" s="67" t="s">
        <v>36</v>
      </c>
      <c r="F26" s="207" t="s">
        <v>36</v>
      </c>
      <c r="G26" s="207" t="s">
        <v>36</v>
      </c>
      <c r="H26" s="64" t="s">
        <v>36</v>
      </c>
      <c r="I26" s="207" t="s">
        <v>36</v>
      </c>
      <c r="J26" s="207" t="s">
        <v>36</v>
      </c>
      <c r="K26" s="13" t="s">
        <v>36</v>
      </c>
    </row>
    <row r="27" spans="1:11" ht="14.25" customHeight="1">
      <c r="A27" s="70" t="s">
        <v>36</v>
      </c>
      <c r="B27" s="63" t="s">
        <v>36</v>
      </c>
      <c r="C27" s="63" t="s">
        <v>36</v>
      </c>
      <c r="D27" s="67" t="s">
        <v>36</v>
      </c>
      <c r="E27" s="67" t="s">
        <v>36</v>
      </c>
      <c r="F27" s="207" t="s">
        <v>36</v>
      </c>
      <c r="G27" s="207" t="s">
        <v>36</v>
      </c>
      <c r="H27" s="64" t="s">
        <v>36</v>
      </c>
      <c r="I27" s="207" t="s">
        <v>36</v>
      </c>
      <c r="J27" s="207" t="s">
        <v>36</v>
      </c>
      <c r="K27" s="13" t="s">
        <v>36</v>
      </c>
    </row>
    <row r="28" spans="1:11" ht="14.25" customHeight="1">
      <c r="A28" s="70" t="s">
        <v>36</v>
      </c>
      <c r="B28" s="63" t="s">
        <v>36</v>
      </c>
      <c r="C28" s="63" t="s">
        <v>36</v>
      </c>
      <c r="D28" s="67" t="s">
        <v>36</v>
      </c>
      <c r="E28" s="67" t="s">
        <v>36</v>
      </c>
      <c r="F28" s="207" t="s">
        <v>36</v>
      </c>
      <c r="G28" s="207" t="s">
        <v>36</v>
      </c>
      <c r="H28" s="64" t="s">
        <v>36</v>
      </c>
      <c r="I28" s="207" t="s">
        <v>36</v>
      </c>
      <c r="J28" s="207" t="s">
        <v>36</v>
      </c>
      <c r="K28" s="13" t="s">
        <v>36</v>
      </c>
    </row>
    <row r="29" spans="1:11" ht="14.25" customHeight="1">
      <c r="A29" s="70" t="s">
        <v>36</v>
      </c>
      <c r="B29" s="63" t="s">
        <v>36</v>
      </c>
      <c r="C29" s="63" t="s">
        <v>36</v>
      </c>
      <c r="D29" s="67" t="s">
        <v>36</v>
      </c>
      <c r="E29" s="67" t="s">
        <v>36</v>
      </c>
      <c r="F29" s="207" t="s">
        <v>36</v>
      </c>
      <c r="G29" s="207" t="s">
        <v>36</v>
      </c>
      <c r="H29" s="64" t="s">
        <v>36</v>
      </c>
      <c r="I29" s="207" t="s">
        <v>36</v>
      </c>
      <c r="J29" s="207" t="s">
        <v>36</v>
      </c>
      <c r="K29" s="13" t="s">
        <v>36</v>
      </c>
    </row>
    <row r="30" spans="1:11" ht="14.25" customHeight="1">
      <c r="A30" s="70" t="s">
        <v>36</v>
      </c>
      <c r="B30" s="63" t="s">
        <v>36</v>
      </c>
      <c r="C30" s="63" t="s">
        <v>36</v>
      </c>
      <c r="D30" s="67" t="s">
        <v>36</v>
      </c>
      <c r="E30" s="67" t="s">
        <v>36</v>
      </c>
      <c r="F30" s="207" t="s">
        <v>36</v>
      </c>
      <c r="G30" s="207" t="s">
        <v>36</v>
      </c>
      <c r="H30" s="64" t="s">
        <v>36</v>
      </c>
      <c r="I30" s="207" t="s">
        <v>36</v>
      </c>
      <c r="J30" s="207" t="s">
        <v>36</v>
      </c>
      <c r="K30" s="13" t="s">
        <v>36</v>
      </c>
    </row>
    <row r="31" spans="1:11" ht="14.25" customHeight="1">
      <c r="A31" s="70" t="s">
        <v>36</v>
      </c>
      <c r="B31" s="63" t="s">
        <v>36</v>
      </c>
      <c r="C31" s="63" t="s">
        <v>36</v>
      </c>
      <c r="D31" s="67" t="s">
        <v>36</v>
      </c>
      <c r="E31" s="67" t="s">
        <v>36</v>
      </c>
      <c r="F31" s="207" t="s">
        <v>36</v>
      </c>
      <c r="G31" s="207" t="s">
        <v>36</v>
      </c>
      <c r="H31" s="64" t="s">
        <v>36</v>
      </c>
      <c r="I31" s="207" t="s">
        <v>36</v>
      </c>
      <c r="J31" s="207" t="s">
        <v>36</v>
      </c>
      <c r="K31" s="13" t="s">
        <v>36</v>
      </c>
    </row>
    <row r="32" spans="1:11" ht="14.25" customHeight="1">
      <c r="A32" s="70" t="s">
        <v>36</v>
      </c>
      <c r="B32" s="63" t="s">
        <v>36</v>
      </c>
      <c r="C32" s="63" t="s">
        <v>36</v>
      </c>
      <c r="D32" s="67" t="s">
        <v>36</v>
      </c>
      <c r="E32" s="67" t="s">
        <v>36</v>
      </c>
      <c r="F32" s="207" t="s">
        <v>36</v>
      </c>
      <c r="G32" s="207" t="s">
        <v>36</v>
      </c>
      <c r="H32" s="64" t="s">
        <v>36</v>
      </c>
      <c r="I32" s="207" t="s">
        <v>36</v>
      </c>
      <c r="J32" s="207" t="s">
        <v>36</v>
      </c>
      <c r="K32" s="13" t="s">
        <v>36</v>
      </c>
    </row>
    <row r="33" spans="1:11" ht="14.25" customHeight="1">
      <c r="A33" s="70" t="s">
        <v>36</v>
      </c>
      <c r="B33" s="63" t="s">
        <v>36</v>
      </c>
      <c r="C33" s="63" t="s">
        <v>36</v>
      </c>
      <c r="D33" s="67" t="s">
        <v>36</v>
      </c>
      <c r="E33" s="67" t="s">
        <v>36</v>
      </c>
      <c r="F33" s="207" t="s">
        <v>36</v>
      </c>
      <c r="G33" s="207" t="s">
        <v>36</v>
      </c>
      <c r="H33" s="64" t="s">
        <v>36</v>
      </c>
      <c r="I33" s="207" t="s">
        <v>36</v>
      </c>
      <c r="J33" s="207" t="s">
        <v>36</v>
      </c>
      <c r="K33" s="13" t="s">
        <v>36</v>
      </c>
    </row>
    <row r="34" spans="1:11" ht="14.25" customHeight="1">
      <c r="A34" s="70" t="s">
        <v>36</v>
      </c>
      <c r="B34" s="63" t="s">
        <v>36</v>
      </c>
      <c r="C34" s="63" t="s">
        <v>36</v>
      </c>
      <c r="D34" s="67" t="s">
        <v>36</v>
      </c>
      <c r="E34" s="67" t="s">
        <v>36</v>
      </c>
      <c r="F34" s="207" t="s">
        <v>36</v>
      </c>
      <c r="G34" s="207" t="s">
        <v>36</v>
      </c>
      <c r="H34" s="64" t="s">
        <v>36</v>
      </c>
      <c r="I34" s="207" t="s">
        <v>36</v>
      </c>
      <c r="J34" s="207" t="s">
        <v>36</v>
      </c>
      <c r="K34" s="13" t="s">
        <v>36</v>
      </c>
    </row>
    <row r="35" spans="1:11" ht="14.25" customHeight="1">
      <c r="A35" s="70" t="s">
        <v>36</v>
      </c>
      <c r="B35" s="63" t="s">
        <v>36</v>
      </c>
      <c r="C35" s="63" t="s">
        <v>36</v>
      </c>
      <c r="D35" s="67" t="s">
        <v>36</v>
      </c>
      <c r="E35" s="67" t="s">
        <v>36</v>
      </c>
      <c r="F35" s="207" t="s">
        <v>36</v>
      </c>
      <c r="G35" s="207" t="s">
        <v>36</v>
      </c>
      <c r="H35" s="64" t="s">
        <v>36</v>
      </c>
      <c r="I35" s="207" t="s">
        <v>36</v>
      </c>
      <c r="J35" s="207" t="s">
        <v>36</v>
      </c>
      <c r="K35" s="13" t="s">
        <v>36</v>
      </c>
    </row>
    <row r="36" spans="1:11" ht="14.25" customHeight="1">
      <c r="A36" s="70" t="s">
        <v>36</v>
      </c>
      <c r="B36" s="63" t="s">
        <v>36</v>
      </c>
      <c r="C36" s="63" t="s">
        <v>36</v>
      </c>
      <c r="D36" s="67" t="s">
        <v>36</v>
      </c>
      <c r="E36" s="67" t="s">
        <v>36</v>
      </c>
      <c r="F36" s="207" t="s">
        <v>36</v>
      </c>
      <c r="G36" s="207" t="s">
        <v>36</v>
      </c>
      <c r="H36" s="64" t="s">
        <v>36</v>
      </c>
      <c r="I36" s="207" t="s">
        <v>36</v>
      </c>
      <c r="J36" s="207" t="s">
        <v>36</v>
      </c>
      <c r="K36" s="13" t="s">
        <v>36</v>
      </c>
    </row>
    <row r="37" spans="1:11" ht="14.25" customHeight="1">
      <c r="A37" s="70" t="s">
        <v>36</v>
      </c>
      <c r="B37" s="63" t="s">
        <v>36</v>
      </c>
      <c r="C37" s="63" t="s">
        <v>36</v>
      </c>
      <c r="D37" s="67" t="s">
        <v>36</v>
      </c>
      <c r="E37" s="67" t="s">
        <v>36</v>
      </c>
      <c r="F37" s="207" t="s">
        <v>36</v>
      </c>
      <c r="G37" s="207" t="s">
        <v>36</v>
      </c>
      <c r="H37" s="64" t="s">
        <v>36</v>
      </c>
      <c r="I37" s="207" t="s">
        <v>36</v>
      </c>
      <c r="J37" s="207" t="s">
        <v>36</v>
      </c>
      <c r="K37" s="13" t="s">
        <v>36</v>
      </c>
    </row>
    <row r="38" spans="1:11" ht="14.25" customHeight="1">
      <c r="A38" s="70" t="s">
        <v>36</v>
      </c>
      <c r="B38" s="63" t="s">
        <v>36</v>
      </c>
      <c r="C38" s="63" t="s">
        <v>36</v>
      </c>
      <c r="D38" s="67" t="s">
        <v>36</v>
      </c>
      <c r="E38" s="67" t="s">
        <v>36</v>
      </c>
      <c r="F38" s="207" t="s">
        <v>36</v>
      </c>
      <c r="G38" s="207" t="s">
        <v>36</v>
      </c>
      <c r="H38" s="64" t="s">
        <v>36</v>
      </c>
      <c r="I38" s="207" t="s">
        <v>36</v>
      </c>
      <c r="J38" s="207" t="s">
        <v>36</v>
      </c>
      <c r="K38" s="13" t="s">
        <v>36</v>
      </c>
    </row>
    <row r="39" spans="1:11" ht="14.25" customHeight="1">
      <c r="A39" s="70" t="s">
        <v>36</v>
      </c>
      <c r="B39" s="63" t="s">
        <v>36</v>
      </c>
      <c r="C39" s="63" t="s">
        <v>36</v>
      </c>
      <c r="D39" s="67" t="s">
        <v>36</v>
      </c>
      <c r="E39" s="67" t="s">
        <v>36</v>
      </c>
      <c r="F39" s="207" t="s">
        <v>36</v>
      </c>
      <c r="G39" s="207" t="s">
        <v>36</v>
      </c>
      <c r="H39" s="64" t="s">
        <v>36</v>
      </c>
      <c r="I39" s="207" t="s">
        <v>36</v>
      </c>
      <c r="J39" s="207" t="s">
        <v>36</v>
      </c>
      <c r="K39" s="13" t="s">
        <v>36</v>
      </c>
    </row>
    <row r="40" spans="1:11" ht="14.25" customHeight="1">
      <c r="A40" s="70" t="s">
        <v>36</v>
      </c>
      <c r="B40" s="63" t="s">
        <v>36</v>
      </c>
      <c r="C40" s="63" t="s">
        <v>36</v>
      </c>
      <c r="D40" s="67" t="s">
        <v>36</v>
      </c>
      <c r="E40" s="67" t="s">
        <v>36</v>
      </c>
      <c r="F40" s="207" t="s">
        <v>36</v>
      </c>
      <c r="G40" s="207" t="s">
        <v>36</v>
      </c>
      <c r="H40" s="64" t="s">
        <v>36</v>
      </c>
      <c r="I40" s="207" t="s">
        <v>36</v>
      </c>
      <c r="J40" s="207" t="s">
        <v>36</v>
      </c>
      <c r="K40" s="13" t="s">
        <v>36</v>
      </c>
    </row>
    <row r="41" spans="1:11" ht="14.25" customHeight="1">
      <c r="A41" s="70" t="s">
        <v>36</v>
      </c>
      <c r="B41" s="63" t="s">
        <v>36</v>
      </c>
      <c r="C41" s="63" t="s">
        <v>36</v>
      </c>
      <c r="D41" s="67" t="s">
        <v>36</v>
      </c>
      <c r="E41" s="67" t="s">
        <v>36</v>
      </c>
      <c r="F41" s="207" t="s">
        <v>36</v>
      </c>
      <c r="G41" s="207" t="s">
        <v>36</v>
      </c>
      <c r="H41" s="64" t="s">
        <v>36</v>
      </c>
      <c r="I41" s="207" t="s">
        <v>36</v>
      </c>
      <c r="J41" s="207" t="s">
        <v>36</v>
      </c>
      <c r="K41" s="13" t="s">
        <v>36</v>
      </c>
    </row>
    <row r="42" spans="1:11" ht="14.25" customHeight="1">
      <c r="A42" s="70" t="s">
        <v>36</v>
      </c>
      <c r="B42" s="63" t="s">
        <v>36</v>
      </c>
      <c r="C42" s="63" t="s">
        <v>36</v>
      </c>
      <c r="D42" s="67" t="s">
        <v>36</v>
      </c>
      <c r="E42" s="67" t="s">
        <v>36</v>
      </c>
      <c r="F42" s="207" t="s">
        <v>36</v>
      </c>
      <c r="G42" s="207" t="s">
        <v>36</v>
      </c>
      <c r="H42" s="64" t="s">
        <v>36</v>
      </c>
      <c r="I42" s="207" t="s">
        <v>36</v>
      </c>
      <c r="J42" s="207" t="s">
        <v>36</v>
      </c>
      <c r="K42" s="13" t="s">
        <v>36</v>
      </c>
    </row>
    <row r="43" spans="1:11" ht="14.25" customHeight="1">
      <c r="A43" s="70" t="s">
        <v>36</v>
      </c>
      <c r="B43" s="63" t="s">
        <v>36</v>
      </c>
      <c r="C43" s="63" t="s">
        <v>36</v>
      </c>
      <c r="D43" s="67" t="s">
        <v>36</v>
      </c>
      <c r="E43" s="67" t="s">
        <v>36</v>
      </c>
      <c r="F43" s="207" t="s">
        <v>36</v>
      </c>
      <c r="G43" s="207" t="s">
        <v>36</v>
      </c>
      <c r="H43" s="64" t="s">
        <v>36</v>
      </c>
      <c r="I43" s="207" t="s">
        <v>36</v>
      </c>
      <c r="J43" s="207" t="s">
        <v>36</v>
      </c>
      <c r="K43" s="13" t="s">
        <v>36</v>
      </c>
    </row>
    <row r="44" spans="1:11" ht="14.25" customHeight="1">
      <c r="A44" s="70" t="s">
        <v>36</v>
      </c>
      <c r="B44" s="63" t="s">
        <v>36</v>
      </c>
      <c r="C44" s="63" t="s">
        <v>36</v>
      </c>
      <c r="D44" s="67" t="s">
        <v>36</v>
      </c>
      <c r="E44" s="67" t="s">
        <v>36</v>
      </c>
      <c r="F44" s="207" t="s">
        <v>36</v>
      </c>
      <c r="G44" s="207" t="s">
        <v>36</v>
      </c>
      <c r="H44" s="64" t="s">
        <v>36</v>
      </c>
      <c r="I44" s="207" t="s">
        <v>36</v>
      </c>
      <c r="J44" s="207" t="s">
        <v>36</v>
      </c>
      <c r="K44" s="13" t="s">
        <v>36</v>
      </c>
    </row>
    <row r="45" spans="1:11" ht="14.25" customHeight="1">
      <c r="A45" s="70" t="s">
        <v>36</v>
      </c>
      <c r="B45" s="63" t="s">
        <v>36</v>
      </c>
      <c r="C45" s="63" t="s">
        <v>36</v>
      </c>
      <c r="D45" s="67" t="s">
        <v>36</v>
      </c>
      <c r="E45" s="67" t="s">
        <v>36</v>
      </c>
      <c r="F45" s="207" t="s">
        <v>36</v>
      </c>
      <c r="G45" s="207" t="s">
        <v>36</v>
      </c>
      <c r="H45" s="64" t="s">
        <v>36</v>
      </c>
      <c r="I45" s="207" t="s">
        <v>36</v>
      </c>
      <c r="J45" s="207" t="s">
        <v>36</v>
      </c>
      <c r="K45" s="13" t="s">
        <v>36</v>
      </c>
    </row>
    <row r="46" spans="1:11" ht="14.25" customHeight="1">
      <c r="A46" s="70" t="s">
        <v>36</v>
      </c>
      <c r="B46" s="63" t="s">
        <v>36</v>
      </c>
      <c r="C46" s="63" t="s">
        <v>36</v>
      </c>
      <c r="D46" s="67" t="s">
        <v>36</v>
      </c>
      <c r="E46" s="67" t="s">
        <v>36</v>
      </c>
      <c r="F46" s="207" t="s">
        <v>36</v>
      </c>
      <c r="G46" s="207" t="s">
        <v>36</v>
      </c>
      <c r="H46" s="64" t="s">
        <v>36</v>
      </c>
      <c r="I46" s="207" t="s">
        <v>36</v>
      </c>
      <c r="J46" s="207" t="s">
        <v>36</v>
      </c>
      <c r="K46" s="13" t="s">
        <v>36</v>
      </c>
    </row>
    <row r="47" spans="1:11" ht="14.25" customHeight="1">
      <c r="A47" s="70" t="s">
        <v>36</v>
      </c>
      <c r="B47" s="63" t="s">
        <v>36</v>
      </c>
      <c r="C47" s="63" t="s">
        <v>36</v>
      </c>
      <c r="D47" s="67" t="s">
        <v>36</v>
      </c>
      <c r="E47" s="67" t="s">
        <v>36</v>
      </c>
      <c r="F47" s="207" t="s">
        <v>36</v>
      </c>
      <c r="G47" s="207" t="s">
        <v>36</v>
      </c>
      <c r="H47" s="64" t="s">
        <v>36</v>
      </c>
      <c r="I47" s="207" t="s">
        <v>36</v>
      </c>
      <c r="J47" s="207" t="s">
        <v>36</v>
      </c>
      <c r="K47" s="13" t="s">
        <v>36</v>
      </c>
    </row>
    <row r="48" spans="1:11" ht="15" customHeight="1">
      <c r="A48" s="17" t="s">
        <v>36</v>
      </c>
      <c r="B48" s="63" t="s">
        <v>35</v>
      </c>
      <c r="C48" s="63" t="s">
        <v>36</v>
      </c>
      <c r="D48" s="63" t="s">
        <v>36</v>
      </c>
      <c r="E48" s="63" t="s">
        <v>36</v>
      </c>
      <c r="F48" s="207" t="s">
        <v>36</v>
      </c>
      <c r="G48" s="207" t="s">
        <v>36</v>
      </c>
      <c r="H48" s="64" t="s">
        <v>36</v>
      </c>
      <c r="I48" s="207" t="s">
        <v>36</v>
      </c>
      <c r="J48" s="207" t="s">
        <v>36</v>
      </c>
      <c r="K48" s="13">
        <v>10198.459999999999</v>
      </c>
    </row>
    <row r="49" spans="1:11" ht="15" customHeight="1" thickBot="1">
      <c r="A49" s="18" t="s">
        <v>36</v>
      </c>
      <c r="B49" s="62" t="s">
        <v>137</v>
      </c>
      <c r="C49" s="62" t="s">
        <v>36</v>
      </c>
      <c r="D49" s="62" t="s">
        <v>36</v>
      </c>
      <c r="E49" s="62" t="s">
        <v>36</v>
      </c>
      <c r="F49" s="205" t="s">
        <v>36</v>
      </c>
      <c r="G49" s="205" t="s">
        <v>36</v>
      </c>
      <c r="H49" s="62" t="s">
        <v>36</v>
      </c>
      <c r="I49" s="205" t="s">
        <v>36</v>
      </c>
      <c r="J49" s="205" t="s">
        <v>36</v>
      </c>
      <c r="K49" s="16">
        <v>10198.459999999999</v>
      </c>
    </row>
  </sheetData>
  <mergeCells count="98">
    <mergeCell ref="A1:K1"/>
    <mergeCell ref="A2:F2"/>
    <mergeCell ref="G2:I2"/>
    <mergeCell ref="J2:K2"/>
    <mergeCell ref="F3:G3"/>
    <mergeCell ref="I3:J3"/>
    <mergeCell ref="F4:G4"/>
    <mergeCell ref="I4:J4"/>
    <mergeCell ref="F5:G5"/>
    <mergeCell ref="I5:J5"/>
    <mergeCell ref="F6:G6"/>
    <mergeCell ref="I6:J6"/>
    <mergeCell ref="F7:G7"/>
    <mergeCell ref="I7:J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F34:G34"/>
    <mergeCell ref="I34:J34"/>
    <mergeCell ref="F35:G35"/>
    <mergeCell ref="I35:J35"/>
    <mergeCell ref="F36:G36"/>
    <mergeCell ref="I36:J36"/>
    <mergeCell ref="F37:G37"/>
    <mergeCell ref="I37:J37"/>
    <mergeCell ref="F38:G38"/>
    <mergeCell ref="I38:J38"/>
    <mergeCell ref="F39:G39"/>
    <mergeCell ref="I39:J39"/>
    <mergeCell ref="F40:G40"/>
    <mergeCell ref="I40:J40"/>
    <mergeCell ref="F41:G41"/>
    <mergeCell ref="I41:J41"/>
    <mergeCell ref="F42:G42"/>
    <mergeCell ref="I42:J42"/>
    <mergeCell ref="F43:G43"/>
    <mergeCell ref="I43:J43"/>
    <mergeCell ref="F44:G44"/>
    <mergeCell ref="I44:J44"/>
    <mergeCell ref="F45:G45"/>
    <mergeCell ref="I45:J45"/>
    <mergeCell ref="F49:G49"/>
    <mergeCell ref="I49:J49"/>
    <mergeCell ref="F46:G46"/>
    <mergeCell ref="I46:J46"/>
    <mergeCell ref="F47:G47"/>
    <mergeCell ref="I47:J47"/>
    <mergeCell ref="F48:G48"/>
    <mergeCell ref="I48:J48"/>
  </mergeCells>
  <phoneticPr fontId="1" type="noConversion"/>
  <pageMargins left="0.51475000000000004" right="0.51475000000000004" top="0.59375" bottom="0.59375" header="0.59375" footer="0.59375"/>
  <pageSetup paperSize="9" orientation="portrait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36"/>
  <sheetViews>
    <sheetView workbookViewId="0">
      <selection activeCell="A2" sqref="A2:J2"/>
    </sheetView>
  </sheetViews>
  <sheetFormatPr defaultRowHeight="11.25"/>
  <cols>
    <col min="1" max="1" width="4.5" style="12" customWidth="1"/>
    <col min="2" max="2" width="7.125" style="12" customWidth="1"/>
    <col min="3" max="3" width="9.125" style="12" customWidth="1"/>
    <col min="4" max="4" width="6.375" style="12" customWidth="1"/>
    <col min="5" max="5" width="5" style="12" customWidth="1"/>
    <col min="6" max="6" width="6.5" style="12" customWidth="1"/>
    <col min="7" max="7" width="10.25" style="12" customWidth="1"/>
    <col min="8" max="9" width="9.625" style="12" customWidth="1"/>
    <col min="10" max="10" width="1.25" style="12" customWidth="1"/>
    <col min="11" max="11" width="8" style="12" customWidth="1"/>
    <col min="12" max="12" width="8.5" style="12" customWidth="1"/>
    <col min="13" max="256" width="8" style="12" customWidth="1"/>
    <col min="257" max="257" width="4.5" style="12" customWidth="1"/>
    <col min="258" max="258" width="7.125" style="12" customWidth="1"/>
    <col min="259" max="259" width="9.125" style="12" customWidth="1"/>
    <col min="260" max="260" width="6.375" style="12" customWidth="1"/>
    <col min="261" max="261" width="5" style="12" customWidth="1"/>
    <col min="262" max="262" width="6.5" style="12" customWidth="1"/>
    <col min="263" max="263" width="10.25" style="12" customWidth="1"/>
    <col min="264" max="265" width="9.625" style="12" customWidth="1"/>
    <col min="266" max="266" width="1.25" style="12" customWidth="1"/>
    <col min="267" max="267" width="8" style="12" customWidth="1"/>
    <col min="268" max="268" width="8.5" style="12" customWidth="1"/>
    <col min="269" max="512" width="8" style="12" customWidth="1"/>
    <col min="513" max="513" width="4.5" style="12" customWidth="1"/>
    <col min="514" max="514" width="7.125" style="12" customWidth="1"/>
    <col min="515" max="515" width="9.125" style="12" customWidth="1"/>
    <col min="516" max="516" width="6.375" style="12" customWidth="1"/>
    <col min="517" max="517" width="5" style="12" customWidth="1"/>
    <col min="518" max="518" width="6.5" style="12" customWidth="1"/>
    <col min="519" max="519" width="10.25" style="12" customWidth="1"/>
    <col min="520" max="521" width="9.625" style="12" customWidth="1"/>
    <col min="522" max="522" width="1.25" style="12" customWidth="1"/>
    <col min="523" max="523" width="8" style="12" customWidth="1"/>
    <col min="524" max="524" width="8.5" style="12" customWidth="1"/>
    <col min="525" max="768" width="8" style="12" customWidth="1"/>
    <col min="769" max="769" width="4.5" style="12" customWidth="1"/>
    <col min="770" max="770" width="7.125" style="12" customWidth="1"/>
    <col min="771" max="771" width="9.125" style="12" customWidth="1"/>
    <col min="772" max="772" width="6.375" style="12" customWidth="1"/>
    <col min="773" max="773" width="5" style="12" customWidth="1"/>
    <col min="774" max="774" width="6.5" style="12" customWidth="1"/>
    <col min="775" max="775" width="10.25" style="12" customWidth="1"/>
    <col min="776" max="777" width="9.625" style="12" customWidth="1"/>
    <col min="778" max="778" width="1.25" style="12" customWidth="1"/>
    <col min="779" max="779" width="8" style="12" customWidth="1"/>
    <col min="780" max="780" width="8.5" style="12" customWidth="1"/>
    <col min="781" max="1024" width="8" style="12" customWidth="1"/>
    <col min="1025" max="1025" width="4.5" style="12" customWidth="1"/>
    <col min="1026" max="1026" width="7.125" style="12" customWidth="1"/>
    <col min="1027" max="1027" width="9.125" style="12" customWidth="1"/>
    <col min="1028" max="1028" width="6.375" style="12" customWidth="1"/>
    <col min="1029" max="1029" width="5" style="12" customWidth="1"/>
    <col min="1030" max="1030" width="6.5" style="12" customWidth="1"/>
    <col min="1031" max="1031" width="10.25" style="12" customWidth="1"/>
    <col min="1032" max="1033" width="9.625" style="12" customWidth="1"/>
    <col min="1034" max="1034" width="1.25" style="12" customWidth="1"/>
    <col min="1035" max="1035" width="8" style="12" customWidth="1"/>
    <col min="1036" max="1036" width="8.5" style="12" customWidth="1"/>
    <col min="1037" max="1280" width="8" style="12" customWidth="1"/>
    <col min="1281" max="1281" width="4.5" style="12" customWidth="1"/>
    <col min="1282" max="1282" width="7.125" style="12" customWidth="1"/>
    <col min="1283" max="1283" width="9.125" style="12" customWidth="1"/>
    <col min="1284" max="1284" width="6.375" style="12" customWidth="1"/>
    <col min="1285" max="1285" width="5" style="12" customWidth="1"/>
    <col min="1286" max="1286" width="6.5" style="12" customWidth="1"/>
    <col min="1287" max="1287" width="10.25" style="12" customWidth="1"/>
    <col min="1288" max="1289" width="9.625" style="12" customWidth="1"/>
    <col min="1290" max="1290" width="1.25" style="12" customWidth="1"/>
    <col min="1291" max="1291" width="8" style="12" customWidth="1"/>
    <col min="1292" max="1292" width="8.5" style="12" customWidth="1"/>
    <col min="1293" max="1536" width="8" style="12" customWidth="1"/>
    <col min="1537" max="1537" width="4.5" style="12" customWidth="1"/>
    <col min="1538" max="1538" width="7.125" style="12" customWidth="1"/>
    <col min="1539" max="1539" width="9.125" style="12" customWidth="1"/>
    <col min="1540" max="1540" width="6.375" style="12" customWidth="1"/>
    <col min="1541" max="1541" width="5" style="12" customWidth="1"/>
    <col min="1542" max="1542" width="6.5" style="12" customWidth="1"/>
    <col min="1543" max="1543" width="10.25" style="12" customWidth="1"/>
    <col min="1544" max="1545" width="9.625" style="12" customWidth="1"/>
    <col min="1546" max="1546" width="1.25" style="12" customWidth="1"/>
    <col min="1547" max="1547" width="8" style="12" customWidth="1"/>
    <col min="1548" max="1548" width="8.5" style="12" customWidth="1"/>
    <col min="1549" max="1792" width="8" style="12" customWidth="1"/>
    <col min="1793" max="1793" width="4.5" style="12" customWidth="1"/>
    <col min="1794" max="1794" width="7.125" style="12" customWidth="1"/>
    <col min="1795" max="1795" width="9.125" style="12" customWidth="1"/>
    <col min="1796" max="1796" width="6.375" style="12" customWidth="1"/>
    <col min="1797" max="1797" width="5" style="12" customWidth="1"/>
    <col min="1798" max="1798" width="6.5" style="12" customWidth="1"/>
    <col min="1799" max="1799" width="10.25" style="12" customWidth="1"/>
    <col min="1800" max="1801" width="9.625" style="12" customWidth="1"/>
    <col min="1802" max="1802" width="1.25" style="12" customWidth="1"/>
    <col min="1803" max="1803" width="8" style="12" customWidth="1"/>
    <col min="1804" max="1804" width="8.5" style="12" customWidth="1"/>
    <col min="1805" max="2048" width="8" style="12" customWidth="1"/>
    <col min="2049" max="2049" width="4.5" style="12" customWidth="1"/>
    <col min="2050" max="2050" width="7.125" style="12" customWidth="1"/>
    <col min="2051" max="2051" width="9.125" style="12" customWidth="1"/>
    <col min="2052" max="2052" width="6.375" style="12" customWidth="1"/>
    <col min="2053" max="2053" width="5" style="12" customWidth="1"/>
    <col min="2054" max="2054" width="6.5" style="12" customWidth="1"/>
    <col min="2055" max="2055" width="10.25" style="12" customWidth="1"/>
    <col min="2056" max="2057" width="9.625" style="12" customWidth="1"/>
    <col min="2058" max="2058" width="1.25" style="12" customWidth="1"/>
    <col min="2059" max="2059" width="8" style="12" customWidth="1"/>
    <col min="2060" max="2060" width="8.5" style="12" customWidth="1"/>
    <col min="2061" max="2304" width="8" style="12" customWidth="1"/>
    <col min="2305" max="2305" width="4.5" style="12" customWidth="1"/>
    <col min="2306" max="2306" width="7.125" style="12" customWidth="1"/>
    <col min="2307" max="2307" width="9.125" style="12" customWidth="1"/>
    <col min="2308" max="2308" width="6.375" style="12" customWidth="1"/>
    <col min="2309" max="2309" width="5" style="12" customWidth="1"/>
    <col min="2310" max="2310" width="6.5" style="12" customWidth="1"/>
    <col min="2311" max="2311" width="10.25" style="12" customWidth="1"/>
    <col min="2312" max="2313" width="9.625" style="12" customWidth="1"/>
    <col min="2314" max="2314" width="1.25" style="12" customWidth="1"/>
    <col min="2315" max="2315" width="8" style="12" customWidth="1"/>
    <col min="2316" max="2316" width="8.5" style="12" customWidth="1"/>
    <col min="2317" max="2560" width="8" style="12" customWidth="1"/>
    <col min="2561" max="2561" width="4.5" style="12" customWidth="1"/>
    <col min="2562" max="2562" width="7.125" style="12" customWidth="1"/>
    <col min="2563" max="2563" width="9.125" style="12" customWidth="1"/>
    <col min="2564" max="2564" width="6.375" style="12" customWidth="1"/>
    <col min="2565" max="2565" width="5" style="12" customWidth="1"/>
    <col min="2566" max="2566" width="6.5" style="12" customWidth="1"/>
    <col min="2567" max="2567" width="10.25" style="12" customWidth="1"/>
    <col min="2568" max="2569" width="9.625" style="12" customWidth="1"/>
    <col min="2570" max="2570" width="1.25" style="12" customWidth="1"/>
    <col min="2571" max="2571" width="8" style="12" customWidth="1"/>
    <col min="2572" max="2572" width="8.5" style="12" customWidth="1"/>
    <col min="2573" max="2816" width="8" style="12" customWidth="1"/>
    <col min="2817" max="2817" width="4.5" style="12" customWidth="1"/>
    <col min="2818" max="2818" width="7.125" style="12" customWidth="1"/>
    <col min="2819" max="2819" width="9.125" style="12" customWidth="1"/>
    <col min="2820" max="2820" width="6.375" style="12" customWidth="1"/>
    <col min="2821" max="2821" width="5" style="12" customWidth="1"/>
    <col min="2822" max="2822" width="6.5" style="12" customWidth="1"/>
    <col min="2823" max="2823" width="10.25" style="12" customWidth="1"/>
    <col min="2824" max="2825" width="9.625" style="12" customWidth="1"/>
    <col min="2826" max="2826" width="1.25" style="12" customWidth="1"/>
    <col min="2827" max="2827" width="8" style="12" customWidth="1"/>
    <col min="2828" max="2828" width="8.5" style="12" customWidth="1"/>
    <col min="2829" max="3072" width="8" style="12" customWidth="1"/>
    <col min="3073" max="3073" width="4.5" style="12" customWidth="1"/>
    <col min="3074" max="3074" width="7.125" style="12" customWidth="1"/>
    <col min="3075" max="3075" width="9.125" style="12" customWidth="1"/>
    <col min="3076" max="3076" width="6.375" style="12" customWidth="1"/>
    <col min="3077" max="3077" width="5" style="12" customWidth="1"/>
    <col min="3078" max="3078" width="6.5" style="12" customWidth="1"/>
    <col min="3079" max="3079" width="10.25" style="12" customWidth="1"/>
    <col min="3080" max="3081" width="9.625" style="12" customWidth="1"/>
    <col min="3082" max="3082" width="1.25" style="12" customWidth="1"/>
    <col min="3083" max="3083" width="8" style="12" customWidth="1"/>
    <col min="3084" max="3084" width="8.5" style="12" customWidth="1"/>
    <col min="3085" max="3328" width="8" style="12" customWidth="1"/>
    <col min="3329" max="3329" width="4.5" style="12" customWidth="1"/>
    <col min="3330" max="3330" width="7.125" style="12" customWidth="1"/>
    <col min="3331" max="3331" width="9.125" style="12" customWidth="1"/>
    <col min="3332" max="3332" width="6.375" style="12" customWidth="1"/>
    <col min="3333" max="3333" width="5" style="12" customWidth="1"/>
    <col min="3334" max="3334" width="6.5" style="12" customWidth="1"/>
    <col min="3335" max="3335" width="10.25" style="12" customWidth="1"/>
    <col min="3336" max="3337" width="9.625" style="12" customWidth="1"/>
    <col min="3338" max="3338" width="1.25" style="12" customWidth="1"/>
    <col min="3339" max="3339" width="8" style="12" customWidth="1"/>
    <col min="3340" max="3340" width="8.5" style="12" customWidth="1"/>
    <col min="3341" max="3584" width="8" style="12" customWidth="1"/>
    <col min="3585" max="3585" width="4.5" style="12" customWidth="1"/>
    <col min="3586" max="3586" width="7.125" style="12" customWidth="1"/>
    <col min="3587" max="3587" width="9.125" style="12" customWidth="1"/>
    <col min="3588" max="3588" width="6.375" style="12" customWidth="1"/>
    <col min="3589" max="3589" width="5" style="12" customWidth="1"/>
    <col min="3590" max="3590" width="6.5" style="12" customWidth="1"/>
    <col min="3591" max="3591" width="10.25" style="12" customWidth="1"/>
    <col min="3592" max="3593" width="9.625" style="12" customWidth="1"/>
    <col min="3594" max="3594" width="1.25" style="12" customWidth="1"/>
    <col min="3595" max="3595" width="8" style="12" customWidth="1"/>
    <col min="3596" max="3596" width="8.5" style="12" customWidth="1"/>
    <col min="3597" max="3840" width="8" style="12" customWidth="1"/>
    <col min="3841" max="3841" width="4.5" style="12" customWidth="1"/>
    <col min="3842" max="3842" width="7.125" style="12" customWidth="1"/>
    <col min="3843" max="3843" width="9.125" style="12" customWidth="1"/>
    <col min="3844" max="3844" width="6.375" style="12" customWidth="1"/>
    <col min="3845" max="3845" width="5" style="12" customWidth="1"/>
    <col min="3846" max="3846" width="6.5" style="12" customWidth="1"/>
    <col min="3847" max="3847" width="10.25" style="12" customWidth="1"/>
    <col min="3848" max="3849" width="9.625" style="12" customWidth="1"/>
    <col min="3850" max="3850" width="1.25" style="12" customWidth="1"/>
    <col min="3851" max="3851" width="8" style="12" customWidth="1"/>
    <col min="3852" max="3852" width="8.5" style="12" customWidth="1"/>
    <col min="3853" max="4096" width="8" style="12" customWidth="1"/>
    <col min="4097" max="4097" width="4.5" style="12" customWidth="1"/>
    <col min="4098" max="4098" width="7.125" style="12" customWidth="1"/>
    <col min="4099" max="4099" width="9.125" style="12" customWidth="1"/>
    <col min="4100" max="4100" width="6.375" style="12" customWidth="1"/>
    <col min="4101" max="4101" width="5" style="12" customWidth="1"/>
    <col min="4102" max="4102" width="6.5" style="12" customWidth="1"/>
    <col min="4103" max="4103" width="10.25" style="12" customWidth="1"/>
    <col min="4104" max="4105" width="9.625" style="12" customWidth="1"/>
    <col min="4106" max="4106" width="1.25" style="12" customWidth="1"/>
    <col min="4107" max="4107" width="8" style="12" customWidth="1"/>
    <col min="4108" max="4108" width="8.5" style="12" customWidth="1"/>
    <col min="4109" max="4352" width="8" style="12" customWidth="1"/>
    <col min="4353" max="4353" width="4.5" style="12" customWidth="1"/>
    <col min="4354" max="4354" width="7.125" style="12" customWidth="1"/>
    <col min="4355" max="4355" width="9.125" style="12" customWidth="1"/>
    <col min="4356" max="4356" width="6.375" style="12" customWidth="1"/>
    <col min="4357" max="4357" width="5" style="12" customWidth="1"/>
    <col min="4358" max="4358" width="6.5" style="12" customWidth="1"/>
    <col min="4359" max="4359" width="10.25" style="12" customWidth="1"/>
    <col min="4360" max="4361" width="9.625" style="12" customWidth="1"/>
    <col min="4362" max="4362" width="1.25" style="12" customWidth="1"/>
    <col min="4363" max="4363" width="8" style="12" customWidth="1"/>
    <col min="4364" max="4364" width="8.5" style="12" customWidth="1"/>
    <col min="4365" max="4608" width="8" style="12" customWidth="1"/>
    <col min="4609" max="4609" width="4.5" style="12" customWidth="1"/>
    <col min="4610" max="4610" width="7.125" style="12" customWidth="1"/>
    <col min="4611" max="4611" width="9.125" style="12" customWidth="1"/>
    <col min="4612" max="4612" width="6.375" style="12" customWidth="1"/>
    <col min="4613" max="4613" width="5" style="12" customWidth="1"/>
    <col min="4614" max="4614" width="6.5" style="12" customWidth="1"/>
    <col min="4615" max="4615" width="10.25" style="12" customWidth="1"/>
    <col min="4616" max="4617" width="9.625" style="12" customWidth="1"/>
    <col min="4618" max="4618" width="1.25" style="12" customWidth="1"/>
    <col min="4619" max="4619" width="8" style="12" customWidth="1"/>
    <col min="4620" max="4620" width="8.5" style="12" customWidth="1"/>
    <col min="4621" max="4864" width="8" style="12" customWidth="1"/>
    <col min="4865" max="4865" width="4.5" style="12" customWidth="1"/>
    <col min="4866" max="4866" width="7.125" style="12" customWidth="1"/>
    <col min="4867" max="4867" width="9.125" style="12" customWidth="1"/>
    <col min="4868" max="4868" width="6.375" style="12" customWidth="1"/>
    <col min="4869" max="4869" width="5" style="12" customWidth="1"/>
    <col min="4870" max="4870" width="6.5" style="12" customWidth="1"/>
    <col min="4871" max="4871" width="10.25" style="12" customWidth="1"/>
    <col min="4872" max="4873" width="9.625" style="12" customWidth="1"/>
    <col min="4874" max="4874" width="1.25" style="12" customWidth="1"/>
    <col min="4875" max="4875" width="8" style="12" customWidth="1"/>
    <col min="4876" max="4876" width="8.5" style="12" customWidth="1"/>
    <col min="4877" max="5120" width="8" style="12" customWidth="1"/>
    <col min="5121" max="5121" width="4.5" style="12" customWidth="1"/>
    <col min="5122" max="5122" width="7.125" style="12" customWidth="1"/>
    <col min="5123" max="5123" width="9.125" style="12" customWidth="1"/>
    <col min="5124" max="5124" width="6.375" style="12" customWidth="1"/>
    <col min="5125" max="5125" width="5" style="12" customWidth="1"/>
    <col min="5126" max="5126" width="6.5" style="12" customWidth="1"/>
    <col min="5127" max="5127" width="10.25" style="12" customWidth="1"/>
    <col min="5128" max="5129" width="9.625" style="12" customWidth="1"/>
    <col min="5130" max="5130" width="1.25" style="12" customWidth="1"/>
    <col min="5131" max="5131" width="8" style="12" customWidth="1"/>
    <col min="5132" max="5132" width="8.5" style="12" customWidth="1"/>
    <col min="5133" max="5376" width="8" style="12" customWidth="1"/>
    <col min="5377" max="5377" width="4.5" style="12" customWidth="1"/>
    <col min="5378" max="5378" width="7.125" style="12" customWidth="1"/>
    <col min="5379" max="5379" width="9.125" style="12" customWidth="1"/>
    <col min="5380" max="5380" width="6.375" style="12" customWidth="1"/>
    <col min="5381" max="5381" width="5" style="12" customWidth="1"/>
    <col min="5382" max="5382" width="6.5" style="12" customWidth="1"/>
    <col min="5383" max="5383" width="10.25" style="12" customWidth="1"/>
    <col min="5384" max="5385" width="9.625" style="12" customWidth="1"/>
    <col min="5386" max="5386" width="1.25" style="12" customWidth="1"/>
    <col min="5387" max="5387" width="8" style="12" customWidth="1"/>
    <col min="5388" max="5388" width="8.5" style="12" customWidth="1"/>
    <col min="5389" max="5632" width="8" style="12" customWidth="1"/>
    <col min="5633" max="5633" width="4.5" style="12" customWidth="1"/>
    <col min="5634" max="5634" width="7.125" style="12" customWidth="1"/>
    <col min="5635" max="5635" width="9.125" style="12" customWidth="1"/>
    <col min="5636" max="5636" width="6.375" style="12" customWidth="1"/>
    <col min="5637" max="5637" width="5" style="12" customWidth="1"/>
    <col min="5638" max="5638" width="6.5" style="12" customWidth="1"/>
    <col min="5639" max="5639" width="10.25" style="12" customWidth="1"/>
    <col min="5640" max="5641" width="9.625" style="12" customWidth="1"/>
    <col min="5642" max="5642" width="1.25" style="12" customWidth="1"/>
    <col min="5643" max="5643" width="8" style="12" customWidth="1"/>
    <col min="5644" max="5644" width="8.5" style="12" customWidth="1"/>
    <col min="5645" max="5888" width="8" style="12" customWidth="1"/>
    <col min="5889" max="5889" width="4.5" style="12" customWidth="1"/>
    <col min="5890" max="5890" width="7.125" style="12" customWidth="1"/>
    <col min="5891" max="5891" width="9.125" style="12" customWidth="1"/>
    <col min="5892" max="5892" width="6.375" style="12" customWidth="1"/>
    <col min="5893" max="5893" width="5" style="12" customWidth="1"/>
    <col min="5894" max="5894" width="6.5" style="12" customWidth="1"/>
    <col min="5895" max="5895" width="10.25" style="12" customWidth="1"/>
    <col min="5896" max="5897" width="9.625" style="12" customWidth="1"/>
    <col min="5898" max="5898" width="1.25" style="12" customWidth="1"/>
    <col min="5899" max="5899" width="8" style="12" customWidth="1"/>
    <col min="5900" max="5900" width="8.5" style="12" customWidth="1"/>
    <col min="5901" max="6144" width="8" style="12" customWidth="1"/>
    <col min="6145" max="6145" width="4.5" style="12" customWidth="1"/>
    <col min="6146" max="6146" width="7.125" style="12" customWidth="1"/>
    <col min="6147" max="6147" width="9.125" style="12" customWidth="1"/>
    <col min="6148" max="6148" width="6.375" style="12" customWidth="1"/>
    <col min="6149" max="6149" width="5" style="12" customWidth="1"/>
    <col min="6150" max="6150" width="6.5" style="12" customWidth="1"/>
    <col min="6151" max="6151" width="10.25" style="12" customWidth="1"/>
    <col min="6152" max="6153" width="9.625" style="12" customWidth="1"/>
    <col min="6154" max="6154" width="1.25" style="12" customWidth="1"/>
    <col min="6155" max="6155" width="8" style="12" customWidth="1"/>
    <col min="6156" max="6156" width="8.5" style="12" customWidth="1"/>
    <col min="6157" max="6400" width="8" style="12" customWidth="1"/>
    <col min="6401" max="6401" width="4.5" style="12" customWidth="1"/>
    <col min="6402" max="6402" width="7.125" style="12" customWidth="1"/>
    <col min="6403" max="6403" width="9.125" style="12" customWidth="1"/>
    <col min="6404" max="6404" width="6.375" style="12" customWidth="1"/>
    <col min="6405" max="6405" width="5" style="12" customWidth="1"/>
    <col min="6406" max="6406" width="6.5" style="12" customWidth="1"/>
    <col min="6407" max="6407" width="10.25" style="12" customWidth="1"/>
    <col min="6408" max="6409" width="9.625" style="12" customWidth="1"/>
    <col min="6410" max="6410" width="1.25" style="12" customWidth="1"/>
    <col min="6411" max="6411" width="8" style="12" customWidth="1"/>
    <col min="6412" max="6412" width="8.5" style="12" customWidth="1"/>
    <col min="6413" max="6656" width="8" style="12" customWidth="1"/>
    <col min="6657" max="6657" width="4.5" style="12" customWidth="1"/>
    <col min="6658" max="6658" width="7.125" style="12" customWidth="1"/>
    <col min="6659" max="6659" width="9.125" style="12" customWidth="1"/>
    <col min="6660" max="6660" width="6.375" style="12" customWidth="1"/>
    <col min="6661" max="6661" width="5" style="12" customWidth="1"/>
    <col min="6662" max="6662" width="6.5" style="12" customWidth="1"/>
    <col min="6663" max="6663" width="10.25" style="12" customWidth="1"/>
    <col min="6664" max="6665" width="9.625" style="12" customWidth="1"/>
    <col min="6666" max="6666" width="1.25" style="12" customWidth="1"/>
    <col min="6667" max="6667" width="8" style="12" customWidth="1"/>
    <col min="6668" max="6668" width="8.5" style="12" customWidth="1"/>
    <col min="6669" max="6912" width="8" style="12" customWidth="1"/>
    <col min="6913" max="6913" width="4.5" style="12" customWidth="1"/>
    <col min="6914" max="6914" width="7.125" style="12" customWidth="1"/>
    <col min="6915" max="6915" width="9.125" style="12" customWidth="1"/>
    <col min="6916" max="6916" width="6.375" style="12" customWidth="1"/>
    <col min="6917" max="6917" width="5" style="12" customWidth="1"/>
    <col min="6918" max="6918" width="6.5" style="12" customWidth="1"/>
    <col min="6919" max="6919" width="10.25" style="12" customWidth="1"/>
    <col min="6920" max="6921" width="9.625" style="12" customWidth="1"/>
    <col min="6922" max="6922" width="1.25" style="12" customWidth="1"/>
    <col min="6923" max="6923" width="8" style="12" customWidth="1"/>
    <col min="6924" max="6924" width="8.5" style="12" customWidth="1"/>
    <col min="6925" max="7168" width="8" style="12" customWidth="1"/>
    <col min="7169" max="7169" width="4.5" style="12" customWidth="1"/>
    <col min="7170" max="7170" width="7.125" style="12" customWidth="1"/>
    <col min="7171" max="7171" width="9.125" style="12" customWidth="1"/>
    <col min="7172" max="7172" width="6.375" style="12" customWidth="1"/>
    <col min="7173" max="7173" width="5" style="12" customWidth="1"/>
    <col min="7174" max="7174" width="6.5" style="12" customWidth="1"/>
    <col min="7175" max="7175" width="10.25" style="12" customWidth="1"/>
    <col min="7176" max="7177" width="9.625" style="12" customWidth="1"/>
    <col min="7178" max="7178" width="1.25" style="12" customWidth="1"/>
    <col min="7179" max="7179" width="8" style="12" customWidth="1"/>
    <col min="7180" max="7180" width="8.5" style="12" customWidth="1"/>
    <col min="7181" max="7424" width="8" style="12" customWidth="1"/>
    <col min="7425" max="7425" width="4.5" style="12" customWidth="1"/>
    <col min="7426" max="7426" width="7.125" style="12" customWidth="1"/>
    <col min="7427" max="7427" width="9.125" style="12" customWidth="1"/>
    <col min="7428" max="7428" width="6.375" style="12" customWidth="1"/>
    <col min="7429" max="7429" width="5" style="12" customWidth="1"/>
    <col min="7430" max="7430" width="6.5" style="12" customWidth="1"/>
    <col min="7431" max="7431" width="10.25" style="12" customWidth="1"/>
    <col min="7432" max="7433" width="9.625" style="12" customWidth="1"/>
    <col min="7434" max="7434" width="1.25" style="12" customWidth="1"/>
    <col min="7435" max="7435" width="8" style="12" customWidth="1"/>
    <col min="7436" max="7436" width="8.5" style="12" customWidth="1"/>
    <col min="7437" max="7680" width="8" style="12" customWidth="1"/>
    <col min="7681" max="7681" width="4.5" style="12" customWidth="1"/>
    <col min="7682" max="7682" width="7.125" style="12" customWidth="1"/>
    <col min="7683" max="7683" width="9.125" style="12" customWidth="1"/>
    <col min="7684" max="7684" width="6.375" style="12" customWidth="1"/>
    <col min="7685" max="7685" width="5" style="12" customWidth="1"/>
    <col min="7686" max="7686" width="6.5" style="12" customWidth="1"/>
    <col min="7687" max="7687" width="10.25" style="12" customWidth="1"/>
    <col min="7688" max="7689" width="9.625" style="12" customWidth="1"/>
    <col min="7690" max="7690" width="1.25" style="12" customWidth="1"/>
    <col min="7691" max="7691" width="8" style="12" customWidth="1"/>
    <col min="7692" max="7692" width="8.5" style="12" customWidth="1"/>
    <col min="7693" max="7936" width="8" style="12" customWidth="1"/>
    <col min="7937" max="7937" width="4.5" style="12" customWidth="1"/>
    <col min="7938" max="7938" width="7.125" style="12" customWidth="1"/>
    <col min="7939" max="7939" width="9.125" style="12" customWidth="1"/>
    <col min="7940" max="7940" width="6.375" style="12" customWidth="1"/>
    <col min="7941" max="7941" width="5" style="12" customWidth="1"/>
    <col min="7942" max="7942" width="6.5" style="12" customWidth="1"/>
    <col min="7943" max="7943" width="10.25" style="12" customWidth="1"/>
    <col min="7944" max="7945" width="9.625" style="12" customWidth="1"/>
    <col min="7946" max="7946" width="1.25" style="12" customWidth="1"/>
    <col min="7947" max="7947" width="8" style="12" customWidth="1"/>
    <col min="7948" max="7948" width="8.5" style="12" customWidth="1"/>
    <col min="7949" max="8192" width="8" style="12" customWidth="1"/>
    <col min="8193" max="8193" width="4.5" style="12" customWidth="1"/>
    <col min="8194" max="8194" width="7.125" style="12" customWidth="1"/>
    <col min="8195" max="8195" width="9.125" style="12" customWidth="1"/>
    <col min="8196" max="8196" width="6.375" style="12" customWidth="1"/>
    <col min="8197" max="8197" width="5" style="12" customWidth="1"/>
    <col min="8198" max="8198" width="6.5" style="12" customWidth="1"/>
    <col min="8199" max="8199" width="10.25" style="12" customWidth="1"/>
    <col min="8200" max="8201" width="9.625" style="12" customWidth="1"/>
    <col min="8202" max="8202" width="1.25" style="12" customWidth="1"/>
    <col min="8203" max="8203" width="8" style="12" customWidth="1"/>
    <col min="8204" max="8204" width="8.5" style="12" customWidth="1"/>
    <col min="8205" max="8448" width="8" style="12" customWidth="1"/>
    <col min="8449" max="8449" width="4.5" style="12" customWidth="1"/>
    <col min="8450" max="8450" width="7.125" style="12" customWidth="1"/>
    <col min="8451" max="8451" width="9.125" style="12" customWidth="1"/>
    <col min="8452" max="8452" width="6.375" style="12" customWidth="1"/>
    <col min="8453" max="8453" width="5" style="12" customWidth="1"/>
    <col min="8454" max="8454" width="6.5" style="12" customWidth="1"/>
    <col min="8455" max="8455" width="10.25" style="12" customWidth="1"/>
    <col min="8456" max="8457" width="9.625" style="12" customWidth="1"/>
    <col min="8458" max="8458" width="1.25" style="12" customWidth="1"/>
    <col min="8459" max="8459" width="8" style="12" customWidth="1"/>
    <col min="8460" max="8460" width="8.5" style="12" customWidth="1"/>
    <col min="8461" max="8704" width="8" style="12" customWidth="1"/>
    <col min="8705" max="8705" width="4.5" style="12" customWidth="1"/>
    <col min="8706" max="8706" width="7.125" style="12" customWidth="1"/>
    <col min="8707" max="8707" width="9.125" style="12" customWidth="1"/>
    <col min="8708" max="8708" width="6.375" style="12" customWidth="1"/>
    <col min="8709" max="8709" width="5" style="12" customWidth="1"/>
    <col min="8710" max="8710" width="6.5" style="12" customWidth="1"/>
    <col min="8711" max="8711" width="10.25" style="12" customWidth="1"/>
    <col min="8712" max="8713" width="9.625" style="12" customWidth="1"/>
    <col min="8714" max="8714" width="1.25" style="12" customWidth="1"/>
    <col min="8715" max="8715" width="8" style="12" customWidth="1"/>
    <col min="8716" max="8716" width="8.5" style="12" customWidth="1"/>
    <col min="8717" max="8960" width="8" style="12" customWidth="1"/>
    <col min="8961" max="8961" width="4.5" style="12" customWidth="1"/>
    <col min="8962" max="8962" width="7.125" style="12" customWidth="1"/>
    <col min="8963" max="8963" width="9.125" style="12" customWidth="1"/>
    <col min="8964" max="8964" width="6.375" style="12" customWidth="1"/>
    <col min="8965" max="8965" width="5" style="12" customWidth="1"/>
    <col min="8966" max="8966" width="6.5" style="12" customWidth="1"/>
    <col min="8967" max="8967" width="10.25" style="12" customWidth="1"/>
    <col min="8968" max="8969" width="9.625" style="12" customWidth="1"/>
    <col min="8970" max="8970" width="1.25" style="12" customWidth="1"/>
    <col min="8971" max="8971" width="8" style="12" customWidth="1"/>
    <col min="8972" max="8972" width="8.5" style="12" customWidth="1"/>
    <col min="8973" max="9216" width="8" style="12" customWidth="1"/>
    <col min="9217" max="9217" width="4.5" style="12" customWidth="1"/>
    <col min="9218" max="9218" width="7.125" style="12" customWidth="1"/>
    <col min="9219" max="9219" width="9.125" style="12" customWidth="1"/>
    <col min="9220" max="9220" width="6.375" style="12" customWidth="1"/>
    <col min="9221" max="9221" width="5" style="12" customWidth="1"/>
    <col min="9222" max="9222" width="6.5" style="12" customWidth="1"/>
    <col min="9223" max="9223" width="10.25" style="12" customWidth="1"/>
    <col min="9224" max="9225" width="9.625" style="12" customWidth="1"/>
    <col min="9226" max="9226" width="1.25" style="12" customWidth="1"/>
    <col min="9227" max="9227" width="8" style="12" customWidth="1"/>
    <col min="9228" max="9228" width="8.5" style="12" customWidth="1"/>
    <col min="9229" max="9472" width="8" style="12" customWidth="1"/>
    <col min="9473" max="9473" width="4.5" style="12" customWidth="1"/>
    <col min="9474" max="9474" width="7.125" style="12" customWidth="1"/>
    <col min="9475" max="9475" width="9.125" style="12" customWidth="1"/>
    <col min="9476" max="9476" width="6.375" style="12" customWidth="1"/>
    <col min="9477" max="9477" width="5" style="12" customWidth="1"/>
    <col min="9478" max="9478" width="6.5" style="12" customWidth="1"/>
    <col min="9479" max="9479" width="10.25" style="12" customWidth="1"/>
    <col min="9480" max="9481" width="9.625" style="12" customWidth="1"/>
    <col min="9482" max="9482" width="1.25" style="12" customWidth="1"/>
    <col min="9483" max="9483" width="8" style="12" customWidth="1"/>
    <col min="9484" max="9484" width="8.5" style="12" customWidth="1"/>
    <col min="9485" max="9728" width="8" style="12" customWidth="1"/>
    <col min="9729" max="9729" width="4.5" style="12" customWidth="1"/>
    <col min="9730" max="9730" width="7.125" style="12" customWidth="1"/>
    <col min="9731" max="9731" width="9.125" style="12" customWidth="1"/>
    <col min="9732" max="9732" width="6.375" style="12" customWidth="1"/>
    <col min="9733" max="9733" width="5" style="12" customWidth="1"/>
    <col min="9734" max="9734" width="6.5" style="12" customWidth="1"/>
    <col min="9735" max="9735" width="10.25" style="12" customWidth="1"/>
    <col min="9736" max="9737" width="9.625" style="12" customWidth="1"/>
    <col min="9738" max="9738" width="1.25" style="12" customWidth="1"/>
    <col min="9739" max="9739" width="8" style="12" customWidth="1"/>
    <col min="9740" max="9740" width="8.5" style="12" customWidth="1"/>
    <col min="9741" max="9984" width="8" style="12" customWidth="1"/>
    <col min="9985" max="9985" width="4.5" style="12" customWidth="1"/>
    <col min="9986" max="9986" width="7.125" style="12" customWidth="1"/>
    <col min="9987" max="9987" width="9.125" style="12" customWidth="1"/>
    <col min="9988" max="9988" width="6.375" style="12" customWidth="1"/>
    <col min="9989" max="9989" width="5" style="12" customWidth="1"/>
    <col min="9990" max="9990" width="6.5" style="12" customWidth="1"/>
    <col min="9991" max="9991" width="10.25" style="12" customWidth="1"/>
    <col min="9992" max="9993" width="9.625" style="12" customWidth="1"/>
    <col min="9994" max="9994" width="1.25" style="12" customWidth="1"/>
    <col min="9995" max="9995" width="8" style="12" customWidth="1"/>
    <col min="9996" max="9996" width="8.5" style="12" customWidth="1"/>
    <col min="9997" max="10240" width="8" style="12" customWidth="1"/>
    <col min="10241" max="10241" width="4.5" style="12" customWidth="1"/>
    <col min="10242" max="10242" width="7.125" style="12" customWidth="1"/>
    <col min="10243" max="10243" width="9.125" style="12" customWidth="1"/>
    <col min="10244" max="10244" width="6.375" style="12" customWidth="1"/>
    <col min="10245" max="10245" width="5" style="12" customWidth="1"/>
    <col min="10246" max="10246" width="6.5" style="12" customWidth="1"/>
    <col min="10247" max="10247" width="10.25" style="12" customWidth="1"/>
    <col min="10248" max="10249" width="9.625" style="12" customWidth="1"/>
    <col min="10250" max="10250" width="1.25" style="12" customWidth="1"/>
    <col min="10251" max="10251" width="8" style="12" customWidth="1"/>
    <col min="10252" max="10252" width="8.5" style="12" customWidth="1"/>
    <col min="10253" max="10496" width="8" style="12" customWidth="1"/>
    <col min="10497" max="10497" width="4.5" style="12" customWidth="1"/>
    <col min="10498" max="10498" width="7.125" style="12" customWidth="1"/>
    <col min="10499" max="10499" width="9.125" style="12" customWidth="1"/>
    <col min="10500" max="10500" width="6.375" style="12" customWidth="1"/>
    <col min="10501" max="10501" width="5" style="12" customWidth="1"/>
    <col min="10502" max="10502" width="6.5" style="12" customWidth="1"/>
    <col min="10503" max="10503" width="10.25" style="12" customWidth="1"/>
    <col min="10504" max="10505" width="9.625" style="12" customWidth="1"/>
    <col min="10506" max="10506" width="1.25" style="12" customWidth="1"/>
    <col min="10507" max="10507" width="8" style="12" customWidth="1"/>
    <col min="10508" max="10508" width="8.5" style="12" customWidth="1"/>
    <col min="10509" max="10752" width="8" style="12" customWidth="1"/>
    <col min="10753" max="10753" width="4.5" style="12" customWidth="1"/>
    <col min="10754" max="10754" width="7.125" style="12" customWidth="1"/>
    <col min="10755" max="10755" width="9.125" style="12" customWidth="1"/>
    <col min="10756" max="10756" width="6.375" style="12" customWidth="1"/>
    <col min="10757" max="10757" width="5" style="12" customWidth="1"/>
    <col min="10758" max="10758" width="6.5" style="12" customWidth="1"/>
    <col min="10759" max="10759" width="10.25" style="12" customWidth="1"/>
    <col min="10760" max="10761" width="9.625" style="12" customWidth="1"/>
    <col min="10762" max="10762" width="1.25" style="12" customWidth="1"/>
    <col min="10763" max="10763" width="8" style="12" customWidth="1"/>
    <col min="10764" max="10764" width="8.5" style="12" customWidth="1"/>
    <col min="10765" max="11008" width="8" style="12" customWidth="1"/>
    <col min="11009" max="11009" width="4.5" style="12" customWidth="1"/>
    <col min="11010" max="11010" width="7.125" style="12" customWidth="1"/>
    <col min="11011" max="11011" width="9.125" style="12" customWidth="1"/>
    <col min="11012" max="11012" width="6.375" style="12" customWidth="1"/>
    <col min="11013" max="11013" width="5" style="12" customWidth="1"/>
    <col min="11014" max="11014" width="6.5" style="12" customWidth="1"/>
    <col min="11015" max="11015" width="10.25" style="12" customWidth="1"/>
    <col min="11016" max="11017" width="9.625" style="12" customWidth="1"/>
    <col min="11018" max="11018" width="1.25" style="12" customWidth="1"/>
    <col min="11019" max="11019" width="8" style="12" customWidth="1"/>
    <col min="11020" max="11020" width="8.5" style="12" customWidth="1"/>
    <col min="11021" max="11264" width="8" style="12" customWidth="1"/>
    <col min="11265" max="11265" width="4.5" style="12" customWidth="1"/>
    <col min="11266" max="11266" width="7.125" style="12" customWidth="1"/>
    <col min="11267" max="11267" width="9.125" style="12" customWidth="1"/>
    <col min="11268" max="11268" width="6.375" style="12" customWidth="1"/>
    <col min="11269" max="11269" width="5" style="12" customWidth="1"/>
    <col min="11270" max="11270" width="6.5" style="12" customWidth="1"/>
    <col min="11271" max="11271" width="10.25" style="12" customWidth="1"/>
    <col min="11272" max="11273" width="9.625" style="12" customWidth="1"/>
    <col min="11274" max="11274" width="1.25" style="12" customWidth="1"/>
    <col min="11275" max="11275" width="8" style="12" customWidth="1"/>
    <col min="11276" max="11276" width="8.5" style="12" customWidth="1"/>
    <col min="11277" max="11520" width="8" style="12" customWidth="1"/>
    <col min="11521" max="11521" width="4.5" style="12" customWidth="1"/>
    <col min="11522" max="11522" width="7.125" style="12" customWidth="1"/>
    <col min="11523" max="11523" width="9.125" style="12" customWidth="1"/>
    <col min="11524" max="11524" width="6.375" style="12" customWidth="1"/>
    <col min="11525" max="11525" width="5" style="12" customWidth="1"/>
    <col min="11526" max="11526" width="6.5" style="12" customWidth="1"/>
    <col min="11527" max="11527" width="10.25" style="12" customWidth="1"/>
    <col min="11528" max="11529" width="9.625" style="12" customWidth="1"/>
    <col min="11530" max="11530" width="1.25" style="12" customWidth="1"/>
    <col min="11531" max="11531" width="8" style="12" customWidth="1"/>
    <col min="11532" max="11532" width="8.5" style="12" customWidth="1"/>
    <col min="11533" max="11776" width="8" style="12" customWidth="1"/>
    <col min="11777" max="11777" width="4.5" style="12" customWidth="1"/>
    <col min="11778" max="11778" width="7.125" style="12" customWidth="1"/>
    <col min="11779" max="11779" width="9.125" style="12" customWidth="1"/>
    <col min="11780" max="11780" width="6.375" style="12" customWidth="1"/>
    <col min="11781" max="11781" width="5" style="12" customWidth="1"/>
    <col min="11782" max="11782" width="6.5" style="12" customWidth="1"/>
    <col min="11783" max="11783" width="10.25" style="12" customWidth="1"/>
    <col min="11784" max="11785" width="9.625" style="12" customWidth="1"/>
    <col min="11786" max="11786" width="1.25" style="12" customWidth="1"/>
    <col min="11787" max="11787" width="8" style="12" customWidth="1"/>
    <col min="11788" max="11788" width="8.5" style="12" customWidth="1"/>
    <col min="11789" max="12032" width="8" style="12" customWidth="1"/>
    <col min="12033" max="12033" width="4.5" style="12" customWidth="1"/>
    <col min="12034" max="12034" width="7.125" style="12" customWidth="1"/>
    <col min="12035" max="12035" width="9.125" style="12" customWidth="1"/>
    <col min="12036" max="12036" width="6.375" style="12" customWidth="1"/>
    <col min="12037" max="12037" width="5" style="12" customWidth="1"/>
    <col min="12038" max="12038" width="6.5" style="12" customWidth="1"/>
    <col min="12039" max="12039" width="10.25" style="12" customWidth="1"/>
    <col min="12040" max="12041" width="9.625" style="12" customWidth="1"/>
    <col min="12042" max="12042" width="1.25" style="12" customWidth="1"/>
    <col min="12043" max="12043" width="8" style="12" customWidth="1"/>
    <col min="12044" max="12044" width="8.5" style="12" customWidth="1"/>
    <col min="12045" max="12288" width="8" style="12" customWidth="1"/>
    <col min="12289" max="12289" width="4.5" style="12" customWidth="1"/>
    <col min="12290" max="12290" width="7.125" style="12" customWidth="1"/>
    <col min="12291" max="12291" width="9.125" style="12" customWidth="1"/>
    <col min="12292" max="12292" width="6.375" style="12" customWidth="1"/>
    <col min="12293" max="12293" width="5" style="12" customWidth="1"/>
    <col min="12294" max="12294" width="6.5" style="12" customWidth="1"/>
    <col min="12295" max="12295" width="10.25" style="12" customWidth="1"/>
    <col min="12296" max="12297" width="9.625" style="12" customWidth="1"/>
    <col min="12298" max="12298" width="1.25" style="12" customWidth="1"/>
    <col min="12299" max="12299" width="8" style="12" customWidth="1"/>
    <col min="12300" max="12300" width="8.5" style="12" customWidth="1"/>
    <col min="12301" max="12544" width="8" style="12" customWidth="1"/>
    <col min="12545" max="12545" width="4.5" style="12" customWidth="1"/>
    <col min="12546" max="12546" width="7.125" style="12" customWidth="1"/>
    <col min="12547" max="12547" width="9.125" style="12" customWidth="1"/>
    <col min="12548" max="12548" width="6.375" style="12" customWidth="1"/>
    <col min="12549" max="12549" width="5" style="12" customWidth="1"/>
    <col min="12550" max="12550" width="6.5" style="12" customWidth="1"/>
    <col min="12551" max="12551" width="10.25" style="12" customWidth="1"/>
    <col min="12552" max="12553" width="9.625" style="12" customWidth="1"/>
    <col min="12554" max="12554" width="1.25" style="12" customWidth="1"/>
    <col min="12555" max="12555" width="8" style="12" customWidth="1"/>
    <col min="12556" max="12556" width="8.5" style="12" customWidth="1"/>
    <col min="12557" max="12800" width="8" style="12" customWidth="1"/>
    <col min="12801" max="12801" width="4.5" style="12" customWidth="1"/>
    <col min="12802" max="12802" width="7.125" style="12" customWidth="1"/>
    <col min="12803" max="12803" width="9.125" style="12" customWidth="1"/>
    <col min="12804" max="12804" width="6.375" style="12" customWidth="1"/>
    <col min="12805" max="12805" width="5" style="12" customWidth="1"/>
    <col min="12806" max="12806" width="6.5" style="12" customWidth="1"/>
    <col min="12807" max="12807" width="10.25" style="12" customWidth="1"/>
    <col min="12808" max="12809" width="9.625" style="12" customWidth="1"/>
    <col min="12810" max="12810" width="1.25" style="12" customWidth="1"/>
    <col min="12811" max="12811" width="8" style="12" customWidth="1"/>
    <col min="12812" max="12812" width="8.5" style="12" customWidth="1"/>
    <col min="12813" max="13056" width="8" style="12" customWidth="1"/>
    <col min="13057" max="13057" width="4.5" style="12" customWidth="1"/>
    <col min="13058" max="13058" width="7.125" style="12" customWidth="1"/>
    <col min="13059" max="13059" width="9.125" style="12" customWidth="1"/>
    <col min="13060" max="13060" width="6.375" style="12" customWidth="1"/>
    <col min="13061" max="13061" width="5" style="12" customWidth="1"/>
    <col min="13062" max="13062" width="6.5" style="12" customWidth="1"/>
    <col min="13063" max="13063" width="10.25" style="12" customWidth="1"/>
    <col min="13064" max="13065" width="9.625" style="12" customWidth="1"/>
    <col min="13066" max="13066" width="1.25" style="12" customWidth="1"/>
    <col min="13067" max="13067" width="8" style="12" customWidth="1"/>
    <col min="13068" max="13068" width="8.5" style="12" customWidth="1"/>
    <col min="13069" max="13312" width="8" style="12" customWidth="1"/>
    <col min="13313" max="13313" width="4.5" style="12" customWidth="1"/>
    <col min="13314" max="13314" width="7.125" style="12" customWidth="1"/>
    <col min="13315" max="13315" width="9.125" style="12" customWidth="1"/>
    <col min="13316" max="13316" width="6.375" style="12" customWidth="1"/>
    <col min="13317" max="13317" width="5" style="12" customWidth="1"/>
    <col min="13318" max="13318" width="6.5" style="12" customWidth="1"/>
    <col min="13319" max="13319" width="10.25" style="12" customWidth="1"/>
    <col min="13320" max="13321" width="9.625" style="12" customWidth="1"/>
    <col min="13322" max="13322" width="1.25" style="12" customWidth="1"/>
    <col min="13323" max="13323" width="8" style="12" customWidth="1"/>
    <col min="13324" max="13324" width="8.5" style="12" customWidth="1"/>
    <col min="13325" max="13568" width="8" style="12" customWidth="1"/>
    <col min="13569" max="13569" width="4.5" style="12" customWidth="1"/>
    <col min="13570" max="13570" width="7.125" style="12" customWidth="1"/>
    <col min="13571" max="13571" width="9.125" style="12" customWidth="1"/>
    <col min="13572" max="13572" width="6.375" style="12" customWidth="1"/>
    <col min="13573" max="13573" width="5" style="12" customWidth="1"/>
    <col min="13574" max="13574" width="6.5" style="12" customWidth="1"/>
    <col min="13575" max="13575" width="10.25" style="12" customWidth="1"/>
    <col min="13576" max="13577" width="9.625" style="12" customWidth="1"/>
    <col min="13578" max="13578" width="1.25" style="12" customWidth="1"/>
    <col min="13579" max="13579" width="8" style="12" customWidth="1"/>
    <col min="13580" max="13580" width="8.5" style="12" customWidth="1"/>
    <col min="13581" max="13824" width="8" style="12" customWidth="1"/>
    <col min="13825" max="13825" width="4.5" style="12" customWidth="1"/>
    <col min="13826" max="13826" width="7.125" style="12" customWidth="1"/>
    <col min="13827" max="13827" width="9.125" style="12" customWidth="1"/>
    <col min="13828" max="13828" width="6.375" style="12" customWidth="1"/>
    <col min="13829" max="13829" width="5" style="12" customWidth="1"/>
    <col min="13830" max="13830" width="6.5" style="12" customWidth="1"/>
    <col min="13831" max="13831" width="10.25" style="12" customWidth="1"/>
    <col min="13832" max="13833" width="9.625" style="12" customWidth="1"/>
    <col min="13834" max="13834" width="1.25" style="12" customWidth="1"/>
    <col min="13835" max="13835" width="8" style="12" customWidth="1"/>
    <col min="13836" max="13836" width="8.5" style="12" customWidth="1"/>
    <col min="13837" max="14080" width="8" style="12" customWidth="1"/>
    <col min="14081" max="14081" width="4.5" style="12" customWidth="1"/>
    <col min="14082" max="14082" width="7.125" style="12" customWidth="1"/>
    <col min="14083" max="14083" width="9.125" style="12" customWidth="1"/>
    <col min="14084" max="14084" width="6.375" style="12" customWidth="1"/>
    <col min="14085" max="14085" width="5" style="12" customWidth="1"/>
    <col min="14086" max="14086" width="6.5" style="12" customWidth="1"/>
    <col min="14087" max="14087" width="10.25" style="12" customWidth="1"/>
    <col min="14088" max="14089" width="9.625" style="12" customWidth="1"/>
    <col min="14090" max="14090" width="1.25" style="12" customWidth="1"/>
    <col min="14091" max="14091" width="8" style="12" customWidth="1"/>
    <col min="14092" max="14092" width="8.5" style="12" customWidth="1"/>
    <col min="14093" max="14336" width="8" style="12" customWidth="1"/>
    <col min="14337" max="14337" width="4.5" style="12" customWidth="1"/>
    <col min="14338" max="14338" width="7.125" style="12" customWidth="1"/>
    <col min="14339" max="14339" width="9.125" style="12" customWidth="1"/>
    <col min="14340" max="14340" width="6.375" style="12" customWidth="1"/>
    <col min="14341" max="14341" width="5" style="12" customWidth="1"/>
    <col min="14342" max="14342" width="6.5" style="12" customWidth="1"/>
    <col min="14343" max="14343" width="10.25" style="12" customWidth="1"/>
    <col min="14344" max="14345" width="9.625" style="12" customWidth="1"/>
    <col min="14346" max="14346" width="1.25" style="12" customWidth="1"/>
    <col min="14347" max="14347" width="8" style="12" customWidth="1"/>
    <col min="14348" max="14348" width="8.5" style="12" customWidth="1"/>
    <col min="14349" max="14592" width="8" style="12" customWidth="1"/>
    <col min="14593" max="14593" width="4.5" style="12" customWidth="1"/>
    <col min="14594" max="14594" width="7.125" style="12" customWidth="1"/>
    <col min="14595" max="14595" width="9.125" style="12" customWidth="1"/>
    <col min="14596" max="14596" width="6.375" style="12" customWidth="1"/>
    <col min="14597" max="14597" width="5" style="12" customWidth="1"/>
    <col min="14598" max="14598" width="6.5" style="12" customWidth="1"/>
    <col min="14599" max="14599" width="10.25" style="12" customWidth="1"/>
    <col min="14600" max="14601" width="9.625" style="12" customWidth="1"/>
    <col min="14602" max="14602" width="1.25" style="12" customWidth="1"/>
    <col min="14603" max="14603" width="8" style="12" customWidth="1"/>
    <col min="14604" max="14604" width="8.5" style="12" customWidth="1"/>
    <col min="14605" max="14848" width="8" style="12" customWidth="1"/>
    <col min="14849" max="14849" width="4.5" style="12" customWidth="1"/>
    <col min="14850" max="14850" width="7.125" style="12" customWidth="1"/>
    <col min="14851" max="14851" width="9.125" style="12" customWidth="1"/>
    <col min="14852" max="14852" width="6.375" style="12" customWidth="1"/>
    <col min="14853" max="14853" width="5" style="12" customWidth="1"/>
    <col min="14854" max="14854" width="6.5" style="12" customWidth="1"/>
    <col min="14855" max="14855" width="10.25" style="12" customWidth="1"/>
    <col min="14856" max="14857" width="9.625" style="12" customWidth="1"/>
    <col min="14858" max="14858" width="1.25" style="12" customWidth="1"/>
    <col min="14859" max="14859" width="8" style="12" customWidth="1"/>
    <col min="14860" max="14860" width="8.5" style="12" customWidth="1"/>
    <col min="14861" max="15104" width="8" style="12" customWidth="1"/>
    <col min="15105" max="15105" width="4.5" style="12" customWidth="1"/>
    <col min="15106" max="15106" width="7.125" style="12" customWidth="1"/>
    <col min="15107" max="15107" width="9.125" style="12" customWidth="1"/>
    <col min="15108" max="15108" width="6.375" style="12" customWidth="1"/>
    <col min="15109" max="15109" width="5" style="12" customWidth="1"/>
    <col min="15110" max="15110" width="6.5" style="12" customWidth="1"/>
    <col min="15111" max="15111" width="10.25" style="12" customWidth="1"/>
    <col min="15112" max="15113" width="9.625" style="12" customWidth="1"/>
    <col min="15114" max="15114" width="1.25" style="12" customWidth="1"/>
    <col min="15115" max="15115" width="8" style="12" customWidth="1"/>
    <col min="15116" max="15116" width="8.5" style="12" customWidth="1"/>
    <col min="15117" max="15360" width="8" style="12" customWidth="1"/>
    <col min="15361" max="15361" width="4.5" style="12" customWidth="1"/>
    <col min="15362" max="15362" width="7.125" style="12" customWidth="1"/>
    <col min="15363" max="15363" width="9.125" style="12" customWidth="1"/>
    <col min="15364" max="15364" width="6.375" style="12" customWidth="1"/>
    <col min="15365" max="15365" width="5" style="12" customWidth="1"/>
    <col min="15366" max="15366" width="6.5" style="12" customWidth="1"/>
    <col min="15367" max="15367" width="10.25" style="12" customWidth="1"/>
    <col min="15368" max="15369" width="9.625" style="12" customWidth="1"/>
    <col min="15370" max="15370" width="1.25" style="12" customWidth="1"/>
    <col min="15371" max="15371" width="8" style="12" customWidth="1"/>
    <col min="15372" max="15372" width="8.5" style="12" customWidth="1"/>
    <col min="15373" max="15616" width="8" style="12" customWidth="1"/>
    <col min="15617" max="15617" width="4.5" style="12" customWidth="1"/>
    <col min="15618" max="15618" width="7.125" style="12" customWidth="1"/>
    <col min="15619" max="15619" width="9.125" style="12" customWidth="1"/>
    <col min="15620" max="15620" width="6.375" style="12" customWidth="1"/>
    <col min="15621" max="15621" width="5" style="12" customWidth="1"/>
    <col min="15622" max="15622" width="6.5" style="12" customWidth="1"/>
    <col min="15623" max="15623" width="10.25" style="12" customWidth="1"/>
    <col min="15624" max="15625" width="9.625" style="12" customWidth="1"/>
    <col min="15626" max="15626" width="1.25" style="12" customWidth="1"/>
    <col min="15627" max="15627" width="8" style="12" customWidth="1"/>
    <col min="15628" max="15628" width="8.5" style="12" customWidth="1"/>
    <col min="15629" max="15872" width="8" style="12" customWidth="1"/>
    <col min="15873" max="15873" width="4.5" style="12" customWidth="1"/>
    <col min="15874" max="15874" width="7.125" style="12" customWidth="1"/>
    <col min="15875" max="15875" width="9.125" style="12" customWidth="1"/>
    <col min="15876" max="15876" width="6.375" style="12" customWidth="1"/>
    <col min="15877" max="15877" width="5" style="12" customWidth="1"/>
    <col min="15878" max="15878" width="6.5" style="12" customWidth="1"/>
    <col min="15879" max="15879" width="10.25" style="12" customWidth="1"/>
    <col min="15880" max="15881" width="9.625" style="12" customWidth="1"/>
    <col min="15882" max="15882" width="1.25" style="12" customWidth="1"/>
    <col min="15883" max="15883" width="8" style="12" customWidth="1"/>
    <col min="15884" max="15884" width="8.5" style="12" customWidth="1"/>
    <col min="15885" max="16128" width="8" style="12" customWidth="1"/>
    <col min="16129" max="16129" width="4.5" style="12" customWidth="1"/>
    <col min="16130" max="16130" width="7.125" style="12" customWidth="1"/>
    <col min="16131" max="16131" width="9.125" style="12" customWidth="1"/>
    <col min="16132" max="16132" width="6.375" style="12" customWidth="1"/>
    <col min="16133" max="16133" width="5" style="12" customWidth="1"/>
    <col min="16134" max="16134" width="6.5" style="12" customWidth="1"/>
    <col min="16135" max="16135" width="10.25" style="12" customWidth="1"/>
    <col min="16136" max="16137" width="9.625" style="12" customWidth="1"/>
    <col min="16138" max="16138" width="1.25" style="12" customWidth="1"/>
    <col min="16139" max="16139" width="8" style="12" customWidth="1"/>
    <col min="16140" max="16140" width="8.5" style="12" customWidth="1"/>
    <col min="16141" max="16384" width="8" style="12" customWidth="1"/>
  </cols>
  <sheetData>
    <row r="1" spans="1:12" ht="30" customHeight="1">
      <c r="A1" s="198" t="s">
        <v>340</v>
      </c>
      <c r="B1" s="198" t="s">
        <v>36</v>
      </c>
      <c r="C1" s="198" t="s">
        <v>36</v>
      </c>
      <c r="D1" s="198" t="s">
        <v>36</v>
      </c>
      <c r="E1" s="198" t="s">
        <v>36</v>
      </c>
      <c r="F1" s="198" t="s">
        <v>36</v>
      </c>
      <c r="G1" s="198" t="s">
        <v>36</v>
      </c>
      <c r="H1" s="198" t="s">
        <v>36</v>
      </c>
      <c r="I1" s="198" t="s">
        <v>36</v>
      </c>
      <c r="J1" s="198" t="s">
        <v>36</v>
      </c>
      <c r="K1" s="198" t="s">
        <v>36</v>
      </c>
      <c r="L1" s="198" t="s">
        <v>36</v>
      </c>
    </row>
    <row r="2" spans="1:12" ht="37.5" customHeight="1" thickBot="1">
      <c r="A2" s="199" t="s">
        <v>341</v>
      </c>
      <c r="B2" s="199" t="s">
        <v>36</v>
      </c>
      <c r="C2" s="199" t="s">
        <v>36</v>
      </c>
      <c r="D2" s="199" t="s">
        <v>36</v>
      </c>
      <c r="E2" s="199" t="s">
        <v>36</v>
      </c>
      <c r="F2" s="199" t="s">
        <v>36</v>
      </c>
      <c r="G2" s="199" t="s">
        <v>36</v>
      </c>
      <c r="H2" s="199" t="s">
        <v>36</v>
      </c>
      <c r="I2" s="199" t="s">
        <v>36</v>
      </c>
      <c r="J2" s="199" t="s">
        <v>36</v>
      </c>
      <c r="K2" s="200" t="s">
        <v>274</v>
      </c>
      <c r="L2" s="200" t="s">
        <v>36</v>
      </c>
    </row>
    <row r="3" spans="1:12" ht="16.5" customHeight="1">
      <c r="A3" s="201" t="s">
        <v>31</v>
      </c>
      <c r="B3" s="203" t="s">
        <v>342</v>
      </c>
      <c r="C3" s="203" t="s">
        <v>96</v>
      </c>
      <c r="D3" s="203" t="s">
        <v>36</v>
      </c>
      <c r="E3" s="203" t="s">
        <v>97</v>
      </c>
      <c r="F3" s="203" t="s">
        <v>36</v>
      </c>
      <c r="G3" s="203" t="s">
        <v>98</v>
      </c>
      <c r="H3" s="203" t="s">
        <v>36</v>
      </c>
      <c r="I3" s="203" t="s">
        <v>99</v>
      </c>
      <c r="J3" s="203" t="s">
        <v>36</v>
      </c>
      <c r="K3" s="203" t="s">
        <v>36</v>
      </c>
      <c r="L3" s="204" t="s">
        <v>36</v>
      </c>
    </row>
    <row r="4" spans="1:12" ht="16.5" customHeight="1">
      <c r="A4" s="202" t="s">
        <v>36</v>
      </c>
      <c r="B4" s="196" t="s">
        <v>36</v>
      </c>
      <c r="C4" s="196" t="s">
        <v>36</v>
      </c>
      <c r="D4" s="196" t="s">
        <v>36</v>
      </c>
      <c r="E4" s="67" t="s">
        <v>32</v>
      </c>
      <c r="F4" s="67" t="s">
        <v>33</v>
      </c>
      <c r="G4" s="67" t="s">
        <v>34</v>
      </c>
      <c r="H4" s="67" t="s">
        <v>100</v>
      </c>
      <c r="I4" s="67" t="s">
        <v>101</v>
      </c>
      <c r="J4" s="196" t="s">
        <v>102</v>
      </c>
      <c r="K4" s="196" t="s">
        <v>36</v>
      </c>
      <c r="L4" s="68" t="s">
        <v>343</v>
      </c>
    </row>
    <row r="5" spans="1:12" ht="16.5" customHeight="1">
      <c r="A5" s="17" t="s">
        <v>36</v>
      </c>
      <c r="B5" s="63" t="s">
        <v>36</v>
      </c>
      <c r="C5" s="197" t="s">
        <v>36</v>
      </c>
      <c r="D5" s="197" t="s">
        <v>36</v>
      </c>
      <c r="E5" s="63" t="s">
        <v>36</v>
      </c>
      <c r="F5" s="64" t="s">
        <v>36</v>
      </c>
      <c r="G5" s="64" t="s">
        <v>36</v>
      </c>
      <c r="H5" s="67" t="s">
        <v>36</v>
      </c>
      <c r="I5" s="64" t="s">
        <v>36</v>
      </c>
      <c r="J5" s="207" t="s">
        <v>36</v>
      </c>
      <c r="K5" s="207" t="s">
        <v>36</v>
      </c>
      <c r="L5" s="13" t="s">
        <v>36</v>
      </c>
    </row>
    <row r="6" spans="1:12" ht="26.25" customHeight="1">
      <c r="A6" s="70">
        <v>1</v>
      </c>
      <c r="B6" s="63" t="s">
        <v>344</v>
      </c>
      <c r="C6" s="195" t="s">
        <v>345</v>
      </c>
      <c r="D6" s="195" t="s">
        <v>36</v>
      </c>
      <c r="E6" s="67" t="s">
        <v>346</v>
      </c>
      <c r="F6" s="67">
        <v>0.2</v>
      </c>
      <c r="G6" s="67">
        <v>271.37</v>
      </c>
      <c r="H6" s="67">
        <v>54.27</v>
      </c>
      <c r="I6" s="67">
        <v>39.04</v>
      </c>
      <c r="J6" s="196">
        <v>15.24</v>
      </c>
      <c r="K6" s="196" t="s">
        <v>36</v>
      </c>
      <c r="L6" s="68" t="s">
        <v>36</v>
      </c>
    </row>
    <row r="7" spans="1:12" ht="16.5" customHeight="1">
      <c r="A7" s="17" t="s">
        <v>36</v>
      </c>
      <c r="B7" s="63" t="s">
        <v>347</v>
      </c>
      <c r="C7" s="195" t="s">
        <v>348</v>
      </c>
      <c r="D7" s="195" t="s">
        <v>36</v>
      </c>
      <c r="E7" s="67" t="s">
        <v>133</v>
      </c>
      <c r="F7" s="67">
        <v>2.02</v>
      </c>
      <c r="G7" s="67">
        <v>240</v>
      </c>
      <c r="H7" s="67">
        <v>484.8</v>
      </c>
      <c r="I7" s="67" t="s">
        <v>36</v>
      </c>
      <c r="J7" s="196" t="s">
        <v>36</v>
      </c>
      <c r="K7" s="196" t="s">
        <v>36</v>
      </c>
      <c r="L7" s="68" t="s">
        <v>36</v>
      </c>
    </row>
    <row r="8" spans="1:12" ht="26.25" customHeight="1">
      <c r="A8" s="70">
        <v>2</v>
      </c>
      <c r="B8" s="63" t="s">
        <v>349</v>
      </c>
      <c r="C8" s="195" t="s">
        <v>350</v>
      </c>
      <c r="D8" s="195" t="s">
        <v>36</v>
      </c>
      <c r="E8" s="67" t="s">
        <v>346</v>
      </c>
      <c r="F8" s="67">
        <v>0.1</v>
      </c>
      <c r="G8" s="67">
        <v>76.89</v>
      </c>
      <c r="H8" s="67">
        <v>7.69</v>
      </c>
      <c r="I8" s="67">
        <v>7.23</v>
      </c>
      <c r="J8" s="196">
        <v>0.46</v>
      </c>
      <c r="K8" s="196" t="s">
        <v>36</v>
      </c>
      <c r="L8" s="68" t="s">
        <v>36</v>
      </c>
    </row>
    <row r="9" spans="1:12" ht="16.5" customHeight="1">
      <c r="A9" s="17" t="s">
        <v>36</v>
      </c>
      <c r="B9" s="63" t="s">
        <v>351</v>
      </c>
      <c r="C9" s="195" t="s">
        <v>352</v>
      </c>
      <c r="D9" s="195" t="s">
        <v>36</v>
      </c>
      <c r="E9" s="67" t="s">
        <v>353</v>
      </c>
      <c r="F9" s="67">
        <v>1.02</v>
      </c>
      <c r="G9" s="67">
        <v>30</v>
      </c>
      <c r="H9" s="67">
        <v>30.6</v>
      </c>
      <c r="I9" s="67" t="s">
        <v>36</v>
      </c>
      <c r="J9" s="196" t="s">
        <v>36</v>
      </c>
      <c r="K9" s="196" t="s">
        <v>36</v>
      </c>
      <c r="L9" s="68" t="s">
        <v>36</v>
      </c>
    </row>
    <row r="10" spans="1:12" ht="16.5" customHeight="1">
      <c r="A10" s="70">
        <v>3</v>
      </c>
      <c r="B10" s="63" t="s">
        <v>354</v>
      </c>
      <c r="C10" s="195" t="s">
        <v>355</v>
      </c>
      <c r="D10" s="195" t="s">
        <v>36</v>
      </c>
      <c r="E10" s="67" t="s">
        <v>346</v>
      </c>
      <c r="F10" s="67">
        <v>0.4</v>
      </c>
      <c r="G10" s="67">
        <v>96.6</v>
      </c>
      <c r="H10" s="67">
        <v>38.64</v>
      </c>
      <c r="I10" s="67">
        <v>35.54</v>
      </c>
      <c r="J10" s="196">
        <v>3.1</v>
      </c>
      <c r="K10" s="196" t="s">
        <v>36</v>
      </c>
      <c r="L10" s="68" t="s">
        <v>36</v>
      </c>
    </row>
    <row r="11" spans="1:12" ht="26.25" customHeight="1">
      <c r="A11" s="17" t="s">
        <v>36</v>
      </c>
      <c r="B11" s="63" t="s">
        <v>356</v>
      </c>
      <c r="C11" s="195" t="s">
        <v>357</v>
      </c>
      <c r="D11" s="195" t="s">
        <v>36</v>
      </c>
      <c r="E11" s="67" t="s">
        <v>133</v>
      </c>
      <c r="F11" s="67">
        <v>4.08</v>
      </c>
      <c r="G11" s="67">
        <v>30</v>
      </c>
      <c r="H11" s="67">
        <v>122.4</v>
      </c>
      <c r="I11" s="67" t="s">
        <v>36</v>
      </c>
      <c r="J11" s="196" t="s">
        <v>36</v>
      </c>
      <c r="K11" s="196" t="s">
        <v>36</v>
      </c>
      <c r="L11" s="68" t="s">
        <v>36</v>
      </c>
    </row>
    <row r="12" spans="1:12" ht="16.5" customHeight="1">
      <c r="A12" s="70">
        <v>4</v>
      </c>
      <c r="B12" s="63" t="s">
        <v>358</v>
      </c>
      <c r="C12" s="195" t="s">
        <v>359</v>
      </c>
      <c r="D12" s="195" t="s">
        <v>36</v>
      </c>
      <c r="E12" s="67" t="s">
        <v>346</v>
      </c>
      <c r="F12" s="67">
        <v>0.2</v>
      </c>
      <c r="G12" s="67">
        <v>79.7</v>
      </c>
      <c r="H12" s="67">
        <v>15.94</v>
      </c>
      <c r="I12" s="67">
        <v>14.7</v>
      </c>
      <c r="J12" s="196">
        <v>1.24</v>
      </c>
      <c r="K12" s="196" t="s">
        <v>36</v>
      </c>
      <c r="L12" s="68" t="s">
        <v>36</v>
      </c>
    </row>
    <row r="13" spans="1:12" ht="16.5" customHeight="1">
      <c r="A13" s="17" t="s">
        <v>36</v>
      </c>
      <c r="B13" s="63" t="s">
        <v>360</v>
      </c>
      <c r="C13" s="195" t="s">
        <v>361</v>
      </c>
      <c r="D13" s="195" t="s">
        <v>36</v>
      </c>
      <c r="E13" s="67" t="s">
        <v>133</v>
      </c>
      <c r="F13" s="67">
        <v>2.04</v>
      </c>
      <c r="G13" s="67">
        <v>60</v>
      </c>
      <c r="H13" s="67">
        <v>122.4</v>
      </c>
      <c r="I13" s="67" t="s">
        <v>36</v>
      </c>
      <c r="J13" s="196" t="s">
        <v>36</v>
      </c>
      <c r="K13" s="196" t="s">
        <v>36</v>
      </c>
      <c r="L13" s="68" t="s">
        <v>36</v>
      </c>
    </row>
    <row r="14" spans="1:12" ht="26.25" customHeight="1">
      <c r="A14" s="70">
        <v>5</v>
      </c>
      <c r="B14" s="63" t="s">
        <v>362</v>
      </c>
      <c r="C14" s="195" t="s">
        <v>363</v>
      </c>
      <c r="D14" s="195" t="s">
        <v>36</v>
      </c>
      <c r="E14" s="67" t="s">
        <v>364</v>
      </c>
      <c r="F14" s="67">
        <v>0.5</v>
      </c>
      <c r="G14" s="67">
        <v>2452.4499999999998</v>
      </c>
      <c r="H14" s="67">
        <v>1226.23</v>
      </c>
      <c r="I14" s="67">
        <v>697.29</v>
      </c>
      <c r="J14" s="196">
        <v>172.77</v>
      </c>
      <c r="K14" s="196" t="s">
        <v>36</v>
      </c>
      <c r="L14" s="68">
        <v>356.17</v>
      </c>
    </row>
    <row r="15" spans="1:12" ht="26.25" customHeight="1">
      <c r="A15" s="17" t="s">
        <v>36</v>
      </c>
      <c r="B15" s="63" t="s">
        <v>365</v>
      </c>
      <c r="C15" s="195" t="s">
        <v>366</v>
      </c>
      <c r="D15" s="195" t="s">
        <v>36</v>
      </c>
      <c r="E15" s="67" t="s">
        <v>123</v>
      </c>
      <c r="F15" s="67">
        <v>50</v>
      </c>
      <c r="G15" s="67">
        <v>1200</v>
      </c>
      <c r="H15" s="67">
        <v>60000</v>
      </c>
      <c r="I15" s="67" t="s">
        <v>36</v>
      </c>
      <c r="J15" s="196" t="s">
        <v>36</v>
      </c>
      <c r="K15" s="196" t="s">
        <v>36</v>
      </c>
      <c r="L15" s="68" t="s">
        <v>36</v>
      </c>
    </row>
    <row r="16" spans="1:12" ht="26.25" customHeight="1">
      <c r="A16" s="70">
        <v>6</v>
      </c>
      <c r="B16" s="63" t="s">
        <v>367</v>
      </c>
      <c r="C16" s="195" t="s">
        <v>368</v>
      </c>
      <c r="D16" s="195" t="s">
        <v>36</v>
      </c>
      <c r="E16" s="67" t="s">
        <v>364</v>
      </c>
      <c r="F16" s="67">
        <v>0.3</v>
      </c>
      <c r="G16" s="67">
        <v>703</v>
      </c>
      <c r="H16" s="67">
        <v>210.9</v>
      </c>
      <c r="I16" s="67">
        <v>142.58000000000001</v>
      </c>
      <c r="J16" s="196">
        <v>65.33</v>
      </c>
      <c r="K16" s="196" t="s">
        <v>36</v>
      </c>
      <c r="L16" s="68">
        <v>3</v>
      </c>
    </row>
    <row r="17" spans="1:12" ht="26.25" customHeight="1">
      <c r="A17" s="17" t="s">
        <v>36</v>
      </c>
      <c r="B17" s="63" t="s">
        <v>369</v>
      </c>
      <c r="C17" s="195" t="s">
        <v>370</v>
      </c>
      <c r="D17" s="195" t="s">
        <v>36</v>
      </c>
      <c r="E17" s="67" t="s">
        <v>123</v>
      </c>
      <c r="F17" s="67">
        <v>30</v>
      </c>
      <c r="G17" s="67">
        <v>37.82</v>
      </c>
      <c r="H17" s="67">
        <v>1134.5999999999999</v>
      </c>
      <c r="I17" s="67" t="s">
        <v>36</v>
      </c>
      <c r="J17" s="196" t="s">
        <v>36</v>
      </c>
      <c r="K17" s="196" t="s">
        <v>36</v>
      </c>
      <c r="L17" s="68" t="s">
        <v>36</v>
      </c>
    </row>
    <row r="18" spans="1:12" ht="26.25" customHeight="1">
      <c r="A18" s="70">
        <v>7</v>
      </c>
      <c r="B18" s="63" t="s">
        <v>371</v>
      </c>
      <c r="C18" s="195" t="s">
        <v>372</v>
      </c>
      <c r="D18" s="195" t="s">
        <v>36</v>
      </c>
      <c r="E18" s="67" t="s">
        <v>373</v>
      </c>
      <c r="F18" s="67">
        <v>6</v>
      </c>
      <c r="G18" s="67">
        <v>51.1</v>
      </c>
      <c r="H18" s="67">
        <v>306.60000000000002</v>
      </c>
      <c r="I18" s="67">
        <v>212.1</v>
      </c>
      <c r="J18" s="196">
        <v>15.72</v>
      </c>
      <c r="K18" s="196" t="s">
        <v>36</v>
      </c>
      <c r="L18" s="68">
        <v>78.78</v>
      </c>
    </row>
    <row r="19" spans="1:12" ht="26.25" customHeight="1">
      <c r="A19" s="17" t="s">
        <v>36</v>
      </c>
      <c r="B19" s="63" t="s">
        <v>374</v>
      </c>
      <c r="C19" s="195" t="s">
        <v>375</v>
      </c>
      <c r="D19" s="195" t="s">
        <v>36</v>
      </c>
      <c r="E19" s="67" t="s">
        <v>373</v>
      </c>
      <c r="F19" s="67">
        <v>6</v>
      </c>
      <c r="G19" s="67">
        <v>80</v>
      </c>
      <c r="H19" s="67">
        <v>480</v>
      </c>
      <c r="I19" s="67" t="s">
        <v>36</v>
      </c>
      <c r="J19" s="196" t="s">
        <v>36</v>
      </c>
      <c r="K19" s="196" t="s">
        <v>36</v>
      </c>
      <c r="L19" s="68" t="s">
        <v>36</v>
      </c>
    </row>
    <row r="20" spans="1:12" ht="37.5" customHeight="1">
      <c r="A20" s="70">
        <v>8</v>
      </c>
      <c r="B20" s="63" t="s">
        <v>376</v>
      </c>
      <c r="C20" s="195" t="s">
        <v>377</v>
      </c>
      <c r="D20" s="195" t="s">
        <v>36</v>
      </c>
      <c r="E20" s="67" t="s">
        <v>378</v>
      </c>
      <c r="F20" s="67">
        <v>0.15</v>
      </c>
      <c r="G20" s="67">
        <v>609.92999999999995</v>
      </c>
      <c r="H20" s="67">
        <v>91.49</v>
      </c>
      <c r="I20" s="67">
        <v>68.430000000000007</v>
      </c>
      <c r="J20" s="196">
        <v>17.88</v>
      </c>
      <c r="K20" s="196" t="s">
        <v>36</v>
      </c>
      <c r="L20" s="68">
        <v>5.18</v>
      </c>
    </row>
    <row r="21" spans="1:12" ht="26.25" customHeight="1">
      <c r="A21" s="17" t="s">
        <v>36</v>
      </c>
      <c r="B21" s="63" t="s">
        <v>379</v>
      </c>
      <c r="C21" s="195" t="s">
        <v>380</v>
      </c>
      <c r="D21" s="195" t="s">
        <v>36</v>
      </c>
      <c r="E21" s="67" t="s">
        <v>123</v>
      </c>
      <c r="F21" s="67">
        <v>15</v>
      </c>
      <c r="G21" s="67">
        <v>20</v>
      </c>
      <c r="H21" s="67">
        <v>300</v>
      </c>
      <c r="I21" s="67" t="s">
        <v>36</v>
      </c>
      <c r="J21" s="196" t="s">
        <v>36</v>
      </c>
      <c r="K21" s="196" t="s">
        <v>36</v>
      </c>
      <c r="L21" s="68" t="s">
        <v>36</v>
      </c>
    </row>
    <row r="22" spans="1:12" ht="16.5" customHeight="1">
      <c r="A22" s="126" t="s">
        <v>36</v>
      </c>
      <c r="B22" s="127" t="s">
        <v>36</v>
      </c>
      <c r="C22" s="197" t="s">
        <v>381</v>
      </c>
      <c r="D22" s="197" t="s">
        <v>36</v>
      </c>
      <c r="E22" s="127" t="s">
        <v>36</v>
      </c>
      <c r="F22" s="127" t="s">
        <v>36</v>
      </c>
      <c r="G22" s="128" t="s">
        <v>36</v>
      </c>
      <c r="H22" s="129">
        <v>64626.559999999998</v>
      </c>
      <c r="I22" s="129">
        <v>1216.9100000000001</v>
      </c>
      <c r="J22" s="197">
        <v>291.74</v>
      </c>
      <c r="K22" s="197" t="s">
        <v>36</v>
      </c>
      <c r="L22" s="130">
        <v>443.13</v>
      </c>
    </row>
    <row r="23" spans="1:12" ht="16.5" customHeight="1">
      <c r="A23" s="17" t="s">
        <v>36</v>
      </c>
      <c r="B23" s="63" t="s">
        <v>36</v>
      </c>
      <c r="C23" s="195" t="s">
        <v>36</v>
      </c>
      <c r="D23" s="195" t="s">
        <v>36</v>
      </c>
      <c r="E23" s="63" t="s">
        <v>36</v>
      </c>
      <c r="F23" s="67" t="s">
        <v>36</v>
      </c>
      <c r="G23" s="67" t="s">
        <v>36</v>
      </c>
      <c r="H23" s="67" t="s">
        <v>36</v>
      </c>
      <c r="I23" s="67" t="s">
        <v>36</v>
      </c>
      <c r="J23" s="196" t="s">
        <v>36</v>
      </c>
      <c r="K23" s="196" t="s">
        <v>36</v>
      </c>
      <c r="L23" s="68" t="s">
        <v>36</v>
      </c>
    </row>
    <row r="24" spans="1:12" ht="16.5" customHeight="1">
      <c r="A24" s="17" t="s">
        <v>36</v>
      </c>
      <c r="B24" s="63" t="s">
        <v>36</v>
      </c>
      <c r="C24" s="195" t="s">
        <v>36</v>
      </c>
      <c r="D24" s="195" t="s">
        <v>36</v>
      </c>
      <c r="E24" s="63" t="s">
        <v>36</v>
      </c>
      <c r="F24" s="67" t="s">
        <v>36</v>
      </c>
      <c r="G24" s="67" t="s">
        <v>36</v>
      </c>
      <c r="H24" s="67" t="s">
        <v>36</v>
      </c>
      <c r="I24" s="67" t="s">
        <v>36</v>
      </c>
      <c r="J24" s="196" t="s">
        <v>36</v>
      </c>
      <c r="K24" s="196" t="s">
        <v>36</v>
      </c>
      <c r="L24" s="68" t="s">
        <v>36</v>
      </c>
    </row>
    <row r="25" spans="1:12" ht="16.5" customHeight="1">
      <c r="A25" s="17" t="s">
        <v>36</v>
      </c>
      <c r="B25" s="63" t="s">
        <v>36</v>
      </c>
      <c r="C25" s="195" t="s">
        <v>36</v>
      </c>
      <c r="D25" s="195" t="s">
        <v>36</v>
      </c>
      <c r="E25" s="63" t="s">
        <v>36</v>
      </c>
      <c r="F25" s="67" t="s">
        <v>36</v>
      </c>
      <c r="G25" s="67" t="s">
        <v>36</v>
      </c>
      <c r="H25" s="67" t="s">
        <v>36</v>
      </c>
      <c r="I25" s="67" t="s">
        <v>36</v>
      </c>
      <c r="J25" s="196" t="s">
        <v>36</v>
      </c>
      <c r="K25" s="196" t="s">
        <v>36</v>
      </c>
      <c r="L25" s="68" t="s">
        <v>36</v>
      </c>
    </row>
    <row r="26" spans="1:12" ht="16.5" customHeight="1">
      <c r="A26" s="17" t="s">
        <v>36</v>
      </c>
      <c r="B26" s="63" t="s">
        <v>36</v>
      </c>
      <c r="C26" s="195" t="s">
        <v>36</v>
      </c>
      <c r="D26" s="195" t="s">
        <v>36</v>
      </c>
      <c r="E26" s="63" t="s">
        <v>36</v>
      </c>
      <c r="F26" s="67" t="s">
        <v>36</v>
      </c>
      <c r="G26" s="67" t="s">
        <v>36</v>
      </c>
      <c r="H26" s="67" t="s">
        <v>36</v>
      </c>
      <c r="I26" s="67" t="s">
        <v>36</v>
      </c>
      <c r="J26" s="196" t="s">
        <v>36</v>
      </c>
      <c r="K26" s="196" t="s">
        <v>36</v>
      </c>
      <c r="L26" s="68" t="s">
        <v>36</v>
      </c>
    </row>
    <row r="27" spans="1:12" ht="16.5" customHeight="1">
      <c r="A27" s="17" t="s">
        <v>36</v>
      </c>
      <c r="B27" s="63" t="s">
        <v>36</v>
      </c>
      <c r="C27" s="195" t="s">
        <v>36</v>
      </c>
      <c r="D27" s="195" t="s">
        <v>36</v>
      </c>
      <c r="E27" s="63" t="s">
        <v>36</v>
      </c>
      <c r="F27" s="67" t="s">
        <v>36</v>
      </c>
      <c r="G27" s="67" t="s">
        <v>36</v>
      </c>
      <c r="H27" s="67" t="s">
        <v>36</v>
      </c>
      <c r="I27" s="67" t="s">
        <v>36</v>
      </c>
      <c r="J27" s="196" t="s">
        <v>36</v>
      </c>
      <c r="K27" s="196" t="s">
        <v>36</v>
      </c>
      <c r="L27" s="68" t="s">
        <v>36</v>
      </c>
    </row>
    <row r="28" spans="1:12" ht="16.5" customHeight="1">
      <c r="A28" s="17" t="s">
        <v>36</v>
      </c>
      <c r="B28" s="63" t="s">
        <v>36</v>
      </c>
      <c r="C28" s="195" t="s">
        <v>36</v>
      </c>
      <c r="D28" s="195" t="s">
        <v>36</v>
      </c>
      <c r="E28" s="63" t="s">
        <v>36</v>
      </c>
      <c r="F28" s="67" t="s">
        <v>36</v>
      </c>
      <c r="G28" s="67" t="s">
        <v>36</v>
      </c>
      <c r="H28" s="67" t="s">
        <v>36</v>
      </c>
      <c r="I28" s="67" t="s">
        <v>36</v>
      </c>
      <c r="J28" s="196" t="s">
        <v>36</v>
      </c>
      <c r="K28" s="196" t="s">
        <v>36</v>
      </c>
      <c r="L28" s="68" t="s">
        <v>36</v>
      </c>
    </row>
    <row r="29" spans="1:12" ht="16.5" customHeight="1">
      <c r="A29" s="17" t="s">
        <v>36</v>
      </c>
      <c r="B29" s="63" t="s">
        <v>36</v>
      </c>
      <c r="C29" s="195" t="s">
        <v>36</v>
      </c>
      <c r="D29" s="195" t="s">
        <v>36</v>
      </c>
      <c r="E29" s="63" t="s">
        <v>36</v>
      </c>
      <c r="F29" s="67" t="s">
        <v>36</v>
      </c>
      <c r="G29" s="67" t="s">
        <v>36</v>
      </c>
      <c r="H29" s="67" t="s">
        <v>36</v>
      </c>
      <c r="I29" s="67" t="s">
        <v>36</v>
      </c>
      <c r="J29" s="196" t="s">
        <v>36</v>
      </c>
      <c r="K29" s="196" t="s">
        <v>36</v>
      </c>
      <c r="L29" s="68" t="s">
        <v>36</v>
      </c>
    </row>
    <row r="30" spans="1:12" ht="16.5" customHeight="1">
      <c r="A30" s="17" t="s">
        <v>36</v>
      </c>
      <c r="B30" s="63" t="s">
        <v>36</v>
      </c>
      <c r="C30" s="195" t="s">
        <v>36</v>
      </c>
      <c r="D30" s="195" t="s">
        <v>36</v>
      </c>
      <c r="E30" s="63" t="s">
        <v>36</v>
      </c>
      <c r="F30" s="67" t="s">
        <v>36</v>
      </c>
      <c r="G30" s="67" t="s">
        <v>36</v>
      </c>
      <c r="H30" s="67" t="s">
        <v>36</v>
      </c>
      <c r="I30" s="67" t="s">
        <v>36</v>
      </c>
      <c r="J30" s="196" t="s">
        <v>36</v>
      </c>
      <c r="K30" s="196" t="s">
        <v>36</v>
      </c>
      <c r="L30" s="68" t="s">
        <v>36</v>
      </c>
    </row>
    <row r="31" spans="1:12" ht="16.5" customHeight="1">
      <c r="A31" s="17" t="s">
        <v>36</v>
      </c>
      <c r="B31" s="63" t="s">
        <v>36</v>
      </c>
      <c r="C31" s="195" t="s">
        <v>36</v>
      </c>
      <c r="D31" s="195" t="s">
        <v>36</v>
      </c>
      <c r="E31" s="63" t="s">
        <v>36</v>
      </c>
      <c r="F31" s="67" t="s">
        <v>36</v>
      </c>
      <c r="G31" s="67" t="s">
        <v>36</v>
      </c>
      <c r="H31" s="67" t="s">
        <v>36</v>
      </c>
      <c r="I31" s="67" t="s">
        <v>36</v>
      </c>
      <c r="J31" s="196" t="s">
        <v>36</v>
      </c>
      <c r="K31" s="196" t="s">
        <v>36</v>
      </c>
      <c r="L31" s="68" t="s">
        <v>36</v>
      </c>
    </row>
    <row r="32" spans="1:12" ht="16.5" customHeight="1">
      <c r="A32" s="17" t="s">
        <v>36</v>
      </c>
      <c r="B32" s="63" t="s">
        <v>36</v>
      </c>
      <c r="C32" s="195" t="s">
        <v>36</v>
      </c>
      <c r="D32" s="195" t="s">
        <v>36</v>
      </c>
      <c r="E32" s="63" t="s">
        <v>36</v>
      </c>
      <c r="F32" s="67" t="s">
        <v>36</v>
      </c>
      <c r="G32" s="67" t="s">
        <v>36</v>
      </c>
      <c r="H32" s="67" t="s">
        <v>36</v>
      </c>
      <c r="I32" s="67" t="s">
        <v>36</v>
      </c>
      <c r="J32" s="196" t="s">
        <v>36</v>
      </c>
      <c r="K32" s="196" t="s">
        <v>36</v>
      </c>
      <c r="L32" s="68" t="s">
        <v>36</v>
      </c>
    </row>
    <row r="33" spans="1:12" ht="16.5" customHeight="1">
      <c r="A33" s="17" t="s">
        <v>36</v>
      </c>
      <c r="B33" s="63" t="s">
        <v>36</v>
      </c>
      <c r="C33" s="195" t="s">
        <v>36</v>
      </c>
      <c r="D33" s="195" t="s">
        <v>36</v>
      </c>
      <c r="E33" s="63" t="s">
        <v>36</v>
      </c>
      <c r="F33" s="67" t="s">
        <v>36</v>
      </c>
      <c r="G33" s="67" t="s">
        <v>36</v>
      </c>
      <c r="H33" s="67" t="s">
        <v>36</v>
      </c>
      <c r="I33" s="67" t="s">
        <v>36</v>
      </c>
      <c r="J33" s="196" t="s">
        <v>36</v>
      </c>
      <c r="K33" s="196" t="s">
        <v>36</v>
      </c>
      <c r="L33" s="68" t="s">
        <v>36</v>
      </c>
    </row>
    <row r="34" spans="1:12" ht="16.5" customHeight="1">
      <c r="A34" s="17" t="s">
        <v>36</v>
      </c>
      <c r="B34" s="63" t="s">
        <v>36</v>
      </c>
      <c r="C34" s="195" t="s">
        <v>36</v>
      </c>
      <c r="D34" s="195" t="s">
        <v>36</v>
      </c>
      <c r="E34" s="63" t="s">
        <v>36</v>
      </c>
      <c r="F34" s="67" t="s">
        <v>36</v>
      </c>
      <c r="G34" s="67" t="s">
        <v>36</v>
      </c>
      <c r="H34" s="67" t="s">
        <v>36</v>
      </c>
      <c r="I34" s="67" t="s">
        <v>36</v>
      </c>
      <c r="J34" s="196" t="s">
        <v>36</v>
      </c>
      <c r="K34" s="196" t="s">
        <v>36</v>
      </c>
      <c r="L34" s="68" t="s">
        <v>36</v>
      </c>
    </row>
    <row r="35" spans="1:12" ht="16.5" customHeight="1">
      <c r="A35" s="17" t="s">
        <v>36</v>
      </c>
      <c r="B35" s="63" t="s">
        <v>36</v>
      </c>
      <c r="C35" s="197" t="s">
        <v>35</v>
      </c>
      <c r="D35" s="197" t="s">
        <v>36</v>
      </c>
      <c r="E35" s="63" t="s">
        <v>36</v>
      </c>
      <c r="F35" s="63" t="s">
        <v>36</v>
      </c>
      <c r="G35" s="64" t="s">
        <v>36</v>
      </c>
      <c r="H35" s="129">
        <v>64626.559999999998</v>
      </c>
      <c r="I35" s="129">
        <v>1216.9100000000001</v>
      </c>
      <c r="J35" s="197">
        <v>291.74</v>
      </c>
      <c r="K35" s="197" t="s">
        <v>36</v>
      </c>
      <c r="L35" s="130">
        <v>443.13</v>
      </c>
    </row>
    <row r="36" spans="1:12" ht="16.5" customHeight="1" thickBot="1">
      <c r="A36" s="18" t="s">
        <v>36</v>
      </c>
      <c r="B36" s="62" t="s">
        <v>36</v>
      </c>
      <c r="C36" s="194" t="s">
        <v>137</v>
      </c>
      <c r="D36" s="194" t="s">
        <v>36</v>
      </c>
      <c r="E36" s="62" t="s">
        <v>36</v>
      </c>
      <c r="F36" s="62" t="s">
        <v>36</v>
      </c>
      <c r="G36" s="15" t="s">
        <v>36</v>
      </c>
      <c r="H36" s="131">
        <v>64626.559999999998</v>
      </c>
      <c r="I36" s="131">
        <v>1216.9100000000001</v>
      </c>
      <c r="J36" s="194">
        <v>291.74</v>
      </c>
      <c r="K36" s="194" t="s">
        <v>36</v>
      </c>
      <c r="L36" s="132">
        <v>443.13</v>
      </c>
    </row>
  </sheetData>
  <mergeCells count="74">
    <mergeCell ref="A1:L1"/>
    <mergeCell ref="A2:J2"/>
    <mergeCell ref="K2:L2"/>
    <mergeCell ref="A3:A4"/>
    <mergeCell ref="B3:B4"/>
    <mergeCell ref="C3:D4"/>
    <mergeCell ref="E3:F3"/>
    <mergeCell ref="G3:H3"/>
    <mergeCell ref="I3:L3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5:D35"/>
    <mergeCell ref="J35:K35"/>
    <mergeCell ref="C36:D36"/>
    <mergeCell ref="J36:K36"/>
    <mergeCell ref="C32:D32"/>
    <mergeCell ref="J32:K32"/>
    <mergeCell ref="C33:D33"/>
    <mergeCell ref="J33:K33"/>
    <mergeCell ref="C34:D34"/>
    <mergeCell ref="J34:K34"/>
  </mergeCells>
  <phoneticPr fontId="1" type="noConversion"/>
  <pageMargins left="0.51475000000000004" right="0.51475000000000004" top="0.59375" bottom="0.59375" header="0.59375" footer="0.59375"/>
  <pageSetup paperSize="9" orientation="portrait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43"/>
  <sheetViews>
    <sheetView topLeftCell="A16" workbookViewId="0">
      <selection activeCell="J18" sqref="J18"/>
    </sheetView>
  </sheetViews>
  <sheetFormatPr defaultRowHeight="11.25"/>
  <cols>
    <col min="1" max="1" width="8.25" style="12" customWidth="1"/>
    <col min="2" max="2" width="20.5" style="12" customWidth="1"/>
    <col min="3" max="3" width="5.125" style="12" customWidth="1"/>
    <col min="4" max="4" width="23.625" style="12" customWidth="1"/>
    <col min="5" max="5" width="3.625" style="12" customWidth="1"/>
    <col min="6" max="6" width="8.75" style="12" customWidth="1"/>
    <col min="7" max="7" width="14.875" style="12" customWidth="1"/>
    <col min="8" max="256" width="8" style="12" customWidth="1"/>
    <col min="257" max="257" width="8.25" style="12" customWidth="1"/>
    <col min="258" max="258" width="20.5" style="12" customWidth="1"/>
    <col min="259" max="259" width="5.125" style="12" customWidth="1"/>
    <col min="260" max="260" width="23.625" style="12" customWidth="1"/>
    <col min="261" max="261" width="3.625" style="12" customWidth="1"/>
    <col min="262" max="262" width="8.75" style="12" customWidth="1"/>
    <col min="263" max="263" width="14.875" style="12" customWidth="1"/>
    <col min="264" max="512" width="8" style="12" customWidth="1"/>
    <col min="513" max="513" width="8.25" style="12" customWidth="1"/>
    <col min="514" max="514" width="20.5" style="12" customWidth="1"/>
    <col min="515" max="515" width="5.125" style="12" customWidth="1"/>
    <col min="516" max="516" width="23.625" style="12" customWidth="1"/>
    <col min="517" max="517" width="3.625" style="12" customWidth="1"/>
    <col min="518" max="518" width="8.75" style="12" customWidth="1"/>
    <col min="519" max="519" width="14.875" style="12" customWidth="1"/>
    <col min="520" max="768" width="8" style="12" customWidth="1"/>
    <col min="769" max="769" width="8.25" style="12" customWidth="1"/>
    <col min="770" max="770" width="20.5" style="12" customWidth="1"/>
    <col min="771" max="771" width="5.125" style="12" customWidth="1"/>
    <col min="772" max="772" width="23.625" style="12" customWidth="1"/>
    <col min="773" max="773" width="3.625" style="12" customWidth="1"/>
    <col min="774" max="774" width="8.75" style="12" customWidth="1"/>
    <col min="775" max="775" width="14.875" style="12" customWidth="1"/>
    <col min="776" max="1024" width="8" style="12" customWidth="1"/>
    <col min="1025" max="1025" width="8.25" style="12" customWidth="1"/>
    <col min="1026" max="1026" width="20.5" style="12" customWidth="1"/>
    <col min="1027" max="1027" width="5.125" style="12" customWidth="1"/>
    <col min="1028" max="1028" width="23.625" style="12" customWidth="1"/>
    <col min="1029" max="1029" width="3.625" style="12" customWidth="1"/>
    <col min="1030" max="1030" width="8.75" style="12" customWidth="1"/>
    <col min="1031" max="1031" width="14.875" style="12" customWidth="1"/>
    <col min="1032" max="1280" width="8" style="12" customWidth="1"/>
    <col min="1281" max="1281" width="8.25" style="12" customWidth="1"/>
    <col min="1282" max="1282" width="20.5" style="12" customWidth="1"/>
    <col min="1283" max="1283" width="5.125" style="12" customWidth="1"/>
    <col min="1284" max="1284" width="23.625" style="12" customWidth="1"/>
    <col min="1285" max="1285" width="3.625" style="12" customWidth="1"/>
    <col min="1286" max="1286" width="8.75" style="12" customWidth="1"/>
    <col min="1287" max="1287" width="14.875" style="12" customWidth="1"/>
    <col min="1288" max="1536" width="8" style="12" customWidth="1"/>
    <col min="1537" max="1537" width="8.25" style="12" customWidth="1"/>
    <col min="1538" max="1538" width="20.5" style="12" customWidth="1"/>
    <col min="1539" max="1539" width="5.125" style="12" customWidth="1"/>
    <col min="1540" max="1540" width="23.625" style="12" customWidth="1"/>
    <col min="1541" max="1541" width="3.625" style="12" customWidth="1"/>
    <col min="1542" max="1542" width="8.75" style="12" customWidth="1"/>
    <col min="1543" max="1543" width="14.875" style="12" customWidth="1"/>
    <col min="1544" max="1792" width="8" style="12" customWidth="1"/>
    <col min="1793" max="1793" width="8.25" style="12" customWidth="1"/>
    <col min="1794" max="1794" width="20.5" style="12" customWidth="1"/>
    <col min="1795" max="1795" width="5.125" style="12" customWidth="1"/>
    <col min="1796" max="1796" width="23.625" style="12" customWidth="1"/>
    <col min="1797" max="1797" width="3.625" style="12" customWidth="1"/>
    <col min="1798" max="1798" width="8.75" style="12" customWidth="1"/>
    <col min="1799" max="1799" width="14.875" style="12" customWidth="1"/>
    <col min="1800" max="2048" width="8" style="12" customWidth="1"/>
    <col min="2049" max="2049" width="8.25" style="12" customWidth="1"/>
    <col min="2050" max="2050" width="20.5" style="12" customWidth="1"/>
    <col min="2051" max="2051" width="5.125" style="12" customWidth="1"/>
    <col min="2052" max="2052" width="23.625" style="12" customWidth="1"/>
    <col min="2053" max="2053" width="3.625" style="12" customWidth="1"/>
    <col min="2054" max="2054" width="8.75" style="12" customWidth="1"/>
    <col min="2055" max="2055" width="14.875" style="12" customWidth="1"/>
    <col min="2056" max="2304" width="8" style="12" customWidth="1"/>
    <col min="2305" max="2305" width="8.25" style="12" customWidth="1"/>
    <col min="2306" max="2306" width="20.5" style="12" customWidth="1"/>
    <col min="2307" max="2307" width="5.125" style="12" customWidth="1"/>
    <col min="2308" max="2308" width="23.625" style="12" customWidth="1"/>
    <col min="2309" max="2309" width="3.625" style="12" customWidth="1"/>
    <col min="2310" max="2310" width="8.75" style="12" customWidth="1"/>
    <col min="2311" max="2311" width="14.875" style="12" customWidth="1"/>
    <col min="2312" max="2560" width="8" style="12" customWidth="1"/>
    <col min="2561" max="2561" width="8.25" style="12" customWidth="1"/>
    <col min="2562" max="2562" width="20.5" style="12" customWidth="1"/>
    <col min="2563" max="2563" width="5.125" style="12" customWidth="1"/>
    <col min="2564" max="2564" width="23.625" style="12" customWidth="1"/>
    <col min="2565" max="2565" width="3.625" style="12" customWidth="1"/>
    <col min="2566" max="2566" width="8.75" style="12" customWidth="1"/>
    <col min="2567" max="2567" width="14.875" style="12" customWidth="1"/>
    <col min="2568" max="2816" width="8" style="12" customWidth="1"/>
    <col min="2817" max="2817" width="8.25" style="12" customWidth="1"/>
    <col min="2818" max="2818" width="20.5" style="12" customWidth="1"/>
    <col min="2819" max="2819" width="5.125" style="12" customWidth="1"/>
    <col min="2820" max="2820" width="23.625" style="12" customWidth="1"/>
    <col min="2821" max="2821" width="3.625" style="12" customWidth="1"/>
    <col min="2822" max="2822" width="8.75" style="12" customWidth="1"/>
    <col min="2823" max="2823" width="14.875" style="12" customWidth="1"/>
    <col min="2824" max="3072" width="8" style="12" customWidth="1"/>
    <col min="3073" max="3073" width="8.25" style="12" customWidth="1"/>
    <col min="3074" max="3074" width="20.5" style="12" customWidth="1"/>
    <col min="3075" max="3075" width="5.125" style="12" customWidth="1"/>
    <col min="3076" max="3076" width="23.625" style="12" customWidth="1"/>
    <col min="3077" max="3077" width="3.625" style="12" customWidth="1"/>
    <col min="3078" max="3078" width="8.75" style="12" customWidth="1"/>
    <col min="3079" max="3079" width="14.875" style="12" customWidth="1"/>
    <col min="3080" max="3328" width="8" style="12" customWidth="1"/>
    <col min="3329" max="3329" width="8.25" style="12" customWidth="1"/>
    <col min="3330" max="3330" width="20.5" style="12" customWidth="1"/>
    <col min="3331" max="3331" width="5.125" style="12" customWidth="1"/>
    <col min="3332" max="3332" width="23.625" style="12" customWidth="1"/>
    <col min="3333" max="3333" width="3.625" style="12" customWidth="1"/>
    <col min="3334" max="3334" width="8.75" style="12" customWidth="1"/>
    <col min="3335" max="3335" width="14.875" style="12" customWidth="1"/>
    <col min="3336" max="3584" width="8" style="12" customWidth="1"/>
    <col min="3585" max="3585" width="8.25" style="12" customWidth="1"/>
    <col min="3586" max="3586" width="20.5" style="12" customWidth="1"/>
    <col min="3587" max="3587" width="5.125" style="12" customWidth="1"/>
    <col min="3588" max="3588" width="23.625" style="12" customWidth="1"/>
    <col min="3589" max="3589" width="3.625" style="12" customWidth="1"/>
    <col min="3590" max="3590" width="8.75" style="12" customWidth="1"/>
    <col min="3591" max="3591" width="14.875" style="12" customWidth="1"/>
    <col min="3592" max="3840" width="8" style="12" customWidth="1"/>
    <col min="3841" max="3841" width="8.25" style="12" customWidth="1"/>
    <col min="3842" max="3842" width="20.5" style="12" customWidth="1"/>
    <col min="3843" max="3843" width="5.125" style="12" customWidth="1"/>
    <col min="3844" max="3844" width="23.625" style="12" customWidth="1"/>
    <col min="3845" max="3845" width="3.625" style="12" customWidth="1"/>
    <col min="3846" max="3846" width="8.75" style="12" customWidth="1"/>
    <col min="3847" max="3847" width="14.875" style="12" customWidth="1"/>
    <col min="3848" max="4096" width="8" style="12" customWidth="1"/>
    <col min="4097" max="4097" width="8.25" style="12" customWidth="1"/>
    <col min="4098" max="4098" width="20.5" style="12" customWidth="1"/>
    <col min="4099" max="4099" width="5.125" style="12" customWidth="1"/>
    <col min="4100" max="4100" width="23.625" style="12" customWidth="1"/>
    <col min="4101" max="4101" width="3.625" style="12" customWidth="1"/>
    <col min="4102" max="4102" width="8.75" style="12" customWidth="1"/>
    <col min="4103" max="4103" width="14.875" style="12" customWidth="1"/>
    <col min="4104" max="4352" width="8" style="12" customWidth="1"/>
    <col min="4353" max="4353" width="8.25" style="12" customWidth="1"/>
    <col min="4354" max="4354" width="20.5" style="12" customWidth="1"/>
    <col min="4355" max="4355" width="5.125" style="12" customWidth="1"/>
    <col min="4356" max="4356" width="23.625" style="12" customWidth="1"/>
    <col min="4357" max="4357" width="3.625" style="12" customWidth="1"/>
    <col min="4358" max="4358" width="8.75" style="12" customWidth="1"/>
    <col min="4359" max="4359" width="14.875" style="12" customWidth="1"/>
    <col min="4360" max="4608" width="8" style="12" customWidth="1"/>
    <col min="4609" max="4609" width="8.25" style="12" customWidth="1"/>
    <col min="4610" max="4610" width="20.5" style="12" customWidth="1"/>
    <col min="4611" max="4611" width="5.125" style="12" customWidth="1"/>
    <col min="4612" max="4612" width="23.625" style="12" customWidth="1"/>
    <col min="4613" max="4613" width="3.625" style="12" customWidth="1"/>
    <col min="4614" max="4614" width="8.75" style="12" customWidth="1"/>
    <col min="4615" max="4615" width="14.875" style="12" customWidth="1"/>
    <col min="4616" max="4864" width="8" style="12" customWidth="1"/>
    <col min="4865" max="4865" width="8.25" style="12" customWidth="1"/>
    <col min="4866" max="4866" width="20.5" style="12" customWidth="1"/>
    <col min="4867" max="4867" width="5.125" style="12" customWidth="1"/>
    <col min="4868" max="4868" width="23.625" style="12" customWidth="1"/>
    <col min="4869" max="4869" width="3.625" style="12" customWidth="1"/>
    <col min="4870" max="4870" width="8.75" style="12" customWidth="1"/>
    <col min="4871" max="4871" width="14.875" style="12" customWidth="1"/>
    <col min="4872" max="5120" width="8" style="12" customWidth="1"/>
    <col min="5121" max="5121" width="8.25" style="12" customWidth="1"/>
    <col min="5122" max="5122" width="20.5" style="12" customWidth="1"/>
    <col min="5123" max="5123" width="5.125" style="12" customWidth="1"/>
    <col min="5124" max="5124" width="23.625" style="12" customWidth="1"/>
    <col min="5125" max="5125" width="3.625" style="12" customWidth="1"/>
    <col min="5126" max="5126" width="8.75" style="12" customWidth="1"/>
    <col min="5127" max="5127" width="14.875" style="12" customWidth="1"/>
    <col min="5128" max="5376" width="8" style="12" customWidth="1"/>
    <col min="5377" max="5377" width="8.25" style="12" customWidth="1"/>
    <col min="5378" max="5378" width="20.5" style="12" customWidth="1"/>
    <col min="5379" max="5379" width="5.125" style="12" customWidth="1"/>
    <col min="5380" max="5380" width="23.625" style="12" customWidth="1"/>
    <col min="5381" max="5381" width="3.625" style="12" customWidth="1"/>
    <col min="5382" max="5382" width="8.75" style="12" customWidth="1"/>
    <col min="5383" max="5383" width="14.875" style="12" customWidth="1"/>
    <col min="5384" max="5632" width="8" style="12" customWidth="1"/>
    <col min="5633" max="5633" width="8.25" style="12" customWidth="1"/>
    <col min="5634" max="5634" width="20.5" style="12" customWidth="1"/>
    <col min="5635" max="5635" width="5.125" style="12" customWidth="1"/>
    <col min="5636" max="5636" width="23.625" style="12" customWidth="1"/>
    <col min="5637" max="5637" width="3.625" style="12" customWidth="1"/>
    <col min="5638" max="5638" width="8.75" style="12" customWidth="1"/>
    <col min="5639" max="5639" width="14.875" style="12" customWidth="1"/>
    <col min="5640" max="5888" width="8" style="12" customWidth="1"/>
    <col min="5889" max="5889" width="8.25" style="12" customWidth="1"/>
    <col min="5890" max="5890" width="20.5" style="12" customWidth="1"/>
    <col min="5891" max="5891" width="5.125" style="12" customWidth="1"/>
    <col min="5892" max="5892" width="23.625" style="12" customWidth="1"/>
    <col min="5893" max="5893" width="3.625" style="12" customWidth="1"/>
    <col min="5894" max="5894" width="8.75" style="12" customWidth="1"/>
    <col min="5895" max="5895" width="14.875" style="12" customWidth="1"/>
    <col min="5896" max="6144" width="8" style="12" customWidth="1"/>
    <col min="6145" max="6145" width="8.25" style="12" customWidth="1"/>
    <col min="6146" max="6146" width="20.5" style="12" customWidth="1"/>
    <col min="6147" max="6147" width="5.125" style="12" customWidth="1"/>
    <col min="6148" max="6148" width="23.625" style="12" customWidth="1"/>
    <col min="6149" max="6149" width="3.625" style="12" customWidth="1"/>
    <col min="6150" max="6150" width="8.75" style="12" customWidth="1"/>
    <col min="6151" max="6151" width="14.875" style="12" customWidth="1"/>
    <col min="6152" max="6400" width="8" style="12" customWidth="1"/>
    <col min="6401" max="6401" width="8.25" style="12" customWidth="1"/>
    <col min="6402" max="6402" width="20.5" style="12" customWidth="1"/>
    <col min="6403" max="6403" width="5.125" style="12" customWidth="1"/>
    <col min="6404" max="6404" width="23.625" style="12" customWidth="1"/>
    <col min="6405" max="6405" width="3.625" style="12" customWidth="1"/>
    <col min="6406" max="6406" width="8.75" style="12" customWidth="1"/>
    <col min="6407" max="6407" width="14.875" style="12" customWidth="1"/>
    <col min="6408" max="6656" width="8" style="12" customWidth="1"/>
    <col min="6657" max="6657" width="8.25" style="12" customWidth="1"/>
    <col min="6658" max="6658" width="20.5" style="12" customWidth="1"/>
    <col min="6659" max="6659" width="5.125" style="12" customWidth="1"/>
    <col min="6660" max="6660" width="23.625" style="12" customWidth="1"/>
    <col min="6661" max="6661" width="3.625" style="12" customWidth="1"/>
    <col min="6662" max="6662" width="8.75" style="12" customWidth="1"/>
    <col min="6663" max="6663" width="14.875" style="12" customWidth="1"/>
    <col min="6664" max="6912" width="8" style="12" customWidth="1"/>
    <col min="6913" max="6913" width="8.25" style="12" customWidth="1"/>
    <col min="6914" max="6914" width="20.5" style="12" customWidth="1"/>
    <col min="6915" max="6915" width="5.125" style="12" customWidth="1"/>
    <col min="6916" max="6916" width="23.625" style="12" customWidth="1"/>
    <col min="6917" max="6917" width="3.625" style="12" customWidth="1"/>
    <col min="6918" max="6918" width="8.75" style="12" customWidth="1"/>
    <col min="6919" max="6919" width="14.875" style="12" customWidth="1"/>
    <col min="6920" max="7168" width="8" style="12" customWidth="1"/>
    <col min="7169" max="7169" width="8.25" style="12" customWidth="1"/>
    <col min="7170" max="7170" width="20.5" style="12" customWidth="1"/>
    <col min="7171" max="7171" width="5.125" style="12" customWidth="1"/>
    <col min="7172" max="7172" width="23.625" style="12" customWidth="1"/>
    <col min="7173" max="7173" width="3.625" style="12" customWidth="1"/>
    <col min="7174" max="7174" width="8.75" style="12" customWidth="1"/>
    <col min="7175" max="7175" width="14.875" style="12" customWidth="1"/>
    <col min="7176" max="7424" width="8" style="12" customWidth="1"/>
    <col min="7425" max="7425" width="8.25" style="12" customWidth="1"/>
    <col min="7426" max="7426" width="20.5" style="12" customWidth="1"/>
    <col min="7427" max="7427" width="5.125" style="12" customWidth="1"/>
    <col min="7428" max="7428" width="23.625" style="12" customWidth="1"/>
    <col min="7429" max="7429" width="3.625" style="12" customWidth="1"/>
    <col min="7430" max="7430" width="8.75" style="12" customWidth="1"/>
    <col min="7431" max="7431" width="14.875" style="12" customWidth="1"/>
    <col min="7432" max="7680" width="8" style="12" customWidth="1"/>
    <col min="7681" max="7681" width="8.25" style="12" customWidth="1"/>
    <col min="7682" max="7682" width="20.5" style="12" customWidth="1"/>
    <col min="7683" max="7683" width="5.125" style="12" customWidth="1"/>
    <col min="7684" max="7684" width="23.625" style="12" customWidth="1"/>
    <col min="7685" max="7685" width="3.625" style="12" customWidth="1"/>
    <col min="7686" max="7686" width="8.75" style="12" customWidth="1"/>
    <col min="7687" max="7687" width="14.875" style="12" customWidth="1"/>
    <col min="7688" max="7936" width="8" style="12" customWidth="1"/>
    <col min="7937" max="7937" width="8.25" style="12" customWidth="1"/>
    <col min="7938" max="7938" width="20.5" style="12" customWidth="1"/>
    <col min="7939" max="7939" width="5.125" style="12" customWidth="1"/>
    <col min="7940" max="7940" width="23.625" style="12" customWidth="1"/>
    <col min="7941" max="7941" width="3.625" style="12" customWidth="1"/>
    <col min="7942" max="7942" width="8.75" style="12" customWidth="1"/>
    <col min="7943" max="7943" width="14.875" style="12" customWidth="1"/>
    <col min="7944" max="8192" width="8" style="12" customWidth="1"/>
    <col min="8193" max="8193" width="8.25" style="12" customWidth="1"/>
    <col min="8194" max="8194" width="20.5" style="12" customWidth="1"/>
    <col min="8195" max="8195" width="5.125" style="12" customWidth="1"/>
    <col min="8196" max="8196" width="23.625" style="12" customWidth="1"/>
    <col min="8197" max="8197" width="3.625" style="12" customWidth="1"/>
    <col min="8198" max="8198" width="8.75" style="12" customWidth="1"/>
    <col min="8199" max="8199" width="14.875" style="12" customWidth="1"/>
    <col min="8200" max="8448" width="8" style="12" customWidth="1"/>
    <col min="8449" max="8449" width="8.25" style="12" customWidth="1"/>
    <col min="8450" max="8450" width="20.5" style="12" customWidth="1"/>
    <col min="8451" max="8451" width="5.125" style="12" customWidth="1"/>
    <col min="8452" max="8452" width="23.625" style="12" customWidth="1"/>
    <col min="8453" max="8453" width="3.625" style="12" customWidth="1"/>
    <col min="8454" max="8454" width="8.75" style="12" customWidth="1"/>
    <col min="8455" max="8455" width="14.875" style="12" customWidth="1"/>
    <col min="8456" max="8704" width="8" style="12" customWidth="1"/>
    <col min="8705" max="8705" width="8.25" style="12" customWidth="1"/>
    <col min="8706" max="8706" width="20.5" style="12" customWidth="1"/>
    <col min="8707" max="8707" width="5.125" style="12" customWidth="1"/>
    <col min="8708" max="8708" width="23.625" style="12" customWidth="1"/>
    <col min="8709" max="8709" width="3.625" style="12" customWidth="1"/>
    <col min="8710" max="8710" width="8.75" style="12" customWidth="1"/>
    <col min="8711" max="8711" width="14.875" style="12" customWidth="1"/>
    <col min="8712" max="8960" width="8" style="12" customWidth="1"/>
    <col min="8961" max="8961" width="8.25" style="12" customWidth="1"/>
    <col min="8962" max="8962" width="20.5" style="12" customWidth="1"/>
    <col min="8963" max="8963" width="5.125" style="12" customWidth="1"/>
    <col min="8964" max="8964" width="23.625" style="12" customWidth="1"/>
    <col min="8965" max="8965" width="3.625" style="12" customWidth="1"/>
    <col min="8966" max="8966" width="8.75" style="12" customWidth="1"/>
    <col min="8967" max="8967" width="14.875" style="12" customWidth="1"/>
    <col min="8968" max="9216" width="8" style="12" customWidth="1"/>
    <col min="9217" max="9217" width="8.25" style="12" customWidth="1"/>
    <col min="9218" max="9218" width="20.5" style="12" customWidth="1"/>
    <col min="9219" max="9219" width="5.125" style="12" customWidth="1"/>
    <col min="9220" max="9220" width="23.625" style="12" customWidth="1"/>
    <col min="9221" max="9221" width="3.625" style="12" customWidth="1"/>
    <col min="9222" max="9222" width="8.75" style="12" customWidth="1"/>
    <col min="9223" max="9223" width="14.875" style="12" customWidth="1"/>
    <col min="9224" max="9472" width="8" style="12" customWidth="1"/>
    <col min="9473" max="9473" width="8.25" style="12" customWidth="1"/>
    <col min="9474" max="9474" width="20.5" style="12" customWidth="1"/>
    <col min="9475" max="9475" width="5.125" style="12" customWidth="1"/>
    <col min="9476" max="9476" width="23.625" style="12" customWidth="1"/>
    <col min="9477" max="9477" width="3.625" style="12" customWidth="1"/>
    <col min="9478" max="9478" width="8.75" style="12" customWidth="1"/>
    <col min="9479" max="9479" width="14.875" style="12" customWidth="1"/>
    <col min="9480" max="9728" width="8" style="12" customWidth="1"/>
    <col min="9729" max="9729" width="8.25" style="12" customWidth="1"/>
    <col min="9730" max="9730" width="20.5" style="12" customWidth="1"/>
    <col min="9731" max="9731" width="5.125" style="12" customWidth="1"/>
    <col min="9732" max="9732" width="23.625" style="12" customWidth="1"/>
    <col min="9733" max="9733" width="3.625" style="12" customWidth="1"/>
    <col min="9734" max="9734" width="8.75" style="12" customWidth="1"/>
    <col min="9735" max="9735" width="14.875" style="12" customWidth="1"/>
    <col min="9736" max="9984" width="8" style="12" customWidth="1"/>
    <col min="9985" max="9985" width="8.25" style="12" customWidth="1"/>
    <col min="9986" max="9986" width="20.5" style="12" customWidth="1"/>
    <col min="9987" max="9987" width="5.125" style="12" customWidth="1"/>
    <col min="9988" max="9988" width="23.625" style="12" customWidth="1"/>
    <col min="9989" max="9989" width="3.625" style="12" customWidth="1"/>
    <col min="9990" max="9990" width="8.75" style="12" customWidth="1"/>
    <col min="9991" max="9991" width="14.875" style="12" customWidth="1"/>
    <col min="9992" max="10240" width="8" style="12" customWidth="1"/>
    <col min="10241" max="10241" width="8.25" style="12" customWidth="1"/>
    <col min="10242" max="10242" width="20.5" style="12" customWidth="1"/>
    <col min="10243" max="10243" width="5.125" style="12" customWidth="1"/>
    <col min="10244" max="10244" width="23.625" style="12" customWidth="1"/>
    <col min="10245" max="10245" width="3.625" style="12" customWidth="1"/>
    <col min="10246" max="10246" width="8.75" style="12" customWidth="1"/>
    <col min="10247" max="10247" width="14.875" style="12" customWidth="1"/>
    <col min="10248" max="10496" width="8" style="12" customWidth="1"/>
    <col min="10497" max="10497" width="8.25" style="12" customWidth="1"/>
    <col min="10498" max="10498" width="20.5" style="12" customWidth="1"/>
    <col min="10499" max="10499" width="5.125" style="12" customWidth="1"/>
    <col min="10500" max="10500" width="23.625" style="12" customWidth="1"/>
    <col min="10501" max="10501" width="3.625" style="12" customWidth="1"/>
    <col min="10502" max="10502" width="8.75" style="12" customWidth="1"/>
    <col min="10503" max="10503" width="14.875" style="12" customWidth="1"/>
    <col min="10504" max="10752" width="8" style="12" customWidth="1"/>
    <col min="10753" max="10753" width="8.25" style="12" customWidth="1"/>
    <col min="10754" max="10754" width="20.5" style="12" customWidth="1"/>
    <col min="10755" max="10755" width="5.125" style="12" customWidth="1"/>
    <col min="10756" max="10756" width="23.625" style="12" customWidth="1"/>
    <col min="10757" max="10757" width="3.625" style="12" customWidth="1"/>
    <col min="10758" max="10758" width="8.75" style="12" customWidth="1"/>
    <col min="10759" max="10759" width="14.875" style="12" customWidth="1"/>
    <col min="10760" max="11008" width="8" style="12" customWidth="1"/>
    <col min="11009" max="11009" width="8.25" style="12" customWidth="1"/>
    <col min="11010" max="11010" width="20.5" style="12" customWidth="1"/>
    <col min="11011" max="11011" width="5.125" style="12" customWidth="1"/>
    <col min="11012" max="11012" width="23.625" style="12" customWidth="1"/>
    <col min="11013" max="11013" width="3.625" style="12" customWidth="1"/>
    <col min="11014" max="11014" width="8.75" style="12" customWidth="1"/>
    <col min="11015" max="11015" width="14.875" style="12" customWidth="1"/>
    <col min="11016" max="11264" width="8" style="12" customWidth="1"/>
    <col min="11265" max="11265" width="8.25" style="12" customWidth="1"/>
    <col min="11266" max="11266" width="20.5" style="12" customWidth="1"/>
    <col min="11267" max="11267" width="5.125" style="12" customWidth="1"/>
    <col min="11268" max="11268" width="23.625" style="12" customWidth="1"/>
    <col min="11269" max="11269" width="3.625" style="12" customWidth="1"/>
    <col min="11270" max="11270" width="8.75" style="12" customWidth="1"/>
    <col min="11271" max="11271" width="14.875" style="12" customWidth="1"/>
    <col min="11272" max="11520" width="8" style="12" customWidth="1"/>
    <col min="11521" max="11521" width="8.25" style="12" customWidth="1"/>
    <col min="11522" max="11522" width="20.5" style="12" customWidth="1"/>
    <col min="11523" max="11523" width="5.125" style="12" customWidth="1"/>
    <col min="11524" max="11524" width="23.625" style="12" customWidth="1"/>
    <col min="11525" max="11525" width="3.625" style="12" customWidth="1"/>
    <col min="11526" max="11526" width="8.75" style="12" customWidth="1"/>
    <col min="11527" max="11527" width="14.875" style="12" customWidth="1"/>
    <col min="11528" max="11776" width="8" style="12" customWidth="1"/>
    <col min="11777" max="11777" width="8.25" style="12" customWidth="1"/>
    <col min="11778" max="11778" width="20.5" style="12" customWidth="1"/>
    <col min="11779" max="11779" width="5.125" style="12" customWidth="1"/>
    <col min="11780" max="11780" width="23.625" style="12" customWidth="1"/>
    <col min="11781" max="11781" width="3.625" style="12" customWidth="1"/>
    <col min="11782" max="11782" width="8.75" style="12" customWidth="1"/>
    <col min="11783" max="11783" width="14.875" style="12" customWidth="1"/>
    <col min="11784" max="12032" width="8" style="12" customWidth="1"/>
    <col min="12033" max="12033" width="8.25" style="12" customWidth="1"/>
    <col min="12034" max="12034" width="20.5" style="12" customWidth="1"/>
    <col min="12035" max="12035" width="5.125" style="12" customWidth="1"/>
    <col min="12036" max="12036" width="23.625" style="12" customWidth="1"/>
    <col min="12037" max="12037" width="3.625" style="12" customWidth="1"/>
    <col min="12038" max="12038" width="8.75" style="12" customWidth="1"/>
    <col min="12039" max="12039" width="14.875" style="12" customWidth="1"/>
    <col min="12040" max="12288" width="8" style="12" customWidth="1"/>
    <col min="12289" max="12289" width="8.25" style="12" customWidth="1"/>
    <col min="12290" max="12290" width="20.5" style="12" customWidth="1"/>
    <col min="12291" max="12291" width="5.125" style="12" customWidth="1"/>
    <col min="12292" max="12292" width="23.625" style="12" customWidth="1"/>
    <col min="12293" max="12293" width="3.625" style="12" customWidth="1"/>
    <col min="12294" max="12294" width="8.75" style="12" customWidth="1"/>
    <col min="12295" max="12295" width="14.875" style="12" customWidth="1"/>
    <col min="12296" max="12544" width="8" style="12" customWidth="1"/>
    <col min="12545" max="12545" width="8.25" style="12" customWidth="1"/>
    <col min="12546" max="12546" width="20.5" style="12" customWidth="1"/>
    <col min="12547" max="12547" width="5.125" style="12" customWidth="1"/>
    <col min="12548" max="12548" width="23.625" style="12" customWidth="1"/>
    <col min="12549" max="12549" width="3.625" style="12" customWidth="1"/>
    <col min="12550" max="12550" width="8.75" style="12" customWidth="1"/>
    <col min="12551" max="12551" width="14.875" style="12" customWidth="1"/>
    <col min="12552" max="12800" width="8" style="12" customWidth="1"/>
    <col min="12801" max="12801" width="8.25" style="12" customWidth="1"/>
    <col min="12802" max="12802" width="20.5" style="12" customWidth="1"/>
    <col min="12803" max="12803" width="5.125" style="12" customWidth="1"/>
    <col min="12804" max="12804" width="23.625" style="12" customWidth="1"/>
    <col min="12805" max="12805" width="3.625" style="12" customWidth="1"/>
    <col min="12806" max="12806" width="8.75" style="12" customWidth="1"/>
    <col min="12807" max="12807" width="14.875" style="12" customWidth="1"/>
    <col min="12808" max="13056" width="8" style="12" customWidth="1"/>
    <col min="13057" max="13057" width="8.25" style="12" customWidth="1"/>
    <col min="13058" max="13058" width="20.5" style="12" customWidth="1"/>
    <col min="13059" max="13059" width="5.125" style="12" customWidth="1"/>
    <col min="13060" max="13060" width="23.625" style="12" customWidth="1"/>
    <col min="13061" max="13061" width="3.625" style="12" customWidth="1"/>
    <col min="13062" max="13062" width="8.75" style="12" customWidth="1"/>
    <col min="13063" max="13063" width="14.875" style="12" customWidth="1"/>
    <col min="13064" max="13312" width="8" style="12" customWidth="1"/>
    <col min="13313" max="13313" width="8.25" style="12" customWidth="1"/>
    <col min="13314" max="13314" width="20.5" style="12" customWidth="1"/>
    <col min="13315" max="13315" width="5.125" style="12" customWidth="1"/>
    <col min="13316" max="13316" width="23.625" style="12" customWidth="1"/>
    <col min="13317" max="13317" width="3.625" style="12" customWidth="1"/>
    <col min="13318" max="13318" width="8.75" style="12" customWidth="1"/>
    <col min="13319" max="13319" width="14.875" style="12" customWidth="1"/>
    <col min="13320" max="13568" width="8" style="12" customWidth="1"/>
    <col min="13569" max="13569" width="8.25" style="12" customWidth="1"/>
    <col min="13570" max="13570" width="20.5" style="12" customWidth="1"/>
    <col min="13571" max="13571" width="5.125" style="12" customWidth="1"/>
    <col min="13572" max="13572" width="23.625" style="12" customWidth="1"/>
    <col min="13573" max="13573" width="3.625" style="12" customWidth="1"/>
    <col min="13574" max="13574" width="8.75" style="12" customWidth="1"/>
    <col min="13575" max="13575" width="14.875" style="12" customWidth="1"/>
    <col min="13576" max="13824" width="8" style="12" customWidth="1"/>
    <col min="13825" max="13825" width="8.25" style="12" customWidth="1"/>
    <col min="13826" max="13826" width="20.5" style="12" customWidth="1"/>
    <col min="13827" max="13827" width="5.125" style="12" customWidth="1"/>
    <col min="13828" max="13828" width="23.625" style="12" customWidth="1"/>
    <col min="13829" max="13829" width="3.625" style="12" customWidth="1"/>
    <col min="13830" max="13830" width="8.75" style="12" customWidth="1"/>
    <col min="13831" max="13831" width="14.875" style="12" customWidth="1"/>
    <col min="13832" max="14080" width="8" style="12" customWidth="1"/>
    <col min="14081" max="14081" width="8.25" style="12" customWidth="1"/>
    <col min="14082" max="14082" width="20.5" style="12" customWidth="1"/>
    <col min="14083" max="14083" width="5.125" style="12" customWidth="1"/>
    <col min="14084" max="14084" width="23.625" style="12" customWidth="1"/>
    <col min="14085" max="14085" width="3.625" style="12" customWidth="1"/>
    <col min="14086" max="14086" width="8.75" style="12" customWidth="1"/>
    <col min="14087" max="14087" width="14.875" style="12" customWidth="1"/>
    <col min="14088" max="14336" width="8" style="12" customWidth="1"/>
    <col min="14337" max="14337" width="8.25" style="12" customWidth="1"/>
    <col min="14338" max="14338" width="20.5" style="12" customWidth="1"/>
    <col min="14339" max="14339" width="5.125" style="12" customWidth="1"/>
    <col min="14340" max="14340" width="23.625" style="12" customWidth="1"/>
    <col min="14341" max="14341" width="3.625" style="12" customWidth="1"/>
    <col min="14342" max="14342" width="8.75" style="12" customWidth="1"/>
    <col min="14343" max="14343" width="14.875" style="12" customWidth="1"/>
    <col min="14344" max="14592" width="8" style="12" customWidth="1"/>
    <col min="14593" max="14593" width="8.25" style="12" customWidth="1"/>
    <col min="14594" max="14594" width="20.5" style="12" customWidth="1"/>
    <col min="14595" max="14595" width="5.125" style="12" customWidth="1"/>
    <col min="14596" max="14596" width="23.625" style="12" customWidth="1"/>
    <col min="14597" max="14597" width="3.625" style="12" customWidth="1"/>
    <col min="14598" max="14598" width="8.75" style="12" customWidth="1"/>
    <col min="14599" max="14599" width="14.875" style="12" customWidth="1"/>
    <col min="14600" max="14848" width="8" style="12" customWidth="1"/>
    <col min="14849" max="14849" width="8.25" style="12" customWidth="1"/>
    <col min="14850" max="14850" width="20.5" style="12" customWidth="1"/>
    <col min="14851" max="14851" width="5.125" style="12" customWidth="1"/>
    <col min="14852" max="14852" width="23.625" style="12" customWidth="1"/>
    <col min="14853" max="14853" width="3.625" style="12" customWidth="1"/>
    <col min="14854" max="14854" width="8.75" style="12" customWidth="1"/>
    <col min="14855" max="14855" width="14.875" style="12" customWidth="1"/>
    <col min="14856" max="15104" width="8" style="12" customWidth="1"/>
    <col min="15105" max="15105" width="8.25" style="12" customWidth="1"/>
    <col min="15106" max="15106" width="20.5" style="12" customWidth="1"/>
    <col min="15107" max="15107" width="5.125" style="12" customWidth="1"/>
    <col min="15108" max="15108" width="23.625" style="12" customWidth="1"/>
    <col min="15109" max="15109" width="3.625" style="12" customWidth="1"/>
    <col min="15110" max="15110" width="8.75" style="12" customWidth="1"/>
    <col min="15111" max="15111" width="14.875" style="12" customWidth="1"/>
    <col min="15112" max="15360" width="8" style="12" customWidth="1"/>
    <col min="15361" max="15361" width="8.25" style="12" customWidth="1"/>
    <col min="15362" max="15362" width="20.5" style="12" customWidth="1"/>
    <col min="15363" max="15363" width="5.125" style="12" customWidth="1"/>
    <col min="15364" max="15364" width="23.625" style="12" customWidth="1"/>
    <col min="15365" max="15365" width="3.625" style="12" customWidth="1"/>
    <col min="15366" max="15366" width="8.75" style="12" customWidth="1"/>
    <col min="15367" max="15367" width="14.875" style="12" customWidth="1"/>
    <col min="15368" max="15616" width="8" style="12" customWidth="1"/>
    <col min="15617" max="15617" width="8.25" style="12" customWidth="1"/>
    <col min="15618" max="15618" width="20.5" style="12" customWidth="1"/>
    <col min="15619" max="15619" width="5.125" style="12" customWidth="1"/>
    <col min="15620" max="15620" width="23.625" style="12" customWidth="1"/>
    <col min="15621" max="15621" width="3.625" style="12" customWidth="1"/>
    <col min="15622" max="15622" width="8.75" style="12" customWidth="1"/>
    <col min="15623" max="15623" width="14.875" style="12" customWidth="1"/>
    <col min="15624" max="15872" width="8" style="12" customWidth="1"/>
    <col min="15873" max="15873" width="8.25" style="12" customWidth="1"/>
    <col min="15874" max="15874" width="20.5" style="12" customWidth="1"/>
    <col min="15875" max="15875" width="5.125" style="12" customWidth="1"/>
    <col min="15876" max="15876" width="23.625" style="12" customWidth="1"/>
    <col min="15877" max="15877" width="3.625" style="12" customWidth="1"/>
    <col min="15878" max="15878" width="8.75" style="12" customWidth="1"/>
    <col min="15879" max="15879" width="14.875" style="12" customWidth="1"/>
    <col min="15880" max="16128" width="8" style="12" customWidth="1"/>
    <col min="16129" max="16129" width="8.25" style="12" customWidth="1"/>
    <col min="16130" max="16130" width="20.5" style="12" customWidth="1"/>
    <col min="16131" max="16131" width="5.125" style="12" customWidth="1"/>
    <col min="16132" max="16132" width="23.625" style="12" customWidth="1"/>
    <col min="16133" max="16133" width="3.625" style="12" customWidth="1"/>
    <col min="16134" max="16134" width="8.75" style="12" customWidth="1"/>
    <col min="16135" max="16135" width="14.875" style="12" customWidth="1"/>
    <col min="16136" max="16384" width="8" style="12" customWidth="1"/>
  </cols>
  <sheetData>
    <row r="1" spans="1:7" ht="30" customHeight="1">
      <c r="A1" s="198" t="s">
        <v>37</v>
      </c>
      <c r="B1" s="198" t="s">
        <v>36</v>
      </c>
      <c r="C1" s="198" t="s">
        <v>36</v>
      </c>
      <c r="D1" s="198" t="s">
        <v>36</v>
      </c>
      <c r="E1" s="198" t="s">
        <v>36</v>
      </c>
      <c r="F1" s="198" t="s">
        <v>36</v>
      </c>
      <c r="G1" s="198" t="s">
        <v>36</v>
      </c>
    </row>
    <row r="2" spans="1:7" ht="26.25" customHeight="1" thickBot="1">
      <c r="A2" s="199" t="s">
        <v>273</v>
      </c>
      <c r="B2" s="199" t="s">
        <v>36</v>
      </c>
      <c r="C2" s="199" t="s">
        <v>36</v>
      </c>
      <c r="D2" s="199" t="s">
        <v>36</v>
      </c>
      <c r="E2" s="199" t="s">
        <v>36</v>
      </c>
      <c r="F2" s="200" t="s">
        <v>274</v>
      </c>
      <c r="G2" s="200" t="s">
        <v>36</v>
      </c>
    </row>
    <row r="3" spans="1:7" ht="15" customHeight="1">
      <c r="A3" s="69" t="s">
        <v>31</v>
      </c>
      <c r="B3" s="203" t="s">
        <v>39</v>
      </c>
      <c r="C3" s="203" t="s">
        <v>36</v>
      </c>
      <c r="D3" s="65" t="s">
        <v>40</v>
      </c>
      <c r="E3" s="203" t="s">
        <v>275</v>
      </c>
      <c r="F3" s="203" t="s">
        <v>36</v>
      </c>
      <c r="G3" s="66" t="s">
        <v>42</v>
      </c>
    </row>
    <row r="4" spans="1:7" ht="15" customHeight="1">
      <c r="A4" s="70" t="s">
        <v>53</v>
      </c>
      <c r="B4" s="195" t="s">
        <v>276</v>
      </c>
      <c r="C4" s="195" t="s">
        <v>36</v>
      </c>
      <c r="D4" s="63" t="s">
        <v>49</v>
      </c>
      <c r="E4" s="196" t="s">
        <v>46</v>
      </c>
      <c r="F4" s="196" t="s">
        <v>36</v>
      </c>
      <c r="G4" s="68">
        <v>67857.89</v>
      </c>
    </row>
    <row r="5" spans="1:7" ht="15" customHeight="1">
      <c r="A5" s="70" t="s">
        <v>277</v>
      </c>
      <c r="B5" s="195" t="s">
        <v>278</v>
      </c>
      <c r="C5" s="195" t="s">
        <v>36</v>
      </c>
      <c r="D5" s="63" t="s">
        <v>279</v>
      </c>
      <c r="E5" s="196" t="s">
        <v>36</v>
      </c>
      <c r="F5" s="196" t="s">
        <v>36</v>
      </c>
      <c r="G5" s="68">
        <v>1660.04</v>
      </c>
    </row>
    <row r="6" spans="1:7" ht="15" customHeight="1">
      <c r="A6" s="70" t="s">
        <v>56</v>
      </c>
      <c r="B6" s="195" t="s">
        <v>75</v>
      </c>
      <c r="C6" s="195" t="s">
        <v>36</v>
      </c>
      <c r="D6" s="63" t="s">
        <v>278</v>
      </c>
      <c r="E6" s="196" t="s">
        <v>280</v>
      </c>
      <c r="F6" s="196" t="s">
        <v>36</v>
      </c>
      <c r="G6" s="68">
        <v>189.58</v>
      </c>
    </row>
    <row r="7" spans="1:7" ht="15" customHeight="1">
      <c r="A7" s="70" t="s">
        <v>59</v>
      </c>
      <c r="B7" s="195" t="s">
        <v>82</v>
      </c>
      <c r="C7" s="195" t="s">
        <v>36</v>
      </c>
      <c r="D7" s="63" t="s">
        <v>278</v>
      </c>
      <c r="E7" s="196" t="s">
        <v>281</v>
      </c>
      <c r="F7" s="196" t="s">
        <v>36</v>
      </c>
      <c r="G7" s="68">
        <v>241.87</v>
      </c>
    </row>
    <row r="8" spans="1:7" ht="48.75" customHeight="1">
      <c r="A8" s="70" t="s">
        <v>62</v>
      </c>
      <c r="B8" s="195" t="s">
        <v>282</v>
      </c>
      <c r="C8" s="195" t="s">
        <v>36</v>
      </c>
      <c r="D8" s="63" t="s">
        <v>283</v>
      </c>
      <c r="E8" s="196" t="s">
        <v>36</v>
      </c>
      <c r="F8" s="196" t="s">
        <v>36</v>
      </c>
      <c r="G8" s="68">
        <v>384.3</v>
      </c>
    </row>
    <row r="9" spans="1:7" ht="15" customHeight="1">
      <c r="A9" s="70" t="s">
        <v>284</v>
      </c>
      <c r="B9" s="195" t="s">
        <v>285</v>
      </c>
      <c r="C9" s="195" t="s">
        <v>36</v>
      </c>
      <c r="D9" s="63" t="s">
        <v>278</v>
      </c>
      <c r="E9" s="196" t="s">
        <v>286</v>
      </c>
      <c r="F9" s="196" t="s">
        <v>36</v>
      </c>
      <c r="G9" s="68">
        <v>199.87</v>
      </c>
    </row>
    <row r="10" spans="1:7" ht="15" customHeight="1">
      <c r="A10" s="70" t="s">
        <v>287</v>
      </c>
      <c r="B10" s="195" t="s">
        <v>288</v>
      </c>
      <c r="C10" s="195" t="s">
        <v>36</v>
      </c>
      <c r="D10" s="63" t="s">
        <v>36</v>
      </c>
      <c r="E10" s="196" t="s">
        <v>36</v>
      </c>
      <c r="F10" s="196" t="s">
        <v>36</v>
      </c>
      <c r="G10" s="68" t="s">
        <v>36</v>
      </c>
    </row>
    <row r="11" spans="1:7" ht="15" customHeight="1">
      <c r="A11" s="70" t="s">
        <v>289</v>
      </c>
      <c r="B11" s="195" t="s">
        <v>290</v>
      </c>
      <c r="C11" s="195" t="s">
        <v>36</v>
      </c>
      <c r="D11" s="63" t="s">
        <v>36</v>
      </c>
      <c r="E11" s="196" t="s">
        <v>36</v>
      </c>
      <c r="F11" s="196" t="s">
        <v>36</v>
      </c>
      <c r="G11" s="68" t="s">
        <v>36</v>
      </c>
    </row>
    <row r="12" spans="1:7" ht="15" customHeight="1">
      <c r="A12" s="70" t="s">
        <v>291</v>
      </c>
      <c r="B12" s="195" t="s">
        <v>292</v>
      </c>
      <c r="C12" s="195" t="s">
        <v>36</v>
      </c>
      <c r="D12" s="63" t="s">
        <v>36</v>
      </c>
      <c r="E12" s="196" t="s">
        <v>36</v>
      </c>
      <c r="F12" s="196" t="s">
        <v>36</v>
      </c>
      <c r="G12" s="68" t="s">
        <v>36</v>
      </c>
    </row>
    <row r="13" spans="1:7" ht="15" customHeight="1">
      <c r="A13" s="70" t="s">
        <v>293</v>
      </c>
      <c r="B13" s="195" t="s">
        <v>294</v>
      </c>
      <c r="C13" s="195" t="s">
        <v>36</v>
      </c>
      <c r="D13" s="63" t="s">
        <v>278</v>
      </c>
      <c r="E13" s="196" t="s">
        <v>295</v>
      </c>
      <c r="F13" s="196" t="s">
        <v>36</v>
      </c>
      <c r="G13" s="68">
        <v>117.2</v>
      </c>
    </row>
    <row r="14" spans="1:7" ht="15" customHeight="1">
      <c r="A14" s="70" t="s">
        <v>296</v>
      </c>
      <c r="B14" s="195" t="s">
        <v>297</v>
      </c>
      <c r="C14" s="195" t="s">
        <v>36</v>
      </c>
      <c r="D14" s="63" t="s">
        <v>278</v>
      </c>
      <c r="E14" s="196" t="s">
        <v>298</v>
      </c>
      <c r="F14" s="196" t="s">
        <v>36</v>
      </c>
      <c r="G14" s="68">
        <v>67.23</v>
      </c>
    </row>
    <row r="15" spans="1:7" ht="15" customHeight="1">
      <c r="A15" s="70" t="s">
        <v>299</v>
      </c>
      <c r="B15" s="195" t="s">
        <v>300</v>
      </c>
      <c r="C15" s="195" t="s">
        <v>36</v>
      </c>
      <c r="D15" s="63" t="s">
        <v>36</v>
      </c>
      <c r="E15" s="196" t="s">
        <v>36</v>
      </c>
      <c r="F15" s="196" t="s">
        <v>36</v>
      </c>
      <c r="G15" s="68" t="s">
        <v>36</v>
      </c>
    </row>
    <row r="16" spans="1:7" ht="15" customHeight="1">
      <c r="A16" s="70" t="s">
        <v>65</v>
      </c>
      <c r="B16" s="195" t="s">
        <v>301</v>
      </c>
      <c r="C16" s="195" t="s">
        <v>36</v>
      </c>
      <c r="D16" s="63" t="s">
        <v>36</v>
      </c>
      <c r="E16" s="196" t="s">
        <v>36</v>
      </c>
      <c r="F16" s="196" t="s">
        <v>36</v>
      </c>
      <c r="G16" s="68" t="s">
        <v>36</v>
      </c>
    </row>
    <row r="17" spans="1:7" ht="26.25" customHeight="1">
      <c r="A17" s="70" t="s">
        <v>68</v>
      </c>
      <c r="B17" s="195" t="s">
        <v>302</v>
      </c>
      <c r="C17" s="195" t="s">
        <v>36</v>
      </c>
      <c r="D17" s="63" t="s">
        <v>303</v>
      </c>
      <c r="E17" s="196" t="s">
        <v>36</v>
      </c>
      <c r="F17" s="196" t="s">
        <v>36</v>
      </c>
      <c r="G17" s="68">
        <v>68673.64</v>
      </c>
    </row>
    <row r="18" spans="1:7" ht="26.25" customHeight="1">
      <c r="A18" s="70" t="s">
        <v>84</v>
      </c>
      <c r="B18" s="195" t="s">
        <v>304</v>
      </c>
      <c r="C18" s="195" t="s">
        <v>36</v>
      </c>
      <c r="D18" s="63" t="s">
        <v>305</v>
      </c>
      <c r="E18" s="196" t="s">
        <v>36</v>
      </c>
      <c r="F18" s="196" t="s">
        <v>36</v>
      </c>
      <c r="G18" s="68">
        <v>570.54</v>
      </c>
    </row>
    <row r="19" spans="1:7" ht="15" customHeight="1">
      <c r="A19" s="70" t="s">
        <v>306</v>
      </c>
      <c r="B19" s="195" t="s">
        <v>307</v>
      </c>
      <c r="C19" s="195" t="s">
        <v>36</v>
      </c>
      <c r="D19" s="63" t="s">
        <v>36</v>
      </c>
      <c r="E19" s="196" t="s">
        <v>36</v>
      </c>
      <c r="F19" s="196" t="s">
        <v>36</v>
      </c>
      <c r="G19" s="68" t="s">
        <v>36</v>
      </c>
    </row>
    <row r="20" spans="1:7" ht="26.25" customHeight="1">
      <c r="A20" s="70" t="s">
        <v>308</v>
      </c>
      <c r="B20" s="195" t="s">
        <v>309</v>
      </c>
      <c r="C20" s="195" t="s">
        <v>36</v>
      </c>
      <c r="D20" s="63" t="s">
        <v>310</v>
      </c>
      <c r="E20" s="196" t="s">
        <v>36</v>
      </c>
      <c r="F20" s="196" t="s">
        <v>36</v>
      </c>
      <c r="G20" s="68">
        <v>434.75</v>
      </c>
    </row>
    <row r="21" spans="1:7" ht="15" customHeight="1">
      <c r="A21" s="70" t="s">
        <v>311</v>
      </c>
      <c r="B21" s="195" t="s">
        <v>312</v>
      </c>
      <c r="C21" s="195" t="s">
        <v>36</v>
      </c>
      <c r="D21" s="63" t="s">
        <v>278</v>
      </c>
      <c r="E21" s="196" t="s">
        <v>313</v>
      </c>
      <c r="F21" s="196" t="s">
        <v>36</v>
      </c>
      <c r="G21" s="68">
        <v>271.58</v>
      </c>
    </row>
    <row r="22" spans="1:7" ht="15" customHeight="1">
      <c r="A22" s="70" t="s">
        <v>314</v>
      </c>
      <c r="B22" s="195" t="s">
        <v>315</v>
      </c>
      <c r="C22" s="195" t="s">
        <v>36</v>
      </c>
      <c r="D22" s="63" t="s">
        <v>278</v>
      </c>
      <c r="E22" s="196" t="s">
        <v>316</v>
      </c>
      <c r="F22" s="196" t="s">
        <v>36</v>
      </c>
      <c r="G22" s="68">
        <v>27.22</v>
      </c>
    </row>
    <row r="23" spans="1:7" ht="15" customHeight="1">
      <c r="A23" s="70" t="s">
        <v>317</v>
      </c>
      <c r="B23" s="195" t="s">
        <v>318</v>
      </c>
      <c r="C23" s="195" t="s">
        <v>36</v>
      </c>
      <c r="D23" s="63" t="s">
        <v>278</v>
      </c>
      <c r="E23" s="196" t="s">
        <v>319</v>
      </c>
      <c r="F23" s="196" t="s">
        <v>36</v>
      </c>
      <c r="G23" s="68">
        <v>108.73</v>
      </c>
    </row>
    <row r="24" spans="1:7" ht="15" customHeight="1">
      <c r="A24" s="70" t="s">
        <v>320</v>
      </c>
      <c r="B24" s="195" t="s">
        <v>321</v>
      </c>
      <c r="C24" s="195" t="s">
        <v>36</v>
      </c>
      <c r="D24" s="63" t="s">
        <v>278</v>
      </c>
      <c r="E24" s="196" t="s">
        <v>322</v>
      </c>
      <c r="F24" s="196" t="s">
        <v>36</v>
      </c>
      <c r="G24" s="68">
        <v>13.61</v>
      </c>
    </row>
    <row r="25" spans="1:7" ht="15" customHeight="1">
      <c r="A25" s="70" t="s">
        <v>323</v>
      </c>
      <c r="B25" s="195" t="s">
        <v>324</v>
      </c>
      <c r="C25" s="195" t="s">
        <v>36</v>
      </c>
      <c r="D25" s="63" t="s">
        <v>278</v>
      </c>
      <c r="E25" s="196" t="s">
        <v>322</v>
      </c>
      <c r="F25" s="196" t="s">
        <v>36</v>
      </c>
      <c r="G25" s="68">
        <v>13.61</v>
      </c>
    </row>
    <row r="26" spans="1:7" ht="15" customHeight="1">
      <c r="A26" s="70" t="s">
        <v>325</v>
      </c>
      <c r="B26" s="195" t="s">
        <v>326</v>
      </c>
      <c r="C26" s="195" t="s">
        <v>36</v>
      </c>
      <c r="D26" s="63" t="s">
        <v>278</v>
      </c>
      <c r="E26" s="196" t="s">
        <v>327</v>
      </c>
      <c r="F26" s="196" t="s">
        <v>36</v>
      </c>
      <c r="G26" s="68">
        <v>135.79</v>
      </c>
    </row>
    <row r="27" spans="1:7" ht="15" customHeight="1">
      <c r="A27" s="70" t="s">
        <v>328</v>
      </c>
      <c r="B27" s="195" t="s">
        <v>329</v>
      </c>
      <c r="C27" s="195" t="s">
        <v>36</v>
      </c>
      <c r="D27" s="63" t="s">
        <v>36</v>
      </c>
      <c r="E27" s="196" t="s">
        <v>36</v>
      </c>
      <c r="F27" s="196" t="s">
        <v>36</v>
      </c>
      <c r="G27" s="68" t="s">
        <v>36</v>
      </c>
    </row>
    <row r="28" spans="1:7" ht="15" customHeight="1">
      <c r="A28" s="70" t="s">
        <v>330</v>
      </c>
      <c r="B28" s="195" t="s">
        <v>331</v>
      </c>
      <c r="C28" s="195" t="s">
        <v>36</v>
      </c>
      <c r="D28" s="63" t="s">
        <v>332</v>
      </c>
      <c r="E28" s="196" t="s">
        <v>333</v>
      </c>
      <c r="F28" s="196" t="s">
        <v>36</v>
      </c>
      <c r="G28" s="68" t="s">
        <v>36</v>
      </c>
    </row>
    <row r="29" spans="1:7" ht="26.25" customHeight="1">
      <c r="A29" s="70" t="s">
        <v>334</v>
      </c>
      <c r="B29" s="195" t="s">
        <v>86</v>
      </c>
      <c r="C29" s="195" t="s">
        <v>36</v>
      </c>
      <c r="D29" s="63" t="s">
        <v>335</v>
      </c>
      <c r="E29" s="196" t="s">
        <v>336</v>
      </c>
      <c r="F29" s="196" t="s">
        <v>36</v>
      </c>
      <c r="G29" s="68">
        <v>7616.86</v>
      </c>
    </row>
    <row r="30" spans="1:7" ht="26.25" customHeight="1">
      <c r="A30" s="70" t="s">
        <v>337</v>
      </c>
      <c r="B30" s="195" t="s">
        <v>338</v>
      </c>
      <c r="C30" s="195" t="s">
        <v>36</v>
      </c>
      <c r="D30" s="63" t="s">
        <v>339</v>
      </c>
      <c r="E30" s="196" t="s">
        <v>36</v>
      </c>
      <c r="F30" s="196" t="s">
        <v>36</v>
      </c>
      <c r="G30" s="68">
        <v>76861.039999999994</v>
      </c>
    </row>
    <row r="31" spans="1:7" ht="14.25" customHeight="1">
      <c r="A31" s="70" t="s">
        <v>36</v>
      </c>
      <c r="B31" s="195" t="s">
        <v>36</v>
      </c>
      <c r="C31" s="195" t="s">
        <v>36</v>
      </c>
      <c r="D31" s="63" t="s">
        <v>36</v>
      </c>
      <c r="E31" s="196" t="s">
        <v>36</v>
      </c>
      <c r="F31" s="196" t="s">
        <v>36</v>
      </c>
      <c r="G31" s="68" t="s">
        <v>36</v>
      </c>
    </row>
    <row r="32" spans="1:7" ht="14.25" customHeight="1">
      <c r="A32" s="70" t="s">
        <v>36</v>
      </c>
      <c r="B32" s="195" t="s">
        <v>36</v>
      </c>
      <c r="C32" s="195" t="s">
        <v>36</v>
      </c>
      <c r="D32" s="63" t="s">
        <v>36</v>
      </c>
      <c r="E32" s="196" t="s">
        <v>36</v>
      </c>
      <c r="F32" s="196" t="s">
        <v>36</v>
      </c>
      <c r="G32" s="68" t="s">
        <v>36</v>
      </c>
    </row>
    <row r="33" spans="1:7" ht="14.25" customHeight="1">
      <c r="A33" s="70" t="s">
        <v>36</v>
      </c>
      <c r="B33" s="195" t="s">
        <v>36</v>
      </c>
      <c r="C33" s="195" t="s">
        <v>36</v>
      </c>
      <c r="D33" s="63" t="s">
        <v>36</v>
      </c>
      <c r="E33" s="196" t="s">
        <v>36</v>
      </c>
      <c r="F33" s="196" t="s">
        <v>36</v>
      </c>
      <c r="G33" s="68" t="s">
        <v>36</v>
      </c>
    </row>
    <row r="34" spans="1:7" ht="14.25" customHeight="1">
      <c r="A34" s="70" t="s">
        <v>36</v>
      </c>
      <c r="B34" s="195" t="s">
        <v>36</v>
      </c>
      <c r="C34" s="195" t="s">
        <v>36</v>
      </c>
      <c r="D34" s="63" t="s">
        <v>36</v>
      </c>
      <c r="E34" s="196" t="s">
        <v>36</v>
      </c>
      <c r="F34" s="196" t="s">
        <v>36</v>
      </c>
      <c r="G34" s="68" t="s">
        <v>36</v>
      </c>
    </row>
    <row r="35" spans="1:7" ht="14.25" customHeight="1">
      <c r="A35" s="70" t="s">
        <v>36</v>
      </c>
      <c r="B35" s="195" t="s">
        <v>36</v>
      </c>
      <c r="C35" s="195" t="s">
        <v>36</v>
      </c>
      <c r="D35" s="63" t="s">
        <v>36</v>
      </c>
      <c r="E35" s="196" t="s">
        <v>36</v>
      </c>
      <c r="F35" s="196" t="s">
        <v>36</v>
      </c>
      <c r="G35" s="68" t="s">
        <v>36</v>
      </c>
    </row>
    <row r="36" spans="1:7" ht="14.25" customHeight="1">
      <c r="A36" s="70" t="s">
        <v>36</v>
      </c>
      <c r="B36" s="195" t="s">
        <v>36</v>
      </c>
      <c r="C36" s="195" t="s">
        <v>36</v>
      </c>
      <c r="D36" s="63" t="s">
        <v>36</v>
      </c>
      <c r="E36" s="196" t="s">
        <v>36</v>
      </c>
      <c r="F36" s="196" t="s">
        <v>36</v>
      </c>
      <c r="G36" s="68" t="s">
        <v>36</v>
      </c>
    </row>
    <row r="37" spans="1:7" ht="14.25" customHeight="1">
      <c r="A37" s="70" t="s">
        <v>36</v>
      </c>
      <c r="B37" s="195" t="s">
        <v>36</v>
      </c>
      <c r="C37" s="195" t="s">
        <v>36</v>
      </c>
      <c r="D37" s="63" t="s">
        <v>36</v>
      </c>
      <c r="E37" s="196" t="s">
        <v>36</v>
      </c>
      <c r="F37" s="196" t="s">
        <v>36</v>
      </c>
      <c r="G37" s="68" t="s">
        <v>36</v>
      </c>
    </row>
    <row r="38" spans="1:7" ht="14.25" customHeight="1">
      <c r="A38" s="70" t="s">
        <v>36</v>
      </c>
      <c r="B38" s="195" t="s">
        <v>36</v>
      </c>
      <c r="C38" s="195" t="s">
        <v>36</v>
      </c>
      <c r="D38" s="63" t="s">
        <v>36</v>
      </c>
      <c r="E38" s="196" t="s">
        <v>36</v>
      </c>
      <c r="F38" s="196" t="s">
        <v>36</v>
      </c>
      <c r="G38" s="68" t="s">
        <v>36</v>
      </c>
    </row>
    <row r="39" spans="1:7" ht="14.25" customHeight="1">
      <c r="A39" s="70" t="s">
        <v>36</v>
      </c>
      <c r="B39" s="195" t="s">
        <v>36</v>
      </c>
      <c r="C39" s="195" t="s">
        <v>36</v>
      </c>
      <c r="D39" s="63" t="s">
        <v>36</v>
      </c>
      <c r="E39" s="196" t="s">
        <v>36</v>
      </c>
      <c r="F39" s="196" t="s">
        <v>36</v>
      </c>
      <c r="G39" s="68" t="s">
        <v>36</v>
      </c>
    </row>
    <row r="40" spans="1:7" ht="14.25" customHeight="1">
      <c r="A40" s="70" t="s">
        <v>36</v>
      </c>
      <c r="B40" s="195" t="s">
        <v>36</v>
      </c>
      <c r="C40" s="195" t="s">
        <v>36</v>
      </c>
      <c r="D40" s="63" t="s">
        <v>36</v>
      </c>
      <c r="E40" s="196" t="s">
        <v>36</v>
      </c>
      <c r="F40" s="196" t="s">
        <v>36</v>
      </c>
      <c r="G40" s="68" t="s">
        <v>36</v>
      </c>
    </row>
    <row r="41" spans="1:7" ht="14.25" customHeight="1">
      <c r="A41" s="70" t="s">
        <v>36</v>
      </c>
      <c r="B41" s="195" t="s">
        <v>36</v>
      </c>
      <c r="C41" s="195" t="s">
        <v>36</v>
      </c>
      <c r="D41" s="63" t="s">
        <v>36</v>
      </c>
      <c r="E41" s="196" t="s">
        <v>36</v>
      </c>
      <c r="F41" s="196" t="s">
        <v>36</v>
      </c>
      <c r="G41" s="68" t="s">
        <v>36</v>
      </c>
    </row>
    <row r="42" spans="1:7" ht="14.25" customHeight="1">
      <c r="A42" s="70" t="s">
        <v>36</v>
      </c>
      <c r="B42" s="195" t="s">
        <v>36</v>
      </c>
      <c r="C42" s="195" t="s">
        <v>36</v>
      </c>
      <c r="D42" s="63" t="s">
        <v>36</v>
      </c>
      <c r="E42" s="196" t="s">
        <v>36</v>
      </c>
      <c r="F42" s="196" t="s">
        <v>36</v>
      </c>
      <c r="G42" s="68" t="s">
        <v>36</v>
      </c>
    </row>
    <row r="43" spans="1:7" ht="14.25" customHeight="1" thickBot="1">
      <c r="A43" s="14" t="s">
        <v>36</v>
      </c>
      <c r="B43" s="205" t="s">
        <v>36</v>
      </c>
      <c r="C43" s="205" t="s">
        <v>36</v>
      </c>
      <c r="D43" s="62" t="s">
        <v>36</v>
      </c>
      <c r="E43" s="206" t="s">
        <v>36</v>
      </c>
      <c r="F43" s="206" t="s">
        <v>36</v>
      </c>
      <c r="G43" s="125" t="s">
        <v>36</v>
      </c>
    </row>
  </sheetData>
  <mergeCells count="85">
    <mergeCell ref="B4:C4"/>
    <mergeCell ref="E4:F4"/>
    <mergeCell ref="A1:G1"/>
    <mergeCell ref="A2:E2"/>
    <mergeCell ref="F2:G2"/>
    <mergeCell ref="B3:C3"/>
    <mergeCell ref="E3:F3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</mergeCells>
  <phoneticPr fontId="1" type="noConversion"/>
  <pageMargins left="0.51475000000000004" right="0.51475000000000004" top="0.59375" bottom="0.59375" header="0.59375" footer="0.59375"/>
  <pageSetup paperSize="9" orientation="portrait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48"/>
  <sheetViews>
    <sheetView workbookViewId="0">
      <selection activeCell="N26" sqref="N26"/>
    </sheetView>
  </sheetViews>
  <sheetFormatPr defaultRowHeight="11.25"/>
  <cols>
    <col min="1" max="1" width="4.25" style="12" customWidth="1"/>
    <col min="2" max="2" width="7.5" style="12" customWidth="1"/>
    <col min="3" max="3" width="17.125" style="12" customWidth="1"/>
    <col min="4" max="4" width="5.75" style="12" customWidth="1"/>
    <col min="5" max="6" width="8.5" style="12" customWidth="1"/>
    <col min="7" max="7" width="5.25" style="12" customWidth="1"/>
    <col min="8" max="8" width="3.125" style="12" customWidth="1"/>
    <col min="9" max="10" width="8.25" style="12" customWidth="1"/>
    <col min="11" max="11" width="8.375" style="12" customWidth="1"/>
    <col min="12" max="256" width="8" style="12" customWidth="1"/>
    <col min="257" max="257" width="4.25" style="12" customWidth="1"/>
    <col min="258" max="258" width="7.5" style="12" customWidth="1"/>
    <col min="259" max="259" width="17.125" style="12" customWidth="1"/>
    <col min="260" max="260" width="5.75" style="12" customWidth="1"/>
    <col min="261" max="262" width="8.5" style="12" customWidth="1"/>
    <col min="263" max="263" width="5.25" style="12" customWidth="1"/>
    <col min="264" max="264" width="3.125" style="12" customWidth="1"/>
    <col min="265" max="266" width="8.25" style="12" customWidth="1"/>
    <col min="267" max="267" width="8.375" style="12" customWidth="1"/>
    <col min="268" max="512" width="8" style="12" customWidth="1"/>
    <col min="513" max="513" width="4.25" style="12" customWidth="1"/>
    <col min="514" max="514" width="7.5" style="12" customWidth="1"/>
    <col min="515" max="515" width="17.125" style="12" customWidth="1"/>
    <col min="516" max="516" width="5.75" style="12" customWidth="1"/>
    <col min="517" max="518" width="8.5" style="12" customWidth="1"/>
    <col min="519" max="519" width="5.25" style="12" customWidth="1"/>
    <col min="520" max="520" width="3.125" style="12" customWidth="1"/>
    <col min="521" max="522" width="8.25" style="12" customWidth="1"/>
    <col min="523" max="523" width="8.375" style="12" customWidth="1"/>
    <col min="524" max="768" width="8" style="12" customWidth="1"/>
    <col min="769" max="769" width="4.25" style="12" customWidth="1"/>
    <col min="770" max="770" width="7.5" style="12" customWidth="1"/>
    <col min="771" max="771" width="17.125" style="12" customWidth="1"/>
    <col min="772" max="772" width="5.75" style="12" customWidth="1"/>
    <col min="773" max="774" width="8.5" style="12" customWidth="1"/>
    <col min="775" max="775" width="5.25" style="12" customWidth="1"/>
    <col min="776" max="776" width="3.125" style="12" customWidth="1"/>
    <col min="777" max="778" width="8.25" style="12" customWidth="1"/>
    <col min="779" max="779" width="8.375" style="12" customWidth="1"/>
    <col min="780" max="1024" width="8" style="12" customWidth="1"/>
    <col min="1025" max="1025" width="4.25" style="12" customWidth="1"/>
    <col min="1026" max="1026" width="7.5" style="12" customWidth="1"/>
    <col min="1027" max="1027" width="17.125" style="12" customWidth="1"/>
    <col min="1028" max="1028" width="5.75" style="12" customWidth="1"/>
    <col min="1029" max="1030" width="8.5" style="12" customWidth="1"/>
    <col min="1031" max="1031" width="5.25" style="12" customWidth="1"/>
    <col min="1032" max="1032" width="3.125" style="12" customWidth="1"/>
    <col min="1033" max="1034" width="8.25" style="12" customWidth="1"/>
    <col min="1035" max="1035" width="8.375" style="12" customWidth="1"/>
    <col min="1036" max="1280" width="8" style="12" customWidth="1"/>
    <col min="1281" max="1281" width="4.25" style="12" customWidth="1"/>
    <col min="1282" max="1282" width="7.5" style="12" customWidth="1"/>
    <col min="1283" max="1283" width="17.125" style="12" customWidth="1"/>
    <col min="1284" max="1284" width="5.75" style="12" customWidth="1"/>
    <col min="1285" max="1286" width="8.5" style="12" customWidth="1"/>
    <col min="1287" max="1287" width="5.25" style="12" customWidth="1"/>
    <col min="1288" max="1288" width="3.125" style="12" customWidth="1"/>
    <col min="1289" max="1290" width="8.25" style="12" customWidth="1"/>
    <col min="1291" max="1291" width="8.375" style="12" customWidth="1"/>
    <col min="1292" max="1536" width="8" style="12" customWidth="1"/>
    <col min="1537" max="1537" width="4.25" style="12" customWidth="1"/>
    <col min="1538" max="1538" width="7.5" style="12" customWidth="1"/>
    <col min="1539" max="1539" width="17.125" style="12" customWidth="1"/>
    <col min="1540" max="1540" width="5.75" style="12" customWidth="1"/>
    <col min="1541" max="1542" width="8.5" style="12" customWidth="1"/>
    <col min="1543" max="1543" width="5.25" style="12" customWidth="1"/>
    <col min="1544" max="1544" width="3.125" style="12" customWidth="1"/>
    <col min="1545" max="1546" width="8.25" style="12" customWidth="1"/>
    <col min="1547" max="1547" width="8.375" style="12" customWidth="1"/>
    <col min="1548" max="1792" width="8" style="12" customWidth="1"/>
    <col min="1793" max="1793" width="4.25" style="12" customWidth="1"/>
    <col min="1794" max="1794" width="7.5" style="12" customWidth="1"/>
    <col min="1795" max="1795" width="17.125" style="12" customWidth="1"/>
    <col min="1796" max="1796" width="5.75" style="12" customWidth="1"/>
    <col min="1797" max="1798" width="8.5" style="12" customWidth="1"/>
    <col min="1799" max="1799" width="5.25" style="12" customWidth="1"/>
    <col min="1800" max="1800" width="3.125" style="12" customWidth="1"/>
    <col min="1801" max="1802" width="8.25" style="12" customWidth="1"/>
    <col min="1803" max="1803" width="8.375" style="12" customWidth="1"/>
    <col min="1804" max="2048" width="8" style="12" customWidth="1"/>
    <col min="2049" max="2049" width="4.25" style="12" customWidth="1"/>
    <col min="2050" max="2050" width="7.5" style="12" customWidth="1"/>
    <col min="2051" max="2051" width="17.125" style="12" customWidth="1"/>
    <col min="2052" max="2052" width="5.75" style="12" customWidth="1"/>
    <col min="2053" max="2054" width="8.5" style="12" customWidth="1"/>
    <col min="2055" max="2055" width="5.25" style="12" customWidth="1"/>
    <col min="2056" max="2056" width="3.125" style="12" customWidth="1"/>
    <col min="2057" max="2058" width="8.25" style="12" customWidth="1"/>
    <col min="2059" max="2059" width="8.375" style="12" customWidth="1"/>
    <col min="2060" max="2304" width="8" style="12" customWidth="1"/>
    <col min="2305" max="2305" width="4.25" style="12" customWidth="1"/>
    <col min="2306" max="2306" width="7.5" style="12" customWidth="1"/>
    <col min="2307" max="2307" width="17.125" style="12" customWidth="1"/>
    <col min="2308" max="2308" width="5.75" style="12" customWidth="1"/>
    <col min="2309" max="2310" width="8.5" style="12" customWidth="1"/>
    <col min="2311" max="2311" width="5.25" style="12" customWidth="1"/>
    <col min="2312" max="2312" width="3.125" style="12" customWidth="1"/>
    <col min="2313" max="2314" width="8.25" style="12" customWidth="1"/>
    <col min="2315" max="2315" width="8.375" style="12" customWidth="1"/>
    <col min="2316" max="2560" width="8" style="12" customWidth="1"/>
    <col min="2561" max="2561" width="4.25" style="12" customWidth="1"/>
    <col min="2562" max="2562" width="7.5" style="12" customWidth="1"/>
    <col min="2563" max="2563" width="17.125" style="12" customWidth="1"/>
    <col min="2564" max="2564" width="5.75" style="12" customWidth="1"/>
    <col min="2565" max="2566" width="8.5" style="12" customWidth="1"/>
    <col min="2567" max="2567" width="5.25" style="12" customWidth="1"/>
    <col min="2568" max="2568" width="3.125" style="12" customWidth="1"/>
    <col min="2569" max="2570" width="8.25" style="12" customWidth="1"/>
    <col min="2571" max="2571" width="8.375" style="12" customWidth="1"/>
    <col min="2572" max="2816" width="8" style="12" customWidth="1"/>
    <col min="2817" max="2817" width="4.25" style="12" customWidth="1"/>
    <col min="2818" max="2818" width="7.5" style="12" customWidth="1"/>
    <col min="2819" max="2819" width="17.125" style="12" customWidth="1"/>
    <col min="2820" max="2820" width="5.75" style="12" customWidth="1"/>
    <col min="2821" max="2822" width="8.5" style="12" customWidth="1"/>
    <col min="2823" max="2823" width="5.25" style="12" customWidth="1"/>
    <col min="2824" max="2824" width="3.125" style="12" customWidth="1"/>
    <col min="2825" max="2826" width="8.25" style="12" customWidth="1"/>
    <col min="2827" max="2827" width="8.375" style="12" customWidth="1"/>
    <col min="2828" max="3072" width="8" style="12" customWidth="1"/>
    <col min="3073" max="3073" width="4.25" style="12" customWidth="1"/>
    <col min="3074" max="3074" width="7.5" style="12" customWidth="1"/>
    <col min="3075" max="3075" width="17.125" style="12" customWidth="1"/>
    <col min="3076" max="3076" width="5.75" style="12" customWidth="1"/>
    <col min="3077" max="3078" width="8.5" style="12" customWidth="1"/>
    <col min="3079" max="3079" width="5.25" style="12" customWidth="1"/>
    <col min="3080" max="3080" width="3.125" style="12" customWidth="1"/>
    <col min="3081" max="3082" width="8.25" style="12" customWidth="1"/>
    <col min="3083" max="3083" width="8.375" style="12" customWidth="1"/>
    <col min="3084" max="3328" width="8" style="12" customWidth="1"/>
    <col min="3329" max="3329" width="4.25" style="12" customWidth="1"/>
    <col min="3330" max="3330" width="7.5" style="12" customWidth="1"/>
    <col min="3331" max="3331" width="17.125" style="12" customWidth="1"/>
    <col min="3332" max="3332" width="5.75" style="12" customWidth="1"/>
    <col min="3333" max="3334" width="8.5" style="12" customWidth="1"/>
    <col min="3335" max="3335" width="5.25" style="12" customWidth="1"/>
    <col min="3336" max="3336" width="3.125" style="12" customWidth="1"/>
    <col min="3337" max="3338" width="8.25" style="12" customWidth="1"/>
    <col min="3339" max="3339" width="8.375" style="12" customWidth="1"/>
    <col min="3340" max="3584" width="8" style="12" customWidth="1"/>
    <col min="3585" max="3585" width="4.25" style="12" customWidth="1"/>
    <col min="3586" max="3586" width="7.5" style="12" customWidth="1"/>
    <col min="3587" max="3587" width="17.125" style="12" customWidth="1"/>
    <col min="3588" max="3588" width="5.75" style="12" customWidth="1"/>
    <col min="3589" max="3590" width="8.5" style="12" customWidth="1"/>
    <col min="3591" max="3591" width="5.25" style="12" customWidth="1"/>
    <col min="3592" max="3592" width="3.125" style="12" customWidth="1"/>
    <col min="3593" max="3594" width="8.25" style="12" customWidth="1"/>
    <col min="3595" max="3595" width="8.375" style="12" customWidth="1"/>
    <col min="3596" max="3840" width="8" style="12" customWidth="1"/>
    <col min="3841" max="3841" width="4.25" style="12" customWidth="1"/>
    <col min="3842" max="3842" width="7.5" style="12" customWidth="1"/>
    <col min="3843" max="3843" width="17.125" style="12" customWidth="1"/>
    <col min="3844" max="3844" width="5.75" style="12" customWidth="1"/>
    <col min="3845" max="3846" width="8.5" style="12" customWidth="1"/>
    <col min="3847" max="3847" width="5.25" style="12" customWidth="1"/>
    <col min="3848" max="3848" width="3.125" style="12" customWidth="1"/>
    <col min="3849" max="3850" width="8.25" style="12" customWidth="1"/>
    <col min="3851" max="3851" width="8.375" style="12" customWidth="1"/>
    <col min="3852" max="4096" width="8" style="12" customWidth="1"/>
    <col min="4097" max="4097" width="4.25" style="12" customWidth="1"/>
    <col min="4098" max="4098" width="7.5" style="12" customWidth="1"/>
    <col min="4099" max="4099" width="17.125" style="12" customWidth="1"/>
    <col min="4100" max="4100" width="5.75" style="12" customWidth="1"/>
    <col min="4101" max="4102" width="8.5" style="12" customWidth="1"/>
    <col min="4103" max="4103" width="5.25" style="12" customWidth="1"/>
    <col min="4104" max="4104" width="3.125" style="12" customWidth="1"/>
    <col min="4105" max="4106" width="8.25" style="12" customWidth="1"/>
    <col min="4107" max="4107" width="8.375" style="12" customWidth="1"/>
    <col min="4108" max="4352" width="8" style="12" customWidth="1"/>
    <col min="4353" max="4353" width="4.25" style="12" customWidth="1"/>
    <col min="4354" max="4354" width="7.5" style="12" customWidth="1"/>
    <col min="4355" max="4355" width="17.125" style="12" customWidth="1"/>
    <col min="4356" max="4356" width="5.75" style="12" customWidth="1"/>
    <col min="4357" max="4358" width="8.5" style="12" customWidth="1"/>
    <col min="4359" max="4359" width="5.25" style="12" customWidth="1"/>
    <col min="4360" max="4360" width="3.125" style="12" customWidth="1"/>
    <col min="4361" max="4362" width="8.25" style="12" customWidth="1"/>
    <col min="4363" max="4363" width="8.375" style="12" customWidth="1"/>
    <col min="4364" max="4608" width="8" style="12" customWidth="1"/>
    <col min="4609" max="4609" width="4.25" style="12" customWidth="1"/>
    <col min="4610" max="4610" width="7.5" style="12" customWidth="1"/>
    <col min="4611" max="4611" width="17.125" style="12" customWidth="1"/>
    <col min="4612" max="4612" width="5.75" style="12" customWidth="1"/>
    <col min="4613" max="4614" width="8.5" style="12" customWidth="1"/>
    <col min="4615" max="4615" width="5.25" style="12" customWidth="1"/>
    <col min="4616" max="4616" width="3.125" style="12" customWidth="1"/>
    <col min="4617" max="4618" width="8.25" style="12" customWidth="1"/>
    <col min="4619" max="4619" width="8.375" style="12" customWidth="1"/>
    <col min="4620" max="4864" width="8" style="12" customWidth="1"/>
    <col min="4865" max="4865" width="4.25" style="12" customWidth="1"/>
    <col min="4866" max="4866" width="7.5" style="12" customWidth="1"/>
    <col min="4867" max="4867" width="17.125" style="12" customWidth="1"/>
    <col min="4868" max="4868" width="5.75" style="12" customWidth="1"/>
    <col min="4869" max="4870" width="8.5" style="12" customWidth="1"/>
    <col min="4871" max="4871" width="5.25" style="12" customWidth="1"/>
    <col min="4872" max="4872" width="3.125" style="12" customWidth="1"/>
    <col min="4873" max="4874" width="8.25" style="12" customWidth="1"/>
    <col min="4875" max="4875" width="8.375" style="12" customWidth="1"/>
    <col min="4876" max="5120" width="8" style="12" customWidth="1"/>
    <col min="5121" max="5121" width="4.25" style="12" customWidth="1"/>
    <col min="5122" max="5122" width="7.5" style="12" customWidth="1"/>
    <col min="5123" max="5123" width="17.125" style="12" customWidth="1"/>
    <col min="5124" max="5124" width="5.75" style="12" customWidth="1"/>
    <col min="5125" max="5126" width="8.5" style="12" customWidth="1"/>
    <col min="5127" max="5127" width="5.25" style="12" customWidth="1"/>
    <col min="5128" max="5128" width="3.125" style="12" customWidth="1"/>
    <col min="5129" max="5130" width="8.25" style="12" customWidth="1"/>
    <col min="5131" max="5131" width="8.375" style="12" customWidth="1"/>
    <col min="5132" max="5376" width="8" style="12" customWidth="1"/>
    <col min="5377" max="5377" width="4.25" style="12" customWidth="1"/>
    <col min="5378" max="5378" width="7.5" style="12" customWidth="1"/>
    <col min="5379" max="5379" width="17.125" style="12" customWidth="1"/>
    <col min="5380" max="5380" width="5.75" style="12" customWidth="1"/>
    <col min="5381" max="5382" width="8.5" style="12" customWidth="1"/>
    <col min="5383" max="5383" width="5.25" style="12" customWidth="1"/>
    <col min="5384" max="5384" width="3.125" style="12" customWidth="1"/>
    <col min="5385" max="5386" width="8.25" style="12" customWidth="1"/>
    <col min="5387" max="5387" width="8.375" style="12" customWidth="1"/>
    <col min="5388" max="5632" width="8" style="12" customWidth="1"/>
    <col min="5633" max="5633" width="4.25" style="12" customWidth="1"/>
    <col min="5634" max="5634" width="7.5" style="12" customWidth="1"/>
    <col min="5635" max="5635" width="17.125" style="12" customWidth="1"/>
    <col min="5636" max="5636" width="5.75" style="12" customWidth="1"/>
    <col min="5637" max="5638" width="8.5" style="12" customWidth="1"/>
    <col min="5639" max="5639" width="5.25" style="12" customWidth="1"/>
    <col min="5640" max="5640" width="3.125" style="12" customWidth="1"/>
    <col min="5641" max="5642" width="8.25" style="12" customWidth="1"/>
    <col min="5643" max="5643" width="8.375" style="12" customWidth="1"/>
    <col min="5644" max="5888" width="8" style="12" customWidth="1"/>
    <col min="5889" max="5889" width="4.25" style="12" customWidth="1"/>
    <col min="5890" max="5890" width="7.5" style="12" customWidth="1"/>
    <col min="5891" max="5891" width="17.125" style="12" customWidth="1"/>
    <col min="5892" max="5892" width="5.75" style="12" customWidth="1"/>
    <col min="5893" max="5894" width="8.5" style="12" customWidth="1"/>
    <col min="5895" max="5895" width="5.25" style="12" customWidth="1"/>
    <col min="5896" max="5896" width="3.125" style="12" customWidth="1"/>
    <col min="5897" max="5898" width="8.25" style="12" customWidth="1"/>
    <col min="5899" max="5899" width="8.375" style="12" customWidth="1"/>
    <col min="5900" max="6144" width="8" style="12" customWidth="1"/>
    <col min="6145" max="6145" width="4.25" style="12" customWidth="1"/>
    <col min="6146" max="6146" width="7.5" style="12" customWidth="1"/>
    <col min="6147" max="6147" width="17.125" style="12" customWidth="1"/>
    <col min="6148" max="6148" width="5.75" style="12" customWidth="1"/>
    <col min="6149" max="6150" width="8.5" style="12" customWidth="1"/>
    <col min="6151" max="6151" width="5.25" style="12" customWidth="1"/>
    <col min="6152" max="6152" width="3.125" style="12" customWidth="1"/>
    <col min="6153" max="6154" width="8.25" style="12" customWidth="1"/>
    <col min="6155" max="6155" width="8.375" style="12" customWidth="1"/>
    <col min="6156" max="6400" width="8" style="12" customWidth="1"/>
    <col min="6401" max="6401" width="4.25" style="12" customWidth="1"/>
    <col min="6402" max="6402" width="7.5" style="12" customWidth="1"/>
    <col min="6403" max="6403" width="17.125" style="12" customWidth="1"/>
    <col min="6404" max="6404" width="5.75" style="12" customWidth="1"/>
    <col min="6405" max="6406" width="8.5" style="12" customWidth="1"/>
    <col min="6407" max="6407" width="5.25" style="12" customWidth="1"/>
    <col min="6408" max="6408" width="3.125" style="12" customWidth="1"/>
    <col min="6409" max="6410" width="8.25" style="12" customWidth="1"/>
    <col min="6411" max="6411" width="8.375" style="12" customWidth="1"/>
    <col min="6412" max="6656" width="8" style="12" customWidth="1"/>
    <col min="6657" max="6657" width="4.25" style="12" customWidth="1"/>
    <col min="6658" max="6658" width="7.5" style="12" customWidth="1"/>
    <col min="6659" max="6659" width="17.125" style="12" customWidth="1"/>
    <col min="6660" max="6660" width="5.75" style="12" customWidth="1"/>
    <col min="6661" max="6662" width="8.5" style="12" customWidth="1"/>
    <col min="6663" max="6663" width="5.25" style="12" customWidth="1"/>
    <col min="6664" max="6664" width="3.125" style="12" customWidth="1"/>
    <col min="6665" max="6666" width="8.25" style="12" customWidth="1"/>
    <col min="6667" max="6667" width="8.375" style="12" customWidth="1"/>
    <col min="6668" max="6912" width="8" style="12" customWidth="1"/>
    <col min="6913" max="6913" width="4.25" style="12" customWidth="1"/>
    <col min="6914" max="6914" width="7.5" style="12" customWidth="1"/>
    <col min="6915" max="6915" width="17.125" style="12" customWidth="1"/>
    <col min="6916" max="6916" width="5.75" style="12" customWidth="1"/>
    <col min="6917" max="6918" width="8.5" style="12" customWidth="1"/>
    <col min="6919" max="6919" width="5.25" style="12" customWidth="1"/>
    <col min="6920" max="6920" width="3.125" style="12" customWidth="1"/>
    <col min="6921" max="6922" width="8.25" style="12" customWidth="1"/>
    <col min="6923" max="6923" width="8.375" style="12" customWidth="1"/>
    <col min="6924" max="7168" width="8" style="12" customWidth="1"/>
    <col min="7169" max="7169" width="4.25" style="12" customWidth="1"/>
    <col min="7170" max="7170" width="7.5" style="12" customWidth="1"/>
    <col min="7171" max="7171" width="17.125" style="12" customWidth="1"/>
    <col min="7172" max="7172" width="5.75" style="12" customWidth="1"/>
    <col min="7173" max="7174" width="8.5" style="12" customWidth="1"/>
    <col min="7175" max="7175" width="5.25" style="12" customWidth="1"/>
    <col min="7176" max="7176" width="3.125" style="12" customWidth="1"/>
    <col min="7177" max="7178" width="8.25" style="12" customWidth="1"/>
    <col min="7179" max="7179" width="8.375" style="12" customWidth="1"/>
    <col min="7180" max="7424" width="8" style="12" customWidth="1"/>
    <col min="7425" max="7425" width="4.25" style="12" customWidth="1"/>
    <col min="7426" max="7426" width="7.5" style="12" customWidth="1"/>
    <col min="7427" max="7427" width="17.125" style="12" customWidth="1"/>
    <col min="7428" max="7428" width="5.75" style="12" customWidth="1"/>
    <col min="7429" max="7430" width="8.5" style="12" customWidth="1"/>
    <col min="7431" max="7431" width="5.25" style="12" customWidth="1"/>
    <col min="7432" max="7432" width="3.125" style="12" customWidth="1"/>
    <col min="7433" max="7434" width="8.25" style="12" customWidth="1"/>
    <col min="7435" max="7435" width="8.375" style="12" customWidth="1"/>
    <col min="7436" max="7680" width="8" style="12" customWidth="1"/>
    <col min="7681" max="7681" width="4.25" style="12" customWidth="1"/>
    <col min="7682" max="7682" width="7.5" style="12" customWidth="1"/>
    <col min="7683" max="7683" width="17.125" style="12" customWidth="1"/>
    <col min="7684" max="7684" width="5.75" style="12" customWidth="1"/>
    <col min="7685" max="7686" width="8.5" style="12" customWidth="1"/>
    <col min="7687" max="7687" width="5.25" style="12" customWidth="1"/>
    <col min="7688" max="7688" width="3.125" style="12" customWidth="1"/>
    <col min="7689" max="7690" width="8.25" style="12" customWidth="1"/>
    <col min="7691" max="7691" width="8.375" style="12" customWidth="1"/>
    <col min="7692" max="7936" width="8" style="12" customWidth="1"/>
    <col min="7937" max="7937" width="4.25" style="12" customWidth="1"/>
    <col min="7938" max="7938" width="7.5" style="12" customWidth="1"/>
    <col min="7939" max="7939" width="17.125" style="12" customWidth="1"/>
    <col min="7940" max="7940" width="5.75" style="12" customWidth="1"/>
    <col min="7941" max="7942" width="8.5" style="12" customWidth="1"/>
    <col min="7943" max="7943" width="5.25" style="12" customWidth="1"/>
    <col min="7944" max="7944" width="3.125" style="12" customWidth="1"/>
    <col min="7945" max="7946" width="8.25" style="12" customWidth="1"/>
    <col min="7947" max="7947" width="8.375" style="12" customWidth="1"/>
    <col min="7948" max="8192" width="8" style="12" customWidth="1"/>
    <col min="8193" max="8193" width="4.25" style="12" customWidth="1"/>
    <col min="8194" max="8194" width="7.5" style="12" customWidth="1"/>
    <col min="8195" max="8195" width="17.125" style="12" customWidth="1"/>
    <col min="8196" max="8196" width="5.75" style="12" customWidth="1"/>
    <col min="8197" max="8198" width="8.5" style="12" customWidth="1"/>
    <col min="8199" max="8199" width="5.25" style="12" customWidth="1"/>
    <col min="8200" max="8200" width="3.125" style="12" customWidth="1"/>
    <col min="8201" max="8202" width="8.25" style="12" customWidth="1"/>
    <col min="8203" max="8203" width="8.375" style="12" customWidth="1"/>
    <col min="8204" max="8448" width="8" style="12" customWidth="1"/>
    <col min="8449" max="8449" width="4.25" style="12" customWidth="1"/>
    <col min="8450" max="8450" width="7.5" style="12" customWidth="1"/>
    <col min="8451" max="8451" width="17.125" style="12" customWidth="1"/>
    <col min="8452" max="8452" width="5.75" style="12" customWidth="1"/>
    <col min="8453" max="8454" width="8.5" style="12" customWidth="1"/>
    <col min="8455" max="8455" width="5.25" style="12" customWidth="1"/>
    <col min="8456" max="8456" width="3.125" style="12" customWidth="1"/>
    <col min="8457" max="8458" width="8.25" style="12" customWidth="1"/>
    <col min="8459" max="8459" width="8.375" style="12" customWidth="1"/>
    <col min="8460" max="8704" width="8" style="12" customWidth="1"/>
    <col min="8705" max="8705" width="4.25" style="12" customWidth="1"/>
    <col min="8706" max="8706" width="7.5" style="12" customWidth="1"/>
    <col min="8707" max="8707" width="17.125" style="12" customWidth="1"/>
    <col min="8708" max="8708" width="5.75" style="12" customWidth="1"/>
    <col min="8709" max="8710" width="8.5" style="12" customWidth="1"/>
    <col min="8711" max="8711" width="5.25" style="12" customWidth="1"/>
    <col min="8712" max="8712" width="3.125" style="12" customWidth="1"/>
    <col min="8713" max="8714" width="8.25" style="12" customWidth="1"/>
    <col min="8715" max="8715" width="8.375" style="12" customWidth="1"/>
    <col min="8716" max="8960" width="8" style="12" customWidth="1"/>
    <col min="8961" max="8961" width="4.25" style="12" customWidth="1"/>
    <col min="8962" max="8962" width="7.5" style="12" customWidth="1"/>
    <col min="8963" max="8963" width="17.125" style="12" customWidth="1"/>
    <col min="8964" max="8964" width="5.75" style="12" customWidth="1"/>
    <col min="8965" max="8966" width="8.5" style="12" customWidth="1"/>
    <col min="8967" max="8967" width="5.25" style="12" customWidth="1"/>
    <col min="8968" max="8968" width="3.125" style="12" customWidth="1"/>
    <col min="8969" max="8970" width="8.25" style="12" customWidth="1"/>
    <col min="8971" max="8971" width="8.375" style="12" customWidth="1"/>
    <col min="8972" max="9216" width="8" style="12" customWidth="1"/>
    <col min="9217" max="9217" width="4.25" style="12" customWidth="1"/>
    <col min="9218" max="9218" width="7.5" style="12" customWidth="1"/>
    <col min="9219" max="9219" width="17.125" style="12" customWidth="1"/>
    <col min="9220" max="9220" width="5.75" style="12" customWidth="1"/>
    <col min="9221" max="9222" width="8.5" style="12" customWidth="1"/>
    <col min="9223" max="9223" width="5.25" style="12" customWidth="1"/>
    <col min="9224" max="9224" width="3.125" style="12" customWidth="1"/>
    <col min="9225" max="9226" width="8.25" style="12" customWidth="1"/>
    <col min="9227" max="9227" width="8.375" style="12" customWidth="1"/>
    <col min="9228" max="9472" width="8" style="12" customWidth="1"/>
    <col min="9473" max="9473" width="4.25" style="12" customWidth="1"/>
    <col min="9474" max="9474" width="7.5" style="12" customWidth="1"/>
    <col min="9475" max="9475" width="17.125" style="12" customWidth="1"/>
    <col min="9476" max="9476" width="5.75" style="12" customWidth="1"/>
    <col min="9477" max="9478" width="8.5" style="12" customWidth="1"/>
    <col min="9479" max="9479" width="5.25" style="12" customWidth="1"/>
    <col min="9480" max="9480" width="3.125" style="12" customWidth="1"/>
    <col min="9481" max="9482" width="8.25" style="12" customWidth="1"/>
    <col min="9483" max="9483" width="8.375" style="12" customWidth="1"/>
    <col min="9484" max="9728" width="8" style="12" customWidth="1"/>
    <col min="9729" max="9729" width="4.25" style="12" customWidth="1"/>
    <col min="9730" max="9730" width="7.5" style="12" customWidth="1"/>
    <col min="9731" max="9731" width="17.125" style="12" customWidth="1"/>
    <col min="9732" max="9732" width="5.75" style="12" customWidth="1"/>
    <col min="9733" max="9734" width="8.5" style="12" customWidth="1"/>
    <col min="9735" max="9735" width="5.25" style="12" customWidth="1"/>
    <col min="9736" max="9736" width="3.125" style="12" customWidth="1"/>
    <col min="9737" max="9738" width="8.25" style="12" customWidth="1"/>
    <col min="9739" max="9739" width="8.375" style="12" customWidth="1"/>
    <col min="9740" max="9984" width="8" style="12" customWidth="1"/>
    <col min="9985" max="9985" width="4.25" style="12" customWidth="1"/>
    <col min="9986" max="9986" width="7.5" style="12" customWidth="1"/>
    <col min="9987" max="9987" width="17.125" style="12" customWidth="1"/>
    <col min="9988" max="9988" width="5.75" style="12" customWidth="1"/>
    <col min="9989" max="9990" width="8.5" style="12" customWidth="1"/>
    <col min="9991" max="9991" width="5.25" style="12" customWidth="1"/>
    <col min="9992" max="9992" width="3.125" style="12" customWidth="1"/>
    <col min="9993" max="9994" width="8.25" style="12" customWidth="1"/>
    <col min="9995" max="9995" width="8.375" style="12" customWidth="1"/>
    <col min="9996" max="10240" width="8" style="12" customWidth="1"/>
    <col min="10241" max="10241" width="4.25" style="12" customWidth="1"/>
    <col min="10242" max="10242" width="7.5" style="12" customWidth="1"/>
    <col min="10243" max="10243" width="17.125" style="12" customWidth="1"/>
    <col min="10244" max="10244" width="5.75" style="12" customWidth="1"/>
    <col min="10245" max="10246" width="8.5" style="12" customWidth="1"/>
    <col min="10247" max="10247" width="5.25" style="12" customWidth="1"/>
    <col min="10248" max="10248" width="3.125" style="12" customWidth="1"/>
    <col min="10249" max="10250" width="8.25" style="12" customWidth="1"/>
    <col min="10251" max="10251" width="8.375" style="12" customWidth="1"/>
    <col min="10252" max="10496" width="8" style="12" customWidth="1"/>
    <col min="10497" max="10497" width="4.25" style="12" customWidth="1"/>
    <col min="10498" max="10498" width="7.5" style="12" customWidth="1"/>
    <col min="10499" max="10499" width="17.125" style="12" customWidth="1"/>
    <col min="10500" max="10500" width="5.75" style="12" customWidth="1"/>
    <col min="10501" max="10502" width="8.5" style="12" customWidth="1"/>
    <col min="10503" max="10503" width="5.25" style="12" customWidth="1"/>
    <col min="10504" max="10504" width="3.125" style="12" customWidth="1"/>
    <col min="10505" max="10506" width="8.25" style="12" customWidth="1"/>
    <col min="10507" max="10507" width="8.375" style="12" customWidth="1"/>
    <col min="10508" max="10752" width="8" style="12" customWidth="1"/>
    <col min="10753" max="10753" width="4.25" style="12" customWidth="1"/>
    <col min="10754" max="10754" width="7.5" style="12" customWidth="1"/>
    <col min="10755" max="10755" width="17.125" style="12" customWidth="1"/>
    <col min="10756" max="10756" width="5.75" style="12" customWidth="1"/>
    <col min="10757" max="10758" width="8.5" style="12" customWidth="1"/>
    <col min="10759" max="10759" width="5.25" style="12" customWidth="1"/>
    <col min="10760" max="10760" width="3.125" style="12" customWidth="1"/>
    <col min="10761" max="10762" width="8.25" style="12" customWidth="1"/>
    <col min="10763" max="10763" width="8.375" style="12" customWidth="1"/>
    <col min="10764" max="11008" width="8" style="12" customWidth="1"/>
    <col min="11009" max="11009" width="4.25" style="12" customWidth="1"/>
    <col min="11010" max="11010" width="7.5" style="12" customWidth="1"/>
    <col min="11011" max="11011" width="17.125" style="12" customWidth="1"/>
    <col min="11012" max="11012" width="5.75" style="12" customWidth="1"/>
    <col min="11013" max="11014" width="8.5" style="12" customWidth="1"/>
    <col min="11015" max="11015" width="5.25" style="12" customWidth="1"/>
    <col min="11016" max="11016" width="3.125" style="12" customWidth="1"/>
    <col min="11017" max="11018" width="8.25" style="12" customWidth="1"/>
    <col min="11019" max="11019" width="8.375" style="12" customWidth="1"/>
    <col min="11020" max="11264" width="8" style="12" customWidth="1"/>
    <col min="11265" max="11265" width="4.25" style="12" customWidth="1"/>
    <col min="11266" max="11266" width="7.5" style="12" customWidth="1"/>
    <col min="11267" max="11267" width="17.125" style="12" customWidth="1"/>
    <col min="11268" max="11268" width="5.75" style="12" customWidth="1"/>
    <col min="11269" max="11270" width="8.5" style="12" customWidth="1"/>
    <col min="11271" max="11271" width="5.25" style="12" customWidth="1"/>
    <col min="11272" max="11272" width="3.125" style="12" customWidth="1"/>
    <col min="11273" max="11274" width="8.25" style="12" customWidth="1"/>
    <col min="11275" max="11275" width="8.375" style="12" customWidth="1"/>
    <col min="11276" max="11520" width="8" style="12" customWidth="1"/>
    <col min="11521" max="11521" width="4.25" style="12" customWidth="1"/>
    <col min="11522" max="11522" width="7.5" style="12" customWidth="1"/>
    <col min="11523" max="11523" width="17.125" style="12" customWidth="1"/>
    <col min="11524" max="11524" width="5.75" style="12" customWidth="1"/>
    <col min="11525" max="11526" width="8.5" style="12" customWidth="1"/>
    <col min="11527" max="11527" width="5.25" style="12" customWidth="1"/>
    <col min="11528" max="11528" width="3.125" style="12" customWidth="1"/>
    <col min="11529" max="11530" width="8.25" style="12" customWidth="1"/>
    <col min="11531" max="11531" width="8.375" style="12" customWidth="1"/>
    <col min="11532" max="11776" width="8" style="12" customWidth="1"/>
    <col min="11777" max="11777" width="4.25" style="12" customWidth="1"/>
    <col min="11778" max="11778" width="7.5" style="12" customWidth="1"/>
    <col min="11779" max="11779" width="17.125" style="12" customWidth="1"/>
    <col min="11780" max="11780" width="5.75" style="12" customWidth="1"/>
    <col min="11781" max="11782" width="8.5" style="12" customWidth="1"/>
    <col min="11783" max="11783" width="5.25" style="12" customWidth="1"/>
    <col min="11784" max="11784" width="3.125" style="12" customWidth="1"/>
    <col min="11785" max="11786" width="8.25" style="12" customWidth="1"/>
    <col min="11787" max="11787" width="8.375" style="12" customWidth="1"/>
    <col min="11788" max="12032" width="8" style="12" customWidth="1"/>
    <col min="12033" max="12033" width="4.25" style="12" customWidth="1"/>
    <col min="12034" max="12034" width="7.5" style="12" customWidth="1"/>
    <col min="12035" max="12035" width="17.125" style="12" customWidth="1"/>
    <col min="12036" max="12036" width="5.75" style="12" customWidth="1"/>
    <col min="12037" max="12038" width="8.5" style="12" customWidth="1"/>
    <col min="12039" max="12039" width="5.25" style="12" customWidth="1"/>
    <col min="12040" max="12040" width="3.125" style="12" customWidth="1"/>
    <col min="12041" max="12042" width="8.25" style="12" customWidth="1"/>
    <col min="12043" max="12043" width="8.375" style="12" customWidth="1"/>
    <col min="12044" max="12288" width="8" style="12" customWidth="1"/>
    <col min="12289" max="12289" width="4.25" style="12" customWidth="1"/>
    <col min="12290" max="12290" width="7.5" style="12" customWidth="1"/>
    <col min="12291" max="12291" width="17.125" style="12" customWidth="1"/>
    <col min="12292" max="12292" width="5.75" style="12" customWidth="1"/>
    <col min="12293" max="12294" width="8.5" style="12" customWidth="1"/>
    <col min="12295" max="12295" width="5.25" style="12" customWidth="1"/>
    <col min="12296" max="12296" width="3.125" style="12" customWidth="1"/>
    <col min="12297" max="12298" width="8.25" style="12" customWidth="1"/>
    <col min="12299" max="12299" width="8.375" style="12" customWidth="1"/>
    <col min="12300" max="12544" width="8" style="12" customWidth="1"/>
    <col min="12545" max="12545" width="4.25" style="12" customWidth="1"/>
    <col min="12546" max="12546" width="7.5" style="12" customWidth="1"/>
    <col min="12547" max="12547" width="17.125" style="12" customWidth="1"/>
    <col min="12548" max="12548" width="5.75" style="12" customWidth="1"/>
    <col min="12549" max="12550" width="8.5" style="12" customWidth="1"/>
    <col min="12551" max="12551" width="5.25" style="12" customWidth="1"/>
    <col min="12552" max="12552" width="3.125" style="12" customWidth="1"/>
    <col min="12553" max="12554" width="8.25" style="12" customWidth="1"/>
    <col min="12555" max="12555" width="8.375" style="12" customWidth="1"/>
    <col min="12556" max="12800" width="8" style="12" customWidth="1"/>
    <col min="12801" max="12801" width="4.25" style="12" customWidth="1"/>
    <col min="12802" max="12802" width="7.5" style="12" customWidth="1"/>
    <col min="12803" max="12803" width="17.125" style="12" customWidth="1"/>
    <col min="12804" max="12804" width="5.75" style="12" customWidth="1"/>
    <col min="12805" max="12806" width="8.5" style="12" customWidth="1"/>
    <col min="12807" max="12807" width="5.25" style="12" customWidth="1"/>
    <col min="12808" max="12808" width="3.125" style="12" customWidth="1"/>
    <col min="12809" max="12810" width="8.25" style="12" customWidth="1"/>
    <col min="12811" max="12811" width="8.375" style="12" customWidth="1"/>
    <col min="12812" max="13056" width="8" style="12" customWidth="1"/>
    <col min="13057" max="13057" width="4.25" style="12" customWidth="1"/>
    <col min="13058" max="13058" width="7.5" style="12" customWidth="1"/>
    <col min="13059" max="13059" width="17.125" style="12" customWidth="1"/>
    <col min="13060" max="13060" width="5.75" style="12" customWidth="1"/>
    <col min="13061" max="13062" width="8.5" style="12" customWidth="1"/>
    <col min="13063" max="13063" width="5.25" style="12" customWidth="1"/>
    <col min="13064" max="13064" width="3.125" style="12" customWidth="1"/>
    <col min="13065" max="13066" width="8.25" style="12" customWidth="1"/>
    <col min="13067" max="13067" width="8.375" style="12" customWidth="1"/>
    <col min="13068" max="13312" width="8" style="12" customWidth="1"/>
    <col min="13313" max="13313" width="4.25" style="12" customWidth="1"/>
    <col min="13314" max="13314" width="7.5" style="12" customWidth="1"/>
    <col min="13315" max="13315" width="17.125" style="12" customWidth="1"/>
    <col min="13316" max="13316" width="5.75" style="12" customWidth="1"/>
    <col min="13317" max="13318" width="8.5" style="12" customWidth="1"/>
    <col min="13319" max="13319" width="5.25" style="12" customWidth="1"/>
    <col min="13320" max="13320" width="3.125" style="12" customWidth="1"/>
    <col min="13321" max="13322" width="8.25" style="12" customWidth="1"/>
    <col min="13323" max="13323" width="8.375" style="12" customWidth="1"/>
    <col min="13324" max="13568" width="8" style="12" customWidth="1"/>
    <col min="13569" max="13569" width="4.25" style="12" customWidth="1"/>
    <col min="13570" max="13570" width="7.5" style="12" customWidth="1"/>
    <col min="13571" max="13571" width="17.125" style="12" customWidth="1"/>
    <col min="13572" max="13572" width="5.75" style="12" customWidth="1"/>
    <col min="13573" max="13574" width="8.5" style="12" customWidth="1"/>
    <col min="13575" max="13575" width="5.25" style="12" customWidth="1"/>
    <col min="13576" max="13576" width="3.125" style="12" customWidth="1"/>
    <col min="13577" max="13578" width="8.25" style="12" customWidth="1"/>
    <col min="13579" max="13579" width="8.375" style="12" customWidth="1"/>
    <col min="13580" max="13824" width="8" style="12" customWidth="1"/>
    <col min="13825" max="13825" width="4.25" style="12" customWidth="1"/>
    <col min="13826" max="13826" width="7.5" style="12" customWidth="1"/>
    <col min="13827" max="13827" width="17.125" style="12" customWidth="1"/>
    <col min="13828" max="13828" width="5.75" style="12" customWidth="1"/>
    <col min="13829" max="13830" width="8.5" style="12" customWidth="1"/>
    <col min="13831" max="13831" width="5.25" style="12" customWidth="1"/>
    <col min="13832" max="13832" width="3.125" style="12" customWidth="1"/>
    <col min="13833" max="13834" width="8.25" style="12" customWidth="1"/>
    <col min="13835" max="13835" width="8.375" style="12" customWidth="1"/>
    <col min="13836" max="14080" width="8" style="12" customWidth="1"/>
    <col min="14081" max="14081" width="4.25" style="12" customWidth="1"/>
    <col min="14082" max="14082" width="7.5" style="12" customWidth="1"/>
    <col min="14083" max="14083" width="17.125" style="12" customWidth="1"/>
    <col min="14084" max="14084" width="5.75" style="12" customWidth="1"/>
    <col min="14085" max="14086" width="8.5" style="12" customWidth="1"/>
    <col min="14087" max="14087" width="5.25" style="12" customWidth="1"/>
    <col min="14088" max="14088" width="3.125" style="12" customWidth="1"/>
    <col min="14089" max="14090" width="8.25" style="12" customWidth="1"/>
    <col min="14091" max="14091" width="8.375" style="12" customWidth="1"/>
    <col min="14092" max="14336" width="8" style="12" customWidth="1"/>
    <col min="14337" max="14337" width="4.25" style="12" customWidth="1"/>
    <col min="14338" max="14338" width="7.5" style="12" customWidth="1"/>
    <col min="14339" max="14339" width="17.125" style="12" customWidth="1"/>
    <col min="14340" max="14340" width="5.75" style="12" customWidth="1"/>
    <col min="14341" max="14342" width="8.5" style="12" customWidth="1"/>
    <col min="14343" max="14343" width="5.25" style="12" customWidth="1"/>
    <col min="14344" max="14344" width="3.125" style="12" customWidth="1"/>
    <col min="14345" max="14346" width="8.25" style="12" customWidth="1"/>
    <col min="14347" max="14347" width="8.375" style="12" customWidth="1"/>
    <col min="14348" max="14592" width="8" style="12" customWidth="1"/>
    <col min="14593" max="14593" width="4.25" style="12" customWidth="1"/>
    <col min="14594" max="14594" width="7.5" style="12" customWidth="1"/>
    <col min="14595" max="14595" width="17.125" style="12" customWidth="1"/>
    <col min="14596" max="14596" width="5.75" style="12" customWidth="1"/>
    <col min="14597" max="14598" width="8.5" style="12" customWidth="1"/>
    <col min="14599" max="14599" width="5.25" style="12" customWidth="1"/>
    <col min="14600" max="14600" width="3.125" style="12" customWidth="1"/>
    <col min="14601" max="14602" width="8.25" style="12" customWidth="1"/>
    <col min="14603" max="14603" width="8.375" style="12" customWidth="1"/>
    <col min="14604" max="14848" width="8" style="12" customWidth="1"/>
    <col min="14849" max="14849" width="4.25" style="12" customWidth="1"/>
    <col min="14850" max="14850" width="7.5" style="12" customWidth="1"/>
    <col min="14851" max="14851" width="17.125" style="12" customWidth="1"/>
    <col min="14852" max="14852" width="5.75" style="12" customWidth="1"/>
    <col min="14853" max="14854" width="8.5" style="12" customWidth="1"/>
    <col min="14855" max="14855" width="5.25" style="12" customWidth="1"/>
    <col min="14856" max="14856" width="3.125" style="12" customWidth="1"/>
    <col min="14857" max="14858" width="8.25" style="12" customWidth="1"/>
    <col min="14859" max="14859" width="8.375" style="12" customWidth="1"/>
    <col min="14860" max="15104" width="8" style="12" customWidth="1"/>
    <col min="15105" max="15105" width="4.25" style="12" customWidth="1"/>
    <col min="15106" max="15106" width="7.5" style="12" customWidth="1"/>
    <col min="15107" max="15107" width="17.125" style="12" customWidth="1"/>
    <col min="15108" max="15108" width="5.75" style="12" customWidth="1"/>
    <col min="15109" max="15110" width="8.5" style="12" customWidth="1"/>
    <col min="15111" max="15111" width="5.25" style="12" customWidth="1"/>
    <col min="15112" max="15112" width="3.125" style="12" customWidth="1"/>
    <col min="15113" max="15114" width="8.25" style="12" customWidth="1"/>
    <col min="15115" max="15115" width="8.375" style="12" customWidth="1"/>
    <col min="15116" max="15360" width="8" style="12" customWidth="1"/>
    <col min="15361" max="15361" width="4.25" style="12" customWidth="1"/>
    <col min="15362" max="15362" width="7.5" style="12" customWidth="1"/>
    <col min="15363" max="15363" width="17.125" style="12" customWidth="1"/>
    <col min="15364" max="15364" width="5.75" style="12" customWidth="1"/>
    <col min="15365" max="15366" width="8.5" style="12" customWidth="1"/>
    <col min="15367" max="15367" width="5.25" style="12" customWidth="1"/>
    <col min="15368" max="15368" width="3.125" style="12" customWidth="1"/>
    <col min="15369" max="15370" width="8.25" style="12" customWidth="1"/>
    <col min="15371" max="15371" width="8.375" style="12" customWidth="1"/>
    <col min="15372" max="15616" width="8" style="12" customWidth="1"/>
    <col min="15617" max="15617" width="4.25" style="12" customWidth="1"/>
    <col min="15618" max="15618" width="7.5" style="12" customWidth="1"/>
    <col min="15619" max="15619" width="17.125" style="12" customWidth="1"/>
    <col min="15620" max="15620" width="5.75" style="12" customWidth="1"/>
    <col min="15621" max="15622" width="8.5" style="12" customWidth="1"/>
    <col min="15623" max="15623" width="5.25" style="12" customWidth="1"/>
    <col min="15624" max="15624" width="3.125" style="12" customWidth="1"/>
    <col min="15625" max="15626" width="8.25" style="12" customWidth="1"/>
    <col min="15627" max="15627" width="8.375" style="12" customWidth="1"/>
    <col min="15628" max="15872" width="8" style="12" customWidth="1"/>
    <col min="15873" max="15873" width="4.25" style="12" customWidth="1"/>
    <col min="15874" max="15874" width="7.5" style="12" customWidth="1"/>
    <col min="15875" max="15875" width="17.125" style="12" customWidth="1"/>
    <col min="15876" max="15876" width="5.75" style="12" customWidth="1"/>
    <col min="15877" max="15878" width="8.5" style="12" customWidth="1"/>
    <col min="15879" max="15879" width="5.25" style="12" customWidth="1"/>
    <col min="15880" max="15880" width="3.125" style="12" customWidth="1"/>
    <col min="15881" max="15882" width="8.25" style="12" customWidth="1"/>
    <col min="15883" max="15883" width="8.375" style="12" customWidth="1"/>
    <col min="15884" max="16128" width="8" style="12" customWidth="1"/>
    <col min="16129" max="16129" width="4.25" style="12" customWidth="1"/>
    <col min="16130" max="16130" width="7.5" style="12" customWidth="1"/>
    <col min="16131" max="16131" width="17.125" style="12" customWidth="1"/>
    <col min="16132" max="16132" width="5.75" style="12" customWidth="1"/>
    <col min="16133" max="16134" width="8.5" style="12" customWidth="1"/>
    <col min="16135" max="16135" width="5.25" style="12" customWidth="1"/>
    <col min="16136" max="16136" width="3.125" style="12" customWidth="1"/>
    <col min="16137" max="16138" width="8.25" style="12" customWidth="1"/>
    <col min="16139" max="16139" width="8.375" style="12" customWidth="1"/>
    <col min="16140" max="16384" width="8" style="12" customWidth="1"/>
  </cols>
  <sheetData>
    <row r="1" spans="1:11" ht="14.25" customHeight="1">
      <c r="A1" s="199" t="s">
        <v>36</v>
      </c>
      <c r="B1" s="199" t="s">
        <v>36</v>
      </c>
      <c r="C1" s="199" t="s">
        <v>36</v>
      </c>
      <c r="D1" s="209" t="s">
        <v>36</v>
      </c>
      <c r="E1" s="209" t="s">
        <v>36</v>
      </c>
      <c r="F1" s="209" t="s">
        <v>36</v>
      </c>
      <c r="G1" s="209" t="s">
        <v>36</v>
      </c>
      <c r="H1" s="200" t="s">
        <v>36</v>
      </c>
      <c r="I1" s="200" t="s">
        <v>36</v>
      </c>
      <c r="J1" s="200" t="s">
        <v>36</v>
      </c>
      <c r="K1" s="200" t="s">
        <v>36</v>
      </c>
    </row>
    <row r="2" spans="1:11" ht="25.5" customHeight="1">
      <c r="A2" s="198" t="s">
        <v>94</v>
      </c>
      <c r="B2" s="198" t="s">
        <v>36</v>
      </c>
      <c r="C2" s="198" t="s">
        <v>36</v>
      </c>
      <c r="D2" s="198" t="s">
        <v>36</v>
      </c>
      <c r="E2" s="198" t="s">
        <v>36</v>
      </c>
      <c r="F2" s="198" t="s">
        <v>36</v>
      </c>
      <c r="G2" s="198" t="s">
        <v>36</v>
      </c>
      <c r="H2" s="198" t="s">
        <v>36</v>
      </c>
      <c r="I2" s="198" t="s">
        <v>36</v>
      </c>
      <c r="J2" s="198" t="s">
        <v>36</v>
      </c>
      <c r="K2" s="198" t="s">
        <v>36</v>
      </c>
    </row>
    <row r="3" spans="1:11" ht="14.25" customHeight="1" thickBot="1">
      <c r="A3" s="199" t="s">
        <v>445</v>
      </c>
      <c r="B3" s="199" t="s">
        <v>36</v>
      </c>
      <c r="C3" s="199" t="s">
        <v>36</v>
      </c>
      <c r="D3" s="209" t="s">
        <v>36</v>
      </c>
      <c r="E3" s="209" t="s">
        <v>36</v>
      </c>
      <c r="F3" s="209" t="s">
        <v>36</v>
      </c>
      <c r="G3" s="209" t="s">
        <v>36</v>
      </c>
      <c r="H3" s="200" t="s">
        <v>38</v>
      </c>
      <c r="I3" s="200" t="s">
        <v>36</v>
      </c>
      <c r="J3" s="200" t="s">
        <v>36</v>
      </c>
      <c r="K3" s="200" t="s">
        <v>36</v>
      </c>
    </row>
    <row r="4" spans="1:11" ht="16.5" customHeight="1">
      <c r="A4" s="201" t="s">
        <v>31</v>
      </c>
      <c r="B4" s="203" t="s">
        <v>95</v>
      </c>
      <c r="C4" s="203" t="s">
        <v>96</v>
      </c>
      <c r="D4" s="203" t="s">
        <v>36</v>
      </c>
      <c r="E4" s="203" t="s">
        <v>97</v>
      </c>
      <c r="F4" s="203" t="s">
        <v>36</v>
      </c>
      <c r="G4" s="203" t="s">
        <v>98</v>
      </c>
      <c r="H4" s="203" t="s">
        <v>36</v>
      </c>
      <c r="I4" s="203" t="s">
        <v>36</v>
      </c>
      <c r="J4" s="203" t="s">
        <v>99</v>
      </c>
      <c r="K4" s="204" t="s">
        <v>36</v>
      </c>
    </row>
    <row r="5" spans="1:11" ht="11.25" customHeight="1">
      <c r="A5" s="202" t="s">
        <v>36</v>
      </c>
      <c r="B5" s="196" t="s">
        <v>36</v>
      </c>
      <c r="C5" s="196" t="s">
        <v>36</v>
      </c>
      <c r="D5" s="196" t="s">
        <v>36</v>
      </c>
      <c r="E5" s="196" t="s">
        <v>36</v>
      </c>
      <c r="F5" s="196" t="s">
        <v>36</v>
      </c>
      <c r="G5" s="196" t="s">
        <v>36</v>
      </c>
      <c r="H5" s="196" t="s">
        <v>36</v>
      </c>
      <c r="I5" s="196" t="s">
        <v>36</v>
      </c>
      <c r="J5" s="196" t="s">
        <v>36</v>
      </c>
      <c r="K5" s="208" t="s">
        <v>36</v>
      </c>
    </row>
    <row r="6" spans="1:11" ht="15" customHeight="1">
      <c r="A6" s="202" t="s">
        <v>36</v>
      </c>
      <c r="B6" s="196" t="s">
        <v>36</v>
      </c>
      <c r="C6" s="196" t="s">
        <v>36</v>
      </c>
      <c r="D6" s="196" t="s">
        <v>36</v>
      </c>
      <c r="E6" s="139" t="s">
        <v>32</v>
      </c>
      <c r="F6" s="139" t="s">
        <v>33</v>
      </c>
      <c r="G6" s="196" t="s">
        <v>34</v>
      </c>
      <c r="H6" s="196" t="s">
        <v>36</v>
      </c>
      <c r="I6" s="139" t="s">
        <v>100</v>
      </c>
      <c r="J6" s="139" t="s">
        <v>101</v>
      </c>
      <c r="K6" s="145" t="s">
        <v>102</v>
      </c>
    </row>
    <row r="7" spans="1:11" ht="15" customHeight="1">
      <c r="A7" s="137">
        <v>1</v>
      </c>
      <c r="B7" s="141" t="s">
        <v>103</v>
      </c>
      <c r="C7" s="195" t="s">
        <v>104</v>
      </c>
      <c r="D7" s="195" t="s">
        <v>36</v>
      </c>
      <c r="E7" s="139" t="s">
        <v>105</v>
      </c>
      <c r="F7" s="144">
        <v>112.5</v>
      </c>
      <c r="G7" s="207">
        <v>15630.96</v>
      </c>
      <c r="H7" s="207" t="s">
        <v>36</v>
      </c>
      <c r="I7" s="144">
        <v>1758483</v>
      </c>
      <c r="J7" s="144">
        <v>1202850</v>
      </c>
      <c r="K7" s="13">
        <v>317696.63</v>
      </c>
    </row>
    <row r="8" spans="1:11" ht="15" customHeight="1">
      <c r="A8" s="137">
        <v>2</v>
      </c>
      <c r="B8" s="141" t="s">
        <v>106</v>
      </c>
      <c r="C8" s="195" t="s">
        <v>107</v>
      </c>
      <c r="D8" s="195" t="s">
        <v>36</v>
      </c>
      <c r="E8" s="139" t="s">
        <v>105</v>
      </c>
      <c r="F8" s="144">
        <v>196.8</v>
      </c>
      <c r="G8" s="207">
        <v>8848.1200000000008</v>
      </c>
      <c r="H8" s="207" t="s">
        <v>36</v>
      </c>
      <c r="I8" s="144">
        <v>1741310.02</v>
      </c>
      <c r="J8" s="144">
        <v>681616.8</v>
      </c>
      <c r="K8" s="13">
        <v>809397.07</v>
      </c>
    </row>
    <row r="9" spans="1:11" ht="15" customHeight="1">
      <c r="A9" s="137">
        <v>3</v>
      </c>
      <c r="B9" s="141" t="s">
        <v>108</v>
      </c>
      <c r="C9" s="195" t="s">
        <v>109</v>
      </c>
      <c r="D9" s="195" t="s">
        <v>36</v>
      </c>
      <c r="E9" s="139" t="s">
        <v>110</v>
      </c>
      <c r="F9" s="144">
        <v>236.16</v>
      </c>
      <c r="G9" s="207">
        <v>8057.1</v>
      </c>
      <c r="H9" s="207" t="s">
        <v>36</v>
      </c>
      <c r="I9" s="144">
        <v>1902764.74</v>
      </c>
      <c r="J9" s="144">
        <v>315627.84000000003</v>
      </c>
      <c r="K9" s="13">
        <v>1504717.06</v>
      </c>
    </row>
    <row r="10" spans="1:11" ht="15" customHeight="1">
      <c r="A10" s="137">
        <v>4</v>
      </c>
      <c r="B10" s="141" t="s">
        <v>103</v>
      </c>
      <c r="C10" s="195" t="s">
        <v>111</v>
      </c>
      <c r="D10" s="195" t="s">
        <v>36</v>
      </c>
      <c r="E10" s="139" t="s">
        <v>105</v>
      </c>
      <c r="F10" s="144">
        <v>16.350000000000001</v>
      </c>
      <c r="G10" s="207">
        <v>15630.96</v>
      </c>
      <c r="H10" s="207" t="s">
        <v>36</v>
      </c>
      <c r="I10" s="144">
        <v>255566.2</v>
      </c>
      <c r="J10" s="144">
        <v>174814.2</v>
      </c>
      <c r="K10" s="13">
        <v>46171.91</v>
      </c>
    </row>
    <row r="11" spans="1:11" ht="26.25" customHeight="1">
      <c r="A11" s="137">
        <v>5</v>
      </c>
      <c r="B11" s="141" t="s">
        <v>106</v>
      </c>
      <c r="C11" s="195" t="s">
        <v>112</v>
      </c>
      <c r="D11" s="195" t="s">
        <v>36</v>
      </c>
      <c r="E11" s="139" t="s">
        <v>105</v>
      </c>
      <c r="F11" s="144">
        <v>17.25</v>
      </c>
      <c r="G11" s="207">
        <v>8848.1200000000008</v>
      </c>
      <c r="H11" s="207" t="s">
        <v>36</v>
      </c>
      <c r="I11" s="144">
        <v>152630.07</v>
      </c>
      <c r="J11" s="144">
        <v>59745.38</v>
      </c>
      <c r="K11" s="13">
        <v>70945.63</v>
      </c>
    </row>
    <row r="12" spans="1:11" ht="15" customHeight="1">
      <c r="A12" s="137">
        <v>6</v>
      </c>
      <c r="B12" s="141" t="s">
        <v>108</v>
      </c>
      <c r="C12" s="195" t="s">
        <v>109</v>
      </c>
      <c r="D12" s="195" t="s">
        <v>36</v>
      </c>
      <c r="E12" s="139" t="s">
        <v>110</v>
      </c>
      <c r="F12" s="144">
        <v>17.25</v>
      </c>
      <c r="G12" s="207">
        <v>8057.1</v>
      </c>
      <c r="H12" s="207" t="s">
        <v>36</v>
      </c>
      <c r="I12" s="144">
        <v>138984.98000000001</v>
      </c>
      <c r="J12" s="144">
        <v>23054.63</v>
      </c>
      <c r="K12" s="13">
        <v>109910.1</v>
      </c>
    </row>
    <row r="13" spans="1:11" ht="15" customHeight="1">
      <c r="A13" s="137">
        <v>7</v>
      </c>
      <c r="B13" s="141" t="s">
        <v>113</v>
      </c>
      <c r="C13" s="195" t="s">
        <v>114</v>
      </c>
      <c r="D13" s="195" t="s">
        <v>36</v>
      </c>
      <c r="E13" s="139" t="s">
        <v>115</v>
      </c>
      <c r="F13" s="144">
        <v>21</v>
      </c>
      <c r="G13" s="207">
        <v>450</v>
      </c>
      <c r="H13" s="207" t="s">
        <v>36</v>
      </c>
      <c r="I13" s="144">
        <v>9450</v>
      </c>
      <c r="J13" s="144">
        <v>9450</v>
      </c>
      <c r="K13" s="13" t="s">
        <v>36</v>
      </c>
    </row>
    <row r="14" spans="1:11" ht="15" customHeight="1">
      <c r="A14" s="137">
        <v>8</v>
      </c>
      <c r="B14" s="141" t="s">
        <v>106</v>
      </c>
      <c r="C14" s="195" t="s">
        <v>116</v>
      </c>
      <c r="D14" s="195" t="s">
        <v>36</v>
      </c>
      <c r="E14" s="139" t="s">
        <v>105</v>
      </c>
      <c r="F14" s="144">
        <v>25.2</v>
      </c>
      <c r="G14" s="207">
        <v>8848.1200000000008</v>
      </c>
      <c r="H14" s="207" t="s">
        <v>36</v>
      </c>
      <c r="I14" s="144">
        <v>222972.62</v>
      </c>
      <c r="J14" s="144">
        <v>87280.2</v>
      </c>
      <c r="K14" s="13">
        <v>103642.31</v>
      </c>
    </row>
    <row r="15" spans="1:11" ht="26.25" customHeight="1">
      <c r="A15" s="137">
        <v>9</v>
      </c>
      <c r="B15" s="141" t="s">
        <v>108</v>
      </c>
      <c r="C15" s="195" t="s">
        <v>117</v>
      </c>
      <c r="D15" s="195" t="s">
        <v>36</v>
      </c>
      <c r="E15" s="139" t="s">
        <v>110</v>
      </c>
      <c r="F15" s="144">
        <v>20.16</v>
      </c>
      <c r="G15" s="207">
        <v>8057.1</v>
      </c>
      <c r="H15" s="207" t="s">
        <v>36</v>
      </c>
      <c r="I15" s="144">
        <v>162431.14000000001</v>
      </c>
      <c r="J15" s="144">
        <v>26943.84</v>
      </c>
      <c r="K15" s="13">
        <v>128451.46</v>
      </c>
    </row>
    <row r="16" spans="1:11" ht="15" customHeight="1">
      <c r="A16" s="137">
        <v>10</v>
      </c>
      <c r="B16" s="141" t="s">
        <v>106</v>
      </c>
      <c r="C16" s="195" t="s">
        <v>118</v>
      </c>
      <c r="D16" s="195" t="s">
        <v>36</v>
      </c>
      <c r="E16" s="139" t="s">
        <v>105</v>
      </c>
      <c r="F16" s="144">
        <v>0.75</v>
      </c>
      <c r="G16" s="207">
        <v>8848.1200000000008</v>
      </c>
      <c r="H16" s="207" t="s">
        <v>36</v>
      </c>
      <c r="I16" s="144">
        <v>6636.09</v>
      </c>
      <c r="J16" s="144">
        <v>2597.63</v>
      </c>
      <c r="K16" s="13">
        <v>3084.59</v>
      </c>
    </row>
    <row r="17" spans="1:11" ht="15" customHeight="1">
      <c r="A17" s="137">
        <v>11</v>
      </c>
      <c r="B17" s="141" t="s">
        <v>108</v>
      </c>
      <c r="C17" s="195" t="s">
        <v>109</v>
      </c>
      <c r="D17" s="195" t="s">
        <v>36</v>
      </c>
      <c r="E17" s="139" t="s">
        <v>110</v>
      </c>
      <c r="F17" s="144">
        <v>3</v>
      </c>
      <c r="G17" s="207">
        <v>8057.1</v>
      </c>
      <c r="H17" s="207" t="s">
        <v>36</v>
      </c>
      <c r="I17" s="144">
        <v>24171.3</v>
      </c>
      <c r="J17" s="144">
        <v>4009.5</v>
      </c>
      <c r="K17" s="13">
        <v>19114.8</v>
      </c>
    </row>
    <row r="18" spans="1:11" ht="15" customHeight="1">
      <c r="A18" s="137">
        <v>12</v>
      </c>
      <c r="B18" s="141" t="s">
        <v>119</v>
      </c>
      <c r="C18" s="195" t="s">
        <v>120</v>
      </c>
      <c r="D18" s="195" t="s">
        <v>36</v>
      </c>
      <c r="E18" s="139" t="s">
        <v>121</v>
      </c>
      <c r="F18" s="144">
        <v>10.53</v>
      </c>
      <c r="G18" s="207">
        <v>47833.97</v>
      </c>
      <c r="H18" s="207" t="s">
        <v>36</v>
      </c>
      <c r="I18" s="144">
        <v>503691.7</v>
      </c>
      <c r="J18" s="144">
        <v>328393.84999999998</v>
      </c>
      <c r="K18" s="13">
        <v>173397.4</v>
      </c>
    </row>
    <row r="19" spans="1:11" ht="15" customHeight="1">
      <c r="A19" s="137">
        <v>13</v>
      </c>
      <c r="B19" s="141" t="s">
        <v>113</v>
      </c>
      <c r="C19" s="195" t="s">
        <v>122</v>
      </c>
      <c r="D19" s="195" t="s">
        <v>36</v>
      </c>
      <c r="E19" s="139" t="s">
        <v>123</v>
      </c>
      <c r="F19" s="144">
        <v>15</v>
      </c>
      <c r="G19" s="207">
        <v>450</v>
      </c>
      <c r="H19" s="207" t="s">
        <v>36</v>
      </c>
      <c r="I19" s="144">
        <v>6750</v>
      </c>
      <c r="J19" s="144">
        <v>6750</v>
      </c>
      <c r="K19" s="13" t="s">
        <v>36</v>
      </c>
    </row>
    <row r="20" spans="1:11" ht="15" customHeight="1">
      <c r="A20" s="137">
        <v>14</v>
      </c>
      <c r="B20" s="141" t="s">
        <v>124</v>
      </c>
      <c r="C20" s="195" t="s">
        <v>125</v>
      </c>
      <c r="D20" s="195" t="s">
        <v>36</v>
      </c>
      <c r="E20" s="139" t="s">
        <v>110</v>
      </c>
      <c r="F20" s="144">
        <v>3.3</v>
      </c>
      <c r="G20" s="207">
        <v>11230.38</v>
      </c>
      <c r="H20" s="207" t="s">
        <v>36</v>
      </c>
      <c r="I20" s="144">
        <v>37060.25</v>
      </c>
      <c r="J20" s="144">
        <v>12429.45</v>
      </c>
      <c r="K20" s="13">
        <v>22639.91</v>
      </c>
    </row>
    <row r="21" spans="1:11" ht="15" customHeight="1">
      <c r="A21" s="137">
        <v>15</v>
      </c>
      <c r="B21" s="141" t="s">
        <v>126</v>
      </c>
      <c r="C21" s="195" t="s">
        <v>444</v>
      </c>
      <c r="D21" s="195" t="s">
        <v>36</v>
      </c>
      <c r="E21" s="139" t="s">
        <v>105</v>
      </c>
      <c r="F21" s="144">
        <v>15</v>
      </c>
      <c r="G21" s="207">
        <v>9423.7000000000007</v>
      </c>
      <c r="H21" s="207" t="s">
        <v>36</v>
      </c>
      <c r="I21" s="144">
        <v>141355.5</v>
      </c>
      <c r="J21" s="144">
        <v>112846.5</v>
      </c>
      <c r="K21" s="13">
        <v>11248.8</v>
      </c>
    </row>
    <row r="22" spans="1:11" ht="15" customHeight="1">
      <c r="A22" s="137">
        <v>16</v>
      </c>
      <c r="B22" s="141" t="s">
        <v>127</v>
      </c>
      <c r="C22" s="195" t="s">
        <v>128</v>
      </c>
      <c r="D22" s="195" t="s">
        <v>36</v>
      </c>
      <c r="E22" s="139" t="s">
        <v>110</v>
      </c>
      <c r="F22" s="144">
        <v>93</v>
      </c>
      <c r="G22" s="207">
        <v>13387.26</v>
      </c>
      <c r="H22" s="207" t="s">
        <v>36</v>
      </c>
      <c r="I22" s="144">
        <v>1245015.18</v>
      </c>
      <c r="J22" s="144">
        <v>463279.5</v>
      </c>
      <c r="K22" s="13">
        <v>724046.85</v>
      </c>
    </row>
    <row r="23" spans="1:11" ht="15" customHeight="1">
      <c r="A23" s="137">
        <v>17</v>
      </c>
      <c r="B23" s="141" t="s">
        <v>129</v>
      </c>
      <c r="C23" s="195" t="s">
        <v>130</v>
      </c>
      <c r="D23" s="195" t="s">
        <v>36</v>
      </c>
      <c r="E23" s="139" t="s">
        <v>131</v>
      </c>
      <c r="F23" s="144">
        <v>61.8</v>
      </c>
      <c r="G23" s="207">
        <v>444.5</v>
      </c>
      <c r="H23" s="207" t="s">
        <v>36</v>
      </c>
      <c r="I23" s="144">
        <v>27470.1</v>
      </c>
      <c r="J23" s="144">
        <v>7508.7</v>
      </c>
      <c r="K23" s="13">
        <v>19961.400000000001</v>
      </c>
    </row>
    <row r="24" spans="1:11" ht="15" customHeight="1">
      <c r="A24" s="137">
        <v>18</v>
      </c>
      <c r="B24" s="141" t="s">
        <v>113</v>
      </c>
      <c r="C24" s="195" t="s">
        <v>132</v>
      </c>
      <c r="D24" s="195" t="s">
        <v>36</v>
      </c>
      <c r="E24" s="139" t="s">
        <v>133</v>
      </c>
      <c r="F24" s="144">
        <v>1</v>
      </c>
      <c r="G24" s="207">
        <v>1000</v>
      </c>
      <c r="H24" s="207" t="s">
        <v>36</v>
      </c>
      <c r="I24" s="144">
        <v>1000</v>
      </c>
      <c r="J24" s="144">
        <v>1000</v>
      </c>
      <c r="K24" s="13" t="s">
        <v>36</v>
      </c>
    </row>
    <row r="25" spans="1:11" ht="26.25" customHeight="1">
      <c r="A25" s="137">
        <v>19</v>
      </c>
      <c r="B25" s="141" t="s">
        <v>134</v>
      </c>
      <c r="C25" s="195" t="s">
        <v>135</v>
      </c>
      <c r="D25" s="195" t="s">
        <v>36</v>
      </c>
      <c r="E25" s="139" t="s">
        <v>136</v>
      </c>
      <c r="F25" s="144">
        <v>1</v>
      </c>
      <c r="G25" s="207">
        <v>18983.29</v>
      </c>
      <c r="H25" s="207" t="s">
        <v>36</v>
      </c>
      <c r="I25" s="144">
        <v>18983.29</v>
      </c>
      <c r="J25" s="144">
        <v>6825.47</v>
      </c>
      <c r="K25" s="13">
        <v>9589.34</v>
      </c>
    </row>
    <row r="26" spans="1:11" ht="15" customHeight="1">
      <c r="A26" s="17" t="s">
        <v>36</v>
      </c>
      <c r="B26" s="141" t="s">
        <v>36</v>
      </c>
      <c r="C26" s="195" t="s">
        <v>35</v>
      </c>
      <c r="D26" s="195" t="s">
        <v>36</v>
      </c>
      <c r="E26" s="139" t="s">
        <v>36</v>
      </c>
      <c r="F26" s="141" t="s">
        <v>36</v>
      </c>
      <c r="G26" s="195" t="s">
        <v>36</v>
      </c>
      <c r="H26" s="195" t="s">
        <v>36</v>
      </c>
      <c r="I26" s="144">
        <v>8356726.1799999997</v>
      </c>
      <c r="J26" s="144">
        <v>3527023.49</v>
      </c>
      <c r="K26" s="13">
        <v>4074015.26</v>
      </c>
    </row>
    <row r="27" spans="1:11" ht="15" customHeight="1">
      <c r="A27" s="17" t="s">
        <v>36</v>
      </c>
      <c r="B27" s="141" t="s">
        <v>36</v>
      </c>
      <c r="C27" s="195" t="s">
        <v>36</v>
      </c>
      <c r="D27" s="195" t="s">
        <v>36</v>
      </c>
      <c r="E27" s="139" t="s">
        <v>36</v>
      </c>
      <c r="F27" s="141" t="s">
        <v>36</v>
      </c>
      <c r="G27" s="195" t="s">
        <v>36</v>
      </c>
      <c r="H27" s="195" t="s">
        <v>36</v>
      </c>
      <c r="I27" s="144" t="s">
        <v>36</v>
      </c>
      <c r="J27" s="144" t="s">
        <v>36</v>
      </c>
      <c r="K27" s="13" t="s">
        <v>36</v>
      </c>
    </row>
    <row r="28" spans="1:11" ht="14.25" customHeight="1">
      <c r="A28" s="17" t="s">
        <v>36</v>
      </c>
      <c r="B28" s="141" t="s">
        <v>36</v>
      </c>
      <c r="C28" s="195" t="s">
        <v>36</v>
      </c>
      <c r="D28" s="195" t="s">
        <v>36</v>
      </c>
      <c r="E28" s="139" t="s">
        <v>36</v>
      </c>
      <c r="F28" s="144" t="s">
        <v>36</v>
      </c>
      <c r="G28" s="207" t="s">
        <v>36</v>
      </c>
      <c r="H28" s="207" t="s">
        <v>36</v>
      </c>
      <c r="I28" s="144" t="s">
        <v>36</v>
      </c>
      <c r="J28" s="144" t="s">
        <v>36</v>
      </c>
      <c r="K28" s="13" t="s">
        <v>36</v>
      </c>
    </row>
    <row r="29" spans="1:11" ht="14.25" customHeight="1">
      <c r="A29" s="17" t="s">
        <v>36</v>
      </c>
      <c r="B29" s="141" t="s">
        <v>36</v>
      </c>
      <c r="C29" s="195" t="s">
        <v>36</v>
      </c>
      <c r="D29" s="195" t="s">
        <v>36</v>
      </c>
      <c r="E29" s="139" t="s">
        <v>36</v>
      </c>
      <c r="F29" s="144" t="s">
        <v>36</v>
      </c>
      <c r="G29" s="207" t="s">
        <v>36</v>
      </c>
      <c r="H29" s="207" t="s">
        <v>36</v>
      </c>
      <c r="I29" s="144" t="s">
        <v>36</v>
      </c>
      <c r="J29" s="144" t="s">
        <v>36</v>
      </c>
      <c r="K29" s="13" t="s">
        <v>36</v>
      </c>
    </row>
    <row r="30" spans="1:11" ht="14.25" customHeight="1">
      <c r="A30" s="17" t="s">
        <v>36</v>
      </c>
      <c r="B30" s="141" t="s">
        <v>36</v>
      </c>
      <c r="C30" s="195" t="s">
        <v>36</v>
      </c>
      <c r="D30" s="195" t="s">
        <v>36</v>
      </c>
      <c r="E30" s="139" t="s">
        <v>36</v>
      </c>
      <c r="F30" s="144" t="s">
        <v>36</v>
      </c>
      <c r="G30" s="207" t="s">
        <v>36</v>
      </c>
      <c r="H30" s="207" t="s">
        <v>36</v>
      </c>
      <c r="I30" s="144" t="s">
        <v>36</v>
      </c>
      <c r="J30" s="144" t="s">
        <v>36</v>
      </c>
      <c r="K30" s="13" t="s">
        <v>36</v>
      </c>
    </row>
    <row r="31" spans="1:11" ht="14.25" customHeight="1">
      <c r="A31" s="17" t="s">
        <v>36</v>
      </c>
      <c r="B31" s="141" t="s">
        <v>36</v>
      </c>
      <c r="C31" s="195" t="s">
        <v>36</v>
      </c>
      <c r="D31" s="195" t="s">
        <v>36</v>
      </c>
      <c r="E31" s="139" t="s">
        <v>36</v>
      </c>
      <c r="F31" s="144" t="s">
        <v>36</v>
      </c>
      <c r="G31" s="207" t="s">
        <v>36</v>
      </c>
      <c r="H31" s="207" t="s">
        <v>36</v>
      </c>
      <c r="I31" s="144" t="s">
        <v>36</v>
      </c>
      <c r="J31" s="144" t="s">
        <v>36</v>
      </c>
      <c r="K31" s="13" t="s">
        <v>36</v>
      </c>
    </row>
    <row r="32" spans="1:11" ht="14.25" customHeight="1">
      <c r="A32" s="17" t="s">
        <v>36</v>
      </c>
      <c r="B32" s="141" t="s">
        <v>36</v>
      </c>
      <c r="C32" s="195" t="s">
        <v>36</v>
      </c>
      <c r="D32" s="195" t="s">
        <v>36</v>
      </c>
      <c r="E32" s="139" t="s">
        <v>36</v>
      </c>
      <c r="F32" s="144" t="s">
        <v>36</v>
      </c>
      <c r="G32" s="207" t="s">
        <v>36</v>
      </c>
      <c r="H32" s="207" t="s">
        <v>36</v>
      </c>
      <c r="I32" s="144" t="s">
        <v>36</v>
      </c>
      <c r="J32" s="144" t="s">
        <v>36</v>
      </c>
      <c r="K32" s="13" t="s">
        <v>36</v>
      </c>
    </row>
    <row r="33" spans="1:11" ht="14.25" customHeight="1">
      <c r="A33" s="17" t="s">
        <v>36</v>
      </c>
      <c r="B33" s="141" t="s">
        <v>36</v>
      </c>
      <c r="C33" s="195" t="s">
        <v>36</v>
      </c>
      <c r="D33" s="195" t="s">
        <v>36</v>
      </c>
      <c r="E33" s="139" t="s">
        <v>36</v>
      </c>
      <c r="F33" s="144" t="s">
        <v>36</v>
      </c>
      <c r="G33" s="207" t="s">
        <v>36</v>
      </c>
      <c r="H33" s="207" t="s">
        <v>36</v>
      </c>
      <c r="I33" s="144" t="s">
        <v>36</v>
      </c>
      <c r="J33" s="144" t="s">
        <v>36</v>
      </c>
      <c r="K33" s="13" t="s">
        <v>36</v>
      </c>
    </row>
    <row r="34" spans="1:11" ht="14.25" customHeight="1">
      <c r="A34" s="17" t="s">
        <v>36</v>
      </c>
      <c r="B34" s="141" t="s">
        <v>36</v>
      </c>
      <c r="C34" s="195" t="s">
        <v>36</v>
      </c>
      <c r="D34" s="195" t="s">
        <v>36</v>
      </c>
      <c r="E34" s="139" t="s">
        <v>36</v>
      </c>
      <c r="F34" s="144" t="s">
        <v>36</v>
      </c>
      <c r="G34" s="207" t="s">
        <v>36</v>
      </c>
      <c r="H34" s="207" t="s">
        <v>36</v>
      </c>
      <c r="I34" s="144" t="s">
        <v>36</v>
      </c>
      <c r="J34" s="144" t="s">
        <v>36</v>
      </c>
      <c r="K34" s="13" t="s">
        <v>36</v>
      </c>
    </row>
    <row r="35" spans="1:11" ht="14.25" customHeight="1">
      <c r="A35" s="17" t="s">
        <v>36</v>
      </c>
      <c r="B35" s="141" t="s">
        <v>36</v>
      </c>
      <c r="C35" s="195" t="s">
        <v>36</v>
      </c>
      <c r="D35" s="195" t="s">
        <v>36</v>
      </c>
      <c r="E35" s="139" t="s">
        <v>36</v>
      </c>
      <c r="F35" s="144" t="s">
        <v>36</v>
      </c>
      <c r="G35" s="207" t="s">
        <v>36</v>
      </c>
      <c r="H35" s="207" t="s">
        <v>36</v>
      </c>
      <c r="I35" s="144" t="s">
        <v>36</v>
      </c>
      <c r="J35" s="144" t="s">
        <v>36</v>
      </c>
      <c r="K35" s="13" t="s">
        <v>36</v>
      </c>
    </row>
    <row r="36" spans="1:11" ht="14.25" customHeight="1">
      <c r="A36" s="17" t="s">
        <v>36</v>
      </c>
      <c r="B36" s="141" t="s">
        <v>36</v>
      </c>
      <c r="C36" s="195" t="s">
        <v>36</v>
      </c>
      <c r="D36" s="195" t="s">
        <v>36</v>
      </c>
      <c r="E36" s="139" t="s">
        <v>36</v>
      </c>
      <c r="F36" s="144" t="s">
        <v>36</v>
      </c>
      <c r="G36" s="207" t="s">
        <v>36</v>
      </c>
      <c r="H36" s="207" t="s">
        <v>36</v>
      </c>
      <c r="I36" s="144" t="s">
        <v>36</v>
      </c>
      <c r="J36" s="144" t="s">
        <v>36</v>
      </c>
      <c r="K36" s="13" t="s">
        <v>36</v>
      </c>
    </row>
    <row r="37" spans="1:11" ht="14.25" customHeight="1">
      <c r="A37" s="17" t="s">
        <v>36</v>
      </c>
      <c r="B37" s="141" t="s">
        <v>36</v>
      </c>
      <c r="C37" s="195" t="s">
        <v>36</v>
      </c>
      <c r="D37" s="195" t="s">
        <v>36</v>
      </c>
      <c r="E37" s="139" t="s">
        <v>36</v>
      </c>
      <c r="F37" s="144" t="s">
        <v>36</v>
      </c>
      <c r="G37" s="207" t="s">
        <v>36</v>
      </c>
      <c r="H37" s="207" t="s">
        <v>36</v>
      </c>
      <c r="I37" s="144" t="s">
        <v>36</v>
      </c>
      <c r="J37" s="144" t="s">
        <v>36</v>
      </c>
      <c r="K37" s="13" t="s">
        <v>36</v>
      </c>
    </row>
    <row r="38" spans="1:11" ht="14.25" customHeight="1">
      <c r="A38" s="17" t="s">
        <v>36</v>
      </c>
      <c r="B38" s="141" t="s">
        <v>36</v>
      </c>
      <c r="C38" s="195" t="s">
        <v>36</v>
      </c>
      <c r="D38" s="195" t="s">
        <v>36</v>
      </c>
      <c r="E38" s="139" t="s">
        <v>36</v>
      </c>
      <c r="F38" s="144" t="s">
        <v>36</v>
      </c>
      <c r="G38" s="207" t="s">
        <v>36</v>
      </c>
      <c r="H38" s="207" t="s">
        <v>36</v>
      </c>
      <c r="I38" s="144" t="s">
        <v>36</v>
      </c>
      <c r="J38" s="144" t="s">
        <v>36</v>
      </c>
      <c r="K38" s="13" t="s">
        <v>36</v>
      </c>
    </row>
    <row r="39" spans="1:11" ht="14.25" customHeight="1">
      <c r="A39" s="17" t="s">
        <v>36</v>
      </c>
      <c r="B39" s="141" t="s">
        <v>36</v>
      </c>
      <c r="C39" s="195" t="s">
        <v>36</v>
      </c>
      <c r="D39" s="195" t="s">
        <v>36</v>
      </c>
      <c r="E39" s="139" t="s">
        <v>36</v>
      </c>
      <c r="F39" s="144" t="s">
        <v>36</v>
      </c>
      <c r="G39" s="207" t="s">
        <v>36</v>
      </c>
      <c r="H39" s="207" t="s">
        <v>36</v>
      </c>
      <c r="I39" s="144" t="s">
        <v>36</v>
      </c>
      <c r="J39" s="144" t="s">
        <v>36</v>
      </c>
      <c r="K39" s="13" t="s">
        <v>36</v>
      </c>
    </row>
    <row r="40" spans="1:11" ht="14.25" customHeight="1">
      <c r="A40" s="17" t="s">
        <v>36</v>
      </c>
      <c r="B40" s="141" t="s">
        <v>36</v>
      </c>
      <c r="C40" s="195" t="s">
        <v>36</v>
      </c>
      <c r="D40" s="195" t="s">
        <v>36</v>
      </c>
      <c r="E40" s="139" t="s">
        <v>36</v>
      </c>
      <c r="F40" s="144" t="s">
        <v>36</v>
      </c>
      <c r="G40" s="207" t="s">
        <v>36</v>
      </c>
      <c r="H40" s="207" t="s">
        <v>36</v>
      </c>
      <c r="I40" s="144" t="s">
        <v>36</v>
      </c>
      <c r="J40" s="144" t="s">
        <v>36</v>
      </c>
      <c r="K40" s="13" t="s">
        <v>36</v>
      </c>
    </row>
    <row r="41" spans="1:11" ht="14.25" customHeight="1">
      <c r="A41" s="17" t="s">
        <v>36</v>
      </c>
      <c r="B41" s="141" t="s">
        <v>36</v>
      </c>
      <c r="C41" s="195" t="s">
        <v>36</v>
      </c>
      <c r="D41" s="195" t="s">
        <v>36</v>
      </c>
      <c r="E41" s="139" t="s">
        <v>36</v>
      </c>
      <c r="F41" s="144" t="s">
        <v>36</v>
      </c>
      <c r="G41" s="207" t="s">
        <v>36</v>
      </c>
      <c r="H41" s="207" t="s">
        <v>36</v>
      </c>
      <c r="I41" s="144" t="s">
        <v>36</v>
      </c>
      <c r="J41" s="144" t="s">
        <v>36</v>
      </c>
      <c r="K41" s="13" t="s">
        <v>36</v>
      </c>
    </row>
    <row r="42" spans="1:11" ht="14.25" customHeight="1">
      <c r="A42" s="17" t="s">
        <v>36</v>
      </c>
      <c r="B42" s="141" t="s">
        <v>36</v>
      </c>
      <c r="C42" s="195" t="s">
        <v>36</v>
      </c>
      <c r="D42" s="195" t="s">
        <v>36</v>
      </c>
      <c r="E42" s="139" t="s">
        <v>36</v>
      </c>
      <c r="F42" s="144" t="s">
        <v>36</v>
      </c>
      <c r="G42" s="207" t="s">
        <v>36</v>
      </c>
      <c r="H42" s="207" t="s">
        <v>36</v>
      </c>
      <c r="I42" s="144" t="s">
        <v>36</v>
      </c>
      <c r="J42" s="144" t="s">
        <v>36</v>
      </c>
      <c r="K42" s="13" t="s">
        <v>36</v>
      </c>
    </row>
    <row r="43" spans="1:11" ht="14.25" customHeight="1">
      <c r="A43" s="17" t="s">
        <v>36</v>
      </c>
      <c r="B43" s="141" t="s">
        <v>36</v>
      </c>
      <c r="C43" s="195" t="s">
        <v>36</v>
      </c>
      <c r="D43" s="195" t="s">
        <v>36</v>
      </c>
      <c r="E43" s="139" t="s">
        <v>36</v>
      </c>
      <c r="F43" s="144" t="s">
        <v>36</v>
      </c>
      <c r="G43" s="207" t="s">
        <v>36</v>
      </c>
      <c r="H43" s="207" t="s">
        <v>36</v>
      </c>
      <c r="I43" s="144" t="s">
        <v>36</v>
      </c>
      <c r="J43" s="144" t="s">
        <v>36</v>
      </c>
      <c r="K43" s="13" t="s">
        <v>36</v>
      </c>
    </row>
    <row r="44" spans="1:11" ht="14.25" customHeight="1">
      <c r="A44" s="17" t="s">
        <v>36</v>
      </c>
      <c r="B44" s="141" t="s">
        <v>36</v>
      </c>
      <c r="C44" s="195" t="s">
        <v>36</v>
      </c>
      <c r="D44" s="195" t="s">
        <v>36</v>
      </c>
      <c r="E44" s="139" t="s">
        <v>36</v>
      </c>
      <c r="F44" s="144" t="s">
        <v>36</v>
      </c>
      <c r="G44" s="207" t="s">
        <v>36</v>
      </c>
      <c r="H44" s="207" t="s">
        <v>36</v>
      </c>
      <c r="I44" s="144" t="s">
        <v>36</v>
      </c>
      <c r="J44" s="144" t="s">
        <v>36</v>
      </c>
      <c r="K44" s="13" t="s">
        <v>36</v>
      </c>
    </row>
    <row r="45" spans="1:11" ht="14.25" customHeight="1">
      <c r="A45" s="17" t="s">
        <v>36</v>
      </c>
      <c r="B45" s="141" t="s">
        <v>36</v>
      </c>
      <c r="C45" s="195" t="s">
        <v>36</v>
      </c>
      <c r="D45" s="195" t="s">
        <v>36</v>
      </c>
      <c r="E45" s="139" t="s">
        <v>36</v>
      </c>
      <c r="F45" s="144" t="s">
        <v>36</v>
      </c>
      <c r="G45" s="207" t="s">
        <v>36</v>
      </c>
      <c r="H45" s="207" t="s">
        <v>36</v>
      </c>
      <c r="I45" s="144" t="s">
        <v>36</v>
      </c>
      <c r="J45" s="144" t="s">
        <v>36</v>
      </c>
      <c r="K45" s="13" t="s">
        <v>36</v>
      </c>
    </row>
    <row r="46" spans="1:11" ht="14.25" customHeight="1">
      <c r="A46" s="17" t="s">
        <v>36</v>
      </c>
      <c r="B46" s="141" t="s">
        <v>36</v>
      </c>
      <c r="C46" s="195" t="s">
        <v>36</v>
      </c>
      <c r="D46" s="195" t="s">
        <v>36</v>
      </c>
      <c r="E46" s="139" t="s">
        <v>36</v>
      </c>
      <c r="F46" s="144" t="s">
        <v>36</v>
      </c>
      <c r="G46" s="207" t="s">
        <v>36</v>
      </c>
      <c r="H46" s="207" t="s">
        <v>36</v>
      </c>
      <c r="I46" s="144" t="s">
        <v>36</v>
      </c>
      <c r="J46" s="144" t="s">
        <v>36</v>
      </c>
      <c r="K46" s="13" t="s">
        <v>36</v>
      </c>
    </row>
    <row r="47" spans="1:11" ht="15" customHeight="1" thickBot="1">
      <c r="A47" s="18" t="s">
        <v>36</v>
      </c>
      <c r="B47" s="142" t="s">
        <v>36</v>
      </c>
      <c r="C47" s="205" t="s">
        <v>137</v>
      </c>
      <c r="D47" s="205" t="s">
        <v>36</v>
      </c>
      <c r="E47" s="143" t="s">
        <v>36</v>
      </c>
      <c r="F47" s="142" t="s">
        <v>36</v>
      </c>
      <c r="G47" s="205" t="s">
        <v>36</v>
      </c>
      <c r="H47" s="205" t="s">
        <v>36</v>
      </c>
      <c r="I47" s="15">
        <v>8356726.1799999997</v>
      </c>
      <c r="J47" s="15">
        <v>3527023.49</v>
      </c>
      <c r="K47" s="16">
        <v>4074015.26</v>
      </c>
    </row>
    <row r="48" spans="1:11" ht="14.25" customHeight="1">
      <c r="A48" s="199" t="s">
        <v>36</v>
      </c>
      <c r="B48" s="199" t="s">
        <v>36</v>
      </c>
      <c r="C48" s="199" t="s">
        <v>36</v>
      </c>
      <c r="D48" s="209" t="s">
        <v>36</v>
      </c>
      <c r="E48" s="209" t="s">
        <v>36</v>
      </c>
      <c r="F48" s="209" t="s">
        <v>36</v>
      </c>
      <c r="G48" s="209" t="s">
        <v>36</v>
      </c>
      <c r="H48" s="200" t="s">
        <v>36</v>
      </c>
      <c r="I48" s="200" t="s">
        <v>36</v>
      </c>
      <c r="J48" s="200" t="s">
        <v>36</v>
      </c>
      <c r="K48" s="200" t="s">
        <v>36</v>
      </c>
    </row>
  </sheetData>
  <mergeCells count="99">
    <mergeCell ref="C46:D46"/>
    <mergeCell ref="G46:H46"/>
    <mergeCell ref="C47:D47"/>
    <mergeCell ref="G47:H47"/>
    <mergeCell ref="A48:C48"/>
    <mergeCell ref="D48:G48"/>
    <mergeCell ref="H48:K48"/>
    <mergeCell ref="C43:D43"/>
    <mergeCell ref="G43:H43"/>
    <mergeCell ref="C44:D44"/>
    <mergeCell ref="G44:H44"/>
    <mergeCell ref="C45:D45"/>
    <mergeCell ref="G45:H45"/>
    <mergeCell ref="C40:D40"/>
    <mergeCell ref="G40:H40"/>
    <mergeCell ref="C41:D41"/>
    <mergeCell ref="G41:H41"/>
    <mergeCell ref="C42:D42"/>
    <mergeCell ref="G42:H42"/>
    <mergeCell ref="C37:D37"/>
    <mergeCell ref="G37:H37"/>
    <mergeCell ref="C38:D38"/>
    <mergeCell ref="G38:H38"/>
    <mergeCell ref="C39:D39"/>
    <mergeCell ref="G39:H39"/>
    <mergeCell ref="C34:D34"/>
    <mergeCell ref="G34:H34"/>
    <mergeCell ref="C35:D35"/>
    <mergeCell ref="G35:H35"/>
    <mergeCell ref="C36:D36"/>
    <mergeCell ref="G36:H36"/>
    <mergeCell ref="C31:D31"/>
    <mergeCell ref="G31:H31"/>
    <mergeCell ref="C32:D32"/>
    <mergeCell ref="G32:H32"/>
    <mergeCell ref="C33:D33"/>
    <mergeCell ref="G33:H33"/>
    <mergeCell ref="C28:D28"/>
    <mergeCell ref="G28:H28"/>
    <mergeCell ref="C29:D29"/>
    <mergeCell ref="G29:H29"/>
    <mergeCell ref="C30:D30"/>
    <mergeCell ref="G30:H30"/>
    <mergeCell ref="C25:D25"/>
    <mergeCell ref="G25:H25"/>
    <mergeCell ref="C26:D26"/>
    <mergeCell ref="G26:H26"/>
    <mergeCell ref="C27:D27"/>
    <mergeCell ref="G27:H27"/>
    <mergeCell ref="C22:D22"/>
    <mergeCell ref="G22:H22"/>
    <mergeCell ref="C23:D23"/>
    <mergeCell ref="G23:H23"/>
    <mergeCell ref="C24:D24"/>
    <mergeCell ref="G24:H24"/>
    <mergeCell ref="C19:D19"/>
    <mergeCell ref="G19:H19"/>
    <mergeCell ref="C20:D20"/>
    <mergeCell ref="G20:H20"/>
    <mergeCell ref="C21:D21"/>
    <mergeCell ref="G21:H21"/>
    <mergeCell ref="C16:D16"/>
    <mergeCell ref="G16:H16"/>
    <mergeCell ref="C17:D17"/>
    <mergeCell ref="G17:H17"/>
    <mergeCell ref="C18:D18"/>
    <mergeCell ref="G18:H18"/>
    <mergeCell ref="C13:D13"/>
    <mergeCell ref="G13:H13"/>
    <mergeCell ref="C14:D14"/>
    <mergeCell ref="G14:H14"/>
    <mergeCell ref="C15:D15"/>
    <mergeCell ref="G15:H15"/>
    <mergeCell ref="C10:D10"/>
    <mergeCell ref="G10:H10"/>
    <mergeCell ref="C11:D11"/>
    <mergeCell ref="G11:H11"/>
    <mergeCell ref="C12:D12"/>
    <mergeCell ref="G12:H12"/>
    <mergeCell ref="C7:D7"/>
    <mergeCell ref="G7:H7"/>
    <mergeCell ref="C8:D8"/>
    <mergeCell ref="G8:H8"/>
    <mergeCell ref="C9:D9"/>
    <mergeCell ref="G9:H9"/>
    <mergeCell ref="J4:K5"/>
    <mergeCell ref="G6:H6"/>
    <mergeCell ref="A1:C1"/>
    <mergeCell ref="D1:G1"/>
    <mergeCell ref="H1:K1"/>
    <mergeCell ref="A2:K2"/>
    <mergeCell ref="A3:C3"/>
    <mergeCell ref="D3:G3"/>
    <mergeCell ref="H3:K3"/>
    <mergeCell ref="A4:A6"/>
    <mergeCell ref="B4:B6"/>
    <mergeCell ref="C4:D6"/>
    <mergeCell ref="E4:F5"/>
    <mergeCell ref="G4:I5"/>
  </mergeCells>
  <phoneticPr fontId="1" type="noConversion"/>
  <pageMargins left="0.51500984251968507" right="0.51500984251968507" top="0.59375" bottom="0.59375" header="0.59375" footer="0.59375"/>
  <pageSetup paperSize="9" orientation="portrait" horizontalDpi="0" verticalDpi="0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45"/>
  <sheetViews>
    <sheetView workbookViewId="0">
      <selection activeCell="L21" sqref="L21"/>
    </sheetView>
  </sheetViews>
  <sheetFormatPr defaultRowHeight="11.25"/>
  <cols>
    <col min="1" max="1" width="6.625" style="12" customWidth="1"/>
    <col min="2" max="2" width="20.125" style="12" customWidth="1"/>
    <col min="3" max="3" width="14.75" style="12" customWidth="1"/>
    <col min="4" max="4" width="19.125" style="12" customWidth="1"/>
    <col min="5" max="5" width="3.875" style="12" customWidth="1"/>
    <col min="6" max="6" width="9.25" style="12" customWidth="1"/>
    <col min="7" max="7" width="11.125" style="12" customWidth="1"/>
    <col min="8" max="256" width="8" style="12" customWidth="1"/>
    <col min="257" max="257" width="6.625" style="12" customWidth="1"/>
    <col min="258" max="258" width="20.125" style="12" customWidth="1"/>
    <col min="259" max="259" width="14.75" style="12" customWidth="1"/>
    <col min="260" max="260" width="19.125" style="12" customWidth="1"/>
    <col min="261" max="261" width="3.875" style="12" customWidth="1"/>
    <col min="262" max="262" width="9.25" style="12" customWidth="1"/>
    <col min="263" max="263" width="11.125" style="12" customWidth="1"/>
    <col min="264" max="512" width="8" style="12" customWidth="1"/>
    <col min="513" max="513" width="6.625" style="12" customWidth="1"/>
    <col min="514" max="514" width="20.125" style="12" customWidth="1"/>
    <col min="515" max="515" width="14.75" style="12" customWidth="1"/>
    <col min="516" max="516" width="19.125" style="12" customWidth="1"/>
    <col min="517" max="517" width="3.875" style="12" customWidth="1"/>
    <col min="518" max="518" width="9.25" style="12" customWidth="1"/>
    <col min="519" max="519" width="11.125" style="12" customWidth="1"/>
    <col min="520" max="768" width="8" style="12" customWidth="1"/>
    <col min="769" max="769" width="6.625" style="12" customWidth="1"/>
    <col min="770" max="770" width="20.125" style="12" customWidth="1"/>
    <col min="771" max="771" width="14.75" style="12" customWidth="1"/>
    <col min="772" max="772" width="19.125" style="12" customWidth="1"/>
    <col min="773" max="773" width="3.875" style="12" customWidth="1"/>
    <col min="774" max="774" width="9.25" style="12" customWidth="1"/>
    <col min="775" max="775" width="11.125" style="12" customWidth="1"/>
    <col min="776" max="1024" width="8" style="12" customWidth="1"/>
    <col min="1025" max="1025" width="6.625" style="12" customWidth="1"/>
    <col min="1026" max="1026" width="20.125" style="12" customWidth="1"/>
    <col min="1027" max="1027" width="14.75" style="12" customWidth="1"/>
    <col min="1028" max="1028" width="19.125" style="12" customWidth="1"/>
    <col min="1029" max="1029" width="3.875" style="12" customWidth="1"/>
    <col min="1030" max="1030" width="9.25" style="12" customWidth="1"/>
    <col min="1031" max="1031" width="11.125" style="12" customWidth="1"/>
    <col min="1032" max="1280" width="8" style="12" customWidth="1"/>
    <col min="1281" max="1281" width="6.625" style="12" customWidth="1"/>
    <col min="1282" max="1282" width="20.125" style="12" customWidth="1"/>
    <col min="1283" max="1283" width="14.75" style="12" customWidth="1"/>
    <col min="1284" max="1284" width="19.125" style="12" customWidth="1"/>
    <col min="1285" max="1285" width="3.875" style="12" customWidth="1"/>
    <col min="1286" max="1286" width="9.25" style="12" customWidth="1"/>
    <col min="1287" max="1287" width="11.125" style="12" customWidth="1"/>
    <col min="1288" max="1536" width="8" style="12" customWidth="1"/>
    <col min="1537" max="1537" width="6.625" style="12" customWidth="1"/>
    <col min="1538" max="1538" width="20.125" style="12" customWidth="1"/>
    <col min="1539" max="1539" width="14.75" style="12" customWidth="1"/>
    <col min="1540" max="1540" width="19.125" style="12" customWidth="1"/>
    <col min="1541" max="1541" width="3.875" style="12" customWidth="1"/>
    <col min="1542" max="1542" width="9.25" style="12" customWidth="1"/>
    <col min="1543" max="1543" width="11.125" style="12" customWidth="1"/>
    <col min="1544" max="1792" width="8" style="12" customWidth="1"/>
    <col min="1793" max="1793" width="6.625" style="12" customWidth="1"/>
    <col min="1794" max="1794" width="20.125" style="12" customWidth="1"/>
    <col min="1795" max="1795" width="14.75" style="12" customWidth="1"/>
    <col min="1796" max="1796" width="19.125" style="12" customWidth="1"/>
    <col min="1797" max="1797" width="3.875" style="12" customWidth="1"/>
    <col min="1798" max="1798" width="9.25" style="12" customWidth="1"/>
    <col min="1799" max="1799" width="11.125" style="12" customWidth="1"/>
    <col min="1800" max="2048" width="8" style="12" customWidth="1"/>
    <col min="2049" max="2049" width="6.625" style="12" customWidth="1"/>
    <col min="2050" max="2050" width="20.125" style="12" customWidth="1"/>
    <col min="2051" max="2051" width="14.75" style="12" customWidth="1"/>
    <col min="2052" max="2052" width="19.125" style="12" customWidth="1"/>
    <col min="2053" max="2053" width="3.875" style="12" customWidth="1"/>
    <col min="2054" max="2054" width="9.25" style="12" customWidth="1"/>
    <col min="2055" max="2055" width="11.125" style="12" customWidth="1"/>
    <col min="2056" max="2304" width="8" style="12" customWidth="1"/>
    <col min="2305" max="2305" width="6.625" style="12" customWidth="1"/>
    <col min="2306" max="2306" width="20.125" style="12" customWidth="1"/>
    <col min="2307" max="2307" width="14.75" style="12" customWidth="1"/>
    <col min="2308" max="2308" width="19.125" style="12" customWidth="1"/>
    <col min="2309" max="2309" width="3.875" style="12" customWidth="1"/>
    <col min="2310" max="2310" width="9.25" style="12" customWidth="1"/>
    <col min="2311" max="2311" width="11.125" style="12" customWidth="1"/>
    <col min="2312" max="2560" width="8" style="12" customWidth="1"/>
    <col min="2561" max="2561" width="6.625" style="12" customWidth="1"/>
    <col min="2562" max="2562" width="20.125" style="12" customWidth="1"/>
    <col min="2563" max="2563" width="14.75" style="12" customWidth="1"/>
    <col min="2564" max="2564" width="19.125" style="12" customWidth="1"/>
    <col min="2565" max="2565" width="3.875" style="12" customWidth="1"/>
    <col min="2566" max="2566" width="9.25" style="12" customWidth="1"/>
    <col min="2567" max="2567" width="11.125" style="12" customWidth="1"/>
    <col min="2568" max="2816" width="8" style="12" customWidth="1"/>
    <col min="2817" max="2817" width="6.625" style="12" customWidth="1"/>
    <col min="2818" max="2818" width="20.125" style="12" customWidth="1"/>
    <col min="2819" max="2819" width="14.75" style="12" customWidth="1"/>
    <col min="2820" max="2820" width="19.125" style="12" customWidth="1"/>
    <col min="2821" max="2821" width="3.875" style="12" customWidth="1"/>
    <col min="2822" max="2822" width="9.25" style="12" customWidth="1"/>
    <col min="2823" max="2823" width="11.125" style="12" customWidth="1"/>
    <col min="2824" max="3072" width="8" style="12" customWidth="1"/>
    <col min="3073" max="3073" width="6.625" style="12" customWidth="1"/>
    <col min="3074" max="3074" width="20.125" style="12" customWidth="1"/>
    <col min="3075" max="3075" width="14.75" style="12" customWidth="1"/>
    <col min="3076" max="3076" width="19.125" style="12" customWidth="1"/>
    <col min="3077" max="3077" width="3.875" style="12" customWidth="1"/>
    <col min="3078" max="3078" width="9.25" style="12" customWidth="1"/>
    <col min="3079" max="3079" width="11.125" style="12" customWidth="1"/>
    <col min="3080" max="3328" width="8" style="12" customWidth="1"/>
    <col min="3329" max="3329" width="6.625" style="12" customWidth="1"/>
    <col min="3330" max="3330" width="20.125" style="12" customWidth="1"/>
    <col min="3331" max="3331" width="14.75" style="12" customWidth="1"/>
    <col min="3332" max="3332" width="19.125" style="12" customWidth="1"/>
    <col min="3333" max="3333" width="3.875" style="12" customWidth="1"/>
    <col min="3334" max="3334" width="9.25" style="12" customWidth="1"/>
    <col min="3335" max="3335" width="11.125" style="12" customWidth="1"/>
    <col min="3336" max="3584" width="8" style="12" customWidth="1"/>
    <col min="3585" max="3585" width="6.625" style="12" customWidth="1"/>
    <col min="3586" max="3586" width="20.125" style="12" customWidth="1"/>
    <col min="3587" max="3587" width="14.75" style="12" customWidth="1"/>
    <col min="3588" max="3588" width="19.125" style="12" customWidth="1"/>
    <col min="3589" max="3589" width="3.875" style="12" customWidth="1"/>
    <col min="3590" max="3590" width="9.25" style="12" customWidth="1"/>
    <col min="3591" max="3591" width="11.125" style="12" customWidth="1"/>
    <col min="3592" max="3840" width="8" style="12" customWidth="1"/>
    <col min="3841" max="3841" width="6.625" style="12" customWidth="1"/>
    <col min="3842" max="3842" width="20.125" style="12" customWidth="1"/>
    <col min="3843" max="3843" width="14.75" style="12" customWidth="1"/>
    <col min="3844" max="3844" width="19.125" style="12" customWidth="1"/>
    <col min="3845" max="3845" width="3.875" style="12" customWidth="1"/>
    <col min="3846" max="3846" width="9.25" style="12" customWidth="1"/>
    <col min="3847" max="3847" width="11.125" style="12" customWidth="1"/>
    <col min="3848" max="4096" width="8" style="12" customWidth="1"/>
    <col min="4097" max="4097" width="6.625" style="12" customWidth="1"/>
    <col min="4098" max="4098" width="20.125" style="12" customWidth="1"/>
    <col min="4099" max="4099" width="14.75" style="12" customWidth="1"/>
    <col min="4100" max="4100" width="19.125" style="12" customWidth="1"/>
    <col min="4101" max="4101" width="3.875" style="12" customWidth="1"/>
    <col min="4102" max="4102" width="9.25" style="12" customWidth="1"/>
    <col min="4103" max="4103" width="11.125" style="12" customWidth="1"/>
    <col min="4104" max="4352" width="8" style="12" customWidth="1"/>
    <col min="4353" max="4353" width="6.625" style="12" customWidth="1"/>
    <col min="4354" max="4354" width="20.125" style="12" customWidth="1"/>
    <col min="4355" max="4355" width="14.75" style="12" customWidth="1"/>
    <col min="4356" max="4356" width="19.125" style="12" customWidth="1"/>
    <col min="4357" max="4357" width="3.875" style="12" customWidth="1"/>
    <col min="4358" max="4358" width="9.25" style="12" customWidth="1"/>
    <col min="4359" max="4359" width="11.125" style="12" customWidth="1"/>
    <col min="4360" max="4608" width="8" style="12" customWidth="1"/>
    <col min="4609" max="4609" width="6.625" style="12" customWidth="1"/>
    <col min="4610" max="4610" width="20.125" style="12" customWidth="1"/>
    <col min="4611" max="4611" width="14.75" style="12" customWidth="1"/>
    <col min="4612" max="4612" width="19.125" style="12" customWidth="1"/>
    <col min="4613" max="4613" width="3.875" style="12" customWidth="1"/>
    <col min="4614" max="4614" width="9.25" style="12" customWidth="1"/>
    <col min="4615" max="4615" width="11.125" style="12" customWidth="1"/>
    <col min="4616" max="4864" width="8" style="12" customWidth="1"/>
    <col min="4865" max="4865" width="6.625" style="12" customWidth="1"/>
    <col min="4866" max="4866" width="20.125" style="12" customWidth="1"/>
    <col min="4867" max="4867" width="14.75" style="12" customWidth="1"/>
    <col min="4868" max="4868" width="19.125" style="12" customWidth="1"/>
    <col min="4869" max="4869" width="3.875" style="12" customWidth="1"/>
    <col min="4870" max="4870" width="9.25" style="12" customWidth="1"/>
    <col min="4871" max="4871" width="11.125" style="12" customWidth="1"/>
    <col min="4872" max="5120" width="8" style="12" customWidth="1"/>
    <col min="5121" max="5121" width="6.625" style="12" customWidth="1"/>
    <col min="5122" max="5122" width="20.125" style="12" customWidth="1"/>
    <col min="5123" max="5123" width="14.75" style="12" customWidth="1"/>
    <col min="5124" max="5124" width="19.125" style="12" customWidth="1"/>
    <col min="5125" max="5125" width="3.875" style="12" customWidth="1"/>
    <col min="5126" max="5126" width="9.25" style="12" customWidth="1"/>
    <col min="5127" max="5127" width="11.125" style="12" customWidth="1"/>
    <col min="5128" max="5376" width="8" style="12" customWidth="1"/>
    <col min="5377" max="5377" width="6.625" style="12" customWidth="1"/>
    <col min="5378" max="5378" width="20.125" style="12" customWidth="1"/>
    <col min="5379" max="5379" width="14.75" style="12" customWidth="1"/>
    <col min="5380" max="5380" width="19.125" style="12" customWidth="1"/>
    <col min="5381" max="5381" width="3.875" style="12" customWidth="1"/>
    <col min="5382" max="5382" width="9.25" style="12" customWidth="1"/>
    <col min="5383" max="5383" width="11.125" style="12" customWidth="1"/>
    <col min="5384" max="5632" width="8" style="12" customWidth="1"/>
    <col min="5633" max="5633" width="6.625" style="12" customWidth="1"/>
    <col min="5634" max="5634" width="20.125" style="12" customWidth="1"/>
    <col min="5635" max="5635" width="14.75" style="12" customWidth="1"/>
    <col min="5636" max="5636" width="19.125" style="12" customWidth="1"/>
    <col min="5637" max="5637" width="3.875" style="12" customWidth="1"/>
    <col min="5638" max="5638" width="9.25" style="12" customWidth="1"/>
    <col min="5639" max="5639" width="11.125" style="12" customWidth="1"/>
    <col min="5640" max="5888" width="8" style="12" customWidth="1"/>
    <col min="5889" max="5889" width="6.625" style="12" customWidth="1"/>
    <col min="5890" max="5890" width="20.125" style="12" customWidth="1"/>
    <col min="5891" max="5891" width="14.75" style="12" customWidth="1"/>
    <col min="5892" max="5892" width="19.125" style="12" customWidth="1"/>
    <col min="5893" max="5893" width="3.875" style="12" customWidth="1"/>
    <col min="5894" max="5894" width="9.25" style="12" customWidth="1"/>
    <col min="5895" max="5895" width="11.125" style="12" customWidth="1"/>
    <col min="5896" max="6144" width="8" style="12" customWidth="1"/>
    <col min="6145" max="6145" width="6.625" style="12" customWidth="1"/>
    <col min="6146" max="6146" width="20.125" style="12" customWidth="1"/>
    <col min="6147" max="6147" width="14.75" style="12" customWidth="1"/>
    <col min="6148" max="6148" width="19.125" style="12" customWidth="1"/>
    <col min="6149" max="6149" width="3.875" style="12" customWidth="1"/>
    <col min="6150" max="6150" width="9.25" style="12" customWidth="1"/>
    <col min="6151" max="6151" width="11.125" style="12" customWidth="1"/>
    <col min="6152" max="6400" width="8" style="12" customWidth="1"/>
    <col min="6401" max="6401" width="6.625" style="12" customWidth="1"/>
    <col min="6402" max="6402" width="20.125" style="12" customWidth="1"/>
    <col min="6403" max="6403" width="14.75" style="12" customWidth="1"/>
    <col min="6404" max="6404" width="19.125" style="12" customWidth="1"/>
    <col min="6405" max="6405" width="3.875" style="12" customWidth="1"/>
    <col min="6406" max="6406" width="9.25" style="12" customWidth="1"/>
    <col min="6407" max="6407" width="11.125" style="12" customWidth="1"/>
    <col min="6408" max="6656" width="8" style="12" customWidth="1"/>
    <col min="6657" max="6657" width="6.625" style="12" customWidth="1"/>
    <col min="6658" max="6658" width="20.125" style="12" customWidth="1"/>
    <col min="6659" max="6659" width="14.75" style="12" customWidth="1"/>
    <col min="6660" max="6660" width="19.125" style="12" customWidth="1"/>
    <col min="6661" max="6661" width="3.875" style="12" customWidth="1"/>
    <col min="6662" max="6662" width="9.25" style="12" customWidth="1"/>
    <col min="6663" max="6663" width="11.125" style="12" customWidth="1"/>
    <col min="6664" max="6912" width="8" style="12" customWidth="1"/>
    <col min="6913" max="6913" width="6.625" style="12" customWidth="1"/>
    <col min="6914" max="6914" width="20.125" style="12" customWidth="1"/>
    <col min="6915" max="6915" width="14.75" style="12" customWidth="1"/>
    <col min="6916" max="6916" width="19.125" style="12" customWidth="1"/>
    <col min="6917" max="6917" width="3.875" style="12" customWidth="1"/>
    <col min="6918" max="6918" width="9.25" style="12" customWidth="1"/>
    <col min="6919" max="6919" width="11.125" style="12" customWidth="1"/>
    <col min="6920" max="7168" width="8" style="12" customWidth="1"/>
    <col min="7169" max="7169" width="6.625" style="12" customWidth="1"/>
    <col min="7170" max="7170" width="20.125" style="12" customWidth="1"/>
    <col min="7171" max="7171" width="14.75" style="12" customWidth="1"/>
    <col min="7172" max="7172" width="19.125" style="12" customWidth="1"/>
    <col min="7173" max="7173" width="3.875" style="12" customWidth="1"/>
    <col min="7174" max="7174" width="9.25" style="12" customWidth="1"/>
    <col min="7175" max="7175" width="11.125" style="12" customWidth="1"/>
    <col min="7176" max="7424" width="8" style="12" customWidth="1"/>
    <col min="7425" max="7425" width="6.625" style="12" customWidth="1"/>
    <col min="7426" max="7426" width="20.125" style="12" customWidth="1"/>
    <col min="7427" max="7427" width="14.75" style="12" customWidth="1"/>
    <col min="7428" max="7428" width="19.125" style="12" customWidth="1"/>
    <col min="7429" max="7429" width="3.875" style="12" customWidth="1"/>
    <col min="7430" max="7430" width="9.25" style="12" customWidth="1"/>
    <col min="7431" max="7431" width="11.125" style="12" customWidth="1"/>
    <col min="7432" max="7680" width="8" style="12" customWidth="1"/>
    <col min="7681" max="7681" width="6.625" style="12" customWidth="1"/>
    <col min="7682" max="7682" width="20.125" style="12" customWidth="1"/>
    <col min="7683" max="7683" width="14.75" style="12" customWidth="1"/>
    <col min="7684" max="7684" width="19.125" style="12" customWidth="1"/>
    <col min="7685" max="7685" width="3.875" style="12" customWidth="1"/>
    <col min="7686" max="7686" width="9.25" style="12" customWidth="1"/>
    <col min="7687" max="7687" width="11.125" style="12" customWidth="1"/>
    <col min="7688" max="7936" width="8" style="12" customWidth="1"/>
    <col min="7937" max="7937" width="6.625" style="12" customWidth="1"/>
    <col min="7938" max="7938" width="20.125" style="12" customWidth="1"/>
    <col min="7939" max="7939" width="14.75" style="12" customWidth="1"/>
    <col min="7940" max="7940" width="19.125" style="12" customWidth="1"/>
    <col min="7941" max="7941" width="3.875" style="12" customWidth="1"/>
    <col min="7942" max="7942" width="9.25" style="12" customWidth="1"/>
    <col min="7943" max="7943" width="11.125" style="12" customWidth="1"/>
    <col min="7944" max="8192" width="8" style="12" customWidth="1"/>
    <col min="8193" max="8193" width="6.625" style="12" customWidth="1"/>
    <col min="8194" max="8194" width="20.125" style="12" customWidth="1"/>
    <col min="8195" max="8195" width="14.75" style="12" customWidth="1"/>
    <col min="8196" max="8196" width="19.125" style="12" customWidth="1"/>
    <col min="8197" max="8197" width="3.875" style="12" customWidth="1"/>
    <col min="8198" max="8198" width="9.25" style="12" customWidth="1"/>
    <col min="8199" max="8199" width="11.125" style="12" customWidth="1"/>
    <col min="8200" max="8448" width="8" style="12" customWidth="1"/>
    <col min="8449" max="8449" width="6.625" style="12" customWidth="1"/>
    <col min="8450" max="8450" width="20.125" style="12" customWidth="1"/>
    <col min="8451" max="8451" width="14.75" style="12" customWidth="1"/>
    <col min="8452" max="8452" width="19.125" style="12" customWidth="1"/>
    <col min="8453" max="8453" width="3.875" style="12" customWidth="1"/>
    <col min="8454" max="8454" width="9.25" style="12" customWidth="1"/>
    <col min="8455" max="8455" width="11.125" style="12" customWidth="1"/>
    <col min="8456" max="8704" width="8" style="12" customWidth="1"/>
    <col min="8705" max="8705" width="6.625" style="12" customWidth="1"/>
    <col min="8706" max="8706" width="20.125" style="12" customWidth="1"/>
    <col min="8707" max="8707" width="14.75" style="12" customWidth="1"/>
    <col min="8708" max="8708" width="19.125" style="12" customWidth="1"/>
    <col min="8709" max="8709" width="3.875" style="12" customWidth="1"/>
    <col min="8710" max="8710" width="9.25" style="12" customWidth="1"/>
    <col min="8711" max="8711" width="11.125" style="12" customWidth="1"/>
    <col min="8712" max="8960" width="8" style="12" customWidth="1"/>
    <col min="8961" max="8961" width="6.625" style="12" customWidth="1"/>
    <col min="8962" max="8962" width="20.125" style="12" customWidth="1"/>
    <col min="8963" max="8963" width="14.75" style="12" customWidth="1"/>
    <col min="8964" max="8964" width="19.125" style="12" customWidth="1"/>
    <col min="8965" max="8965" width="3.875" style="12" customWidth="1"/>
    <col min="8966" max="8966" width="9.25" style="12" customWidth="1"/>
    <col min="8967" max="8967" width="11.125" style="12" customWidth="1"/>
    <col min="8968" max="9216" width="8" style="12" customWidth="1"/>
    <col min="9217" max="9217" width="6.625" style="12" customWidth="1"/>
    <col min="9218" max="9218" width="20.125" style="12" customWidth="1"/>
    <col min="9219" max="9219" width="14.75" style="12" customWidth="1"/>
    <col min="9220" max="9220" width="19.125" style="12" customWidth="1"/>
    <col min="9221" max="9221" width="3.875" style="12" customWidth="1"/>
    <col min="9222" max="9222" width="9.25" style="12" customWidth="1"/>
    <col min="9223" max="9223" width="11.125" style="12" customWidth="1"/>
    <col min="9224" max="9472" width="8" style="12" customWidth="1"/>
    <col min="9473" max="9473" width="6.625" style="12" customWidth="1"/>
    <col min="9474" max="9474" width="20.125" style="12" customWidth="1"/>
    <col min="9475" max="9475" width="14.75" style="12" customWidth="1"/>
    <col min="9476" max="9476" width="19.125" style="12" customWidth="1"/>
    <col min="9477" max="9477" width="3.875" style="12" customWidth="1"/>
    <col min="9478" max="9478" width="9.25" style="12" customWidth="1"/>
    <col min="9479" max="9479" width="11.125" style="12" customWidth="1"/>
    <col min="9480" max="9728" width="8" style="12" customWidth="1"/>
    <col min="9729" max="9729" width="6.625" style="12" customWidth="1"/>
    <col min="9730" max="9730" width="20.125" style="12" customWidth="1"/>
    <col min="9731" max="9731" width="14.75" style="12" customWidth="1"/>
    <col min="9732" max="9732" width="19.125" style="12" customWidth="1"/>
    <col min="9733" max="9733" width="3.875" style="12" customWidth="1"/>
    <col min="9734" max="9734" width="9.25" style="12" customWidth="1"/>
    <col min="9735" max="9735" width="11.125" style="12" customWidth="1"/>
    <col min="9736" max="9984" width="8" style="12" customWidth="1"/>
    <col min="9985" max="9985" width="6.625" style="12" customWidth="1"/>
    <col min="9986" max="9986" width="20.125" style="12" customWidth="1"/>
    <col min="9987" max="9987" width="14.75" style="12" customWidth="1"/>
    <col min="9988" max="9988" width="19.125" style="12" customWidth="1"/>
    <col min="9989" max="9989" width="3.875" style="12" customWidth="1"/>
    <col min="9990" max="9990" width="9.25" style="12" customWidth="1"/>
    <col min="9991" max="9991" width="11.125" style="12" customWidth="1"/>
    <col min="9992" max="10240" width="8" style="12" customWidth="1"/>
    <col min="10241" max="10241" width="6.625" style="12" customWidth="1"/>
    <col min="10242" max="10242" width="20.125" style="12" customWidth="1"/>
    <col min="10243" max="10243" width="14.75" style="12" customWidth="1"/>
    <col min="10244" max="10244" width="19.125" style="12" customWidth="1"/>
    <col min="10245" max="10245" width="3.875" style="12" customWidth="1"/>
    <col min="10246" max="10246" width="9.25" style="12" customWidth="1"/>
    <col min="10247" max="10247" width="11.125" style="12" customWidth="1"/>
    <col min="10248" max="10496" width="8" style="12" customWidth="1"/>
    <col min="10497" max="10497" width="6.625" style="12" customWidth="1"/>
    <col min="10498" max="10498" width="20.125" style="12" customWidth="1"/>
    <col min="10499" max="10499" width="14.75" style="12" customWidth="1"/>
    <col min="10500" max="10500" width="19.125" style="12" customWidth="1"/>
    <col min="10501" max="10501" width="3.875" style="12" customWidth="1"/>
    <col min="10502" max="10502" width="9.25" style="12" customWidth="1"/>
    <col min="10503" max="10503" width="11.125" style="12" customWidth="1"/>
    <col min="10504" max="10752" width="8" style="12" customWidth="1"/>
    <col min="10753" max="10753" width="6.625" style="12" customWidth="1"/>
    <col min="10754" max="10754" width="20.125" style="12" customWidth="1"/>
    <col min="10755" max="10755" width="14.75" style="12" customWidth="1"/>
    <col min="10756" max="10756" width="19.125" style="12" customWidth="1"/>
    <col min="10757" max="10757" width="3.875" style="12" customWidth="1"/>
    <col min="10758" max="10758" width="9.25" style="12" customWidth="1"/>
    <col min="10759" max="10759" width="11.125" style="12" customWidth="1"/>
    <col min="10760" max="11008" width="8" style="12" customWidth="1"/>
    <col min="11009" max="11009" width="6.625" style="12" customWidth="1"/>
    <col min="11010" max="11010" width="20.125" style="12" customWidth="1"/>
    <col min="11011" max="11011" width="14.75" style="12" customWidth="1"/>
    <col min="11012" max="11012" width="19.125" style="12" customWidth="1"/>
    <col min="11013" max="11013" width="3.875" style="12" customWidth="1"/>
    <col min="11014" max="11014" width="9.25" style="12" customWidth="1"/>
    <col min="11015" max="11015" width="11.125" style="12" customWidth="1"/>
    <col min="11016" max="11264" width="8" style="12" customWidth="1"/>
    <col min="11265" max="11265" width="6.625" style="12" customWidth="1"/>
    <col min="11266" max="11266" width="20.125" style="12" customWidth="1"/>
    <col min="11267" max="11267" width="14.75" style="12" customWidth="1"/>
    <col min="11268" max="11268" width="19.125" style="12" customWidth="1"/>
    <col min="11269" max="11269" width="3.875" style="12" customWidth="1"/>
    <col min="11270" max="11270" width="9.25" style="12" customWidth="1"/>
    <col min="11271" max="11271" width="11.125" style="12" customWidth="1"/>
    <col min="11272" max="11520" width="8" style="12" customWidth="1"/>
    <col min="11521" max="11521" width="6.625" style="12" customWidth="1"/>
    <col min="11522" max="11522" width="20.125" style="12" customWidth="1"/>
    <col min="11523" max="11523" width="14.75" style="12" customWidth="1"/>
    <col min="11524" max="11524" width="19.125" style="12" customWidth="1"/>
    <col min="11525" max="11525" width="3.875" style="12" customWidth="1"/>
    <col min="11526" max="11526" width="9.25" style="12" customWidth="1"/>
    <col min="11527" max="11527" width="11.125" style="12" customWidth="1"/>
    <col min="11528" max="11776" width="8" style="12" customWidth="1"/>
    <col min="11777" max="11777" width="6.625" style="12" customWidth="1"/>
    <col min="11778" max="11778" width="20.125" style="12" customWidth="1"/>
    <col min="11779" max="11779" width="14.75" style="12" customWidth="1"/>
    <col min="11780" max="11780" width="19.125" style="12" customWidth="1"/>
    <col min="11781" max="11781" width="3.875" style="12" customWidth="1"/>
    <col min="11782" max="11782" width="9.25" style="12" customWidth="1"/>
    <col min="11783" max="11783" width="11.125" style="12" customWidth="1"/>
    <col min="11784" max="12032" width="8" style="12" customWidth="1"/>
    <col min="12033" max="12033" width="6.625" style="12" customWidth="1"/>
    <col min="12034" max="12034" width="20.125" style="12" customWidth="1"/>
    <col min="12035" max="12035" width="14.75" style="12" customWidth="1"/>
    <col min="12036" max="12036" width="19.125" style="12" customWidth="1"/>
    <col min="12037" max="12037" width="3.875" style="12" customWidth="1"/>
    <col min="12038" max="12038" width="9.25" style="12" customWidth="1"/>
    <col min="12039" max="12039" width="11.125" style="12" customWidth="1"/>
    <col min="12040" max="12288" width="8" style="12" customWidth="1"/>
    <col min="12289" max="12289" width="6.625" style="12" customWidth="1"/>
    <col min="12290" max="12290" width="20.125" style="12" customWidth="1"/>
    <col min="12291" max="12291" width="14.75" style="12" customWidth="1"/>
    <col min="12292" max="12292" width="19.125" style="12" customWidth="1"/>
    <col min="12293" max="12293" width="3.875" style="12" customWidth="1"/>
    <col min="12294" max="12294" width="9.25" style="12" customWidth="1"/>
    <col min="12295" max="12295" width="11.125" style="12" customWidth="1"/>
    <col min="12296" max="12544" width="8" style="12" customWidth="1"/>
    <col min="12545" max="12545" width="6.625" style="12" customWidth="1"/>
    <col min="12546" max="12546" width="20.125" style="12" customWidth="1"/>
    <col min="12547" max="12547" width="14.75" style="12" customWidth="1"/>
    <col min="12548" max="12548" width="19.125" style="12" customWidth="1"/>
    <col min="12549" max="12549" width="3.875" style="12" customWidth="1"/>
    <col min="12550" max="12550" width="9.25" style="12" customWidth="1"/>
    <col min="12551" max="12551" width="11.125" style="12" customWidth="1"/>
    <col min="12552" max="12800" width="8" style="12" customWidth="1"/>
    <col min="12801" max="12801" width="6.625" style="12" customWidth="1"/>
    <col min="12802" max="12802" width="20.125" style="12" customWidth="1"/>
    <col min="12803" max="12803" width="14.75" style="12" customWidth="1"/>
    <col min="12804" max="12804" width="19.125" style="12" customWidth="1"/>
    <col min="12805" max="12805" width="3.875" style="12" customWidth="1"/>
    <col min="12806" max="12806" width="9.25" style="12" customWidth="1"/>
    <col min="12807" max="12807" width="11.125" style="12" customWidth="1"/>
    <col min="12808" max="13056" width="8" style="12" customWidth="1"/>
    <col min="13057" max="13057" width="6.625" style="12" customWidth="1"/>
    <col min="13058" max="13058" width="20.125" style="12" customWidth="1"/>
    <col min="13059" max="13059" width="14.75" style="12" customWidth="1"/>
    <col min="13060" max="13060" width="19.125" style="12" customWidth="1"/>
    <col min="13061" max="13061" width="3.875" style="12" customWidth="1"/>
    <col min="13062" max="13062" width="9.25" style="12" customWidth="1"/>
    <col min="13063" max="13063" width="11.125" style="12" customWidth="1"/>
    <col min="13064" max="13312" width="8" style="12" customWidth="1"/>
    <col min="13313" max="13313" width="6.625" style="12" customWidth="1"/>
    <col min="13314" max="13314" width="20.125" style="12" customWidth="1"/>
    <col min="13315" max="13315" width="14.75" style="12" customWidth="1"/>
    <col min="13316" max="13316" width="19.125" style="12" customWidth="1"/>
    <col min="13317" max="13317" width="3.875" style="12" customWidth="1"/>
    <col min="13318" max="13318" width="9.25" style="12" customWidth="1"/>
    <col min="13319" max="13319" width="11.125" style="12" customWidth="1"/>
    <col min="13320" max="13568" width="8" style="12" customWidth="1"/>
    <col min="13569" max="13569" width="6.625" style="12" customWidth="1"/>
    <col min="13570" max="13570" width="20.125" style="12" customWidth="1"/>
    <col min="13571" max="13571" width="14.75" style="12" customWidth="1"/>
    <col min="13572" max="13572" width="19.125" style="12" customWidth="1"/>
    <col min="13573" max="13573" width="3.875" style="12" customWidth="1"/>
    <col min="13574" max="13574" width="9.25" style="12" customWidth="1"/>
    <col min="13575" max="13575" width="11.125" style="12" customWidth="1"/>
    <col min="13576" max="13824" width="8" style="12" customWidth="1"/>
    <col min="13825" max="13825" width="6.625" style="12" customWidth="1"/>
    <col min="13826" max="13826" width="20.125" style="12" customWidth="1"/>
    <col min="13827" max="13827" width="14.75" style="12" customWidth="1"/>
    <col min="13828" max="13828" width="19.125" style="12" customWidth="1"/>
    <col min="13829" max="13829" width="3.875" style="12" customWidth="1"/>
    <col min="13830" max="13830" width="9.25" style="12" customWidth="1"/>
    <col min="13831" max="13831" width="11.125" style="12" customWidth="1"/>
    <col min="13832" max="14080" width="8" style="12" customWidth="1"/>
    <col min="14081" max="14081" width="6.625" style="12" customWidth="1"/>
    <col min="14082" max="14082" width="20.125" style="12" customWidth="1"/>
    <col min="14083" max="14083" width="14.75" style="12" customWidth="1"/>
    <col min="14084" max="14084" width="19.125" style="12" customWidth="1"/>
    <col min="14085" max="14085" width="3.875" style="12" customWidth="1"/>
    <col min="14086" max="14086" width="9.25" style="12" customWidth="1"/>
    <col min="14087" max="14087" width="11.125" style="12" customWidth="1"/>
    <col min="14088" max="14336" width="8" style="12" customWidth="1"/>
    <col min="14337" max="14337" width="6.625" style="12" customWidth="1"/>
    <col min="14338" max="14338" width="20.125" style="12" customWidth="1"/>
    <col min="14339" max="14339" width="14.75" style="12" customWidth="1"/>
    <col min="14340" max="14340" width="19.125" style="12" customWidth="1"/>
    <col min="14341" max="14341" width="3.875" style="12" customWidth="1"/>
    <col min="14342" max="14342" width="9.25" style="12" customWidth="1"/>
    <col min="14343" max="14343" width="11.125" style="12" customWidth="1"/>
    <col min="14344" max="14592" width="8" style="12" customWidth="1"/>
    <col min="14593" max="14593" width="6.625" style="12" customWidth="1"/>
    <col min="14594" max="14594" width="20.125" style="12" customWidth="1"/>
    <col min="14595" max="14595" width="14.75" style="12" customWidth="1"/>
    <col min="14596" max="14596" width="19.125" style="12" customWidth="1"/>
    <col min="14597" max="14597" width="3.875" style="12" customWidth="1"/>
    <col min="14598" max="14598" width="9.25" style="12" customWidth="1"/>
    <col min="14599" max="14599" width="11.125" style="12" customWidth="1"/>
    <col min="14600" max="14848" width="8" style="12" customWidth="1"/>
    <col min="14849" max="14849" width="6.625" style="12" customWidth="1"/>
    <col min="14850" max="14850" width="20.125" style="12" customWidth="1"/>
    <col min="14851" max="14851" width="14.75" style="12" customWidth="1"/>
    <col min="14852" max="14852" width="19.125" style="12" customWidth="1"/>
    <col min="14853" max="14853" width="3.875" style="12" customWidth="1"/>
    <col min="14854" max="14854" width="9.25" style="12" customWidth="1"/>
    <col min="14855" max="14855" width="11.125" style="12" customWidth="1"/>
    <col min="14856" max="15104" width="8" style="12" customWidth="1"/>
    <col min="15105" max="15105" width="6.625" style="12" customWidth="1"/>
    <col min="15106" max="15106" width="20.125" style="12" customWidth="1"/>
    <col min="15107" max="15107" width="14.75" style="12" customWidth="1"/>
    <col min="15108" max="15108" width="19.125" style="12" customWidth="1"/>
    <col min="15109" max="15109" width="3.875" style="12" customWidth="1"/>
    <col min="15110" max="15110" width="9.25" style="12" customWidth="1"/>
    <col min="15111" max="15111" width="11.125" style="12" customWidth="1"/>
    <col min="15112" max="15360" width="8" style="12" customWidth="1"/>
    <col min="15361" max="15361" width="6.625" style="12" customWidth="1"/>
    <col min="15362" max="15362" width="20.125" style="12" customWidth="1"/>
    <col min="15363" max="15363" width="14.75" style="12" customWidth="1"/>
    <col min="15364" max="15364" width="19.125" style="12" customWidth="1"/>
    <col min="15365" max="15365" width="3.875" style="12" customWidth="1"/>
    <col min="15366" max="15366" width="9.25" style="12" customWidth="1"/>
    <col min="15367" max="15367" width="11.125" style="12" customWidth="1"/>
    <col min="15368" max="15616" width="8" style="12" customWidth="1"/>
    <col min="15617" max="15617" width="6.625" style="12" customWidth="1"/>
    <col min="15618" max="15618" width="20.125" style="12" customWidth="1"/>
    <col min="15619" max="15619" width="14.75" style="12" customWidth="1"/>
    <col min="15620" max="15620" width="19.125" style="12" customWidth="1"/>
    <col min="15621" max="15621" width="3.875" style="12" customWidth="1"/>
    <col min="15622" max="15622" width="9.25" style="12" customWidth="1"/>
    <col min="15623" max="15623" width="11.125" style="12" customWidth="1"/>
    <col min="15624" max="15872" width="8" style="12" customWidth="1"/>
    <col min="15873" max="15873" width="6.625" style="12" customWidth="1"/>
    <col min="15874" max="15874" width="20.125" style="12" customWidth="1"/>
    <col min="15875" max="15875" width="14.75" style="12" customWidth="1"/>
    <col min="15876" max="15876" width="19.125" style="12" customWidth="1"/>
    <col min="15877" max="15877" width="3.875" style="12" customWidth="1"/>
    <col min="15878" max="15878" width="9.25" style="12" customWidth="1"/>
    <col min="15879" max="15879" width="11.125" style="12" customWidth="1"/>
    <col min="15880" max="16128" width="8" style="12" customWidth="1"/>
    <col min="16129" max="16129" width="6.625" style="12" customWidth="1"/>
    <col min="16130" max="16130" width="20.125" style="12" customWidth="1"/>
    <col min="16131" max="16131" width="14.75" style="12" customWidth="1"/>
    <col min="16132" max="16132" width="19.125" style="12" customWidth="1"/>
    <col min="16133" max="16133" width="3.875" style="12" customWidth="1"/>
    <col min="16134" max="16134" width="9.25" style="12" customWidth="1"/>
    <col min="16135" max="16135" width="11.125" style="12" customWidth="1"/>
    <col min="16136" max="16384" width="8" style="12" customWidth="1"/>
  </cols>
  <sheetData>
    <row r="1" spans="1:7" ht="14.25" customHeight="1">
      <c r="A1" s="199" t="s">
        <v>36</v>
      </c>
      <c r="B1" s="199" t="s">
        <v>36</v>
      </c>
      <c r="C1" s="209" t="s">
        <v>36</v>
      </c>
      <c r="D1" s="209" t="s">
        <v>36</v>
      </c>
      <c r="E1" s="200" t="s">
        <v>36</v>
      </c>
      <c r="F1" s="200" t="s">
        <v>36</v>
      </c>
      <c r="G1" s="200" t="s">
        <v>36</v>
      </c>
    </row>
    <row r="2" spans="1:7" ht="27.75" customHeight="1">
      <c r="A2" s="198" t="s">
        <v>37</v>
      </c>
      <c r="B2" s="198" t="s">
        <v>36</v>
      </c>
      <c r="C2" s="198" t="s">
        <v>36</v>
      </c>
      <c r="D2" s="198" t="s">
        <v>36</v>
      </c>
      <c r="E2" s="198" t="s">
        <v>36</v>
      </c>
      <c r="F2" s="198" t="s">
        <v>36</v>
      </c>
      <c r="G2" s="198" t="s">
        <v>36</v>
      </c>
    </row>
    <row r="3" spans="1:7" ht="14.25" customHeight="1" thickBot="1">
      <c r="A3" s="199" t="s">
        <v>446</v>
      </c>
      <c r="B3" s="199" t="s">
        <v>36</v>
      </c>
      <c r="C3" s="199" t="s">
        <v>36</v>
      </c>
      <c r="D3" s="199" t="s">
        <v>36</v>
      </c>
      <c r="E3" s="200" t="s">
        <v>38</v>
      </c>
      <c r="F3" s="200" t="s">
        <v>36</v>
      </c>
      <c r="G3" s="200" t="s">
        <v>36</v>
      </c>
    </row>
    <row r="4" spans="1:7" ht="15" customHeight="1">
      <c r="A4" s="136" t="s">
        <v>31</v>
      </c>
      <c r="B4" s="203" t="s">
        <v>39</v>
      </c>
      <c r="C4" s="203" t="s">
        <v>36</v>
      </c>
      <c r="D4" s="203" t="s">
        <v>40</v>
      </c>
      <c r="E4" s="203" t="s">
        <v>36</v>
      </c>
      <c r="F4" s="138" t="s">
        <v>41</v>
      </c>
      <c r="G4" s="140" t="s">
        <v>42</v>
      </c>
    </row>
    <row r="5" spans="1:7" ht="26.25" customHeight="1">
      <c r="A5" s="137" t="s">
        <v>43</v>
      </c>
      <c r="B5" s="195" t="s">
        <v>44</v>
      </c>
      <c r="C5" s="195" t="s">
        <v>36</v>
      </c>
      <c r="D5" s="195" t="s">
        <v>45</v>
      </c>
      <c r="E5" s="195" t="s">
        <v>36</v>
      </c>
      <c r="F5" s="144" t="s">
        <v>442</v>
      </c>
      <c r="G5" s="13">
        <v>4114350.22</v>
      </c>
    </row>
    <row r="6" spans="1:7" ht="15" customHeight="1">
      <c r="A6" s="137" t="s">
        <v>47</v>
      </c>
      <c r="B6" s="195" t="s">
        <v>48</v>
      </c>
      <c r="C6" s="195" t="s">
        <v>36</v>
      </c>
      <c r="D6" s="195" t="s">
        <v>49</v>
      </c>
      <c r="E6" s="195" t="s">
        <v>36</v>
      </c>
      <c r="F6" s="144" t="s">
        <v>442</v>
      </c>
      <c r="G6" s="13">
        <v>9025264.2699999996</v>
      </c>
    </row>
    <row r="7" spans="1:7" ht="48.75" customHeight="1">
      <c r="A7" s="137" t="s">
        <v>50</v>
      </c>
      <c r="B7" s="195" t="s">
        <v>51</v>
      </c>
      <c r="C7" s="195" t="s">
        <v>36</v>
      </c>
      <c r="D7" s="195" t="s">
        <v>52</v>
      </c>
      <c r="E7" s="195" t="s">
        <v>36</v>
      </c>
      <c r="F7" s="144" t="s">
        <v>36</v>
      </c>
      <c r="G7" s="13">
        <v>269901.39</v>
      </c>
    </row>
    <row r="8" spans="1:7" ht="15" customHeight="1">
      <c r="A8" s="137" t="s">
        <v>53</v>
      </c>
      <c r="B8" s="195" t="s">
        <v>54</v>
      </c>
      <c r="C8" s="195" t="s">
        <v>36</v>
      </c>
      <c r="D8" s="195" t="s">
        <v>44</v>
      </c>
      <c r="E8" s="195" t="s">
        <v>36</v>
      </c>
      <c r="F8" s="144" t="s">
        <v>55</v>
      </c>
      <c r="G8" s="13">
        <v>57271.76</v>
      </c>
    </row>
    <row r="9" spans="1:7" ht="15" customHeight="1">
      <c r="A9" s="137" t="s">
        <v>56</v>
      </c>
      <c r="B9" s="195" t="s">
        <v>57</v>
      </c>
      <c r="C9" s="195" t="s">
        <v>36</v>
      </c>
      <c r="D9" s="195" t="s">
        <v>44</v>
      </c>
      <c r="E9" s="195" t="s">
        <v>36</v>
      </c>
      <c r="F9" s="144" t="s">
        <v>58</v>
      </c>
      <c r="G9" s="13">
        <v>76485.77</v>
      </c>
    </row>
    <row r="10" spans="1:7" ht="15" customHeight="1">
      <c r="A10" s="137" t="s">
        <v>59</v>
      </c>
      <c r="B10" s="195" t="s">
        <v>60</v>
      </c>
      <c r="C10" s="195" t="s">
        <v>36</v>
      </c>
      <c r="D10" s="195" t="s">
        <v>44</v>
      </c>
      <c r="E10" s="195" t="s">
        <v>36</v>
      </c>
      <c r="F10" s="144" t="s">
        <v>61</v>
      </c>
      <c r="G10" s="13">
        <v>14523.66</v>
      </c>
    </row>
    <row r="11" spans="1:7" ht="15" customHeight="1">
      <c r="A11" s="137" t="s">
        <v>62</v>
      </c>
      <c r="B11" s="195" t="s">
        <v>63</v>
      </c>
      <c r="C11" s="195" t="s">
        <v>36</v>
      </c>
      <c r="D11" s="195" t="s">
        <v>44</v>
      </c>
      <c r="E11" s="195" t="s">
        <v>36</v>
      </c>
      <c r="F11" s="144" t="s">
        <v>64</v>
      </c>
      <c r="G11" s="13">
        <v>45916.15</v>
      </c>
    </row>
    <row r="12" spans="1:7" ht="15" customHeight="1">
      <c r="A12" s="137" t="s">
        <v>65</v>
      </c>
      <c r="B12" s="195" t="s">
        <v>66</v>
      </c>
      <c r="C12" s="195" t="s">
        <v>36</v>
      </c>
      <c r="D12" s="195" t="s">
        <v>44</v>
      </c>
      <c r="E12" s="195" t="s">
        <v>36</v>
      </c>
      <c r="F12" s="144" t="s">
        <v>67</v>
      </c>
      <c r="G12" s="13">
        <v>29088.46</v>
      </c>
    </row>
    <row r="13" spans="1:7" ht="15" customHeight="1">
      <c r="A13" s="137" t="s">
        <v>68</v>
      </c>
      <c r="B13" s="195" t="s">
        <v>69</v>
      </c>
      <c r="C13" s="195" t="s">
        <v>36</v>
      </c>
      <c r="D13" s="195" t="s">
        <v>44</v>
      </c>
      <c r="E13" s="195" t="s">
        <v>36</v>
      </c>
      <c r="F13" s="144" t="s">
        <v>70</v>
      </c>
      <c r="G13" s="13">
        <v>46615.59</v>
      </c>
    </row>
    <row r="14" spans="1:7" ht="15" customHeight="1">
      <c r="A14" s="137" t="s">
        <v>71</v>
      </c>
      <c r="B14" s="195" t="s">
        <v>72</v>
      </c>
      <c r="C14" s="195" t="s">
        <v>36</v>
      </c>
      <c r="D14" s="195" t="s">
        <v>73</v>
      </c>
      <c r="E14" s="195" t="s">
        <v>36</v>
      </c>
      <c r="F14" s="144" t="s">
        <v>36</v>
      </c>
      <c r="G14" s="13">
        <v>9295165.6600000001</v>
      </c>
    </row>
    <row r="15" spans="1:7" ht="15" customHeight="1">
      <c r="A15" s="137" t="s">
        <v>74</v>
      </c>
      <c r="B15" s="195" t="s">
        <v>75</v>
      </c>
      <c r="C15" s="195" t="s">
        <v>36</v>
      </c>
      <c r="D15" s="195" t="s">
        <v>76</v>
      </c>
      <c r="E15" s="195" t="s">
        <v>36</v>
      </c>
      <c r="F15" s="144" t="s">
        <v>77</v>
      </c>
      <c r="G15" s="13">
        <v>391031.4</v>
      </c>
    </row>
    <row r="16" spans="1:7" ht="15" customHeight="1">
      <c r="A16" s="137" t="s">
        <v>78</v>
      </c>
      <c r="B16" s="195" t="s">
        <v>79</v>
      </c>
      <c r="C16" s="195" t="s">
        <v>36</v>
      </c>
      <c r="D16" s="195" t="s">
        <v>76</v>
      </c>
      <c r="E16" s="195" t="s">
        <v>36</v>
      </c>
      <c r="F16" s="144" t="s">
        <v>80</v>
      </c>
      <c r="G16" s="13">
        <v>33057.26</v>
      </c>
    </row>
    <row r="17" spans="1:7" ht="26.25" customHeight="1">
      <c r="A17" s="137" t="s">
        <v>81</v>
      </c>
      <c r="B17" s="195" t="s">
        <v>82</v>
      </c>
      <c r="C17" s="195" t="s">
        <v>36</v>
      </c>
      <c r="D17" s="195" t="s">
        <v>83</v>
      </c>
      <c r="E17" s="195" t="s">
        <v>36</v>
      </c>
      <c r="F17" s="144" t="s">
        <v>84</v>
      </c>
      <c r="G17" s="13">
        <v>336583.82</v>
      </c>
    </row>
    <row r="18" spans="1:7" ht="26.25" customHeight="1">
      <c r="A18" s="137" t="s">
        <v>85</v>
      </c>
      <c r="B18" s="195" t="s">
        <v>86</v>
      </c>
      <c r="C18" s="195" t="s">
        <v>36</v>
      </c>
      <c r="D18" s="195" t="s">
        <v>87</v>
      </c>
      <c r="E18" s="195" t="s">
        <v>36</v>
      </c>
      <c r="F18" s="144" t="s">
        <v>88</v>
      </c>
      <c r="G18" s="13">
        <v>342904.08</v>
      </c>
    </row>
    <row r="19" spans="1:7" ht="15" customHeight="1">
      <c r="A19" s="137" t="s">
        <v>89</v>
      </c>
      <c r="B19" s="195" t="s">
        <v>90</v>
      </c>
      <c r="C19" s="195" t="s">
        <v>36</v>
      </c>
      <c r="D19" s="195" t="s">
        <v>44</v>
      </c>
      <c r="E19" s="195" t="s">
        <v>36</v>
      </c>
      <c r="F19" s="144" t="s">
        <v>443</v>
      </c>
      <c r="G19" s="13">
        <v>4652507.2300000004</v>
      </c>
    </row>
    <row r="20" spans="1:7" ht="26.25" customHeight="1">
      <c r="A20" s="137" t="s">
        <v>91</v>
      </c>
      <c r="B20" s="195" t="s">
        <v>92</v>
      </c>
      <c r="C20" s="195" t="s">
        <v>36</v>
      </c>
      <c r="D20" s="195" t="s">
        <v>93</v>
      </c>
      <c r="E20" s="195" t="s">
        <v>36</v>
      </c>
      <c r="F20" s="144" t="s">
        <v>36</v>
      </c>
      <c r="G20" s="13">
        <v>15051249.449999999</v>
      </c>
    </row>
    <row r="21" spans="1:7" ht="14.25" customHeight="1">
      <c r="A21" s="137" t="s">
        <v>36</v>
      </c>
      <c r="B21" s="195" t="s">
        <v>36</v>
      </c>
      <c r="C21" s="195" t="s">
        <v>36</v>
      </c>
      <c r="D21" s="195" t="s">
        <v>36</v>
      </c>
      <c r="E21" s="195" t="s">
        <v>36</v>
      </c>
      <c r="F21" s="144" t="s">
        <v>36</v>
      </c>
      <c r="G21" s="13" t="s">
        <v>36</v>
      </c>
    </row>
    <row r="22" spans="1:7" ht="14.25" customHeight="1">
      <c r="A22" s="137" t="s">
        <v>36</v>
      </c>
      <c r="B22" s="195" t="s">
        <v>36</v>
      </c>
      <c r="C22" s="195" t="s">
        <v>36</v>
      </c>
      <c r="D22" s="195" t="s">
        <v>36</v>
      </c>
      <c r="E22" s="195" t="s">
        <v>36</v>
      </c>
      <c r="F22" s="144" t="s">
        <v>36</v>
      </c>
      <c r="G22" s="13" t="s">
        <v>36</v>
      </c>
    </row>
    <row r="23" spans="1:7" ht="14.25" customHeight="1">
      <c r="A23" s="137" t="s">
        <v>36</v>
      </c>
      <c r="B23" s="195" t="s">
        <v>36</v>
      </c>
      <c r="C23" s="195" t="s">
        <v>36</v>
      </c>
      <c r="D23" s="195" t="s">
        <v>36</v>
      </c>
      <c r="E23" s="195" t="s">
        <v>36</v>
      </c>
      <c r="F23" s="144" t="s">
        <v>36</v>
      </c>
      <c r="G23" s="13" t="s">
        <v>36</v>
      </c>
    </row>
    <row r="24" spans="1:7" ht="14.25" customHeight="1">
      <c r="A24" s="137" t="s">
        <v>36</v>
      </c>
      <c r="B24" s="195" t="s">
        <v>36</v>
      </c>
      <c r="C24" s="195" t="s">
        <v>36</v>
      </c>
      <c r="D24" s="195" t="s">
        <v>36</v>
      </c>
      <c r="E24" s="195" t="s">
        <v>36</v>
      </c>
      <c r="F24" s="144" t="s">
        <v>36</v>
      </c>
      <c r="G24" s="13" t="s">
        <v>36</v>
      </c>
    </row>
    <row r="25" spans="1:7" ht="14.25" customHeight="1">
      <c r="A25" s="137" t="s">
        <v>36</v>
      </c>
      <c r="B25" s="195" t="s">
        <v>36</v>
      </c>
      <c r="C25" s="195" t="s">
        <v>36</v>
      </c>
      <c r="D25" s="195" t="s">
        <v>36</v>
      </c>
      <c r="E25" s="195" t="s">
        <v>36</v>
      </c>
      <c r="F25" s="144" t="s">
        <v>36</v>
      </c>
      <c r="G25" s="13" t="s">
        <v>36</v>
      </c>
    </row>
    <row r="26" spans="1:7" ht="14.25" customHeight="1">
      <c r="A26" s="137" t="s">
        <v>36</v>
      </c>
      <c r="B26" s="195" t="s">
        <v>36</v>
      </c>
      <c r="C26" s="195" t="s">
        <v>36</v>
      </c>
      <c r="D26" s="195" t="s">
        <v>36</v>
      </c>
      <c r="E26" s="195" t="s">
        <v>36</v>
      </c>
      <c r="F26" s="144" t="s">
        <v>36</v>
      </c>
      <c r="G26" s="13" t="s">
        <v>36</v>
      </c>
    </row>
    <row r="27" spans="1:7" ht="14.25" customHeight="1">
      <c r="A27" s="137" t="s">
        <v>36</v>
      </c>
      <c r="B27" s="195" t="s">
        <v>36</v>
      </c>
      <c r="C27" s="195" t="s">
        <v>36</v>
      </c>
      <c r="D27" s="195" t="s">
        <v>36</v>
      </c>
      <c r="E27" s="195" t="s">
        <v>36</v>
      </c>
      <c r="F27" s="144" t="s">
        <v>36</v>
      </c>
      <c r="G27" s="13" t="s">
        <v>36</v>
      </c>
    </row>
    <row r="28" spans="1:7" ht="14.25" customHeight="1">
      <c r="A28" s="137" t="s">
        <v>36</v>
      </c>
      <c r="B28" s="195" t="s">
        <v>36</v>
      </c>
      <c r="C28" s="195" t="s">
        <v>36</v>
      </c>
      <c r="D28" s="195" t="s">
        <v>36</v>
      </c>
      <c r="E28" s="195" t="s">
        <v>36</v>
      </c>
      <c r="F28" s="144" t="s">
        <v>36</v>
      </c>
      <c r="G28" s="13" t="s">
        <v>36</v>
      </c>
    </row>
    <row r="29" spans="1:7" ht="14.25" customHeight="1">
      <c r="A29" s="137" t="s">
        <v>36</v>
      </c>
      <c r="B29" s="195" t="s">
        <v>36</v>
      </c>
      <c r="C29" s="195" t="s">
        <v>36</v>
      </c>
      <c r="D29" s="195" t="s">
        <v>36</v>
      </c>
      <c r="E29" s="195" t="s">
        <v>36</v>
      </c>
      <c r="F29" s="144" t="s">
        <v>36</v>
      </c>
      <c r="G29" s="13" t="s">
        <v>36</v>
      </c>
    </row>
    <row r="30" spans="1:7" ht="14.25" customHeight="1">
      <c r="A30" s="137" t="s">
        <v>36</v>
      </c>
      <c r="B30" s="195" t="s">
        <v>36</v>
      </c>
      <c r="C30" s="195" t="s">
        <v>36</v>
      </c>
      <c r="D30" s="195" t="s">
        <v>36</v>
      </c>
      <c r="E30" s="195" t="s">
        <v>36</v>
      </c>
      <c r="F30" s="144" t="s">
        <v>36</v>
      </c>
      <c r="G30" s="13" t="s">
        <v>36</v>
      </c>
    </row>
    <row r="31" spans="1:7" ht="14.25" customHeight="1">
      <c r="A31" s="137" t="s">
        <v>36</v>
      </c>
      <c r="B31" s="195" t="s">
        <v>36</v>
      </c>
      <c r="C31" s="195" t="s">
        <v>36</v>
      </c>
      <c r="D31" s="195" t="s">
        <v>36</v>
      </c>
      <c r="E31" s="195" t="s">
        <v>36</v>
      </c>
      <c r="F31" s="144" t="s">
        <v>36</v>
      </c>
      <c r="G31" s="13" t="s">
        <v>36</v>
      </c>
    </row>
    <row r="32" spans="1:7" ht="14.25" customHeight="1">
      <c r="A32" s="137" t="s">
        <v>36</v>
      </c>
      <c r="B32" s="195" t="s">
        <v>36</v>
      </c>
      <c r="C32" s="195" t="s">
        <v>36</v>
      </c>
      <c r="D32" s="195" t="s">
        <v>36</v>
      </c>
      <c r="E32" s="195" t="s">
        <v>36</v>
      </c>
      <c r="F32" s="144" t="s">
        <v>36</v>
      </c>
      <c r="G32" s="13" t="s">
        <v>36</v>
      </c>
    </row>
    <row r="33" spans="1:7" ht="14.25" customHeight="1">
      <c r="A33" s="137" t="s">
        <v>36</v>
      </c>
      <c r="B33" s="195" t="s">
        <v>36</v>
      </c>
      <c r="C33" s="195" t="s">
        <v>36</v>
      </c>
      <c r="D33" s="195" t="s">
        <v>36</v>
      </c>
      <c r="E33" s="195" t="s">
        <v>36</v>
      </c>
      <c r="F33" s="144" t="s">
        <v>36</v>
      </c>
      <c r="G33" s="13" t="s">
        <v>36</v>
      </c>
    </row>
    <row r="34" spans="1:7" ht="14.25" customHeight="1">
      <c r="A34" s="137" t="s">
        <v>36</v>
      </c>
      <c r="B34" s="195" t="s">
        <v>36</v>
      </c>
      <c r="C34" s="195" t="s">
        <v>36</v>
      </c>
      <c r="D34" s="195" t="s">
        <v>36</v>
      </c>
      <c r="E34" s="195" t="s">
        <v>36</v>
      </c>
      <c r="F34" s="144" t="s">
        <v>36</v>
      </c>
      <c r="G34" s="13" t="s">
        <v>36</v>
      </c>
    </row>
    <row r="35" spans="1:7" ht="14.25" customHeight="1">
      <c r="A35" s="137" t="s">
        <v>36</v>
      </c>
      <c r="B35" s="195" t="s">
        <v>36</v>
      </c>
      <c r="C35" s="195" t="s">
        <v>36</v>
      </c>
      <c r="D35" s="195" t="s">
        <v>36</v>
      </c>
      <c r="E35" s="195" t="s">
        <v>36</v>
      </c>
      <c r="F35" s="144" t="s">
        <v>36</v>
      </c>
      <c r="G35" s="13" t="s">
        <v>36</v>
      </c>
    </row>
    <row r="36" spans="1:7" ht="14.25" customHeight="1">
      <c r="A36" s="137" t="s">
        <v>36</v>
      </c>
      <c r="B36" s="195" t="s">
        <v>36</v>
      </c>
      <c r="C36" s="195" t="s">
        <v>36</v>
      </c>
      <c r="D36" s="195" t="s">
        <v>36</v>
      </c>
      <c r="E36" s="195" t="s">
        <v>36</v>
      </c>
      <c r="F36" s="144" t="s">
        <v>36</v>
      </c>
      <c r="G36" s="13" t="s">
        <v>36</v>
      </c>
    </row>
    <row r="37" spans="1:7" ht="14.25" customHeight="1">
      <c r="A37" s="137" t="s">
        <v>36</v>
      </c>
      <c r="B37" s="195" t="s">
        <v>36</v>
      </c>
      <c r="C37" s="195" t="s">
        <v>36</v>
      </c>
      <c r="D37" s="195" t="s">
        <v>36</v>
      </c>
      <c r="E37" s="195" t="s">
        <v>36</v>
      </c>
      <c r="F37" s="144" t="s">
        <v>36</v>
      </c>
      <c r="G37" s="13" t="s">
        <v>36</v>
      </c>
    </row>
    <row r="38" spans="1:7" ht="14.25" customHeight="1">
      <c r="A38" s="137" t="s">
        <v>36</v>
      </c>
      <c r="B38" s="195" t="s">
        <v>36</v>
      </c>
      <c r="C38" s="195" t="s">
        <v>36</v>
      </c>
      <c r="D38" s="195" t="s">
        <v>36</v>
      </c>
      <c r="E38" s="195" t="s">
        <v>36</v>
      </c>
      <c r="F38" s="144" t="s">
        <v>36</v>
      </c>
      <c r="G38" s="13" t="s">
        <v>36</v>
      </c>
    </row>
    <row r="39" spans="1:7" ht="14.25" customHeight="1">
      <c r="A39" s="137" t="s">
        <v>36</v>
      </c>
      <c r="B39" s="195" t="s">
        <v>36</v>
      </c>
      <c r="C39" s="195" t="s">
        <v>36</v>
      </c>
      <c r="D39" s="195" t="s">
        <v>36</v>
      </c>
      <c r="E39" s="195" t="s">
        <v>36</v>
      </c>
      <c r="F39" s="144" t="s">
        <v>36</v>
      </c>
      <c r="G39" s="13" t="s">
        <v>36</v>
      </c>
    </row>
    <row r="40" spans="1:7" ht="14.25" customHeight="1">
      <c r="A40" s="137" t="s">
        <v>36</v>
      </c>
      <c r="B40" s="195" t="s">
        <v>36</v>
      </c>
      <c r="C40" s="195" t="s">
        <v>36</v>
      </c>
      <c r="D40" s="195" t="s">
        <v>36</v>
      </c>
      <c r="E40" s="195" t="s">
        <v>36</v>
      </c>
      <c r="F40" s="144" t="s">
        <v>36</v>
      </c>
      <c r="G40" s="13" t="s">
        <v>36</v>
      </c>
    </row>
    <row r="41" spans="1:7" ht="14.25" customHeight="1">
      <c r="A41" s="137" t="s">
        <v>36</v>
      </c>
      <c r="B41" s="195" t="s">
        <v>36</v>
      </c>
      <c r="C41" s="195" t="s">
        <v>36</v>
      </c>
      <c r="D41" s="195" t="s">
        <v>36</v>
      </c>
      <c r="E41" s="195" t="s">
        <v>36</v>
      </c>
      <c r="F41" s="144" t="s">
        <v>36</v>
      </c>
      <c r="G41" s="13" t="s">
        <v>36</v>
      </c>
    </row>
    <row r="42" spans="1:7" ht="14.25" customHeight="1">
      <c r="A42" s="137" t="s">
        <v>36</v>
      </c>
      <c r="B42" s="195" t="s">
        <v>36</v>
      </c>
      <c r="C42" s="195" t="s">
        <v>36</v>
      </c>
      <c r="D42" s="195" t="s">
        <v>36</v>
      </c>
      <c r="E42" s="195" t="s">
        <v>36</v>
      </c>
      <c r="F42" s="144" t="s">
        <v>36</v>
      </c>
      <c r="G42" s="13" t="s">
        <v>36</v>
      </c>
    </row>
    <row r="43" spans="1:7" ht="14.25" customHeight="1">
      <c r="A43" s="137" t="s">
        <v>36</v>
      </c>
      <c r="B43" s="195" t="s">
        <v>36</v>
      </c>
      <c r="C43" s="195" t="s">
        <v>36</v>
      </c>
      <c r="D43" s="195" t="s">
        <v>36</v>
      </c>
      <c r="E43" s="195" t="s">
        <v>36</v>
      </c>
      <c r="F43" s="144" t="s">
        <v>36</v>
      </c>
      <c r="G43" s="13" t="s">
        <v>36</v>
      </c>
    </row>
    <row r="44" spans="1:7" ht="14.25" customHeight="1" thickBot="1">
      <c r="A44" s="14" t="s">
        <v>36</v>
      </c>
      <c r="B44" s="205" t="s">
        <v>36</v>
      </c>
      <c r="C44" s="205" t="s">
        <v>36</v>
      </c>
      <c r="D44" s="205" t="s">
        <v>36</v>
      </c>
      <c r="E44" s="205" t="s">
        <v>36</v>
      </c>
      <c r="F44" s="15" t="s">
        <v>36</v>
      </c>
      <c r="G44" s="16" t="s">
        <v>36</v>
      </c>
    </row>
    <row r="45" spans="1:7" ht="14.25" customHeight="1">
      <c r="A45" s="199" t="s">
        <v>36</v>
      </c>
      <c r="B45" s="199" t="s">
        <v>36</v>
      </c>
      <c r="C45" s="209" t="s">
        <v>36</v>
      </c>
      <c r="D45" s="209" t="s">
        <v>36</v>
      </c>
      <c r="E45" s="200" t="s">
        <v>36</v>
      </c>
      <c r="F45" s="200" t="s">
        <v>36</v>
      </c>
      <c r="G45" s="200" t="s">
        <v>36</v>
      </c>
    </row>
  </sheetData>
  <mergeCells count="91">
    <mergeCell ref="B43:C43"/>
    <mergeCell ref="D43:E43"/>
    <mergeCell ref="B44:C44"/>
    <mergeCell ref="D44:E44"/>
    <mergeCell ref="A45:B45"/>
    <mergeCell ref="C45:D45"/>
    <mergeCell ref="E45:G45"/>
    <mergeCell ref="B40:C40"/>
    <mergeCell ref="D40:E40"/>
    <mergeCell ref="B41:C41"/>
    <mergeCell ref="D41:E41"/>
    <mergeCell ref="B42:C42"/>
    <mergeCell ref="D42:E42"/>
    <mergeCell ref="B37:C37"/>
    <mergeCell ref="D37:E37"/>
    <mergeCell ref="B38:C38"/>
    <mergeCell ref="D38:E38"/>
    <mergeCell ref="B39:C39"/>
    <mergeCell ref="D39:E39"/>
    <mergeCell ref="B34:C34"/>
    <mergeCell ref="D34:E34"/>
    <mergeCell ref="B35:C35"/>
    <mergeCell ref="D35:E35"/>
    <mergeCell ref="B36:C36"/>
    <mergeCell ref="D36:E36"/>
    <mergeCell ref="B31:C31"/>
    <mergeCell ref="D31:E31"/>
    <mergeCell ref="B32:C32"/>
    <mergeCell ref="D32:E32"/>
    <mergeCell ref="B33:C33"/>
    <mergeCell ref="D33:E33"/>
    <mergeCell ref="B28:C28"/>
    <mergeCell ref="D28:E28"/>
    <mergeCell ref="B29:C29"/>
    <mergeCell ref="D29:E29"/>
    <mergeCell ref="B30:C30"/>
    <mergeCell ref="D30:E30"/>
    <mergeCell ref="B25:C25"/>
    <mergeCell ref="D25:E25"/>
    <mergeCell ref="B26:C26"/>
    <mergeCell ref="D26:E26"/>
    <mergeCell ref="B27:C27"/>
    <mergeCell ref="D27:E27"/>
    <mergeCell ref="B22:C22"/>
    <mergeCell ref="D22:E22"/>
    <mergeCell ref="B23:C23"/>
    <mergeCell ref="D23:E23"/>
    <mergeCell ref="B24:C24"/>
    <mergeCell ref="D24:E24"/>
    <mergeCell ref="B19:C19"/>
    <mergeCell ref="D19:E19"/>
    <mergeCell ref="B20:C20"/>
    <mergeCell ref="D20:E20"/>
    <mergeCell ref="B21:C21"/>
    <mergeCell ref="D21:E21"/>
    <mergeCell ref="B16:C16"/>
    <mergeCell ref="D16:E16"/>
    <mergeCell ref="B17:C17"/>
    <mergeCell ref="D17:E17"/>
    <mergeCell ref="B18:C18"/>
    <mergeCell ref="D18:E18"/>
    <mergeCell ref="B13:C13"/>
    <mergeCell ref="D13:E13"/>
    <mergeCell ref="B14:C14"/>
    <mergeCell ref="D14:E14"/>
    <mergeCell ref="B15:C15"/>
    <mergeCell ref="D15:E15"/>
    <mergeCell ref="B10:C10"/>
    <mergeCell ref="D10:E10"/>
    <mergeCell ref="B11:C11"/>
    <mergeCell ref="D11:E11"/>
    <mergeCell ref="B12:C12"/>
    <mergeCell ref="D12:E12"/>
    <mergeCell ref="B7:C7"/>
    <mergeCell ref="D7:E7"/>
    <mergeCell ref="B8:C8"/>
    <mergeCell ref="D8:E8"/>
    <mergeCell ref="B9:C9"/>
    <mergeCell ref="D9:E9"/>
    <mergeCell ref="B4:C4"/>
    <mergeCell ref="D4:E4"/>
    <mergeCell ref="B5:C5"/>
    <mergeCell ref="D5:E5"/>
    <mergeCell ref="B6:C6"/>
    <mergeCell ref="D6:E6"/>
    <mergeCell ref="A1:B1"/>
    <mergeCell ref="C1:D1"/>
    <mergeCell ref="E1:G1"/>
    <mergeCell ref="A2:G2"/>
    <mergeCell ref="A3:D3"/>
    <mergeCell ref="E3:G3"/>
  </mergeCells>
  <phoneticPr fontId="1" type="noConversion"/>
  <pageMargins left="0.51500984251968507" right="0.51500984251968507" top="0.59375" bottom="0.59375" header="0.59375" footer="0.59375"/>
  <pageSetup paperSize="9" orientation="portrait" horizontalDpi="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3</vt:i4>
      </vt:variant>
    </vt:vector>
  </HeadingPairs>
  <TitlesOfParts>
    <vt:vector size="19" baseType="lpstr">
      <vt:lpstr>设备对比表</vt:lpstr>
      <vt:lpstr>概算对比表</vt:lpstr>
      <vt:lpstr>总概算表</vt:lpstr>
      <vt:lpstr>室内</vt:lpstr>
      <vt:lpstr>室外</vt:lpstr>
      <vt:lpstr>其他</vt:lpstr>
      <vt:lpstr>设备取费</vt:lpstr>
      <vt:lpstr>公用设备</vt:lpstr>
      <vt:lpstr>新增（改造）工艺设备明细表</vt:lpstr>
      <vt:lpstr>土</vt:lpstr>
      <vt:lpstr>土费</vt:lpstr>
      <vt:lpstr>单位工程人材机价差表</vt:lpstr>
      <vt:lpstr>电</vt:lpstr>
      <vt:lpstr>电费</vt:lpstr>
      <vt:lpstr>船坞改造</vt:lpstr>
      <vt:lpstr>船坞改造费用</vt:lpstr>
      <vt:lpstr>概算对比表!Print_Area</vt:lpstr>
      <vt:lpstr>'新增（改造）工艺设备明细表'!Print_Area</vt:lpstr>
      <vt:lpstr>公用设备!Print_Titles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2016-12-17T09:27:20Z</dcterms:modified>
</cp:coreProperties>
</file>