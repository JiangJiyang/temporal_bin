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15" yWindow="4410" windowWidth="11955" windowHeight="2400" tabRatio="772" firstSheet="2" activeTab="2"/>
  </bookViews>
  <sheets>
    <sheet name="Sheet1" sheetId="14" state="hidden" r:id="rId1"/>
    <sheet name="工艺设备2 (2)" sheetId="15" state="hidden" r:id="rId2"/>
    <sheet name="总概" sheetId="47" r:id="rId3"/>
    <sheet name="工艺设备" sheetId="48" r:id="rId4"/>
    <sheet name="招标基本情况表" sheetId="42" r:id="rId5"/>
  </sheets>
  <externalReferences>
    <externalReference r:id="rId6"/>
    <externalReference r:id="rId7"/>
    <externalReference r:id="rId8"/>
    <externalReference r:id="rId9"/>
  </externalReferences>
  <definedNames>
    <definedName name="_________fe1" hidden="1">{"'设备表'!$A$1:$K$6"}</definedName>
    <definedName name="_________fe2" hidden="1">{"'设备表'!$A$1:$K$6"}</definedName>
    <definedName name="_________fe3" hidden="1">{"'设备表'!$A$1:$K$6"}</definedName>
    <definedName name="_________fe4" hidden="1">{"'设备表'!$A$1:$K$6"}</definedName>
    <definedName name="_________s1" hidden="1">{"'设备表'!$A$1:$K$6"}</definedName>
    <definedName name="________fe1" localSheetId="3" hidden="1">{"'设备表'!$A$1:$K$6"}</definedName>
    <definedName name="________fe1" localSheetId="2" hidden="1">{"'设备表'!$A$1:$K$6"}</definedName>
    <definedName name="________fe1" hidden="1">{"'设备表'!$A$1:$K$6"}</definedName>
    <definedName name="________fe2" localSheetId="3" hidden="1">{"'设备表'!$A$1:$K$6"}</definedName>
    <definedName name="________fe2" localSheetId="2" hidden="1">{"'设备表'!$A$1:$K$6"}</definedName>
    <definedName name="________fe2" hidden="1">{"'设备表'!$A$1:$K$6"}</definedName>
    <definedName name="________fe3" localSheetId="3" hidden="1">{"'设备表'!$A$1:$K$6"}</definedName>
    <definedName name="________fe3" localSheetId="2" hidden="1">{"'设备表'!$A$1:$K$6"}</definedName>
    <definedName name="________fe3" hidden="1">{"'设备表'!$A$1:$K$6"}</definedName>
    <definedName name="________fe4" localSheetId="3" hidden="1">{"'设备表'!$A$1:$K$6"}</definedName>
    <definedName name="________fe4" localSheetId="2" hidden="1">{"'设备表'!$A$1:$K$6"}</definedName>
    <definedName name="________fe4" hidden="1">{"'设备表'!$A$1:$K$6"}</definedName>
    <definedName name="________s1" localSheetId="3" hidden="1">{"'设备表'!$A$1:$K$6"}</definedName>
    <definedName name="________s1" localSheetId="2" hidden="1">{"'设备表'!$A$1:$K$6"}</definedName>
    <definedName name="________s1" hidden="1">{"'设备表'!$A$1:$K$6"}</definedName>
    <definedName name="_______fe1" hidden="1">{"'设备表'!$A$1:$K$6"}</definedName>
    <definedName name="_______fe2" hidden="1">{"'设备表'!$A$1:$K$6"}</definedName>
    <definedName name="_______fe3" hidden="1">{"'设备表'!$A$1:$K$6"}</definedName>
    <definedName name="_______fe4" hidden="1">{"'设备表'!$A$1:$K$6"}</definedName>
    <definedName name="_______s1" hidden="1">{"'设备表'!$A$1:$K$6"}</definedName>
    <definedName name="______fe1" hidden="1">{"'设备表'!$A$1:$K$6"}</definedName>
    <definedName name="______fe2" hidden="1">{"'设备表'!$A$1:$K$6"}</definedName>
    <definedName name="______fe3" hidden="1">{"'设备表'!$A$1:$K$6"}</definedName>
    <definedName name="______fe4" hidden="1">{"'设备表'!$A$1:$K$6"}</definedName>
    <definedName name="______s1" hidden="1">{"'设备表'!$A$1:$K$6"}</definedName>
    <definedName name="_____fe1" localSheetId="3" hidden="1">{"'设备表'!$A$1:$K$6"}</definedName>
    <definedName name="_____fe1" localSheetId="2" hidden="1">{"'设备表'!$A$1:$K$6"}</definedName>
    <definedName name="_____fe1" hidden="1">{"'设备表'!$A$1:$K$6"}</definedName>
    <definedName name="_____fe2" localSheetId="3" hidden="1">{"'设备表'!$A$1:$K$6"}</definedName>
    <definedName name="_____fe2" localSheetId="2" hidden="1">{"'设备表'!$A$1:$K$6"}</definedName>
    <definedName name="_____fe2" hidden="1">{"'设备表'!$A$1:$K$6"}</definedName>
    <definedName name="_____fe3" localSheetId="3" hidden="1">{"'设备表'!$A$1:$K$6"}</definedName>
    <definedName name="_____fe3" localSheetId="2" hidden="1">{"'设备表'!$A$1:$K$6"}</definedName>
    <definedName name="_____fe3" hidden="1">{"'设备表'!$A$1:$K$6"}</definedName>
    <definedName name="_____fe4" localSheetId="3" hidden="1">{"'设备表'!$A$1:$K$6"}</definedName>
    <definedName name="_____fe4" localSheetId="2" hidden="1">{"'设备表'!$A$1:$K$6"}</definedName>
    <definedName name="_____fe4" hidden="1">{"'设备表'!$A$1:$K$6"}</definedName>
    <definedName name="_____s1" localSheetId="3" hidden="1">{"'设备表'!$A$1:$K$6"}</definedName>
    <definedName name="_____s1" localSheetId="2" hidden="1">{"'设备表'!$A$1:$K$6"}</definedName>
    <definedName name="_____s1" hidden="1">{"'设备表'!$A$1:$K$6"}</definedName>
    <definedName name="____fe1" localSheetId="3" hidden="1">{"'设备表'!$A$1:$K$6"}</definedName>
    <definedName name="____fe1" localSheetId="2" hidden="1">{"'设备表'!$A$1:$K$6"}</definedName>
    <definedName name="____fe1" hidden="1">{"'设备表'!$A$1:$K$6"}</definedName>
    <definedName name="____fe2" localSheetId="3" hidden="1">{"'设备表'!$A$1:$K$6"}</definedName>
    <definedName name="____fe2" localSheetId="2" hidden="1">{"'设备表'!$A$1:$K$6"}</definedName>
    <definedName name="____fe2" hidden="1">{"'设备表'!$A$1:$K$6"}</definedName>
    <definedName name="____fe3" localSheetId="3" hidden="1">{"'设备表'!$A$1:$K$6"}</definedName>
    <definedName name="____fe3" localSheetId="2" hidden="1">{"'设备表'!$A$1:$K$6"}</definedName>
    <definedName name="____fe3" hidden="1">{"'设备表'!$A$1:$K$6"}</definedName>
    <definedName name="____fe4" localSheetId="3" hidden="1">{"'设备表'!$A$1:$K$6"}</definedName>
    <definedName name="____fe4" localSheetId="2" hidden="1">{"'设备表'!$A$1:$K$6"}</definedName>
    <definedName name="____fe4" hidden="1">{"'设备表'!$A$1:$K$6"}</definedName>
    <definedName name="____s1" localSheetId="3" hidden="1">{"'设备表'!$A$1:$K$6"}</definedName>
    <definedName name="____s1" localSheetId="2" hidden="1">{"'设备表'!$A$1:$K$6"}</definedName>
    <definedName name="____s1" hidden="1">{"'设备表'!$A$1:$K$6"}</definedName>
    <definedName name="___fe1" localSheetId="2" hidden="1">{"'设备表'!$A$1:$K$6"}</definedName>
    <definedName name="___fe2" localSheetId="2" hidden="1">{"'设备表'!$A$1:$K$6"}</definedName>
    <definedName name="___fe3" localSheetId="2" hidden="1">{"'设备表'!$A$1:$K$6"}</definedName>
    <definedName name="___fe4" localSheetId="2" hidden="1">{"'设备表'!$A$1:$K$6"}</definedName>
    <definedName name="___s1" localSheetId="2" hidden="1">{"'设备表'!$A$1:$K$6"}</definedName>
    <definedName name="__1fe1_" localSheetId="3" hidden="1">{"'设备表'!$A$1:$K$6"}</definedName>
    <definedName name="__1fe1_" localSheetId="2" hidden="1">{"'设备表'!$A$1:$K$6"}</definedName>
    <definedName name="__1fe1_" hidden="1">{"'设备表'!$A$1:$K$6"}</definedName>
    <definedName name="__2fe2_" localSheetId="3" hidden="1">{"'设备表'!$A$1:$K$6"}</definedName>
    <definedName name="__2fe2_" localSheetId="2" hidden="1">{"'设备表'!$A$1:$K$6"}</definedName>
    <definedName name="__2fe2_" hidden="1">{"'设备表'!$A$1:$K$6"}</definedName>
    <definedName name="__3fe3_" localSheetId="3" hidden="1">{"'设备表'!$A$1:$K$6"}</definedName>
    <definedName name="__3fe3_" localSheetId="2" hidden="1">{"'设备表'!$A$1:$K$6"}</definedName>
    <definedName name="__3fe3_" hidden="1">{"'设备表'!$A$1:$K$6"}</definedName>
    <definedName name="__4fe4_" localSheetId="3" hidden="1">{"'设备表'!$A$1:$K$6"}</definedName>
    <definedName name="__4fe4_" localSheetId="2" hidden="1">{"'设备表'!$A$1:$K$6"}</definedName>
    <definedName name="__4fe4_" hidden="1">{"'设备表'!$A$1:$K$6"}</definedName>
    <definedName name="__fe1" localSheetId="3" hidden="1">{"'设备表'!$A$1:$K$6"}</definedName>
    <definedName name="__fe1" localSheetId="2" hidden="1">{"'设备表'!$A$1:$K$6"}</definedName>
    <definedName name="__fe1" hidden="1">{"'设备表'!$A$1:$K$6"}</definedName>
    <definedName name="__fe2" localSheetId="3" hidden="1">{"'设备表'!$A$1:$K$6"}</definedName>
    <definedName name="__fe2" localSheetId="2" hidden="1">{"'设备表'!$A$1:$K$6"}</definedName>
    <definedName name="__fe2" hidden="1">{"'设备表'!$A$1:$K$6"}</definedName>
    <definedName name="__fe3" localSheetId="3" hidden="1">{"'设备表'!$A$1:$K$6"}</definedName>
    <definedName name="__fe3" localSheetId="2" hidden="1">{"'设备表'!$A$1:$K$6"}</definedName>
    <definedName name="__fe3" hidden="1">{"'设备表'!$A$1:$K$6"}</definedName>
    <definedName name="__fe4" localSheetId="3" hidden="1">{"'设备表'!$A$1:$K$6"}</definedName>
    <definedName name="__fe4" localSheetId="2" hidden="1">{"'设备表'!$A$1:$K$6"}</definedName>
    <definedName name="__fe4" hidden="1">{"'设备表'!$A$1:$K$6"}</definedName>
    <definedName name="__s1" localSheetId="3" hidden="1">{"'设备表'!$A$1:$K$6"}</definedName>
    <definedName name="__s1" localSheetId="2" hidden="1">{"'设备表'!$A$1:$K$6"}</definedName>
    <definedName name="__s1" hidden="1">{"'设备表'!$A$1:$K$6"}</definedName>
    <definedName name="_10fe2_" localSheetId="3" hidden="1">{"'设备表'!$A$1:$K$6"}</definedName>
    <definedName name="_10fe2_" localSheetId="2" hidden="1">{"'设备表'!$A$1:$K$6"}</definedName>
    <definedName name="_10fe2_" hidden="1">{"'设备表'!$A$1:$K$6"}</definedName>
    <definedName name="_12fe2_" localSheetId="3" hidden="1">{"'设备表'!$A$1:$K$6"}</definedName>
    <definedName name="_12fe2_" localSheetId="2" hidden="1">{"'设备表'!$A$1:$K$6"}</definedName>
    <definedName name="_12fe2_" hidden="1">{"'设备表'!$A$1:$K$6"}</definedName>
    <definedName name="_12fe4_" localSheetId="3" hidden="1">{"'设备表'!$A$1:$K$6"}</definedName>
    <definedName name="_12fe4_" localSheetId="4" hidden="1">{"'设备表'!$A$1:$K$6"}</definedName>
    <definedName name="_12fe4_" localSheetId="2" hidden="1">{"'设备表'!$A$1:$K$6"}</definedName>
    <definedName name="_12fe4_" hidden="1">{"'设备表'!$A$1:$K$6"}</definedName>
    <definedName name="_15fe3_" localSheetId="3" hidden="1">{"'设备表'!$A$1:$K$6"}</definedName>
    <definedName name="_15fe3_" localSheetId="2" hidden="1">{"'设备表'!$A$1:$K$6"}</definedName>
    <definedName name="_15fe3_" hidden="1">{"'设备表'!$A$1:$K$6"}</definedName>
    <definedName name="_18fe3_" localSheetId="3" hidden="1">{"'设备表'!$A$1:$K$6"}</definedName>
    <definedName name="_18fe3_" localSheetId="2" hidden="1">{"'设备表'!$A$1:$K$6"}</definedName>
    <definedName name="_18fe3_" hidden="1">{"'设备表'!$A$1:$K$6"}</definedName>
    <definedName name="_1fe1_" localSheetId="3" hidden="1">{"'设备表'!$A$1:$K$6"}</definedName>
    <definedName name="_1fe1_" localSheetId="2" hidden="1">{"'设备表'!$A$1:$K$6"}</definedName>
    <definedName name="_1fe1_" hidden="1">{"'设备表'!$A$1:$K$6"}</definedName>
    <definedName name="_20fe4_" localSheetId="3" hidden="1">{"'设备表'!$A$1:$K$6"}</definedName>
    <definedName name="_20fe4_" localSheetId="2" hidden="1">{"'设备表'!$A$1:$K$6"}</definedName>
    <definedName name="_20fe4_" hidden="1">{"'设备表'!$A$1:$K$6"}</definedName>
    <definedName name="_21s1_" localSheetId="3" hidden="1">{"'设备表'!$A$1:$K$6"}</definedName>
    <definedName name="_21s1_" localSheetId="2" hidden="1">{"'设备表'!$A$1:$K$6"}</definedName>
    <definedName name="_21s1_" hidden="1">{"'设备表'!$A$1:$K$6"}</definedName>
    <definedName name="_24fe4_" localSheetId="3" hidden="1">{"'设备表'!$A$1:$K$6"}</definedName>
    <definedName name="_24fe4_" localSheetId="2" hidden="1">{"'设备表'!$A$1:$K$6"}</definedName>
    <definedName name="_24fe4_" hidden="1">{"'设备表'!$A$1:$K$6"}</definedName>
    <definedName name="_2fe1_" localSheetId="3" hidden="1">{"'设备表'!$A$1:$K$6"}</definedName>
    <definedName name="_2fe1_" localSheetId="2" hidden="1">{"'设备表'!$A$1:$K$6"}</definedName>
    <definedName name="_2fe1_" hidden="1">{"'设备表'!$A$1:$K$6"}</definedName>
    <definedName name="_2fe2_" localSheetId="3" hidden="1">{"'设备表'!$A$1:$K$6"}</definedName>
    <definedName name="_2fe2_" localSheetId="2" hidden="1">{"'设备表'!$A$1:$K$6"}</definedName>
    <definedName name="_2fe2_" hidden="1">{"'设备表'!$A$1:$K$6"}</definedName>
    <definedName name="_30s1_" localSheetId="3" hidden="1">{"'设备表'!$A$1:$K$6"}</definedName>
    <definedName name="_30s1_" localSheetId="2" hidden="1">{"'设备表'!$A$1:$K$6"}</definedName>
    <definedName name="_30s1_" hidden="1">{"'设备表'!$A$1:$K$6"}</definedName>
    <definedName name="_3fe1_" localSheetId="3" hidden="1">{"'设备表'!$A$1:$K$6"}</definedName>
    <definedName name="_3fe1_" localSheetId="4" hidden="1">{"'设备表'!$A$1:$K$6"}</definedName>
    <definedName name="_3fe1_" localSheetId="2" hidden="1">{"'设备表'!$A$1:$K$6"}</definedName>
    <definedName name="_3fe1_" hidden="1">{"'设备表'!$A$1:$K$6"}</definedName>
    <definedName name="_3fe3_" localSheetId="3" hidden="1">{"'设备表'!$A$1:$K$6"}</definedName>
    <definedName name="_3fe3_" localSheetId="2" hidden="1">{"'设备表'!$A$1:$K$6"}</definedName>
    <definedName name="_3fe3_" hidden="1">{"'设备表'!$A$1:$K$6"}</definedName>
    <definedName name="_4fe2_" localSheetId="3" hidden="1">{"'设备表'!$A$1:$K$6"}</definedName>
    <definedName name="_4fe2_" localSheetId="2" hidden="1">{"'设备表'!$A$1:$K$6"}</definedName>
    <definedName name="_4fe2_" hidden="1">{"'设备表'!$A$1:$K$6"}</definedName>
    <definedName name="_4fe4_" localSheetId="3" hidden="1">{"'设备表'!$A$1:$K$6"}</definedName>
    <definedName name="_4fe4_" localSheetId="2" hidden="1">{"'设备表'!$A$1:$K$6"}</definedName>
    <definedName name="_4fe4_" hidden="1">{"'设备表'!$A$1:$K$6"}</definedName>
    <definedName name="_5fe1_" localSheetId="3" hidden="1">{"'设备表'!$A$1:$K$6"}</definedName>
    <definedName name="_5fe1_" localSheetId="2" hidden="1">{"'设备表'!$A$1:$K$6"}</definedName>
    <definedName name="_5fe1_" hidden="1">{"'设备表'!$A$1:$K$6"}</definedName>
    <definedName name="_5s1_" localSheetId="3" hidden="1">{"'设备表'!$A$1:$K$6"}</definedName>
    <definedName name="_5s1_" localSheetId="2" hidden="1">{"'设备表'!$A$1:$K$6"}</definedName>
    <definedName name="_5s1_" hidden="1">{"'设备表'!$A$1:$K$6"}</definedName>
    <definedName name="_6fe1_" localSheetId="3" hidden="1">{"'设备表'!$A$1:$K$6"}</definedName>
    <definedName name="_6fe1_" localSheetId="2" hidden="1">{"'设备表'!$A$1:$K$6"}</definedName>
    <definedName name="_6fe1_" hidden="1">{"'设备表'!$A$1:$K$6"}</definedName>
    <definedName name="_6fe2_" localSheetId="3" hidden="1">{"'设备表'!$A$1:$K$6"}</definedName>
    <definedName name="_6fe2_" localSheetId="4" hidden="1">{"'设备表'!$A$1:$K$6"}</definedName>
    <definedName name="_6fe2_" localSheetId="2" hidden="1">{"'设备表'!$A$1:$K$6"}</definedName>
    <definedName name="_6fe2_" hidden="1">{"'设备表'!$A$1:$K$6"}</definedName>
    <definedName name="_6fe3_" localSheetId="3" hidden="1">{"'设备表'!$A$1:$K$6"}</definedName>
    <definedName name="_6fe3_" localSheetId="2" hidden="1">{"'设备表'!$A$1:$K$6"}</definedName>
    <definedName name="_6fe3_" hidden="1">{"'设备表'!$A$1:$K$6"}</definedName>
    <definedName name="_8fe4_" localSheetId="3" hidden="1">{"'设备表'!$A$1:$K$6"}</definedName>
    <definedName name="_8fe4_" localSheetId="2" hidden="1">{"'设备表'!$A$1:$K$6"}</definedName>
    <definedName name="_8fe4_" hidden="1">{"'设备表'!$A$1:$K$6"}</definedName>
    <definedName name="_9fe3_" localSheetId="3" hidden="1">{"'设备表'!$A$1:$K$6"}</definedName>
    <definedName name="_9fe3_" localSheetId="4" hidden="1">{"'设备表'!$A$1:$K$6"}</definedName>
    <definedName name="_9fe3_" localSheetId="2" hidden="1">{"'设备表'!$A$1:$K$6"}</definedName>
    <definedName name="_9fe3_" hidden="1">{"'设备表'!$A$1:$K$6"}</definedName>
    <definedName name="_fe1" localSheetId="3" hidden="1">{"'设备表'!$A$1:$K$6"}</definedName>
    <definedName name="_fe1" localSheetId="2" hidden="1">{"'设备表'!$A$1:$K$6"}</definedName>
    <definedName name="_fe1" hidden="1">{"'设备表'!$A$1:$K$6"}</definedName>
    <definedName name="_fe2" localSheetId="3" hidden="1">{"'设备表'!$A$1:$K$6"}</definedName>
    <definedName name="_fe2" localSheetId="2" hidden="1">{"'设备表'!$A$1:$K$6"}</definedName>
    <definedName name="_fe2" hidden="1">{"'设备表'!$A$1:$K$6"}</definedName>
    <definedName name="_fe3" localSheetId="3" hidden="1">{"'设备表'!$A$1:$K$6"}</definedName>
    <definedName name="_fe3" localSheetId="2" hidden="1">{"'设备表'!$A$1:$K$6"}</definedName>
    <definedName name="_fe3" hidden="1">{"'设备表'!$A$1:$K$6"}</definedName>
    <definedName name="_fe4" localSheetId="3" hidden="1">{"'设备表'!$A$1:$K$6"}</definedName>
    <definedName name="_fe4" localSheetId="2" hidden="1">{"'设备表'!$A$1:$K$6"}</definedName>
    <definedName name="_fe4" hidden="1">{"'设备表'!$A$1:$K$6"}</definedName>
    <definedName name="_Fill" hidden="1">[1]eqpmad2!#REF!</definedName>
    <definedName name="_s1" localSheetId="3" hidden="1">{"'设备表'!$A$1:$K$6"}</definedName>
    <definedName name="_s1" localSheetId="2" hidden="1">{"'设备表'!$A$1:$K$6"}</definedName>
    <definedName name="_s1" hidden="1">{"'设备表'!$A$1:$K$6"}</definedName>
    <definedName name="aa" localSheetId="3" hidden="1">{"'设备表'!$A$1:$K$6"}</definedName>
    <definedName name="aa" localSheetId="2" hidden="1">{"'设备表'!$A$1:$K$6"}</definedName>
    <definedName name="aa" hidden="1">{"'设备表'!$A$1:$K$6"}</definedName>
    <definedName name="aaa" localSheetId="3" hidden="1">{"'设备表'!$A$1:$K$6"}</definedName>
    <definedName name="aaa" localSheetId="2" hidden="1">{"'设备表'!$A$1:$K$6"}</definedName>
    <definedName name="aaa" hidden="1">{"'设备表'!$A$1:$K$6"}</definedName>
    <definedName name="aaaaa">#REF!</definedName>
    <definedName name="ASD" localSheetId="3" hidden="1">{"'设备表'!$A$1:$K$6"}</definedName>
    <definedName name="ASD" localSheetId="2" hidden="1">{"'设备表'!$A$1:$K$6"}</definedName>
    <definedName name="ASD" hidden="1">{"'设备表'!$A$1:$K$6"}</definedName>
    <definedName name="bb" localSheetId="3" hidden="1">{"'设备表'!$A$1:$K$6"}</definedName>
    <definedName name="bb" localSheetId="2" hidden="1">{"'设备表'!$A$1:$K$6"}</definedName>
    <definedName name="bb" hidden="1">{"'设备表'!$A$1:$K$6"}</definedName>
    <definedName name="edline">#REF!</definedName>
    <definedName name="g" localSheetId="3" hidden="1">{"'设备表'!$A$1:$K$6"}</definedName>
    <definedName name="g" localSheetId="2" hidden="1">{"'设备表'!$A$1:$K$6"}</definedName>
    <definedName name="g" hidden="1">{"'设备表'!$A$1:$K$6"}</definedName>
    <definedName name="HTML_CodePage" hidden="1">936</definedName>
    <definedName name="HTML_Control" localSheetId="3" hidden="1">{"'设备表'!$A$1:$K$6"}</definedName>
    <definedName name="HTML_Control" localSheetId="1" hidden="1">{"'设备表'!$A$1:$K$6"}</definedName>
    <definedName name="HTML_Control" localSheetId="4" hidden="1">{"'设备表'!$A$1:$K$6"}</definedName>
    <definedName name="HTML_Control" localSheetId="2" hidden="1">{"'设备表'!$A$1:$K$6"}</definedName>
    <definedName name="HTML_Control" hidden="1">{"'设备表'!$A$1:$K$6"}</definedName>
    <definedName name="HTML_Description" hidden="1">""</definedName>
    <definedName name="HTML_Email" hidden="1">""</definedName>
    <definedName name="HTML_Header" hidden="1">"设备表"</definedName>
    <definedName name="HTML_LastUpdate" hidden="1">"00-9-30"</definedName>
    <definedName name="HTML_LineAfter" hidden="1">FALSE</definedName>
    <definedName name="HTML_LineBefore" hidden="1">FALSE</definedName>
    <definedName name="HTML_Name" hidden="1">"yh"</definedName>
    <definedName name="HTML_OBDlg2" hidden="1">TRUE</definedName>
    <definedName name="HTML_OBDlg4" hidden="1">TRUE</definedName>
    <definedName name="HTML_OS" hidden="1">0</definedName>
    <definedName name="HTML_PathFile" hidden="1">"C:\My Documents\MyHTML.htm"</definedName>
    <definedName name="HTML_Title" hidden="1">"新增工艺设备汇总表"</definedName>
    <definedName name="_xlnm.Print_Area" localSheetId="3">工艺设备!$A$1:$L$213</definedName>
    <definedName name="_xlnm.Print_Area" localSheetId="4">招标基本情况表!$A$1:$J$13</definedName>
    <definedName name="_xlnm.Print_Area" localSheetId="2">总概!$A$1:$U$71</definedName>
    <definedName name="Print_Area1">#REF!</definedName>
    <definedName name="_xlnm.Print_Titles" localSheetId="3">工艺设备!$1:$5</definedName>
    <definedName name="_xlnm.Print_Titles" localSheetId="1">'工艺设备2 (2)'!$1:$5</definedName>
    <definedName name="_xlnm.Print_Titles" localSheetId="2">总概!$1:$5</definedName>
    <definedName name="s" localSheetId="3" hidden="1">{"'设备表'!$A$1:$K$6"}</definedName>
    <definedName name="s" localSheetId="2" hidden="1">{"'设备表'!$A$1:$K$6"}</definedName>
    <definedName name="s" hidden="1">{"'设备表'!$A$1:$K$6"}</definedName>
    <definedName name="SAD" localSheetId="3" hidden="1">{"'设备表'!$A$1:$K$6"}</definedName>
    <definedName name="SAD" localSheetId="2" hidden="1">{"'设备表'!$A$1:$K$6"}</definedName>
    <definedName name="SAD" hidden="1">{"'设备表'!$A$1:$K$6"}</definedName>
    <definedName name="SADAD" localSheetId="3" hidden="1">{"'设备表'!$A$1:$K$6"}</definedName>
    <definedName name="SADAD" localSheetId="2" hidden="1">{"'设备表'!$A$1:$K$6"}</definedName>
    <definedName name="SADAD" hidden="1">{"'设备表'!$A$1:$K$6"}</definedName>
    <definedName name="sjdf" localSheetId="3" hidden="1">{"'设备表'!$A$1:$K$6"}</definedName>
    <definedName name="sjdf" localSheetId="2" hidden="1">{"'设备表'!$A$1:$K$6"}</definedName>
    <definedName name="sjdf" hidden="1">{"'设备表'!$A$1:$K$6"}</definedName>
    <definedName name="ss" localSheetId="3" hidden="1">{"'设备表'!$A$1:$K$6"}</definedName>
    <definedName name="ss" localSheetId="2" hidden="1">{"'设备表'!$A$1:$K$6"}</definedName>
    <definedName name="ss" hidden="1">{"'设备表'!$A$1:$K$6"}</definedName>
    <definedName name="vve" localSheetId="3" hidden="1">{"'设备表'!$A$1:$K$6"}</definedName>
    <definedName name="vve" localSheetId="4" hidden="1">{"'设备表'!$A$1:$K$6"}</definedName>
    <definedName name="vve" localSheetId="2" hidden="1">{"'设备表'!$A$1:$K$6"}</definedName>
    <definedName name="vve" hidden="1">{"'设备表'!$A$1:$K$6"}</definedName>
    <definedName name="vvr" localSheetId="3" hidden="1">{"'设备表'!$A$1:$K$6"}</definedName>
    <definedName name="vvr" localSheetId="4" hidden="1">{"'设备表'!$A$1:$K$6"}</definedName>
    <definedName name="vvr" localSheetId="2" hidden="1">{"'设备表'!$A$1:$K$6"}</definedName>
    <definedName name="vvr" hidden="1">{"'设备表'!$A$1:$K$6"}</definedName>
    <definedName name="vvs" localSheetId="3" hidden="1">{"'设备表'!$A$1:$K$6"}</definedName>
    <definedName name="vvs" localSheetId="4" hidden="1">{"'设备表'!$A$1:$K$6"}</definedName>
    <definedName name="vvs" localSheetId="2" hidden="1">{"'设备表'!$A$1:$K$6"}</definedName>
    <definedName name="vvs" hidden="1">{"'设备表'!$A$1:$K$6"}</definedName>
    <definedName name="vvw" localSheetId="3" hidden="1">{"'设备表'!$A$1:$K$6"}</definedName>
    <definedName name="vvw" localSheetId="4" hidden="1">{"'设备表'!$A$1:$K$6"}</definedName>
    <definedName name="vvw" localSheetId="2" hidden="1">{"'设备表'!$A$1:$K$6"}</definedName>
    <definedName name="vvw" hidden="1">{"'设备表'!$A$1:$K$6"}</definedName>
    <definedName name="zh" localSheetId="3" hidden="1">{"'设备表'!$A$1:$K$6"}</definedName>
    <definedName name="zh" localSheetId="2" hidden="1">{"'设备表'!$A$1:$K$6"}</definedName>
    <definedName name="zh" hidden="1">{"'设备表'!$A$1:$K$6"}</definedName>
    <definedName name="办公" localSheetId="3" hidden="1">{"'设备表'!$A$1:$K$6"}</definedName>
    <definedName name="办公" localSheetId="2" hidden="1">{"'设备表'!$A$1:$K$6"}</definedName>
    <definedName name="办公" hidden="1">{"'设备表'!$A$1:$K$6"}</definedName>
    <definedName name="不" localSheetId="3" hidden="1">{"'设备表'!$A$1:$K$6"}</definedName>
    <definedName name="不" localSheetId="2" hidden="1">{"'设备表'!$A$1:$K$6"}</definedName>
    <definedName name="不" hidden="1">{"'设备表'!$A$1:$K$6"}</definedName>
    <definedName name="齿轮箱分厂2" localSheetId="3" hidden="1">{"'设备表'!$A$1:$K$6"}</definedName>
    <definedName name="齿轮箱分厂2" localSheetId="4" hidden="1">{"'设备表'!$A$1:$K$6"}</definedName>
    <definedName name="齿轮箱分厂2" localSheetId="2" hidden="1">{"'设备表'!$A$1:$K$6"}</definedName>
    <definedName name="齿轮箱分厂2" hidden="1">{"'设备表'!$A$1:$K$6"}</definedName>
    <definedName name="道" localSheetId="3" hidden="1">{"'设备表'!$A$1:$K$6"}</definedName>
    <definedName name="道" localSheetId="2" hidden="1">{"'设备表'!$A$1:$K$6"}</definedName>
    <definedName name="道" hidden="1">{"'设备表'!$A$1:$K$6"}</definedName>
    <definedName name="电梯" localSheetId="3" hidden="1">{"'设备表'!$A$1:$K$6"}</definedName>
    <definedName name="电梯" localSheetId="1" hidden="1">{"'设备表'!$A$1:$K$6"}</definedName>
    <definedName name="电梯" localSheetId="4" hidden="1">{"'设备表'!$A$1:$K$6"}</definedName>
    <definedName name="电梯" localSheetId="2" hidden="1">{"'设备表'!$A$1:$K$6"}</definedName>
    <definedName name="电梯" hidden="1">{"'设备表'!$A$1:$K$6"}</definedName>
    <definedName name="对照" localSheetId="3" hidden="1">{"'设备表'!$A$1:$K$6"}</definedName>
    <definedName name="对照" localSheetId="2" hidden="1">{"'设备表'!$A$1:$K$6"}</definedName>
    <definedName name="对照" hidden="1">{"'设备表'!$A$1:$K$6"}</definedName>
    <definedName name="风电铸件1" localSheetId="3" hidden="1">{"'设备表'!$A$1:$K$6"}</definedName>
    <definedName name="风电铸件1" localSheetId="2" hidden="1">{"'设备表'!$A$1:$K$6"}</definedName>
    <definedName name="风电铸件1" hidden="1">{"'设备表'!$A$1:$K$6"}</definedName>
    <definedName name="概" localSheetId="3" hidden="1">{"'设备表'!$A$1:$K$6"}</definedName>
    <definedName name="概" localSheetId="2" hidden="1">{"'设备表'!$A$1:$K$6"}</definedName>
    <definedName name="概" hidden="1">{"'设备表'!$A$1:$K$6"}</definedName>
    <definedName name="公用" localSheetId="3" hidden="1">{"'设备表'!$A$1:$K$6"}</definedName>
    <definedName name="公用" localSheetId="4" hidden="1">{"'设备表'!$A$1:$K$6"}</definedName>
    <definedName name="公用" localSheetId="2" hidden="1">{"'设备表'!$A$1:$K$6"}</definedName>
    <definedName name="公用" hidden="1">{"'设备表'!$A$1:$K$6"}</definedName>
    <definedName name="海明公司" localSheetId="3" hidden="1">{"'设备表'!$A$1:$K$6"}</definedName>
    <definedName name="海明公司" localSheetId="2" hidden="1">{"'设备表'!$A$1:$K$6"}</definedName>
    <definedName name="海明公司" hidden="1">{"'设备表'!$A$1:$K$6"}</definedName>
    <definedName name="核电土建Q" localSheetId="3" hidden="1">{"'设备表'!$A$1:$K$6"}</definedName>
    <definedName name="核电土建Q" localSheetId="2" hidden="1">{"'设备表'!$A$1:$K$6"}</definedName>
    <definedName name="核电土建Q" hidden="1">{"'设备表'!$A$1:$K$6"}</definedName>
    <definedName name="护坡" localSheetId="3" hidden="1">{"'设备表'!$A$1:$K$6"}</definedName>
    <definedName name="护坡" localSheetId="2" hidden="1">{"'设备表'!$A$1:$K$6"}</definedName>
    <definedName name="护坡" hidden="1">{"'设备表'!$A$1:$K$6"}</definedName>
    <definedName name="护坡1" localSheetId="3" hidden="1">{"'设备表'!$A$1:$K$6"}</definedName>
    <definedName name="护坡1" localSheetId="2" hidden="1">{"'设备表'!$A$1:$K$6"}</definedName>
    <definedName name="护坡1" hidden="1">{"'设备表'!$A$1:$K$6"}</definedName>
    <definedName name="进口设备表" localSheetId="3" hidden="1">{"'设备表'!$A$1:$K$6"}</definedName>
    <definedName name="进口设备表" localSheetId="4" hidden="1">{"'设备表'!$A$1:$K$6"}</definedName>
    <definedName name="进口设备表" localSheetId="2" hidden="1">{"'设备表'!$A$1:$K$6"}</definedName>
    <definedName name="进口设备表" hidden="1">{"'设备表'!$A$1:$K$6"}</definedName>
    <definedName name="没" localSheetId="3" hidden="1">{"'设备表'!$A$1:$K$6"}</definedName>
    <definedName name="没" localSheetId="2" hidden="1">{"'设备表'!$A$1:$K$6"}</definedName>
    <definedName name="没" hidden="1">{"'设备表'!$A$1:$K$6"}</definedName>
    <definedName name="气体消防" localSheetId="3" hidden="1">{"'设备表'!$A$1:$K$6"}</definedName>
    <definedName name="气体消防" localSheetId="4" hidden="1">{"'设备表'!$A$1:$K$6"}</definedName>
    <definedName name="气体消防" localSheetId="2" hidden="1">{"'设备表'!$A$1:$K$6"}</definedName>
    <definedName name="气体消防" hidden="1">{"'设备表'!$A$1:$K$6"}</definedName>
    <definedName name="弱电3" localSheetId="3" hidden="1">{"'设备表'!$A$1:$K$6"}</definedName>
    <definedName name="弱电3" localSheetId="4" hidden="1">{"'设备表'!$A$1:$K$6"}</definedName>
    <definedName name="弱电3" localSheetId="2" hidden="1">{"'设备表'!$A$1:$K$6"}</definedName>
    <definedName name="弱电3" hidden="1">{"'设备表'!$A$1:$K$6"}</definedName>
    <definedName name="上" localSheetId="3" hidden="1">{"'设备表'!$A$1:$K$6"}</definedName>
    <definedName name="上" localSheetId="2" hidden="1">{"'设备表'!$A$1:$K$6"}</definedName>
    <definedName name="上" hidden="1">{"'设备表'!$A$1:$K$6"}</definedName>
    <definedName name="事实" localSheetId="3" hidden="1">{"'设备表'!$A$1:$K$6"}</definedName>
    <definedName name="事实" localSheetId="2" hidden="1">{"'设备表'!$A$1:$K$6"}</definedName>
    <definedName name="事实" hidden="1">{"'设备表'!$A$1:$K$6"}</definedName>
    <definedName name="是" localSheetId="3" hidden="1">{"'设备表'!$A$1:$K$6"}</definedName>
    <definedName name="是" localSheetId="2" hidden="1">{"'设备表'!$A$1:$K$6"}</definedName>
    <definedName name="是" hidden="1">{"'设备表'!$A$1:$K$6"}</definedName>
    <definedName name="水" localSheetId="3" hidden="1">{"'设备表'!$A$1:$K$6"}</definedName>
    <definedName name="水" localSheetId="4" hidden="1">{"'设备表'!$A$1:$K$6"}</definedName>
    <definedName name="水" localSheetId="2" hidden="1">{"'设备表'!$A$1:$K$6"}</definedName>
    <definedName name="水" hidden="1">{"'设备表'!$A$1:$K$6"}</definedName>
    <definedName name="速动" localSheetId="3" hidden="1">{"'设备表'!$A$1:$K$6"}</definedName>
    <definedName name="速动" localSheetId="2" hidden="1">{"'设备表'!$A$1:$K$6"}</definedName>
    <definedName name="速动" hidden="1">{"'设备表'!$A$1:$K$6"}</definedName>
    <definedName name="塑" localSheetId="3" hidden="1">{"'设备表'!$A$1:$K$6"}</definedName>
    <definedName name="塑" localSheetId="2" hidden="1">{"'设备表'!$A$1:$K$6"}</definedName>
    <definedName name="塑" hidden="1">{"'设备表'!$A$1:$K$6"}</definedName>
    <definedName name="所" localSheetId="3" hidden="1">{"'设备表'!$A$1:$K$6"}</definedName>
    <definedName name="所" localSheetId="2" hidden="1">{"'设备表'!$A$1:$K$6"}</definedName>
    <definedName name="所" hidden="1">{"'设备表'!$A$1:$K$6"}</definedName>
    <definedName name="所速撒" localSheetId="3" hidden="1">{"'设备表'!$A$1:$K$6"}</definedName>
    <definedName name="所速撒" localSheetId="2" hidden="1">{"'设备表'!$A$1:$K$6"}</definedName>
    <definedName name="所速撒" hidden="1">{"'设备表'!$A$1:$K$6"}</definedName>
    <definedName name="铜合金铸造厂房" localSheetId="3" hidden="1">{"'设备表'!$A$1:$K$6"}</definedName>
    <definedName name="铜合金铸造厂房" localSheetId="4" hidden="1">{"'设备表'!$A$1:$K$6"}</definedName>
    <definedName name="铜合金铸造厂房" localSheetId="2" hidden="1">{"'设备表'!$A$1:$K$6"}</definedName>
    <definedName name="铜合金铸造厂房" hidden="1">{"'设备表'!$A$1:$K$6"}</definedName>
    <definedName name="投资构成" localSheetId="3" hidden="1">{"'设备表'!$A$1:$K$6"}</definedName>
    <definedName name="投资构成" localSheetId="1" hidden="1">{"'设备表'!$A$1:$K$6"}</definedName>
    <definedName name="投资构成" localSheetId="4" hidden="1">{"'设备表'!$A$1:$K$6"}</definedName>
    <definedName name="投资构成" localSheetId="2" hidden="1">{"'设备表'!$A$1:$K$6"}</definedName>
    <definedName name="投资构成" hidden="1">{"'设备表'!$A$1:$K$6"}</definedName>
    <definedName name="图1">#REF!</definedName>
    <definedName name="图2">[2]工程量屋面屋架柱!$A$1</definedName>
    <definedName name="土建" localSheetId="3" hidden="1">{"'设备表'!$A$1:$K$6"}</definedName>
    <definedName name="土建" localSheetId="2" hidden="1">{"'设备表'!$A$1:$K$6"}</definedName>
    <definedName name="土建" hidden="1">{"'设备表'!$A$1:$K$6"}</definedName>
    <definedName name="外电" localSheetId="3" hidden="1">{"'设备表'!$A$1:$K$6"}</definedName>
    <definedName name="外电" localSheetId="4" hidden="1">{"'设备表'!$A$1:$K$6"}</definedName>
    <definedName name="外电" localSheetId="2" hidden="1">{"'设备表'!$A$1:$K$6"}</definedName>
    <definedName name="外电" hidden="1">{"'设备表'!$A$1:$K$6"}</definedName>
    <definedName name="卧式旋铆机">#REF!</definedName>
    <definedName name="下" localSheetId="3" hidden="1">{"'设备表'!$A$1:$K$6"}</definedName>
    <definedName name="下" localSheetId="2" hidden="1">{"'设备表'!$A$1:$K$6"}</definedName>
    <definedName name="下" hidden="1">{"'设备表'!$A$1:$K$6"}</definedName>
    <definedName name="新增设备表" localSheetId="3" hidden="1">{"'设备表'!$A$1:$K$6"}</definedName>
    <definedName name="新增设备表" localSheetId="2" hidden="1">{"'设备表'!$A$1:$K$6"}</definedName>
    <definedName name="新增设备表" hidden="1">{"'设备表'!$A$1:$K$6"}</definedName>
    <definedName name="一个一切工作" localSheetId="3" hidden="1">{"'设备表'!$A$1:$K$6"}</definedName>
    <definedName name="一个一切工作" localSheetId="2" hidden="1">{"'设备表'!$A$1:$K$6"}</definedName>
    <definedName name="一个一切工作" hidden="1">{"'设备表'!$A$1:$K$6"}</definedName>
    <definedName name="止" localSheetId="3" hidden="1">{"'设备表'!$A$1:$K$6"}</definedName>
    <definedName name="止" localSheetId="2" hidden="1">{"'设备表'!$A$1:$K$6"}</definedName>
    <definedName name="止" hidden="1">{"'设备表'!$A$1:$K$6"}</definedName>
    <definedName name="装饰工程预算表">[3]装饰工程预算表!#REF!</definedName>
  </definedNames>
  <calcPr calcId="125725" iterateDelta="0.1"/>
</workbook>
</file>

<file path=xl/calcChain.xml><?xml version="1.0" encoding="utf-8"?>
<calcChain xmlns="http://schemas.openxmlformats.org/spreadsheetml/2006/main">
  <c r="I172" i="48"/>
  <c r="J171"/>
  <c r="J172" s="1"/>
  <c r="A4" i="42"/>
  <c r="A3" i="48"/>
  <c r="J210"/>
  <c r="I210"/>
  <c r="J209"/>
  <c r="I209"/>
  <c r="J208"/>
  <c r="I208"/>
  <c r="J206"/>
  <c r="I206"/>
  <c r="J205"/>
  <c r="I205"/>
  <c r="J204"/>
  <c r="I204"/>
  <c r="J200"/>
  <c r="I199"/>
  <c r="J199" s="1"/>
  <c r="J192"/>
  <c r="J191"/>
  <c r="I191"/>
  <c r="J190"/>
  <c r="I190"/>
  <c r="J189"/>
  <c r="I189"/>
  <c r="J185"/>
  <c r="J181" s="1"/>
  <c r="I185"/>
  <c r="J180"/>
  <c r="I180"/>
  <c r="J178"/>
  <c r="I178"/>
  <c r="J175"/>
  <c r="I175"/>
  <c r="G169"/>
  <c r="J168"/>
  <c r="K168" s="1"/>
  <c r="H168"/>
  <c r="J167"/>
  <c r="K167" s="1"/>
  <c r="H167"/>
  <c r="J166"/>
  <c r="K166" s="1"/>
  <c r="H166"/>
  <c r="J165"/>
  <c r="K165" s="1"/>
  <c r="H165"/>
  <c r="J164"/>
  <c r="K164" s="1"/>
  <c r="H164"/>
  <c r="J163"/>
  <c r="K163" s="1"/>
  <c r="H163"/>
  <c r="J162"/>
  <c r="J161"/>
  <c r="K161" s="1"/>
  <c r="H161"/>
  <c r="J160"/>
  <c r="K160" s="1"/>
  <c r="H160"/>
  <c r="J159"/>
  <c r="H159"/>
  <c r="K158"/>
  <c r="G157"/>
  <c r="J156"/>
  <c r="K156" s="1"/>
  <c r="H156"/>
  <c r="J155"/>
  <c r="H155"/>
  <c r="K154"/>
  <c r="J152"/>
  <c r="K152" s="1"/>
  <c r="H152"/>
  <c r="H151"/>
  <c r="J151" s="1"/>
  <c r="K151" s="1"/>
  <c r="K149"/>
  <c r="K148"/>
  <c r="K147"/>
  <c r="K146"/>
  <c r="K145"/>
  <c r="J144"/>
  <c r="H144"/>
  <c r="K143"/>
  <c r="G142"/>
  <c r="J141"/>
  <c r="K141" s="1"/>
  <c r="H141"/>
  <c r="J140"/>
  <c r="K140" s="1"/>
  <c r="H140"/>
  <c r="J139"/>
  <c r="K139" s="1"/>
  <c r="H139"/>
  <c r="J138"/>
  <c r="K138" s="1"/>
  <c r="H138"/>
  <c r="J137"/>
  <c r="K137" s="1"/>
  <c r="H137"/>
  <c r="J136"/>
  <c r="K136" s="1"/>
  <c r="H136"/>
  <c r="J135"/>
  <c r="K135" s="1"/>
  <c r="H135"/>
  <c r="J134"/>
  <c r="K134" s="1"/>
  <c r="H134"/>
  <c r="J133"/>
  <c r="K133" s="1"/>
  <c r="H133"/>
  <c r="J132"/>
  <c r="K132" s="1"/>
  <c r="H132"/>
  <c r="J131"/>
  <c r="K131" s="1"/>
  <c r="H131"/>
  <c r="J130"/>
  <c r="K130" s="1"/>
  <c r="H130"/>
  <c r="J129"/>
  <c r="K129" s="1"/>
  <c r="H129"/>
  <c r="J128"/>
  <c r="K128" s="1"/>
  <c r="H128"/>
  <c r="K127"/>
  <c r="G126"/>
  <c r="J125"/>
  <c r="K125" s="1"/>
  <c r="H125"/>
  <c r="J124"/>
  <c r="K124" s="1"/>
  <c r="H124"/>
  <c r="J123"/>
  <c r="K123" s="1"/>
  <c r="H123"/>
  <c r="J122"/>
  <c r="K122" s="1"/>
  <c r="H122"/>
  <c r="J121"/>
  <c r="K121" s="1"/>
  <c r="H121"/>
  <c r="J120"/>
  <c r="K120" s="1"/>
  <c r="H120"/>
  <c r="J119"/>
  <c r="K119" s="1"/>
  <c r="H119"/>
  <c r="J118"/>
  <c r="K118" s="1"/>
  <c r="H118"/>
  <c r="J117"/>
  <c r="K117" s="1"/>
  <c r="H117"/>
  <c r="J116"/>
  <c r="K116" s="1"/>
  <c r="H116"/>
  <c r="J115"/>
  <c r="K115" s="1"/>
  <c r="H115"/>
  <c r="J114"/>
  <c r="K114" s="1"/>
  <c r="H114"/>
  <c r="J113"/>
  <c r="K113" s="1"/>
  <c r="H113"/>
  <c r="J112"/>
  <c r="K112" s="1"/>
  <c r="H112"/>
  <c r="J111"/>
  <c r="K111" s="1"/>
  <c r="H111"/>
  <c r="J110"/>
  <c r="K110" s="1"/>
  <c r="H110"/>
  <c r="H106"/>
  <c r="J106" s="1"/>
  <c r="H105"/>
  <c r="J105" s="1"/>
  <c r="H104"/>
  <c r="J104" s="1"/>
  <c r="H103"/>
  <c r="J103" s="1"/>
  <c r="H102"/>
  <c r="J102" s="1"/>
  <c r="H101"/>
  <c r="J101" s="1"/>
  <c r="H100"/>
  <c r="J100" s="1"/>
  <c r="H99"/>
  <c r="J99" s="1"/>
  <c r="H98"/>
  <c r="J98" s="1"/>
  <c r="H97"/>
  <c r="J97" s="1"/>
  <c r="H96"/>
  <c r="J96" s="1"/>
  <c r="H95"/>
  <c r="J95" s="1"/>
  <c r="H94"/>
  <c r="J94" s="1"/>
  <c r="H93"/>
  <c r="J93" s="1"/>
  <c r="H92"/>
  <c r="H88"/>
  <c r="J88" s="1"/>
  <c r="H87"/>
  <c r="J87" s="1"/>
  <c r="H86"/>
  <c r="J86" s="1"/>
  <c r="H85"/>
  <c r="J85" s="1"/>
  <c r="H84"/>
  <c r="J84" s="1"/>
  <c r="H83"/>
  <c r="J83" s="1"/>
  <c r="H82"/>
  <c r="J82" s="1"/>
  <c r="H81"/>
  <c r="J81" s="1"/>
  <c r="H80"/>
  <c r="J80" s="1"/>
  <c r="H79"/>
  <c r="J79" s="1"/>
  <c r="H78"/>
  <c r="J78" s="1"/>
  <c r="I75"/>
  <c r="H73"/>
  <c r="J73" s="1"/>
  <c r="H72"/>
  <c r="J72" s="1"/>
  <c r="H71"/>
  <c r="J71" s="1"/>
  <c r="H70"/>
  <c r="J70" s="1"/>
  <c r="H69"/>
  <c r="J69" s="1"/>
  <c r="H68"/>
  <c r="J68" s="1"/>
  <c r="H65"/>
  <c r="J65" s="1"/>
  <c r="H64"/>
  <c r="J64" s="1"/>
  <c r="H63"/>
  <c r="J63" s="1"/>
  <c r="J62"/>
  <c r="K62" s="1"/>
  <c r="H62"/>
  <c r="H61"/>
  <c r="J61" s="1"/>
  <c r="H60"/>
  <c r="J60" s="1"/>
  <c r="H59"/>
  <c r="J59" s="1"/>
  <c r="H58"/>
  <c r="J58" s="1"/>
  <c r="H57"/>
  <c r="J57" s="1"/>
  <c r="H56"/>
  <c r="J56" s="1"/>
  <c r="H55"/>
  <c r="J55" s="1"/>
  <c r="H52"/>
  <c r="J52" s="1"/>
  <c r="H51"/>
  <c r="J51" s="1"/>
  <c r="H50"/>
  <c r="J50" s="1"/>
  <c r="H49"/>
  <c r="J49" s="1"/>
  <c r="H48"/>
  <c r="J48" s="1"/>
  <c r="H47"/>
  <c r="J47" s="1"/>
  <c r="J46"/>
  <c r="K46" s="1"/>
  <c r="H46"/>
  <c r="H45"/>
  <c r="J45" s="1"/>
  <c r="H44"/>
  <c r="J44" s="1"/>
  <c r="H43"/>
  <c r="J43" s="1"/>
  <c r="H42"/>
  <c r="J42" s="1"/>
  <c r="H41"/>
  <c r="J41" s="1"/>
  <c r="H40"/>
  <c r="J40" s="1"/>
  <c r="H39"/>
  <c r="J39" s="1"/>
  <c r="H38"/>
  <c r="J38" s="1"/>
  <c r="H34"/>
  <c r="J34" s="1"/>
  <c r="H30"/>
  <c r="J30" s="1"/>
  <c r="H26"/>
  <c r="J26" s="1"/>
  <c r="H21"/>
  <c r="J21" s="1"/>
  <c r="J17"/>
  <c r="G15"/>
  <c r="H14"/>
  <c r="J14" s="1"/>
  <c r="J13"/>
  <c r="H12"/>
  <c r="J12" s="1"/>
  <c r="H11"/>
  <c r="J11" s="1"/>
  <c r="H10"/>
  <c r="J10" s="1"/>
  <c r="H9"/>
  <c r="J9" s="1"/>
  <c r="H8"/>
  <c r="J8" s="1"/>
  <c r="M73" i="47"/>
  <c r="L73"/>
  <c r="J68"/>
  <c r="S63"/>
  <c r="S61"/>
  <c r="R59"/>
  <c r="Q58"/>
  <c r="S58" s="1"/>
  <c r="C58"/>
  <c r="Q57"/>
  <c r="S57" s="1"/>
  <c r="C57"/>
  <c r="S56"/>
  <c r="Q56"/>
  <c r="C56"/>
  <c r="Q55"/>
  <c r="S55" s="1"/>
  <c r="C55"/>
  <c r="Q54"/>
  <c r="S54" s="1"/>
  <c r="C54"/>
  <c r="S53"/>
  <c r="Q53"/>
  <c r="C53"/>
  <c r="S52"/>
  <c r="Q52"/>
  <c r="C52"/>
  <c r="Q51"/>
  <c r="S51" s="1"/>
  <c r="C51"/>
  <c r="Q50"/>
  <c r="S50" s="1"/>
  <c r="C50"/>
  <c r="C49"/>
  <c r="S48"/>
  <c r="Q48"/>
  <c r="C48"/>
  <c r="C47"/>
  <c r="C46"/>
  <c r="Q45"/>
  <c r="S45" s="1"/>
  <c r="C45"/>
  <c r="S44"/>
  <c r="Q44"/>
  <c r="C44"/>
  <c r="S43"/>
  <c r="Q43"/>
  <c r="C43"/>
  <c r="S39"/>
  <c r="E37"/>
  <c r="L37" s="1"/>
  <c r="S37" s="1"/>
  <c r="S36"/>
  <c r="L36"/>
  <c r="E36"/>
  <c r="L35"/>
  <c r="S35" s="1"/>
  <c r="E35"/>
  <c r="K34"/>
  <c r="J34"/>
  <c r="I34"/>
  <c r="H34"/>
  <c r="K33"/>
  <c r="J33"/>
  <c r="I33"/>
  <c r="H33"/>
  <c r="K32"/>
  <c r="J32"/>
  <c r="I32"/>
  <c r="H32"/>
  <c r="K31"/>
  <c r="J31"/>
  <c r="I31"/>
  <c r="H31"/>
  <c r="S30"/>
  <c r="L30"/>
  <c r="R29"/>
  <c r="R38" s="1"/>
  <c r="R40" s="1"/>
  <c r="R65" s="1"/>
  <c r="R71" s="1"/>
  <c r="Q29"/>
  <c r="Q38" s="1"/>
  <c r="Q40" s="1"/>
  <c r="P29"/>
  <c r="N29"/>
  <c r="H29"/>
  <c r="C29"/>
  <c r="O28"/>
  <c r="O29" s="1"/>
  <c r="M28"/>
  <c r="M29" s="1"/>
  <c r="K28"/>
  <c r="K29" s="1"/>
  <c r="J28"/>
  <c r="J29" s="1"/>
  <c r="I28"/>
  <c r="I29" s="1"/>
  <c r="G28"/>
  <c r="G29" s="1"/>
  <c r="F28"/>
  <c r="F29" s="1"/>
  <c r="E28"/>
  <c r="E29" s="1"/>
  <c r="C28"/>
  <c r="O27"/>
  <c r="M27"/>
  <c r="K27"/>
  <c r="J27"/>
  <c r="I27"/>
  <c r="H27"/>
  <c r="G27"/>
  <c r="E27"/>
  <c r="L27" s="1"/>
  <c r="S27" s="1"/>
  <c r="C27"/>
  <c r="B27"/>
  <c r="S26"/>
  <c r="K25"/>
  <c r="J25"/>
  <c r="C25"/>
  <c r="B25"/>
  <c r="M24"/>
  <c r="M25" s="1"/>
  <c r="O25" s="1"/>
  <c r="K24"/>
  <c r="J24"/>
  <c r="I24"/>
  <c r="I25" s="1"/>
  <c r="H24"/>
  <c r="H25" s="1"/>
  <c r="L25" s="1"/>
  <c r="S25" s="1"/>
  <c r="G24"/>
  <c r="F24"/>
  <c r="E24"/>
  <c r="C24"/>
  <c r="B24"/>
  <c r="O23"/>
  <c r="K23"/>
  <c r="J23"/>
  <c r="I23"/>
  <c r="H23"/>
  <c r="G23"/>
  <c r="F23"/>
  <c r="E23"/>
  <c r="C23"/>
  <c r="B23"/>
  <c r="J22"/>
  <c r="G22"/>
  <c r="F22"/>
  <c r="E22"/>
  <c r="D22"/>
  <c r="D21" s="1"/>
  <c r="D38" s="1"/>
  <c r="D40" s="1"/>
  <c r="D65" s="1"/>
  <c r="D71" s="1"/>
  <c r="M21"/>
  <c r="M22" s="1"/>
  <c r="K21"/>
  <c r="K22" s="1"/>
  <c r="J21"/>
  <c r="I21"/>
  <c r="I22" s="1"/>
  <c r="H21"/>
  <c r="H22" s="1"/>
  <c r="G21"/>
  <c r="F21"/>
  <c r="E21"/>
  <c r="L20"/>
  <c r="S20" s="1"/>
  <c r="M19"/>
  <c r="K19"/>
  <c r="J19"/>
  <c r="I19"/>
  <c r="H19"/>
  <c r="G19"/>
  <c r="F19"/>
  <c r="E19"/>
  <c r="C19"/>
  <c r="B19"/>
  <c r="O18"/>
  <c r="M18"/>
  <c r="K18"/>
  <c r="J18"/>
  <c r="I18"/>
  <c r="H18"/>
  <c r="G18"/>
  <c r="F18"/>
  <c r="E18"/>
  <c r="C18"/>
  <c r="O17"/>
  <c r="M17"/>
  <c r="J17"/>
  <c r="E17"/>
  <c r="M16"/>
  <c r="K16"/>
  <c r="J16"/>
  <c r="I16"/>
  <c r="H16"/>
  <c r="E16"/>
  <c r="M15"/>
  <c r="K15"/>
  <c r="J15"/>
  <c r="I15"/>
  <c r="H15"/>
  <c r="E15"/>
  <c r="C15"/>
  <c r="B15"/>
  <c r="E14"/>
  <c r="L14" s="1"/>
  <c r="S14" s="1"/>
  <c r="M13"/>
  <c r="K13"/>
  <c r="J13"/>
  <c r="I13"/>
  <c r="H13"/>
  <c r="G13"/>
  <c r="F13"/>
  <c r="E13"/>
  <c r="S12"/>
  <c r="L12"/>
  <c r="O11"/>
  <c r="M11"/>
  <c r="K11"/>
  <c r="J11"/>
  <c r="I11"/>
  <c r="H11"/>
  <c r="F11"/>
  <c r="C11"/>
  <c r="M10"/>
  <c r="O10" s="1"/>
  <c r="K10"/>
  <c r="J10"/>
  <c r="I10"/>
  <c r="H10"/>
  <c r="F10"/>
  <c r="M9"/>
  <c r="O9" s="1"/>
  <c r="K9"/>
  <c r="J9"/>
  <c r="I9"/>
  <c r="H9"/>
  <c r="F9"/>
  <c r="S8"/>
  <c r="O8"/>
  <c r="L8"/>
  <c r="J174" i="48" l="1"/>
  <c r="J186"/>
  <c r="H107"/>
  <c r="H157"/>
  <c r="J198"/>
  <c r="H66"/>
  <c r="J153"/>
  <c r="H15"/>
  <c r="H74"/>
  <c r="J92"/>
  <c r="H142"/>
  <c r="J169"/>
  <c r="H169"/>
  <c r="J66"/>
  <c r="H89"/>
  <c r="H126"/>
  <c r="J142"/>
  <c r="L22" i="47"/>
  <c r="K38"/>
  <c r="K40" s="1"/>
  <c r="K65" s="1"/>
  <c r="K71" s="1"/>
  <c r="L16"/>
  <c r="L31"/>
  <c r="S31" s="1"/>
  <c r="L33"/>
  <c r="S33" s="1"/>
  <c r="L15"/>
  <c r="L18"/>
  <c r="S18" s="1"/>
  <c r="L21"/>
  <c r="F38"/>
  <c r="F40" s="1"/>
  <c r="F65" s="1"/>
  <c r="F71" s="1"/>
  <c r="L23"/>
  <c r="S23" s="1"/>
  <c r="L32"/>
  <c r="S32" s="1"/>
  <c r="L34"/>
  <c r="S34" s="1"/>
  <c r="J38"/>
  <c r="J40" s="1"/>
  <c r="J65" s="1"/>
  <c r="J71" s="1"/>
  <c r="E38"/>
  <c r="E40" s="1"/>
  <c r="E65" s="1"/>
  <c r="E71" s="1"/>
  <c r="I38"/>
  <c r="I40" s="1"/>
  <c r="I65" s="1"/>
  <c r="I71" s="1"/>
  <c r="L11"/>
  <c r="S11" s="1"/>
  <c r="L17"/>
  <c r="S17" s="1"/>
  <c r="L19"/>
  <c r="G38"/>
  <c r="G40" s="1"/>
  <c r="G65" s="1"/>
  <c r="G71" s="1"/>
  <c r="L24"/>
  <c r="J15" i="48"/>
  <c r="J74"/>
  <c r="J53"/>
  <c r="J107"/>
  <c r="J89"/>
  <c r="J157"/>
  <c r="H53"/>
  <c r="J126"/>
  <c r="K159"/>
  <c r="P16" i="47"/>
  <c r="M38"/>
  <c r="M40" s="1"/>
  <c r="M65" s="1"/>
  <c r="M71" s="1"/>
  <c r="H38"/>
  <c r="H40" s="1"/>
  <c r="H65" s="1"/>
  <c r="H71" s="1"/>
  <c r="L13"/>
  <c r="L9"/>
  <c r="O24"/>
  <c r="S24" s="1"/>
  <c r="L28"/>
  <c r="L10"/>
  <c r="S10" s="1"/>
  <c r="J211" i="48" l="1"/>
  <c r="H75"/>
  <c r="J75"/>
  <c r="N16" i="47"/>
  <c r="O16" s="1"/>
  <c r="S16" s="1"/>
  <c r="N22"/>
  <c r="O22" s="1"/>
  <c r="S28"/>
  <c r="L29"/>
  <c r="S29" s="1"/>
  <c r="S9"/>
  <c r="P22" l="1"/>
  <c r="S22" s="1"/>
  <c r="N21"/>
  <c r="S68"/>
  <c r="S69" s="1"/>
  <c r="Q69"/>
  <c r="L38"/>
  <c r="L40" s="1"/>
  <c r="L65" s="1"/>
  <c r="L71" s="1"/>
  <c r="N19" l="1"/>
  <c r="O19" s="1"/>
  <c r="S19" s="1"/>
  <c r="N15"/>
  <c r="O15" s="1"/>
  <c r="P15"/>
  <c r="P21"/>
  <c r="N13"/>
  <c r="O21"/>
  <c r="S15" l="1"/>
  <c r="P13"/>
  <c r="P38" s="1"/>
  <c r="P40" s="1"/>
  <c r="P65" s="1"/>
  <c r="P71" s="1"/>
  <c r="N38"/>
  <c r="N40" s="1"/>
  <c r="N65" s="1"/>
  <c r="N71" s="1"/>
  <c r="O13"/>
  <c r="S21"/>
  <c r="G31" i="14"/>
  <c r="I8" i="15"/>
  <c r="J8" s="1"/>
  <c r="A9"/>
  <c r="I9"/>
  <c r="J9" s="1"/>
  <c r="A10"/>
  <c r="I10"/>
  <c r="J10" s="1"/>
  <c r="A11"/>
  <c r="I11"/>
  <c r="J11" s="1"/>
  <c r="A12"/>
  <c r="I12"/>
  <c r="A13"/>
  <c r="I13"/>
  <c r="G14"/>
  <c r="I14"/>
  <c r="I17"/>
  <c r="A18"/>
  <c r="I18"/>
  <c r="I19"/>
  <c r="I20"/>
  <c r="I21"/>
  <c r="G22"/>
  <c r="I22"/>
  <c r="I25"/>
  <c r="A26"/>
  <c r="I26"/>
  <c r="A27"/>
  <c r="I27"/>
  <c r="A28"/>
  <c r="I28"/>
  <c r="G29"/>
  <c r="G41" s="1"/>
  <c r="G86" s="1"/>
  <c r="I29"/>
  <c r="I32"/>
  <c r="A33"/>
  <c r="I33"/>
  <c r="G34"/>
  <c r="I34"/>
  <c r="I37"/>
  <c r="I38"/>
  <c r="I40" s="1"/>
  <c r="I41" s="1"/>
  <c r="I39"/>
  <c r="G40"/>
  <c r="I45"/>
  <c r="A46"/>
  <c r="I46"/>
  <c r="A47"/>
  <c r="I47"/>
  <c r="G48"/>
  <c r="I48"/>
  <c r="I51"/>
  <c r="I52"/>
  <c r="G53"/>
  <c r="I56"/>
  <c r="I57"/>
  <c r="G58"/>
  <c r="G66" s="1"/>
  <c r="I61"/>
  <c r="I62"/>
  <c r="I63"/>
  <c r="I64"/>
  <c r="G65"/>
  <c r="I65"/>
  <c r="I69"/>
  <c r="I73" s="1"/>
  <c r="I70"/>
  <c r="I71"/>
  <c r="I72"/>
  <c r="G73"/>
  <c r="I76"/>
  <c r="J76" s="1"/>
  <c r="J80" s="1"/>
  <c r="I77"/>
  <c r="I78"/>
  <c r="G80"/>
  <c r="I80"/>
  <c r="I83"/>
  <c r="G84"/>
  <c r="I84"/>
  <c r="S13" i="47" l="1"/>
  <c r="S38" s="1"/>
  <c r="S40" s="1"/>
  <c r="O38"/>
  <c r="O40" s="1"/>
  <c r="O65" s="1"/>
  <c r="O71" s="1"/>
  <c r="I58" i="15"/>
  <c r="I53"/>
  <c r="I66"/>
  <c r="I86" s="1"/>
  <c r="I87" s="1"/>
  <c r="I88" s="1"/>
  <c r="J14"/>
  <c r="J41" s="1"/>
  <c r="J86" s="1"/>
  <c r="Q47" i="47" l="1"/>
  <c r="S47" s="1"/>
  <c r="Q49" l="1"/>
  <c r="S49" s="1"/>
  <c r="Q46"/>
  <c r="S46" l="1"/>
  <c r="S59" s="1"/>
  <c r="S65" s="1"/>
  <c r="S71" s="1"/>
  <c r="Q59"/>
  <c r="Q65" s="1"/>
  <c r="Q71" s="1"/>
</calcChain>
</file>

<file path=xl/comments1.xml><?xml version="1.0" encoding="utf-8"?>
<comments xmlns="http://schemas.openxmlformats.org/spreadsheetml/2006/main">
  <authors>
    <author>User</author>
  </authors>
  <commentList>
    <comment ref="M23" authorId="0">
      <text>
        <r>
          <rPr>
            <b/>
            <sz val="9"/>
            <color indexed="81"/>
            <rFont val="宋体"/>
            <family val="3"/>
            <charset val="134"/>
          </rPr>
          <t>User:</t>
        </r>
        <r>
          <rPr>
            <sz val="9"/>
            <color indexed="81"/>
            <rFont val="宋体"/>
            <family val="3"/>
            <charset val="134"/>
          </rPr>
          <t xml:space="preserve">
估算</t>
        </r>
      </text>
    </comment>
    <comment ref="Q52" authorId="0">
      <text>
        <r>
          <rPr>
            <b/>
            <sz val="9"/>
            <color indexed="81"/>
            <rFont val="宋体"/>
            <family val="3"/>
            <charset val="134"/>
          </rPr>
          <t>User:</t>
        </r>
        <r>
          <rPr>
            <sz val="9"/>
            <color indexed="81"/>
            <rFont val="宋体"/>
            <family val="3"/>
            <charset val="134"/>
          </rPr>
          <t xml:space="preserve">
暂时不列</t>
        </r>
      </text>
    </comment>
    <comment ref="Q53" authorId="0">
      <text>
        <r>
          <rPr>
            <b/>
            <sz val="9"/>
            <color indexed="81"/>
            <rFont val="宋体"/>
            <family val="3"/>
            <charset val="134"/>
          </rPr>
          <t>User:</t>
        </r>
        <r>
          <rPr>
            <sz val="9"/>
            <color indexed="81"/>
            <rFont val="宋体"/>
            <family val="3"/>
            <charset val="134"/>
          </rPr>
          <t xml:space="preserve">
含4.05%税（按一期与二期全部面积为基数）</t>
        </r>
      </text>
    </comment>
  </commentList>
</comments>
</file>

<file path=xl/sharedStrings.xml><?xml version="1.0" encoding="utf-8"?>
<sst xmlns="http://schemas.openxmlformats.org/spreadsheetml/2006/main" count="1494" uniqueCount="737">
  <si>
    <t>序号</t>
    <phoneticPr fontId="2" type="noConversion"/>
  </si>
  <si>
    <t>数控成形磨齿机</t>
    <phoneticPr fontId="2" type="noConversion"/>
  </si>
  <si>
    <r>
      <t>DIN5</t>
    </r>
    <r>
      <rPr>
        <sz val="12"/>
        <rFont val="宋体"/>
        <family val="3"/>
        <charset val="134"/>
      </rPr>
      <t>级</t>
    </r>
    <r>
      <rPr>
        <sz val="12"/>
        <rFont val="宋体"/>
        <family val="3"/>
        <charset val="134"/>
      </rPr>
      <t/>
    </r>
  </si>
  <si>
    <t>天津</t>
  </si>
  <si>
    <t>台</t>
  </si>
  <si>
    <t>YH908</t>
  </si>
  <si>
    <t>数控落地铣镗床</t>
  </si>
  <si>
    <t>齐齐哈尔第二机床厂</t>
  </si>
  <si>
    <t>数控卧式镗床</t>
  </si>
  <si>
    <t>台</t>
    <phoneticPr fontId="2" type="noConversion"/>
  </si>
  <si>
    <t>套</t>
    <phoneticPr fontId="2" type="noConversion"/>
  </si>
  <si>
    <t>单位</t>
    <phoneticPr fontId="2" type="noConversion"/>
  </si>
  <si>
    <t>数控成形内齿磨齿机</t>
    <phoneticPr fontId="2" type="noConversion"/>
  </si>
  <si>
    <t>附表1</t>
    <phoneticPr fontId="2" type="noConversion"/>
  </si>
  <si>
    <t>投   资   估   算   表</t>
    <phoneticPr fontId="2" type="noConversion"/>
  </si>
  <si>
    <t>设备名称</t>
    <phoneticPr fontId="2" type="noConversion"/>
  </si>
  <si>
    <t>规格型号</t>
    <phoneticPr fontId="2" type="noConversion"/>
  </si>
  <si>
    <t>数量</t>
    <phoneticPr fontId="2" type="noConversion"/>
  </si>
  <si>
    <t>设备价格</t>
    <phoneticPr fontId="2" type="noConversion"/>
  </si>
  <si>
    <t>备注</t>
    <phoneticPr fontId="2" type="noConversion"/>
  </si>
  <si>
    <t>单价</t>
    <phoneticPr fontId="2" type="noConversion"/>
  </si>
  <si>
    <t>总价</t>
    <phoneticPr fontId="2" type="noConversion"/>
  </si>
  <si>
    <t>其中外汇</t>
    <phoneticPr fontId="2" type="noConversion"/>
  </si>
  <si>
    <t>项目名称：中国船舶重工集团公司重庆齿轮箱有限责任公司船舶与风力发电齿轮传动装置技术改造项目              单位：万元、万美元</t>
  </si>
  <si>
    <t>序号</t>
    <phoneticPr fontId="2" type="noConversion"/>
  </si>
  <si>
    <r>
      <t>最大镗孔直径ф</t>
    </r>
    <r>
      <rPr>
        <sz val="12"/>
        <rFont val="宋体"/>
        <family val="3"/>
        <charset val="134"/>
      </rPr>
      <t>350</t>
    </r>
  </si>
  <si>
    <t>硬齿面滚齿机</t>
    <phoneticPr fontId="2" type="noConversion"/>
  </si>
  <si>
    <t>专用高速铣齿机</t>
    <phoneticPr fontId="2" type="noConversion"/>
  </si>
  <si>
    <t>数控插齿机</t>
    <phoneticPr fontId="2" type="noConversion"/>
  </si>
  <si>
    <t>数控立式车床</t>
    <phoneticPr fontId="2" type="noConversion"/>
  </si>
  <si>
    <t>数控龙门镗铣床</t>
    <phoneticPr fontId="2" type="noConversion"/>
  </si>
  <si>
    <t>螺旋锥齿轮铣齿机</t>
    <phoneticPr fontId="2" type="noConversion"/>
  </si>
  <si>
    <t>车铣复合加工中心</t>
    <phoneticPr fontId="2" type="noConversion"/>
  </si>
  <si>
    <t>三坐标测量机</t>
    <phoneticPr fontId="2" type="noConversion"/>
  </si>
  <si>
    <t>桥式起重机</t>
    <phoneticPr fontId="2" type="noConversion"/>
  </si>
  <si>
    <t>齿轮箱性能试验台</t>
    <phoneticPr fontId="2" type="noConversion"/>
  </si>
  <si>
    <t>三</t>
    <phoneticPr fontId="2" type="noConversion"/>
  </si>
  <si>
    <t>进口设备从属费</t>
  </si>
  <si>
    <t>装配、试验联合厂房</t>
  </si>
  <si>
    <t>齿轮、箱体加工联合厂房</t>
  </si>
  <si>
    <t>门卫</t>
  </si>
  <si>
    <t>消防水池及泵房</t>
  </si>
  <si>
    <t>降压站</t>
  </si>
  <si>
    <t>变配电系统</t>
  </si>
  <si>
    <t>压缩空气系统</t>
  </si>
  <si>
    <t>冷却水塔</t>
  </si>
  <si>
    <t>中央空调系统及通风设备</t>
  </si>
  <si>
    <t>水泵房</t>
  </si>
  <si>
    <t>室外电缆</t>
  </si>
  <si>
    <t>室外给排水</t>
  </si>
  <si>
    <t>道路</t>
  </si>
  <si>
    <t xml:space="preserve">绿化         </t>
  </si>
  <si>
    <t>围墙</t>
  </si>
  <si>
    <t>环保、劳动安全卫生及消防</t>
  </si>
  <si>
    <t>建设单位管理费</t>
  </si>
  <si>
    <t>前期工作费</t>
  </si>
  <si>
    <t>设计费</t>
  </si>
  <si>
    <t>勘察费</t>
  </si>
  <si>
    <t>工程建设监理费</t>
  </si>
  <si>
    <t>招标代理服务费</t>
  </si>
  <si>
    <t>环境影响咨询费</t>
  </si>
  <si>
    <t>征地费</t>
  </si>
  <si>
    <t>培训费</t>
  </si>
  <si>
    <t>联合试运转费</t>
  </si>
  <si>
    <t>项目名称：中国船舶重工集团公司重庆齿轮箱有限责任公司船舶与风力发电齿轮传动装置技术改造项目              单位：万元、万美元</t>
    <phoneticPr fontId="2" type="noConversion"/>
  </si>
  <si>
    <t>总图   编号</t>
    <phoneticPr fontId="2" type="noConversion"/>
  </si>
  <si>
    <t>费用名称</t>
    <phoneticPr fontId="2" type="noConversion"/>
  </si>
  <si>
    <t>建筑        面积</t>
    <phoneticPr fontId="2" type="noConversion"/>
  </si>
  <si>
    <t>建筑
工程</t>
    <phoneticPr fontId="2" type="noConversion"/>
  </si>
  <si>
    <t>设备工程费</t>
    <phoneticPr fontId="2" type="noConversion"/>
  </si>
  <si>
    <t>设备
安装费</t>
    <phoneticPr fontId="2" type="noConversion"/>
  </si>
  <si>
    <t>其它        费用</t>
    <phoneticPr fontId="2" type="noConversion"/>
  </si>
  <si>
    <t>总  计</t>
    <phoneticPr fontId="2" type="noConversion"/>
  </si>
  <si>
    <t>其中:
外汇</t>
    <phoneticPr fontId="2" type="noConversion"/>
  </si>
  <si>
    <t>投资
构成</t>
    <phoneticPr fontId="2" type="noConversion"/>
  </si>
  <si>
    <t>备 注</t>
    <phoneticPr fontId="2" type="noConversion"/>
  </si>
  <si>
    <t>公用设备</t>
    <phoneticPr fontId="2" type="noConversion"/>
  </si>
  <si>
    <t>工艺设备</t>
    <phoneticPr fontId="2" type="noConversion"/>
  </si>
  <si>
    <t>第一部分：工程费用名称</t>
    <phoneticPr fontId="2" type="noConversion"/>
  </si>
  <si>
    <t>一</t>
    <phoneticPr fontId="2" type="noConversion"/>
  </si>
  <si>
    <t>生产性项目</t>
    <phoneticPr fontId="2" type="noConversion"/>
  </si>
  <si>
    <t>新增工艺设备</t>
    <phoneticPr fontId="2" type="noConversion"/>
  </si>
  <si>
    <t>齿轮加工单元</t>
    <phoneticPr fontId="2" type="noConversion"/>
  </si>
  <si>
    <t>箱体加工单元</t>
    <phoneticPr fontId="2" type="noConversion"/>
  </si>
  <si>
    <t>装配单元</t>
    <phoneticPr fontId="2" type="noConversion"/>
  </si>
  <si>
    <t>试验单元</t>
    <phoneticPr fontId="2" type="noConversion"/>
  </si>
  <si>
    <t>涂装及成品库房单元</t>
    <phoneticPr fontId="2" type="noConversion"/>
  </si>
  <si>
    <t>小计</t>
    <phoneticPr fontId="2" type="noConversion"/>
  </si>
  <si>
    <t>土建工程</t>
    <phoneticPr fontId="2" type="noConversion"/>
  </si>
  <si>
    <t>小    计</t>
    <phoneticPr fontId="2" type="noConversion"/>
  </si>
  <si>
    <t>二</t>
    <phoneticPr fontId="2" type="noConversion"/>
  </si>
  <si>
    <t>动力公用性项目</t>
    <phoneticPr fontId="2" type="noConversion"/>
  </si>
  <si>
    <t>小   计</t>
    <phoneticPr fontId="2" type="noConversion"/>
  </si>
  <si>
    <t>三</t>
    <phoneticPr fontId="2" type="noConversion"/>
  </si>
  <si>
    <t>总图设施性项目</t>
    <phoneticPr fontId="2" type="noConversion"/>
  </si>
  <si>
    <t>第 一 部 分 合  计</t>
    <phoneticPr fontId="2" type="noConversion"/>
  </si>
  <si>
    <t>第二部分　工程建设其他费用</t>
    <phoneticPr fontId="2" type="noConversion"/>
  </si>
  <si>
    <t>第 二 部 分 合  计</t>
    <phoneticPr fontId="2" type="noConversion"/>
  </si>
  <si>
    <t>第一、二  部  分  合  计</t>
    <phoneticPr fontId="2" type="noConversion"/>
  </si>
  <si>
    <t>第三部分、基本预备费（8%）</t>
    <phoneticPr fontId="2" type="noConversion"/>
  </si>
  <si>
    <t>静态建设投资合计
第一、二、三 部  分  合  计</t>
    <phoneticPr fontId="2" type="noConversion"/>
  </si>
  <si>
    <t>第四部分：动态投资</t>
    <phoneticPr fontId="2" type="noConversion"/>
  </si>
  <si>
    <t>综合预备费</t>
    <phoneticPr fontId="2" type="noConversion"/>
  </si>
  <si>
    <t>固定资产投资方向调节税</t>
    <phoneticPr fontId="2" type="noConversion"/>
  </si>
  <si>
    <t>建设期贷款利息</t>
    <phoneticPr fontId="2" type="noConversion"/>
  </si>
  <si>
    <t>企业铺底流动资金</t>
    <phoneticPr fontId="2" type="noConversion"/>
  </si>
  <si>
    <t>动态建设投资合计</t>
    <phoneticPr fontId="2" type="noConversion"/>
  </si>
  <si>
    <t>工程项目总投资</t>
    <phoneticPr fontId="2" type="noConversion"/>
  </si>
  <si>
    <t>原投资</t>
    <phoneticPr fontId="2" type="noConversion"/>
  </si>
  <si>
    <t>投资增加</t>
    <phoneticPr fontId="2" type="noConversion"/>
  </si>
  <si>
    <t>超投资</t>
    <phoneticPr fontId="2" type="noConversion"/>
  </si>
  <si>
    <t>流金减少</t>
    <phoneticPr fontId="2" type="noConversion"/>
  </si>
  <si>
    <r>
      <t>附表</t>
    </r>
    <r>
      <rPr>
        <sz val="12"/>
        <rFont val="Times New Roman"/>
        <family val="1"/>
      </rPr>
      <t>2</t>
    </r>
    <phoneticPr fontId="2" type="noConversion"/>
  </si>
  <si>
    <t>新增工艺设备表</t>
    <phoneticPr fontId="2" type="noConversion"/>
  </si>
  <si>
    <t>项目名称：中船重工重庆齿轮箱有限责任公司船舶与风力发电齿轮传动装置生产线技术改造项目                             单位：万元、万美元</t>
    <phoneticPr fontId="2" type="noConversion"/>
  </si>
  <si>
    <t>主要性能指标</t>
    <phoneticPr fontId="2" type="noConversion"/>
  </si>
  <si>
    <t>国别与厂家
（供参考）</t>
    <phoneticPr fontId="2" type="noConversion"/>
  </si>
  <si>
    <t xml:space="preserve">一 </t>
    <phoneticPr fontId="2" type="noConversion"/>
  </si>
  <si>
    <t>齿轮加工厂房</t>
    <phoneticPr fontId="2" type="noConversion"/>
  </si>
  <si>
    <t>（一）</t>
    <phoneticPr fontId="2" type="noConversion"/>
  </si>
  <si>
    <t>磨齿机</t>
    <phoneticPr fontId="2" type="noConversion"/>
  </si>
  <si>
    <r>
      <t>DIN4</t>
    </r>
    <r>
      <rPr>
        <sz val="12"/>
        <rFont val="宋体"/>
        <family val="3"/>
        <charset val="134"/>
      </rPr>
      <t>级</t>
    </r>
    <phoneticPr fontId="2" type="noConversion"/>
  </si>
  <si>
    <r>
      <t>ZPI25</t>
    </r>
    <r>
      <rPr>
        <sz val="12"/>
        <rFont val="宋体"/>
        <family val="3"/>
        <charset val="134"/>
      </rPr>
      <t>∮2500</t>
    </r>
    <phoneticPr fontId="2" type="noConversion"/>
  </si>
  <si>
    <r>
      <t>德国</t>
    </r>
    <r>
      <rPr>
        <sz val="12"/>
        <rFont val="宋体"/>
        <family val="3"/>
        <charset val="134"/>
      </rPr>
      <t>NILES公司</t>
    </r>
    <phoneticPr fontId="2" type="noConversion"/>
  </si>
  <si>
    <r>
      <t>ZP20</t>
    </r>
    <r>
      <rPr>
        <sz val="12"/>
        <rFont val="宋体"/>
        <family val="3"/>
        <charset val="134"/>
      </rPr>
      <t>∮2000</t>
    </r>
    <phoneticPr fontId="2" type="noConversion"/>
  </si>
  <si>
    <r>
      <t>ZE1000</t>
    </r>
    <r>
      <rPr>
        <sz val="12"/>
        <rFont val="宋体"/>
        <family val="3"/>
        <charset val="134"/>
      </rPr>
      <t>∮1000</t>
    </r>
    <phoneticPr fontId="2" type="noConversion"/>
  </si>
  <si>
    <r>
      <t>ZE15</t>
    </r>
    <r>
      <rPr>
        <sz val="12"/>
        <rFont val="宋体"/>
        <family val="3"/>
        <charset val="134"/>
      </rPr>
      <t>∮1500</t>
    </r>
    <phoneticPr fontId="2" type="noConversion"/>
  </si>
  <si>
    <r>
      <t>DIN6</t>
    </r>
    <r>
      <rPr>
        <sz val="12"/>
        <rFont val="宋体"/>
        <family val="3"/>
        <charset val="134"/>
      </rPr>
      <t>级</t>
    </r>
    <phoneticPr fontId="2" type="noConversion"/>
  </si>
  <si>
    <r>
      <t>YK7363</t>
    </r>
    <r>
      <rPr>
        <sz val="12"/>
        <rFont val="宋体"/>
        <family val="3"/>
        <charset val="134"/>
      </rPr>
      <t>∮630</t>
    </r>
    <phoneticPr fontId="2" type="noConversion"/>
  </si>
  <si>
    <t>秦川机床厂</t>
    <phoneticPr fontId="2" type="noConversion"/>
  </si>
  <si>
    <r>
      <t>YK73125</t>
    </r>
    <r>
      <rPr>
        <sz val="12"/>
        <rFont val="宋体"/>
        <family val="3"/>
        <charset val="134"/>
      </rPr>
      <t>∮1250</t>
    </r>
    <phoneticPr fontId="2" type="noConversion"/>
  </si>
  <si>
    <t>小 计</t>
    <phoneticPr fontId="2" type="noConversion"/>
  </si>
  <si>
    <t>（二）</t>
    <phoneticPr fontId="2" type="noConversion"/>
  </si>
  <si>
    <t>滚齿机及专用铣齿机</t>
    <phoneticPr fontId="2" type="noConversion"/>
  </si>
  <si>
    <r>
      <t>工作台</t>
    </r>
    <r>
      <rPr>
        <sz val="12"/>
        <rFont val="宋体"/>
        <family val="3"/>
        <charset val="134"/>
      </rPr>
      <t>4000mm</t>
    </r>
    <phoneticPr fontId="2" type="noConversion"/>
  </si>
  <si>
    <t xml:space="preserve">YC31400Φ4000 </t>
    <phoneticPr fontId="2" type="noConversion"/>
  </si>
  <si>
    <t>武汉机床厂</t>
    <phoneticPr fontId="2" type="noConversion"/>
  </si>
  <si>
    <r>
      <t>YK84250</t>
    </r>
    <r>
      <rPr>
        <sz val="12"/>
        <rFont val="宋体"/>
        <family val="3"/>
        <charset val="134"/>
      </rPr>
      <t>Φ2500</t>
    </r>
    <phoneticPr fontId="2" type="noConversion"/>
  </si>
  <si>
    <t>宜昌长机科技股份公司</t>
    <phoneticPr fontId="2" type="noConversion"/>
  </si>
  <si>
    <r>
      <t>YK</t>
    </r>
    <r>
      <rPr>
        <sz val="12"/>
        <rFont val="宋体"/>
        <family val="3"/>
        <charset val="134"/>
      </rPr>
      <t>L51350Φ3500</t>
    </r>
    <phoneticPr fontId="2" type="noConversion"/>
  </si>
  <si>
    <r>
      <t>G</t>
    </r>
    <r>
      <rPr>
        <sz val="12"/>
        <rFont val="宋体"/>
        <family val="3"/>
        <charset val="134"/>
      </rPr>
      <t>B10095-88，6级</t>
    </r>
    <phoneticPr fontId="2" type="noConversion"/>
  </si>
  <si>
    <r>
      <t>YK5</t>
    </r>
    <r>
      <rPr>
        <sz val="12"/>
        <rFont val="宋体"/>
        <family val="3"/>
        <charset val="134"/>
      </rPr>
      <t>1250Φ2500×M20</t>
    </r>
    <phoneticPr fontId="2" type="noConversion"/>
  </si>
  <si>
    <r>
      <t>YK5</t>
    </r>
    <r>
      <rPr>
        <sz val="12"/>
        <rFont val="宋体"/>
        <family val="3"/>
        <charset val="134"/>
      </rPr>
      <t>1160Φ1600×M20</t>
    </r>
    <phoneticPr fontId="2" type="noConversion"/>
  </si>
  <si>
    <t>（三）</t>
    <phoneticPr fontId="2" type="noConversion"/>
  </si>
  <si>
    <t>螺旋伞齿轮加工设备</t>
    <phoneticPr fontId="2" type="noConversion"/>
  </si>
  <si>
    <r>
      <t>DIN7</t>
    </r>
    <r>
      <rPr>
        <sz val="12"/>
        <rFont val="宋体"/>
        <family val="3"/>
        <charset val="134"/>
      </rPr>
      <t>级</t>
    </r>
    <r>
      <rPr>
        <sz val="12"/>
        <rFont val="宋体"/>
        <family val="3"/>
        <charset val="134"/>
      </rPr>
      <t/>
    </r>
    <phoneticPr fontId="2" type="noConversion"/>
  </si>
  <si>
    <r>
      <t>YH6016</t>
    </r>
    <r>
      <rPr>
        <sz val="12"/>
        <rFont val="宋体"/>
        <family val="3"/>
        <charset val="134"/>
      </rPr>
      <t>ф1600×M20</t>
    </r>
    <phoneticPr fontId="2" type="noConversion"/>
  </si>
  <si>
    <r>
      <t>V</t>
    </r>
    <r>
      <rPr>
        <sz val="12"/>
        <rFont val="宋体"/>
        <family val="3"/>
        <charset val="134"/>
      </rPr>
      <t>TM180 Φ1800</t>
    </r>
    <phoneticPr fontId="2" type="noConversion"/>
  </si>
  <si>
    <t>CMM106060 1000×660×660mm</t>
    <phoneticPr fontId="2" type="noConversion"/>
  </si>
  <si>
    <r>
      <t>美国布朗-</t>
    </r>
    <r>
      <rPr>
        <sz val="12"/>
        <rFont val="宋体"/>
        <family val="3"/>
        <charset val="134"/>
      </rPr>
      <t>-夏普公司</t>
    </r>
    <phoneticPr fontId="2" type="noConversion"/>
  </si>
  <si>
    <t>铣刀刃磨机</t>
    <phoneticPr fontId="2" type="noConversion"/>
  </si>
  <si>
    <t>（四）</t>
    <phoneticPr fontId="2" type="noConversion"/>
  </si>
  <si>
    <t>立式车床</t>
    <phoneticPr fontId="2" type="noConversion"/>
  </si>
  <si>
    <r>
      <t>加工高度</t>
    </r>
    <r>
      <rPr>
        <sz val="12"/>
        <rFont val="宋体"/>
        <family val="3"/>
        <charset val="134"/>
      </rPr>
      <t>2000mm</t>
    </r>
    <r>
      <rPr>
        <sz val="12"/>
        <rFont val="宋体"/>
        <family val="3"/>
        <charset val="134"/>
      </rPr>
      <t/>
    </r>
    <phoneticPr fontId="2" type="noConversion"/>
  </si>
  <si>
    <r>
      <t>DVT25</t>
    </r>
    <r>
      <rPr>
        <sz val="12"/>
        <rFont val="宋体"/>
        <family val="3"/>
        <charset val="134"/>
      </rPr>
      <t>0Φ2500</t>
    </r>
    <phoneticPr fontId="2" type="noConversion"/>
  </si>
  <si>
    <t>齐重数控股份公司</t>
    <phoneticPr fontId="2" type="noConversion"/>
  </si>
  <si>
    <r>
      <t>加工高度</t>
    </r>
    <r>
      <rPr>
        <sz val="12"/>
        <rFont val="宋体"/>
        <family val="3"/>
        <charset val="134"/>
      </rPr>
      <t>2500mm</t>
    </r>
    <r>
      <rPr>
        <sz val="12"/>
        <rFont val="宋体"/>
        <family val="3"/>
        <charset val="134"/>
      </rPr>
      <t/>
    </r>
    <phoneticPr fontId="2" type="noConversion"/>
  </si>
  <si>
    <r>
      <t>DVT315</t>
    </r>
    <r>
      <rPr>
        <sz val="12"/>
        <rFont val="宋体"/>
        <family val="3"/>
        <charset val="134"/>
      </rPr>
      <t>Φ3150</t>
    </r>
    <phoneticPr fontId="2" type="noConversion"/>
  </si>
  <si>
    <r>
      <t>(</t>
    </r>
    <r>
      <rPr>
        <sz val="12"/>
        <rFont val="宋体"/>
        <family val="3"/>
        <charset val="134"/>
      </rPr>
      <t>五)</t>
    </r>
    <phoneticPr fontId="2" type="noConversion"/>
  </si>
  <si>
    <t>起重运输设备</t>
    <phoneticPr fontId="2" type="noConversion"/>
  </si>
  <si>
    <t>QD32t/10t×22.5m</t>
    <phoneticPr fontId="2" type="noConversion"/>
  </si>
  <si>
    <t>重庆金象起重设备公司</t>
    <phoneticPr fontId="2" type="noConversion"/>
  </si>
  <si>
    <t>QD20t/10t×22.5m</t>
    <phoneticPr fontId="2" type="noConversion"/>
  </si>
  <si>
    <t>电动平板车</t>
    <phoneticPr fontId="2" type="noConversion"/>
  </si>
  <si>
    <t>KPD-40,40t</t>
    <phoneticPr fontId="2" type="noConversion"/>
  </si>
  <si>
    <t>常熟市电动平板车厂</t>
    <phoneticPr fontId="2" type="noConversion"/>
  </si>
  <si>
    <t>合    计</t>
    <phoneticPr fontId="2" type="noConversion"/>
  </si>
  <si>
    <t>二</t>
    <phoneticPr fontId="2" type="noConversion"/>
  </si>
  <si>
    <t>箱体加工厂房</t>
    <phoneticPr fontId="2" type="noConversion"/>
  </si>
  <si>
    <t>落地镗铣床</t>
    <phoneticPr fontId="2" type="noConversion"/>
  </si>
  <si>
    <r>
      <t>TK6925</t>
    </r>
    <r>
      <rPr>
        <sz val="12"/>
        <rFont val="宋体"/>
        <family val="3"/>
        <charset val="134"/>
      </rPr>
      <t>ф225</t>
    </r>
    <phoneticPr fontId="2" type="noConversion"/>
  </si>
  <si>
    <r>
      <t>TK6920</t>
    </r>
    <r>
      <rPr>
        <sz val="12"/>
        <rFont val="宋体"/>
        <family val="3"/>
        <charset val="134"/>
      </rPr>
      <t>ф200</t>
    </r>
    <phoneticPr fontId="2" type="noConversion"/>
  </si>
  <si>
    <t>XK3060    3000×6000</t>
    <phoneticPr fontId="2" type="noConversion"/>
  </si>
  <si>
    <t>中捷数控股份公司</t>
    <phoneticPr fontId="2" type="noConversion"/>
  </si>
  <si>
    <t>卧式加工设备</t>
    <phoneticPr fontId="2" type="noConversion"/>
  </si>
  <si>
    <r>
      <t>TK6113</t>
    </r>
    <r>
      <rPr>
        <sz val="12"/>
        <rFont val="宋体"/>
        <family val="3"/>
        <charset val="134"/>
      </rPr>
      <t>ф130</t>
    </r>
    <phoneticPr fontId="2" type="noConversion"/>
  </si>
  <si>
    <t>交大昆机股份公司</t>
    <phoneticPr fontId="2" type="noConversion"/>
  </si>
  <si>
    <t>卧式加工中心</t>
    <phoneticPr fontId="2" type="noConversion"/>
  </si>
  <si>
    <r>
      <t>工作台</t>
    </r>
    <r>
      <rPr>
        <sz val="12"/>
        <rFont val="宋体"/>
        <family val="3"/>
        <charset val="134"/>
      </rPr>
      <t>1250×80</t>
    </r>
    <phoneticPr fontId="2" type="noConversion"/>
  </si>
  <si>
    <t>TH65125×80（1250×800）</t>
    <phoneticPr fontId="2" type="noConversion"/>
  </si>
  <si>
    <t>摇臂钻床</t>
    <phoneticPr fontId="2" type="noConversion"/>
  </si>
  <si>
    <t>滑座式摇臂钻床</t>
    <phoneticPr fontId="2" type="noConversion"/>
  </si>
  <si>
    <r>
      <t>Z33100</t>
    </r>
    <r>
      <rPr>
        <sz val="12"/>
        <rFont val="宋体"/>
        <family val="3"/>
        <charset val="134"/>
      </rPr>
      <t>ф100</t>
    </r>
    <phoneticPr fontId="2" type="noConversion"/>
  </si>
  <si>
    <r>
      <t>Z3080</t>
    </r>
    <r>
      <rPr>
        <sz val="12"/>
        <rFont val="宋体"/>
        <family val="3"/>
        <charset val="134"/>
      </rPr>
      <t>ф80</t>
    </r>
    <phoneticPr fontId="2" type="noConversion"/>
  </si>
  <si>
    <t>QD50t/10t×22.5m</t>
    <phoneticPr fontId="2" type="noConversion"/>
  </si>
  <si>
    <t>装配厂房</t>
    <phoneticPr fontId="2" type="noConversion"/>
  </si>
  <si>
    <t>QD50t/10t×28.5m</t>
    <phoneticPr fontId="2" type="noConversion"/>
  </si>
  <si>
    <t>QD100t/20t×28.5m</t>
    <phoneticPr fontId="2" type="noConversion"/>
  </si>
  <si>
    <t>悬臂吊车</t>
    <phoneticPr fontId="2" type="noConversion"/>
  </si>
  <si>
    <t>QD5t</t>
    <phoneticPr fontId="2" type="noConversion"/>
  </si>
  <si>
    <t>四</t>
    <phoneticPr fontId="2" type="noConversion"/>
  </si>
  <si>
    <t>试验厂房</t>
    <phoneticPr fontId="2" type="noConversion"/>
  </si>
  <si>
    <r>
      <t>1500KW×4</t>
    </r>
    <r>
      <rPr>
        <sz val="12"/>
        <rFont val="宋体"/>
        <family val="3"/>
        <charset val="134"/>
      </rPr>
      <t>，660V</t>
    </r>
    <phoneticPr fontId="2" type="noConversion"/>
  </si>
  <si>
    <t>西门子公司</t>
    <phoneticPr fontId="2" type="noConversion"/>
  </si>
  <si>
    <t>QD32t/10t×28.5m</t>
    <phoneticPr fontId="2" type="noConversion"/>
  </si>
  <si>
    <t>漆雾净化装置</t>
    <phoneticPr fontId="2" type="noConversion"/>
  </si>
  <si>
    <t>重庆</t>
    <phoneticPr fontId="2" type="noConversion"/>
  </si>
  <si>
    <t>五</t>
    <phoneticPr fontId="2" type="noConversion"/>
  </si>
  <si>
    <r>
      <t>成品库房</t>
    </r>
    <r>
      <rPr>
        <sz val="12"/>
        <rFont val="宋体"/>
        <family val="3"/>
        <charset val="134"/>
      </rPr>
      <t xml:space="preserve"> </t>
    </r>
    <phoneticPr fontId="2" type="noConversion"/>
  </si>
  <si>
    <r>
      <t>设备原价总</t>
    </r>
    <r>
      <rPr>
        <sz val="12"/>
        <rFont val="宋体"/>
        <family val="3"/>
        <charset val="134"/>
      </rPr>
      <t>计</t>
    </r>
    <phoneticPr fontId="2" type="noConversion"/>
  </si>
  <si>
    <t>设备运杂费</t>
    <phoneticPr fontId="2" type="noConversion"/>
  </si>
  <si>
    <t>设备购置费总计</t>
    <phoneticPr fontId="2" type="noConversion"/>
  </si>
  <si>
    <t>委托公开</t>
  </si>
  <si>
    <t>(2)</t>
  </si>
  <si>
    <t>(3)</t>
  </si>
  <si>
    <t>(4)</t>
  </si>
  <si>
    <t>(5)</t>
  </si>
  <si>
    <t>(6)</t>
  </si>
  <si>
    <t>(7)</t>
  </si>
  <si>
    <t>(8)</t>
  </si>
  <si>
    <t>(9)</t>
  </si>
  <si>
    <t>附表4</t>
    <phoneticPr fontId="2" type="noConversion"/>
  </si>
  <si>
    <t>招 标 基 本 情 况 表</t>
    <phoneticPr fontId="2" type="noConversion"/>
  </si>
  <si>
    <t>序号</t>
    <phoneticPr fontId="2" type="noConversion"/>
  </si>
  <si>
    <t>项目名称</t>
    <phoneticPr fontId="2" type="noConversion"/>
  </si>
  <si>
    <t>招标范围</t>
    <phoneticPr fontId="2" type="noConversion"/>
  </si>
  <si>
    <t>招标组织形式</t>
    <phoneticPr fontId="2" type="noConversion"/>
  </si>
  <si>
    <t>招标方式</t>
    <phoneticPr fontId="2" type="noConversion"/>
  </si>
  <si>
    <t>不采用
招标方式</t>
    <phoneticPr fontId="2" type="noConversion"/>
  </si>
  <si>
    <t>说明</t>
    <phoneticPr fontId="2" type="noConversion"/>
  </si>
  <si>
    <t>全部招标</t>
    <phoneticPr fontId="2" type="noConversion"/>
  </si>
  <si>
    <t>部分招标</t>
    <phoneticPr fontId="2" type="noConversion"/>
  </si>
  <si>
    <t>自行招标</t>
    <phoneticPr fontId="2" type="noConversion"/>
  </si>
  <si>
    <t>委托招标</t>
    <phoneticPr fontId="2" type="noConversion"/>
  </si>
  <si>
    <t>公开招标</t>
    <phoneticPr fontId="2" type="noConversion"/>
  </si>
  <si>
    <t>邀请招标</t>
    <phoneticPr fontId="2" type="noConversion"/>
  </si>
  <si>
    <t>一</t>
    <phoneticPr fontId="2" type="noConversion"/>
  </si>
  <si>
    <t>勘察</t>
    <phoneticPr fontId="2" type="noConversion"/>
  </si>
  <si>
    <t>√</t>
    <phoneticPr fontId="2" type="noConversion"/>
  </si>
  <si>
    <t>单项合同低于50万元</t>
  </si>
  <si>
    <t>二</t>
    <phoneticPr fontId="2" type="noConversion"/>
  </si>
  <si>
    <t>设计</t>
    <phoneticPr fontId="2" type="noConversion"/>
  </si>
  <si>
    <t>项目专业性强</t>
    <phoneticPr fontId="2" type="noConversion"/>
  </si>
  <si>
    <t>三</t>
    <phoneticPr fontId="2" type="noConversion"/>
  </si>
  <si>
    <t>建筑工程</t>
    <phoneticPr fontId="2" type="noConversion"/>
  </si>
  <si>
    <t>四</t>
    <phoneticPr fontId="2" type="noConversion"/>
  </si>
  <si>
    <t>安装工程</t>
    <phoneticPr fontId="2" type="noConversion"/>
  </si>
  <si>
    <t>√</t>
    <phoneticPr fontId="2" type="noConversion"/>
  </si>
  <si>
    <t>单项合同金额低于200万元</t>
    <phoneticPr fontId="2" type="noConversion"/>
  </si>
  <si>
    <t>五</t>
    <phoneticPr fontId="2" type="noConversion"/>
  </si>
  <si>
    <t>监理</t>
    <phoneticPr fontId="2" type="noConversion"/>
  </si>
  <si>
    <t>六</t>
    <phoneticPr fontId="2" type="noConversion"/>
  </si>
  <si>
    <t>重要材料</t>
    <phoneticPr fontId="2" type="noConversion"/>
  </si>
  <si>
    <t>无此项内容</t>
    <phoneticPr fontId="2" type="noConversion"/>
  </si>
  <si>
    <t>七</t>
    <phoneticPr fontId="2" type="noConversion"/>
  </si>
  <si>
    <t>其它</t>
    <phoneticPr fontId="2" type="noConversion"/>
  </si>
  <si>
    <t>招标情况</t>
    <phoneticPr fontId="2" type="noConversion"/>
  </si>
  <si>
    <t>合计</t>
    <phoneticPr fontId="2" type="noConversion"/>
  </si>
  <si>
    <t>不招标</t>
    <phoneticPr fontId="2" type="noConversion"/>
  </si>
  <si>
    <r>
      <t>总</t>
    </r>
    <r>
      <rPr>
        <b/>
        <sz val="18"/>
        <rFont val="Times New Roman"/>
        <family val="1"/>
      </rPr>
      <t xml:space="preserve">        </t>
    </r>
    <r>
      <rPr>
        <b/>
        <sz val="18"/>
        <rFont val="宋体"/>
        <family val="3"/>
        <charset val="134"/>
      </rPr>
      <t xml:space="preserve">概   </t>
    </r>
    <r>
      <rPr>
        <b/>
        <sz val="18"/>
        <rFont val="Times New Roman"/>
        <family val="1"/>
      </rPr>
      <t xml:space="preserve">  </t>
    </r>
    <r>
      <rPr>
        <b/>
        <sz val="18"/>
        <rFont val="宋体"/>
        <family val="3"/>
        <charset val="134"/>
      </rPr>
      <t xml:space="preserve">算  </t>
    </r>
    <r>
      <rPr>
        <b/>
        <sz val="18"/>
        <rFont val="Times New Roman"/>
        <family val="1"/>
      </rPr>
      <t xml:space="preserve">   </t>
    </r>
    <r>
      <rPr>
        <b/>
        <sz val="18"/>
        <rFont val="宋体"/>
        <family val="3"/>
        <charset val="134"/>
      </rPr>
      <t>表</t>
    </r>
    <phoneticPr fontId="2" type="noConversion"/>
  </si>
  <si>
    <t xml:space="preserve"> </t>
    <phoneticPr fontId="2" type="noConversion"/>
  </si>
  <si>
    <t>单位：万元</t>
    <phoneticPr fontId="2" type="noConversion"/>
  </si>
  <si>
    <r>
      <t>总图</t>
    </r>
    <r>
      <rPr>
        <sz val="10"/>
        <rFont val="Times New Roman"/>
        <family val="1"/>
      </rPr>
      <t xml:space="preserve">  </t>
    </r>
    <r>
      <rPr>
        <sz val="10"/>
        <rFont val="宋体"/>
        <family val="3"/>
        <charset val="134"/>
      </rPr>
      <t>编号</t>
    </r>
    <phoneticPr fontId="2" type="noConversion"/>
  </si>
  <si>
    <t>工程和费用名称</t>
    <phoneticPr fontId="2" type="noConversion"/>
  </si>
  <si>
    <r>
      <t>建筑面积</t>
    </r>
    <r>
      <rPr>
        <sz val="10"/>
        <rFont val="Times New Roman"/>
        <family val="1"/>
      </rPr>
      <t>(m</t>
    </r>
    <r>
      <rPr>
        <vertAlign val="superscript"/>
        <sz val="10"/>
        <rFont val="Times New Roman"/>
        <family val="1"/>
      </rPr>
      <t>2</t>
    </r>
    <r>
      <rPr>
        <sz val="10"/>
        <rFont val="Times New Roman"/>
        <family val="1"/>
      </rPr>
      <t>)</t>
    </r>
    <phoneticPr fontId="2" type="noConversion"/>
  </si>
  <si>
    <r>
      <t>建</t>
    </r>
    <r>
      <rPr>
        <sz val="10"/>
        <rFont val="Times New Roman"/>
        <family val="1"/>
      </rPr>
      <t xml:space="preserve">        </t>
    </r>
    <r>
      <rPr>
        <sz val="10"/>
        <rFont val="宋体"/>
        <family val="3"/>
        <charset val="134"/>
      </rPr>
      <t>筑</t>
    </r>
    <r>
      <rPr>
        <sz val="10"/>
        <rFont val="Times New Roman"/>
        <family val="1"/>
      </rPr>
      <t xml:space="preserve">        </t>
    </r>
    <r>
      <rPr>
        <sz val="10"/>
        <rFont val="宋体"/>
        <family val="3"/>
        <charset val="134"/>
      </rPr>
      <t>工</t>
    </r>
    <r>
      <rPr>
        <sz val="10"/>
        <rFont val="Times New Roman"/>
        <family val="1"/>
      </rPr>
      <t xml:space="preserve">        </t>
    </r>
    <r>
      <rPr>
        <sz val="10"/>
        <rFont val="宋体"/>
        <family val="3"/>
        <charset val="134"/>
      </rPr>
      <t>程</t>
    </r>
    <phoneticPr fontId="2" type="noConversion"/>
  </si>
  <si>
    <r>
      <t>设</t>
    </r>
    <r>
      <rPr>
        <sz val="10"/>
        <rFont val="Times New Roman"/>
        <family val="1"/>
      </rPr>
      <t xml:space="preserve">  </t>
    </r>
    <r>
      <rPr>
        <sz val="10"/>
        <rFont val="宋体"/>
        <family val="3"/>
        <charset val="134"/>
      </rPr>
      <t>备</t>
    </r>
    <r>
      <rPr>
        <sz val="10"/>
        <rFont val="Times New Roman"/>
        <family val="1"/>
      </rPr>
      <t xml:space="preserve">  </t>
    </r>
    <r>
      <rPr>
        <sz val="10"/>
        <rFont val="宋体"/>
        <family val="3"/>
        <charset val="134"/>
      </rPr>
      <t>工</t>
    </r>
    <r>
      <rPr>
        <sz val="10"/>
        <rFont val="Times New Roman"/>
        <family val="1"/>
      </rPr>
      <t xml:space="preserve">  </t>
    </r>
    <r>
      <rPr>
        <sz val="10"/>
        <rFont val="宋体"/>
        <family val="3"/>
        <charset val="134"/>
      </rPr>
      <t>程</t>
    </r>
    <phoneticPr fontId="2" type="noConversion"/>
  </si>
  <si>
    <r>
      <t>安装</t>
    </r>
    <r>
      <rPr>
        <sz val="10"/>
        <rFont val="Times New Roman"/>
        <family val="1"/>
      </rPr>
      <t xml:space="preserve">        </t>
    </r>
    <r>
      <rPr>
        <sz val="10"/>
        <rFont val="宋体"/>
        <family val="3"/>
        <charset val="134"/>
      </rPr>
      <t xml:space="preserve">工程   </t>
    </r>
    <phoneticPr fontId="2" type="noConversion"/>
  </si>
  <si>
    <t>其他费用</t>
    <phoneticPr fontId="2" type="noConversion"/>
  </si>
  <si>
    <t>工具器具及生产家具</t>
    <phoneticPr fontId="2" type="noConversion"/>
  </si>
  <si>
    <r>
      <t>外汇额度</t>
    </r>
    <r>
      <rPr>
        <sz val="10"/>
        <rFont val="Times New Roman"/>
        <family val="1"/>
      </rPr>
      <t xml:space="preserve"> </t>
    </r>
    <phoneticPr fontId="2" type="noConversion"/>
  </si>
  <si>
    <t>建筑物</t>
    <phoneticPr fontId="2" type="noConversion"/>
  </si>
  <si>
    <t>构筑物</t>
    <phoneticPr fontId="2" type="noConversion"/>
  </si>
  <si>
    <t>设备基础</t>
    <phoneticPr fontId="2" type="noConversion"/>
  </si>
  <si>
    <t>给排水</t>
    <phoneticPr fontId="2" type="noConversion"/>
  </si>
  <si>
    <t>采暖通风</t>
    <phoneticPr fontId="2" type="noConversion"/>
  </si>
  <si>
    <t>动力工程</t>
    <phoneticPr fontId="2" type="noConversion"/>
  </si>
  <si>
    <t>电气工程</t>
    <phoneticPr fontId="2" type="noConversion"/>
  </si>
  <si>
    <t>第一部分：工程费用</t>
    <phoneticPr fontId="2" type="noConversion"/>
  </si>
  <si>
    <t>一、建筑工程</t>
    <phoneticPr fontId="2" type="noConversion"/>
  </si>
  <si>
    <t>一、水工设施</t>
    <phoneticPr fontId="2" type="noConversion"/>
  </si>
  <si>
    <t xml:space="preserve">码头 </t>
    <phoneticPr fontId="2" type="noConversion"/>
  </si>
  <si>
    <t xml:space="preserve">护岸 </t>
    <phoneticPr fontId="2" type="noConversion"/>
  </si>
  <si>
    <t>装备制造厂房</t>
    <phoneticPr fontId="2" type="noConversion"/>
  </si>
  <si>
    <t>（10000）</t>
    <phoneticPr fontId="2" type="noConversion"/>
  </si>
  <si>
    <t>三、辅助部门</t>
    <phoneticPr fontId="2" type="noConversion"/>
  </si>
  <si>
    <t>101-3</t>
    <phoneticPr fontId="2" type="noConversion"/>
  </si>
  <si>
    <t>装备制造厂房3#辅房</t>
    <phoneticPr fontId="2" type="noConversion"/>
  </si>
  <si>
    <t>101-4</t>
    <phoneticPr fontId="2" type="noConversion"/>
  </si>
  <si>
    <t>装备制造厂房4#辅房</t>
    <phoneticPr fontId="2" type="noConversion"/>
  </si>
  <si>
    <t>四、办公设施</t>
    <phoneticPr fontId="2" type="noConversion"/>
  </si>
  <si>
    <t>室外给排水工程</t>
  </si>
  <si>
    <t>室外动力工程</t>
  </si>
  <si>
    <t>室外采暖工程</t>
  </si>
  <si>
    <t>室外电气工程</t>
  </si>
  <si>
    <r>
      <t>（3</t>
    </r>
    <r>
      <rPr>
        <sz val="10"/>
        <rFont val="宋体"/>
        <family val="3"/>
        <charset val="134"/>
      </rPr>
      <t>8500）</t>
    </r>
    <phoneticPr fontId="2" type="noConversion"/>
  </si>
  <si>
    <t>二、生产部门</t>
    <phoneticPr fontId="2" type="noConversion"/>
  </si>
  <si>
    <t>装备制造厂房</t>
    <phoneticPr fontId="2" type="noConversion"/>
  </si>
  <si>
    <t>装备制造厂房地基及基础处理</t>
    <phoneticPr fontId="2" type="noConversion"/>
  </si>
  <si>
    <t>五、总图公用工程</t>
    <phoneticPr fontId="2" type="noConversion"/>
  </si>
  <si>
    <r>
      <t>绿地(45253</t>
    </r>
    <r>
      <rPr>
        <sz val="10"/>
        <rFont val="宋体"/>
        <family val="3"/>
        <charset val="134"/>
      </rPr>
      <t>m2)</t>
    </r>
    <phoneticPr fontId="2" type="noConversion"/>
  </si>
  <si>
    <r>
      <t>道路(</t>
    </r>
    <r>
      <rPr>
        <sz val="10"/>
        <rFont val="宋体"/>
        <family val="3"/>
        <charset val="134"/>
      </rPr>
      <t>37500</t>
    </r>
    <r>
      <rPr>
        <sz val="10"/>
        <rFont val="宋体"/>
        <family val="3"/>
        <charset val="134"/>
      </rPr>
      <t>m2)</t>
    </r>
    <phoneticPr fontId="2" type="noConversion"/>
  </si>
  <si>
    <r>
      <t>围墙(1</t>
    </r>
    <r>
      <rPr>
        <sz val="10"/>
        <rFont val="宋体"/>
        <family val="3"/>
        <charset val="134"/>
      </rPr>
      <t>400</t>
    </r>
    <r>
      <rPr>
        <sz val="10"/>
        <rFont val="宋体"/>
        <family val="3"/>
        <charset val="134"/>
      </rPr>
      <t xml:space="preserve">m) </t>
    </r>
    <phoneticPr fontId="2" type="noConversion"/>
  </si>
  <si>
    <t>小 计</t>
    <phoneticPr fontId="2" type="noConversion"/>
  </si>
  <si>
    <t>工程费用合计</t>
    <phoneticPr fontId="2" type="noConversion"/>
  </si>
  <si>
    <t>第二部分：其他费用</t>
    <phoneticPr fontId="2" type="noConversion"/>
  </si>
  <si>
    <r>
      <t>小</t>
    </r>
    <r>
      <rPr>
        <b/>
        <sz val="10"/>
        <rFont val="Times New Roman"/>
        <family val="1"/>
      </rPr>
      <t xml:space="preserve">   </t>
    </r>
    <r>
      <rPr>
        <b/>
        <sz val="10"/>
        <rFont val="宋体"/>
        <family val="3"/>
        <charset val="134"/>
      </rPr>
      <t>计</t>
    </r>
    <phoneticPr fontId="2" type="noConversion"/>
  </si>
  <si>
    <t>第三部分：工具器具及办公生产家具费</t>
    <phoneticPr fontId="2" type="noConversion"/>
  </si>
  <si>
    <r>
      <t>第四部分</t>
    </r>
    <r>
      <rPr>
        <b/>
        <sz val="10"/>
        <rFont val="Times New Roman"/>
        <family val="1"/>
      </rPr>
      <t>:</t>
    </r>
    <r>
      <rPr>
        <b/>
        <sz val="10"/>
        <rFont val="宋体"/>
        <family val="3"/>
        <charset val="134"/>
      </rPr>
      <t>基本预备费（</t>
    </r>
    <r>
      <rPr>
        <b/>
        <sz val="10"/>
        <rFont val="Times New Roman"/>
        <family val="1"/>
      </rPr>
      <t>7%</t>
    </r>
    <r>
      <rPr>
        <b/>
        <sz val="10"/>
        <rFont val="宋体"/>
        <family val="3"/>
        <charset val="134"/>
      </rPr>
      <t>）</t>
    </r>
    <phoneticPr fontId="2" type="noConversion"/>
  </si>
  <si>
    <t>静态投资合计</t>
    <phoneticPr fontId="2" type="noConversion"/>
  </si>
  <si>
    <t>第四部分:动态投资</t>
    <phoneticPr fontId="2" type="noConversion"/>
  </si>
  <si>
    <t>建设期贷款利息</t>
    <phoneticPr fontId="2" type="noConversion"/>
  </si>
  <si>
    <t>小计</t>
    <phoneticPr fontId="2" type="noConversion"/>
  </si>
  <si>
    <t>固定资产投资合计</t>
    <phoneticPr fontId="2" type="noConversion"/>
  </si>
  <si>
    <t>一、下料成型设备</t>
    <phoneticPr fontId="2" type="noConversion"/>
  </si>
  <si>
    <t>1</t>
    <phoneticPr fontId="2" type="noConversion"/>
  </si>
  <si>
    <t>等离子切割机</t>
    <phoneticPr fontId="2" type="noConversion"/>
  </si>
  <si>
    <t>有效切割范围：5m*20m、最大切割厚度：60mm，设备自带除烟尘装置</t>
    <phoneticPr fontId="2" type="noConversion"/>
  </si>
  <si>
    <t>国产</t>
    <phoneticPr fontId="2" type="noConversion"/>
  </si>
  <si>
    <t>委托公开</t>
    <phoneticPr fontId="2" type="noConversion"/>
  </si>
  <si>
    <t>2</t>
    <phoneticPr fontId="2" type="noConversion"/>
  </si>
  <si>
    <t>高压水切割装置</t>
    <phoneticPr fontId="2" type="noConversion"/>
  </si>
  <si>
    <t>切割厚度100mm</t>
    <phoneticPr fontId="2" type="noConversion"/>
  </si>
  <si>
    <t>3</t>
    <phoneticPr fontId="2" type="noConversion"/>
  </si>
  <si>
    <t>数控相贯线切割机</t>
    <phoneticPr fontId="2" type="noConversion"/>
  </si>
  <si>
    <t>Ø600mm×30</t>
    <phoneticPr fontId="2" type="noConversion"/>
  </si>
  <si>
    <t>4</t>
  </si>
  <si>
    <t>数控深孔钻</t>
    <phoneticPr fontId="2" type="noConversion"/>
  </si>
  <si>
    <t>最大工件直径φ2500mm;钻孔直径:φ10～φ32mm;最大钻孔深度:800mm;工作台最大承重:100T</t>
    <phoneticPr fontId="2" type="noConversion"/>
  </si>
  <si>
    <t>5</t>
  </si>
  <si>
    <t>马鞍形数控切割机</t>
    <phoneticPr fontId="2" type="noConversion"/>
  </si>
  <si>
    <t>切割圆孔直径：Φ100~1200mm</t>
    <phoneticPr fontId="2" type="noConversion"/>
  </si>
  <si>
    <t>6</t>
  </si>
  <si>
    <t>针轮加工机</t>
    <phoneticPr fontId="2" type="noConversion"/>
  </si>
  <si>
    <t>自制设备</t>
    <phoneticPr fontId="2" type="noConversion"/>
  </si>
  <si>
    <t>7</t>
  </si>
  <si>
    <t>液压胀管机</t>
    <phoneticPr fontId="2" type="noConversion"/>
  </si>
  <si>
    <t>胀接管子内径不小于φ10；管壁厚不大于5mm;胀接长度：10mm~600mm</t>
    <phoneticPr fontId="2" type="noConversion"/>
  </si>
  <si>
    <t>二、焊接生产设备</t>
    <phoneticPr fontId="2" type="noConversion"/>
  </si>
  <si>
    <t>窄间隙焊成套设备</t>
    <phoneticPr fontId="2" type="noConversion"/>
  </si>
  <si>
    <t>国产</t>
    <phoneticPr fontId="2" type="noConversion"/>
  </si>
  <si>
    <t>套</t>
    <phoneticPr fontId="2" type="noConversion"/>
  </si>
  <si>
    <t>（1）</t>
    <phoneticPr fontId="2" type="noConversion"/>
  </si>
  <si>
    <t>双丝窄间隙焊机</t>
    <phoneticPr fontId="2" type="noConversion"/>
  </si>
  <si>
    <t>含焊剂回收及干燥系统</t>
    <phoneticPr fontId="2" type="noConversion"/>
  </si>
  <si>
    <t>(122.6）</t>
    <phoneticPr fontId="2" type="noConversion"/>
  </si>
  <si>
    <t>（2）</t>
    <phoneticPr fontId="2" type="noConversion"/>
  </si>
  <si>
    <t>操作机</t>
    <phoneticPr fontId="2" type="noConversion"/>
  </si>
  <si>
    <t>承重800kg</t>
    <phoneticPr fontId="2" type="noConversion"/>
  </si>
  <si>
    <t>(32.3)</t>
    <phoneticPr fontId="2" type="noConversion"/>
  </si>
  <si>
    <t>（3）</t>
  </si>
  <si>
    <t>200T</t>
  </si>
  <si>
    <t>8</t>
  </si>
  <si>
    <t>9</t>
  </si>
  <si>
    <t>10</t>
  </si>
  <si>
    <t>11</t>
  </si>
  <si>
    <t>12</t>
  </si>
  <si>
    <t>13</t>
  </si>
  <si>
    <t>14</t>
  </si>
  <si>
    <t>15</t>
  </si>
  <si>
    <t>16</t>
  </si>
  <si>
    <t>17</t>
  </si>
  <si>
    <t>18</t>
  </si>
  <si>
    <t>19</t>
  </si>
  <si>
    <t>20</t>
  </si>
  <si>
    <t>3</t>
  </si>
  <si>
    <t>100T</t>
  </si>
  <si>
    <r>
      <rPr>
        <b/>
        <sz val="20"/>
        <rFont val="宋体"/>
        <family val="3"/>
        <charset val="134"/>
      </rPr>
      <t>工</t>
    </r>
    <r>
      <rPr>
        <b/>
        <sz val="20"/>
        <rFont val="Times New Roman"/>
        <family val="1"/>
      </rPr>
      <t xml:space="preserve">  </t>
    </r>
    <r>
      <rPr>
        <b/>
        <sz val="20"/>
        <rFont val="宋体"/>
        <family val="3"/>
        <charset val="134"/>
      </rPr>
      <t>艺 设 备 明 细 表</t>
    </r>
    <phoneticPr fontId="2" type="noConversion"/>
  </si>
  <si>
    <t>序
号</t>
    <phoneticPr fontId="2" type="noConversion"/>
  </si>
  <si>
    <t>主要技术(性能)指标</t>
  </si>
  <si>
    <r>
      <t>生产厂</t>
    </r>
    <r>
      <rPr>
        <sz val="12"/>
        <rFont val="Times New Roman"/>
        <family val="1"/>
      </rPr>
      <t/>
    </r>
    <phoneticPr fontId="2" type="noConversion"/>
  </si>
  <si>
    <t>价格(万元)</t>
  </si>
  <si>
    <t>现有</t>
    <phoneticPr fontId="2" type="noConversion"/>
  </si>
  <si>
    <t>新增</t>
    <phoneticPr fontId="2" type="noConversion"/>
  </si>
  <si>
    <t>共计</t>
    <phoneticPr fontId="2" type="noConversion"/>
  </si>
  <si>
    <t>带锯床</t>
  </si>
  <si>
    <t>400A</t>
  </si>
  <si>
    <t>POLYFIL-2</t>
  </si>
  <si>
    <t>抽真空速度：10m3的产品在90分钟内，真空度可达到1 Pa,产品漏率：2×10-4 -2×10-12Pa.m3/S</t>
  </si>
  <si>
    <t>铱-192探伤机</t>
  </si>
  <si>
    <t>自动洗片机</t>
  </si>
  <si>
    <t>工业电子内窥镜</t>
  </si>
  <si>
    <t>(10)</t>
  </si>
  <si>
    <t>(11)</t>
  </si>
  <si>
    <t>(12)</t>
  </si>
  <si>
    <t>附表2</t>
    <phoneticPr fontId="2" type="noConversion"/>
  </si>
  <si>
    <t xml:space="preserve"> 车间制造执行子系统</t>
    <phoneticPr fontId="2" type="noConversion"/>
  </si>
  <si>
    <t>外场作业管理模块和车间管理模块</t>
    <phoneticPr fontId="2" type="noConversion"/>
  </si>
  <si>
    <t>国产</t>
    <phoneticPr fontId="2" type="noConversion"/>
  </si>
  <si>
    <t>(1)</t>
    <phoneticPr fontId="2" type="noConversion"/>
  </si>
  <si>
    <t xml:space="preserve"> 数控设备接口模块</t>
    <phoneticPr fontId="2" type="noConversion"/>
  </si>
  <si>
    <t>套</t>
    <phoneticPr fontId="2" type="noConversion"/>
  </si>
  <si>
    <t xml:space="preserve"> 质量管理子系统</t>
    <phoneticPr fontId="2" type="noConversion"/>
  </si>
  <si>
    <t>基础信息管理、质量检查计划、报检跟踪管理、检验查询与汇总、数据接口、质量档案、质量跟踪、质量处理</t>
    <phoneticPr fontId="2" type="noConversion"/>
  </si>
  <si>
    <t xml:space="preserve"> 数字化制造平台集成接口模块</t>
    <phoneticPr fontId="2" type="noConversion"/>
  </si>
  <si>
    <t>程序数据传输和程序管理、编制数控程序、DNC程序推送</t>
    <phoneticPr fontId="2" type="noConversion"/>
  </si>
  <si>
    <t>计算机辅助工艺设计(CAPP)系统接口、项目管理接口、车间制造执行子系统接口、质量管理子系统集成</t>
    <phoneticPr fontId="2" type="noConversion"/>
  </si>
  <si>
    <t xml:space="preserve"> 外协管理子系统</t>
    <phoneticPr fontId="2" type="noConversion"/>
  </si>
  <si>
    <t>供应商管理、外协计划管理、外协询价管理、外协分级审核、外协到料管理、外协发票管理、供应商主题</t>
    <phoneticPr fontId="2" type="noConversion"/>
  </si>
  <si>
    <t xml:space="preserve"> 成本控制子系统</t>
    <phoneticPr fontId="2" type="noConversion"/>
  </si>
  <si>
    <t>成本控制计划、实际成本核算、成本的统计与分析、成本问责管理</t>
    <phoneticPr fontId="2" type="noConversion"/>
  </si>
  <si>
    <t xml:space="preserve"> 现有系统升级</t>
    <phoneticPr fontId="2" type="noConversion"/>
  </si>
  <si>
    <t>财务报表与分析、采购报表与分析、库存报表与分析</t>
    <phoneticPr fontId="2" type="noConversion"/>
  </si>
  <si>
    <t xml:space="preserve"> 内部决策分析模块</t>
    <phoneticPr fontId="2" type="noConversion"/>
  </si>
  <si>
    <t>管理并提供与决策问题相关的组织内部信息</t>
    <phoneticPr fontId="2" type="noConversion"/>
  </si>
  <si>
    <t xml:space="preserve"> 数据采集模块</t>
    <phoneticPr fontId="2" type="noConversion"/>
  </si>
  <si>
    <t>收集、清洗、提炼、整理组织为便于分析决策使用的主题数据库</t>
    <phoneticPr fontId="2" type="noConversion"/>
  </si>
  <si>
    <t xml:space="preserve"> 求解模型模块</t>
    <phoneticPr fontId="2" type="noConversion"/>
  </si>
  <si>
    <t>引入各种先进的决策问题求解模型</t>
    <phoneticPr fontId="2" type="noConversion"/>
  </si>
  <si>
    <t xml:space="preserve"> 数据挖掘模块</t>
    <phoneticPr fontId="2" type="noConversion"/>
  </si>
  <si>
    <t>引入人工智能与数据挖掘技术</t>
    <phoneticPr fontId="2" type="noConversion"/>
  </si>
  <si>
    <t xml:space="preserve"> 机柜</t>
    <phoneticPr fontId="2" type="noConversion"/>
  </si>
  <si>
    <t xml:space="preserve">存放数据库服务器和应用服务器 </t>
    <phoneticPr fontId="2" type="noConversion"/>
  </si>
  <si>
    <t xml:space="preserve"> 存储设备</t>
    <phoneticPr fontId="2" type="noConversion"/>
  </si>
  <si>
    <t>最大存储容量48TB</t>
    <phoneticPr fontId="2" type="noConversion"/>
  </si>
  <si>
    <t xml:space="preserve"> MES车间设备</t>
    <phoneticPr fontId="2" type="noConversion"/>
  </si>
  <si>
    <r>
      <t>条码打印机TEC B-SX4T、数据采集器DT303、数据采集器T-40、扫描枪U3201</t>
    </r>
    <r>
      <rPr>
        <sz val="11"/>
        <color indexed="8"/>
        <rFont val="宋体"/>
        <family val="3"/>
        <charset val="134"/>
      </rPr>
      <t/>
    </r>
  </si>
  <si>
    <t xml:space="preserve"> 库房设备</t>
    <phoneticPr fontId="2" type="noConversion"/>
  </si>
  <si>
    <r>
      <t>扫描枪U3201</t>
    </r>
    <r>
      <rPr>
        <sz val="11"/>
        <color indexed="8"/>
        <rFont val="宋体"/>
        <family val="3"/>
        <charset val="134"/>
      </rPr>
      <t/>
    </r>
  </si>
  <si>
    <t xml:space="preserve"> LED屏幕</t>
    <phoneticPr fontId="2" type="noConversion"/>
  </si>
  <si>
    <t>LED大屏显示系统中恒 3.6m * 1.9m</t>
    <phoneticPr fontId="2" type="noConversion"/>
  </si>
  <si>
    <t xml:space="preserve"> 台式机</t>
    <phoneticPr fontId="2" type="noConversion"/>
  </si>
  <si>
    <t>客户端工作站</t>
    <phoneticPr fontId="2" type="noConversion"/>
  </si>
  <si>
    <t xml:space="preserve"> 网络设备</t>
    <phoneticPr fontId="2" type="noConversion"/>
  </si>
  <si>
    <t>交换机等网络核心设备、UPS电源、网络服务器、 网络防火墙</t>
    <phoneticPr fontId="2" type="noConversion"/>
  </si>
  <si>
    <t xml:space="preserve"> 其他正版软件</t>
    <phoneticPr fontId="2" type="noConversion"/>
  </si>
  <si>
    <t>操作系统、数据库、OFFICE等</t>
    <phoneticPr fontId="2" type="noConversion"/>
  </si>
  <si>
    <t xml:space="preserve"> 辅助线材</t>
    <phoneticPr fontId="2" type="noConversion"/>
  </si>
  <si>
    <t>网络机柜、电源线缆</t>
    <phoneticPr fontId="2" type="noConversion"/>
  </si>
  <si>
    <t xml:space="preserve"> 视频会议系统</t>
    <phoneticPr fontId="2" type="noConversion"/>
  </si>
  <si>
    <t>软硬件设备</t>
    <phoneticPr fontId="2" type="noConversion"/>
  </si>
  <si>
    <t>防窜滚轮架</t>
    <phoneticPr fontId="2" type="noConversion"/>
  </si>
  <si>
    <t>200t</t>
    <phoneticPr fontId="2" type="noConversion"/>
  </si>
  <si>
    <t>国产</t>
    <phoneticPr fontId="2" type="noConversion"/>
  </si>
  <si>
    <t>套</t>
    <phoneticPr fontId="2" type="noConversion"/>
  </si>
  <si>
    <t>（1）</t>
    <phoneticPr fontId="2" type="noConversion"/>
  </si>
  <si>
    <t>（44.9）</t>
    <phoneticPr fontId="2" type="noConversion"/>
  </si>
  <si>
    <t>2</t>
    <phoneticPr fontId="2" type="noConversion"/>
  </si>
  <si>
    <t>带极堆焊成套设备</t>
    <phoneticPr fontId="2" type="noConversion"/>
  </si>
  <si>
    <t>套</t>
    <phoneticPr fontId="2" type="noConversion"/>
  </si>
  <si>
    <t>委托公开</t>
    <phoneticPr fontId="2" type="noConversion"/>
  </si>
  <si>
    <t>(1)</t>
    <phoneticPr fontId="2" type="noConversion"/>
  </si>
  <si>
    <t>带极堆焊机</t>
    <phoneticPr fontId="2" type="noConversion"/>
  </si>
  <si>
    <t>焊带宽度:30mm-60mm</t>
    <phoneticPr fontId="2" type="noConversion"/>
  </si>
  <si>
    <t>国产</t>
    <phoneticPr fontId="2" type="noConversion"/>
  </si>
  <si>
    <t>（13.3）</t>
    <phoneticPr fontId="2" type="noConversion"/>
  </si>
  <si>
    <t>操作机</t>
    <phoneticPr fontId="2" type="noConversion"/>
  </si>
  <si>
    <t>5m×5m 承重200KG</t>
    <phoneticPr fontId="2" type="noConversion"/>
  </si>
  <si>
    <t>台</t>
    <phoneticPr fontId="2" type="noConversion"/>
  </si>
  <si>
    <t>（1）</t>
    <phoneticPr fontId="2" type="noConversion"/>
  </si>
  <si>
    <t>（8.3）</t>
    <phoneticPr fontId="2" type="noConversion"/>
  </si>
  <si>
    <t>(3)</t>
    <phoneticPr fontId="2" type="noConversion"/>
  </si>
  <si>
    <t>带极堆焊电源</t>
    <phoneticPr fontId="2" type="noConversion"/>
  </si>
  <si>
    <t>1000A</t>
    <phoneticPr fontId="2" type="noConversion"/>
  </si>
  <si>
    <t>（2）</t>
    <phoneticPr fontId="2" type="noConversion"/>
  </si>
  <si>
    <t>（7.1）</t>
    <phoneticPr fontId="2" type="noConversion"/>
  </si>
  <si>
    <t>（14.2）</t>
    <phoneticPr fontId="2" type="noConversion"/>
  </si>
  <si>
    <t>(4)</t>
    <phoneticPr fontId="2" type="noConversion"/>
  </si>
  <si>
    <t>变位机</t>
    <phoneticPr fontId="2" type="noConversion"/>
  </si>
  <si>
    <t>φ3000mm(可扩展至6000mm);承重30t</t>
    <phoneticPr fontId="2" type="noConversion"/>
  </si>
  <si>
    <t>（79.2）</t>
    <phoneticPr fontId="2" type="noConversion"/>
  </si>
  <si>
    <t>3</t>
    <phoneticPr fontId="2" type="noConversion"/>
  </si>
  <si>
    <t>埋弧焊成套设备</t>
    <phoneticPr fontId="2" type="noConversion"/>
  </si>
  <si>
    <t>国产</t>
    <phoneticPr fontId="2" type="noConversion"/>
  </si>
  <si>
    <t>套</t>
    <phoneticPr fontId="2" type="noConversion"/>
  </si>
  <si>
    <r>
      <t>埋弧焊设备</t>
    </r>
    <r>
      <rPr>
        <sz val="12"/>
        <rFont val="Times New Roman"/>
        <family val="1"/>
      </rPr>
      <t/>
    </r>
    <phoneticPr fontId="2" type="noConversion"/>
  </si>
  <si>
    <t>焊接额定电流：1250A</t>
    <phoneticPr fontId="2" type="noConversion"/>
  </si>
  <si>
    <t>(4.775)</t>
    <phoneticPr fontId="2" type="noConversion"/>
  </si>
  <si>
    <t>操作架</t>
    <phoneticPr fontId="2" type="noConversion"/>
  </si>
  <si>
    <t>6m×6m</t>
    <phoneticPr fontId="2" type="noConversion"/>
  </si>
  <si>
    <t>(16.35)</t>
    <phoneticPr fontId="2" type="noConversion"/>
  </si>
  <si>
    <r>
      <t>防窜滚轮架</t>
    </r>
    <r>
      <rPr>
        <sz val="12"/>
        <rFont val="Times New Roman"/>
        <family val="1"/>
      </rPr>
      <t/>
    </r>
    <phoneticPr fontId="2" type="noConversion"/>
  </si>
  <si>
    <t>400T</t>
    <phoneticPr fontId="2" type="noConversion"/>
  </si>
  <si>
    <t>(26.5)</t>
    <phoneticPr fontId="2" type="noConversion"/>
  </si>
  <si>
    <t>4</t>
    <phoneticPr fontId="2" type="noConversion"/>
  </si>
  <si>
    <t>埋弧焊成套设备</t>
    <phoneticPr fontId="2" type="noConversion"/>
  </si>
  <si>
    <t>不招标</t>
    <phoneticPr fontId="2" type="noConversion"/>
  </si>
  <si>
    <r>
      <t>其中滚轮架自制，其它分项金额不超过5</t>
    </r>
    <r>
      <rPr>
        <sz val="12"/>
        <rFont val="宋体"/>
        <family val="3"/>
        <charset val="134"/>
      </rPr>
      <t>0万，不招标</t>
    </r>
    <phoneticPr fontId="2" type="noConversion"/>
  </si>
  <si>
    <r>
      <t>埋弧焊设备</t>
    </r>
    <r>
      <rPr>
        <sz val="12"/>
        <rFont val="Times New Roman"/>
        <family val="1"/>
      </rPr>
      <t/>
    </r>
    <phoneticPr fontId="2" type="noConversion"/>
  </si>
  <si>
    <t>焊接额定电流：1250A</t>
    <phoneticPr fontId="2" type="noConversion"/>
  </si>
  <si>
    <t>台</t>
    <phoneticPr fontId="2" type="noConversion"/>
  </si>
  <si>
    <t>(4.775)</t>
    <phoneticPr fontId="2" type="noConversion"/>
  </si>
  <si>
    <t>（2）</t>
    <phoneticPr fontId="2" type="noConversion"/>
  </si>
  <si>
    <r>
      <t>门式焊接操作架</t>
    </r>
    <r>
      <rPr>
        <sz val="12"/>
        <rFont val="Times New Roman"/>
        <family val="1"/>
      </rPr>
      <t/>
    </r>
    <phoneticPr fontId="2" type="noConversion"/>
  </si>
  <si>
    <t>10t</t>
    <phoneticPr fontId="2" type="noConversion"/>
  </si>
  <si>
    <t>（36）</t>
    <phoneticPr fontId="2" type="noConversion"/>
  </si>
  <si>
    <t>5</t>
    <phoneticPr fontId="2" type="noConversion"/>
  </si>
  <si>
    <t>委托公开</t>
    <phoneticPr fontId="2" type="noConversion"/>
  </si>
  <si>
    <t>(9.55)</t>
    <phoneticPr fontId="2" type="noConversion"/>
  </si>
  <si>
    <r>
      <t>十字臂式焊接操作架</t>
    </r>
    <r>
      <rPr>
        <sz val="12"/>
        <rFont val="Times New Roman"/>
        <family val="1"/>
      </rPr>
      <t/>
    </r>
    <phoneticPr fontId="2" type="noConversion"/>
  </si>
  <si>
    <t>6m×6m</t>
    <phoneticPr fontId="2" type="noConversion"/>
  </si>
  <si>
    <t>(31.6)</t>
    <phoneticPr fontId="2" type="noConversion"/>
  </si>
  <si>
    <t>(63.2)</t>
    <phoneticPr fontId="2" type="noConversion"/>
  </si>
  <si>
    <t>(53)</t>
    <phoneticPr fontId="2" type="noConversion"/>
  </si>
  <si>
    <t>6</t>
    <phoneticPr fontId="2" type="noConversion"/>
  </si>
  <si>
    <t>滚轮机</t>
    <phoneticPr fontId="2" type="noConversion"/>
  </si>
  <si>
    <t>60吨</t>
    <phoneticPr fontId="2" type="noConversion"/>
  </si>
  <si>
    <r>
      <t>滚轮架</t>
    </r>
    <r>
      <rPr>
        <sz val="12"/>
        <rFont val="Times New Roman"/>
        <family val="1"/>
      </rPr>
      <t/>
    </r>
    <phoneticPr fontId="2" type="noConversion"/>
  </si>
  <si>
    <t>100T</t>
    <phoneticPr fontId="2" type="noConversion"/>
  </si>
  <si>
    <t>200T</t>
    <phoneticPr fontId="2" type="noConversion"/>
  </si>
  <si>
    <t>焊接滚轮架</t>
    <phoneticPr fontId="2" type="noConversion"/>
  </si>
  <si>
    <t>20t</t>
    <phoneticPr fontId="2" type="noConversion"/>
  </si>
  <si>
    <t>固溶炉</t>
    <phoneticPr fontId="2" type="noConversion"/>
  </si>
  <si>
    <t>炉膛尺寸：7m*4m*3m</t>
    <phoneticPr fontId="2" type="noConversion"/>
  </si>
  <si>
    <t>不招标</t>
    <phoneticPr fontId="2" type="noConversion"/>
  </si>
  <si>
    <t>自制</t>
    <phoneticPr fontId="2" type="noConversion"/>
  </si>
  <si>
    <t>小管堆焊设备</t>
    <phoneticPr fontId="2" type="noConversion"/>
  </si>
  <si>
    <t>1堆焊管 长度≤2400mm；内径φ50mm-φ500mm（堆焊后管内径)</t>
    <phoneticPr fontId="2" type="noConversion"/>
  </si>
  <si>
    <t>履带式加热装置</t>
    <phoneticPr fontId="2" type="noConversion"/>
  </si>
  <si>
    <t>LCD型</t>
    <phoneticPr fontId="2" type="noConversion"/>
  </si>
  <si>
    <t>管-管板焊接机</t>
    <phoneticPr fontId="2" type="noConversion"/>
  </si>
  <si>
    <t>Ø8~Ø273</t>
    <phoneticPr fontId="2" type="noConversion"/>
  </si>
  <si>
    <t>丝极埋弧焊机头、电源</t>
    <phoneticPr fontId="2" type="noConversion"/>
  </si>
  <si>
    <t>6m×6m,厚度≤80mm</t>
    <phoneticPr fontId="2" type="noConversion"/>
  </si>
  <si>
    <t>马鞍形数控焊接机</t>
    <phoneticPr fontId="2" type="noConversion"/>
  </si>
  <si>
    <t>焊接圆孔直径：Φ100~1200mm</t>
    <phoneticPr fontId="2" type="noConversion"/>
  </si>
  <si>
    <t>直流氩弧焊机</t>
    <phoneticPr fontId="2" type="noConversion"/>
  </si>
  <si>
    <t>焊接额定电流：350A</t>
    <phoneticPr fontId="2" type="noConversion"/>
  </si>
  <si>
    <t>逆变式直流弧焊机</t>
    <phoneticPr fontId="2" type="noConversion"/>
  </si>
  <si>
    <r>
      <t>碳弧气刨设备</t>
    </r>
    <r>
      <rPr>
        <sz val="12"/>
        <rFont val="Times New Roman"/>
        <family val="1"/>
      </rPr>
      <t/>
    </r>
    <phoneticPr fontId="2" type="noConversion"/>
  </si>
  <si>
    <t>小计</t>
    <phoneticPr fontId="2" type="noConversion"/>
  </si>
  <si>
    <t>三、生产辅助设备</t>
    <phoneticPr fontId="2" type="noConversion"/>
  </si>
  <si>
    <t>1</t>
    <phoneticPr fontId="2" type="noConversion"/>
  </si>
  <si>
    <r>
      <t>焊条烘干箱（带保温）</t>
    </r>
    <r>
      <rPr>
        <sz val="12"/>
        <rFont val="Times New Roman"/>
        <family val="1"/>
      </rPr>
      <t/>
    </r>
    <phoneticPr fontId="2" type="noConversion"/>
  </si>
  <si>
    <t>500kg</t>
    <phoneticPr fontId="2" type="noConversion"/>
  </si>
  <si>
    <r>
      <t>焊剂烘干机</t>
    </r>
    <r>
      <rPr>
        <sz val="12"/>
        <rFont val="Times New Roman"/>
        <family val="1"/>
      </rPr>
      <t/>
    </r>
    <phoneticPr fontId="2" type="noConversion"/>
  </si>
  <si>
    <t>550kg</t>
    <phoneticPr fontId="2" type="noConversion"/>
  </si>
  <si>
    <t>自动化全站仪</t>
    <phoneticPr fontId="2" type="noConversion"/>
  </si>
  <si>
    <t>放大赔率：30×，精度（ISO17123-3:2001):0.5″,0.15mgon</t>
    <phoneticPr fontId="2" type="noConversion"/>
  </si>
  <si>
    <t>空气过滤器</t>
    <phoneticPr fontId="2" type="noConversion"/>
  </si>
  <si>
    <t>过滤精度： 粒径≤0.01um，残油≤0.01ppm
设计压力露点： ＜-50℃. 出口气体温度： 60～80℃</t>
    <phoneticPr fontId="2" type="noConversion"/>
  </si>
  <si>
    <t>离子造水机</t>
    <phoneticPr fontId="2" type="noConversion"/>
  </si>
  <si>
    <t>4t/h，水质达到A级水要求</t>
    <phoneticPr fontId="2" type="noConversion"/>
  </si>
  <si>
    <t>不锈压力水泵</t>
    <phoneticPr fontId="2" type="noConversion"/>
  </si>
  <si>
    <t>0~40MPa</t>
    <phoneticPr fontId="2" type="noConversion"/>
  </si>
  <si>
    <t>真空泵机</t>
    <phoneticPr fontId="2" type="noConversion"/>
  </si>
  <si>
    <t>抽真空速度：10m3的产品在90分钟内，真空度可达到1 Pa,产品漏率：2×10-4 -2×10-12Pa.m3/S</t>
    <phoneticPr fontId="2" type="noConversion"/>
  </si>
  <si>
    <t>试压水泵</t>
    <phoneticPr fontId="2" type="noConversion"/>
  </si>
  <si>
    <t>最高压力：36MPa</t>
    <phoneticPr fontId="2" type="noConversion"/>
  </si>
  <si>
    <t>焊条保温箱</t>
    <phoneticPr fontId="2" type="noConversion"/>
  </si>
  <si>
    <t>1.5m*2m*2m</t>
    <phoneticPr fontId="2" type="noConversion"/>
  </si>
  <si>
    <t>除湿机</t>
    <phoneticPr fontId="2" type="noConversion"/>
  </si>
  <si>
    <t>曲线式加温箱</t>
    <phoneticPr fontId="2" type="noConversion"/>
  </si>
  <si>
    <t>1.3m*1.3m*1m</t>
    <phoneticPr fontId="2" type="noConversion"/>
  </si>
  <si>
    <t>四、起重运输设备</t>
    <phoneticPr fontId="2" type="noConversion"/>
  </si>
  <si>
    <t>桥式起重机</t>
    <phoneticPr fontId="2" type="noConversion"/>
  </si>
  <si>
    <t>Gn=50/10t， S=32m ，H=12m</t>
    <phoneticPr fontId="2" type="noConversion"/>
  </si>
  <si>
    <t>Gn=32/5t， S=32m ，H=12m</t>
    <phoneticPr fontId="2" type="noConversion"/>
  </si>
  <si>
    <t>Gn=200/50t,S=34m,H=19m</t>
    <phoneticPr fontId="2" type="noConversion"/>
  </si>
  <si>
    <t>Gn=50/10t,S=32.5m,H=12m</t>
    <phoneticPr fontId="2" type="noConversion"/>
  </si>
  <si>
    <t>Gn=32/5t,S=32.5m,H=12m</t>
    <phoneticPr fontId="2" type="noConversion"/>
  </si>
  <si>
    <t>三相低压电动平车</t>
    <phoneticPr fontId="2" type="noConversion"/>
  </si>
  <si>
    <t>合计</t>
    <phoneticPr fontId="2" type="noConversion"/>
  </si>
  <si>
    <t>装备制造厂房3#辅房</t>
    <phoneticPr fontId="2" type="noConversion"/>
  </si>
  <si>
    <t>五、焊接试验室设备</t>
    <phoneticPr fontId="2" type="noConversion"/>
  </si>
  <si>
    <t>数字化MIG/MAG 焊机</t>
    <phoneticPr fontId="2" type="noConversion"/>
  </si>
  <si>
    <t>便携式自动火焰切割机</t>
    <phoneticPr fontId="2" type="noConversion"/>
  </si>
  <si>
    <t>直流埋弧焊机</t>
    <phoneticPr fontId="2" type="noConversion"/>
  </si>
  <si>
    <t>逆变直流弧焊机</t>
    <phoneticPr fontId="2" type="noConversion"/>
  </si>
  <si>
    <t>焊接额定电流：300A</t>
    <phoneticPr fontId="2" type="noConversion"/>
  </si>
  <si>
    <t>CO2气体保护焊机</t>
    <phoneticPr fontId="2" type="noConversion"/>
  </si>
  <si>
    <t>焊接额定电流：400A</t>
    <phoneticPr fontId="2" type="noConversion"/>
  </si>
  <si>
    <t>碳弧气刨机</t>
    <phoneticPr fontId="2" type="noConversion"/>
  </si>
  <si>
    <t>焊接额定电流：1500A</t>
    <phoneticPr fontId="2" type="noConversion"/>
  </si>
  <si>
    <t>焊剂烘干机</t>
    <phoneticPr fontId="2" type="noConversion"/>
  </si>
  <si>
    <t>400kg，温度均匀性：±10℃，最高温度500℃</t>
    <phoneticPr fontId="2" type="noConversion"/>
  </si>
  <si>
    <t>焊条烘干箱</t>
    <phoneticPr fontId="2" type="noConversion"/>
  </si>
  <si>
    <t>500kg，温度均匀性：±10℃，最高温度500℃</t>
    <phoneticPr fontId="2" type="noConversion"/>
  </si>
  <si>
    <t>温度控制箱</t>
    <phoneticPr fontId="2" type="noConversion"/>
  </si>
  <si>
    <t>额定输出功率240kW，控温点：6路12点</t>
    <phoneticPr fontId="2" type="noConversion"/>
  </si>
  <si>
    <t>电动单梁悬挂起重机</t>
    <phoneticPr fontId="2" type="noConversion"/>
  </si>
  <si>
    <t>Gn=5t,Lk=7.5m</t>
    <phoneticPr fontId="2" type="noConversion"/>
  </si>
  <si>
    <t>装备制造厂房4#辅房</t>
    <phoneticPr fontId="2" type="noConversion"/>
  </si>
  <si>
    <t>六、理化计量设备</t>
    <phoneticPr fontId="2" type="noConversion"/>
  </si>
  <si>
    <t>液压万能试验机</t>
    <phoneticPr fontId="2" type="noConversion"/>
  </si>
  <si>
    <t>1000kN</t>
    <phoneticPr fontId="2" type="noConversion"/>
  </si>
  <si>
    <t>冲击试验机</t>
    <phoneticPr fontId="2" type="noConversion"/>
  </si>
  <si>
    <t>300J</t>
    <phoneticPr fontId="2" type="noConversion"/>
  </si>
  <si>
    <t>磨床</t>
    <phoneticPr fontId="2" type="noConversion"/>
  </si>
  <si>
    <t>M7130G/F</t>
    <phoneticPr fontId="2" type="noConversion"/>
  </si>
  <si>
    <t>低温槽</t>
    <phoneticPr fontId="2" type="noConversion"/>
  </si>
  <si>
    <t>DWC-60.</t>
    <phoneticPr fontId="2" type="noConversion"/>
  </si>
  <si>
    <t>投影仪</t>
    <phoneticPr fontId="2" type="noConversion"/>
  </si>
  <si>
    <t>CST-50</t>
    <phoneticPr fontId="2" type="noConversion"/>
  </si>
  <si>
    <t>冲击缺口制样机（拉床）</t>
    <phoneticPr fontId="2" type="noConversion"/>
  </si>
  <si>
    <t>VU-2D</t>
    <phoneticPr fontId="2" type="noConversion"/>
  </si>
  <si>
    <t>标点机</t>
    <phoneticPr fontId="2" type="noConversion"/>
  </si>
  <si>
    <t>DX-300</t>
    <phoneticPr fontId="2" type="noConversion"/>
  </si>
  <si>
    <t>高温拉伸试验机</t>
    <phoneticPr fontId="2" type="noConversion"/>
  </si>
  <si>
    <t>100kN</t>
    <phoneticPr fontId="2" type="noConversion"/>
  </si>
  <si>
    <t>布式硬度计</t>
    <phoneticPr fontId="2" type="noConversion"/>
  </si>
  <si>
    <t>650HB</t>
    <phoneticPr fontId="2" type="noConversion"/>
  </si>
  <si>
    <t>里式硬度计</t>
    <phoneticPr fontId="2" type="noConversion"/>
  </si>
  <si>
    <t>洛式硬度计</t>
    <phoneticPr fontId="2" type="noConversion"/>
  </si>
  <si>
    <t>维式硬度计</t>
    <phoneticPr fontId="2" type="noConversion"/>
  </si>
  <si>
    <t>进口</t>
    <phoneticPr fontId="2" type="noConversion"/>
  </si>
  <si>
    <t>人民币采购</t>
    <phoneticPr fontId="2" type="noConversion"/>
  </si>
  <si>
    <t>热处理炉</t>
    <phoneticPr fontId="2" type="noConversion"/>
  </si>
  <si>
    <t>1350℃</t>
    <phoneticPr fontId="2" type="noConversion"/>
  </si>
  <si>
    <t>砂轮机</t>
    <phoneticPr fontId="2" type="noConversion"/>
  </si>
  <si>
    <t>Ø219</t>
    <phoneticPr fontId="2" type="noConversion"/>
  </si>
  <si>
    <t>便携式直读光谱仪</t>
    <phoneticPr fontId="2" type="noConversion"/>
  </si>
  <si>
    <t>锅压厂房</t>
    <phoneticPr fontId="2" type="noConversion"/>
  </si>
  <si>
    <t>一、管件加工设备</t>
    <phoneticPr fontId="2" type="noConversion"/>
  </si>
  <si>
    <t>液压弯管机</t>
    <phoneticPr fontId="2" type="noConversion"/>
  </si>
  <si>
    <t>Φ73</t>
    <phoneticPr fontId="2" type="noConversion"/>
  </si>
  <si>
    <t>砂轮切管机</t>
    <phoneticPr fontId="2" type="noConversion"/>
  </si>
  <si>
    <t>Φ300</t>
    <phoneticPr fontId="2" type="noConversion"/>
  </si>
  <si>
    <t>3</t>
    <phoneticPr fontId="2" type="noConversion"/>
  </si>
  <si>
    <t>三通成型机</t>
    <phoneticPr fontId="2" type="noConversion"/>
  </si>
  <si>
    <t>Φ219</t>
    <phoneticPr fontId="2" type="noConversion"/>
  </si>
  <si>
    <t>Φ114</t>
    <phoneticPr fontId="2" type="noConversion"/>
  </si>
  <si>
    <t>弯头成型机</t>
    <phoneticPr fontId="2" type="noConversion"/>
  </si>
  <si>
    <t>三通坡口机</t>
    <phoneticPr fontId="2" type="noConversion"/>
  </si>
  <si>
    <t>弯头双向坡口机</t>
    <phoneticPr fontId="2" type="noConversion"/>
  </si>
  <si>
    <t>同心异径管双头倒角机</t>
    <phoneticPr fontId="2" type="noConversion"/>
  </si>
  <si>
    <t>三通拉拔机</t>
    <phoneticPr fontId="2" type="noConversion"/>
  </si>
  <si>
    <t>600T</t>
    <phoneticPr fontId="2" type="noConversion"/>
  </si>
  <si>
    <t>螺纹管加工机</t>
    <phoneticPr fontId="2" type="noConversion"/>
  </si>
  <si>
    <t>Φ89</t>
    <phoneticPr fontId="2" type="noConversion"/>
  </si>
  <si>
    <t>台</t>
    <phoneticPr fontId="2" type="noConversion"/>
  </si>
  <si>
    <t>台车式电加热炉</t>
    <phoneticPr fontId="2" type="noConversion"/>
  </si>
  <si>
    <t>炉膛尺寸2400×1600×1300,1080℃</t>
    <phoneticPr fontId="2" type="noConversion"/>
  </si>
  <si>
    <t>磁力钻</t>
    <phoneticPr fontId="2" type="noConversion"/>
  </si>
  <si>
    <t>钻孔50以下，J3Z-JLII-49</t>
    <phoneticPr fontId="2" type="noConversion"/>
  </si>
  <si>
    <t>二、下料及焊接生产设备</t>
    <phoneticPr fontId="2" type="noConversion"/>
  </si>
  <si>
    <t>Φ280x45°、Φ280、Φ600</t>
    <phoneticPr fontId="2" type="noConversion"/>
  </si>
  <si>
    <t>国产</t>
    <phoneticPr fontId="2" type="noConversion"/>
  </si>
  <si>
    <t>台</t>
    <phoneticPr fontId="2" type="noConversion"/>
  </si>
  <si>
    <t>2</t>
    <phoneticPr fontId="2" type="noConversion"/>
  </si>
  <si>
    <t>坡口机</t>
    <phoneticPr fontId="2" type="noConversion"/>
  </si>
  <si>
    <t>Φ38~Φ426</t>
    <phoneticPr fontId="2" type="noConversion"/>
  </si>
  <si>
    <t>3</t>
    <phoneticPr fontId="2" type="noConversion"/>
  </si>
  <si>
    <t>刨边机</t>
    <phoneticPr fontId="2" type="noConversion"/>
  </si>
  <si>
    <t>21330*2730*3445</t>
    <phoneticPr fontId="2" type="noConversion"/>
  </si>
  <si>
    <t>台</t>
    <phoneticPr fontId="2" type="noConversion"/>
  </si>
  <si>
    <t>二氧焊机</t>
    <phoneticPr fontId="2" type="noConversion"/>
  </si>
  <si>
    <t>350A</t>
    <phoneticPr fontId="2" type="noConversion"/>
  </si>
  <si>
    <t>手弧焊机</t>
    <phoneticPr fontId="2" type="noConversion"/>
  </si>
  <si>
    <t>逆变直流弧焊机</t>
    <phoneticPr fontId="2" type="noConversion"/>
  </si>
  <si>
    <t>300A</t>
    <phoneticPr fontId="2" type="noConversion"/>
  </si>
  <si>
    <t>直流氩弧焊机</t>
    <phoneticPr fontId="2" type="noConversion"/>
  </si>
  <si>
    <t>管管焊机焊接电源</t>
    <phoneticPr fontId="2" type="noConversion"/>
  </si>
  <si>
    <t>PS406-2 电流范围5~400A</t>
    <phoneticPr fontId="2" type="noConversion"/>
  </si>
  <si>
    <t>套</t>
    <phoneticPr fontId="2" type="noConversion"/>
  </si>
  <si>
    <t>开放式管管机头</t>
    <phoneticPr fontId="2" type="noConversion"/>
  </si>
  <si>
    <t>MUIV8/39AVC/OSC</t>
    <phoneticPr fontId="2" type="noConversion"/>
  </si>
  <si>
    <t>MUIV42/116AVC/OSC</t>
    <phoneticPr fontId="2" type="noConversion"/>
  </si>
  <si>
    <t>MUIV114/276AVC/OSC</t>
    <phoneticPr fontId="2" type="noConversion"/>
  </si>
  <si>
    <t>外部送丝机</t>
    <phoneticPr fontId="2" type="noConversion"/>
  </si>
  <si>
    <t>200t可调滚轮架</t>
    <phoneticPr fontId="2" type="noConversion"/>
  </si>
  <si>
    <t>200T</t>
    <phoneticPr fontId="2" type="noConversion"/>
  </si>
  <si>
    <t>套</t>
    <phoneticPr fontId="2" type="noConversion"/>
  </si>
  <si>
    <t>50t自调滚轮架</t>
    <phoneticPr fontId="2" type="noConversion"/>
  </si>
  <si>
    <t>50T</t>
    <phoneticPr fontId="2" type="noConversion"/>
  </si>
  <si>
    <t>小计</t>
    <phoneticPr fontId="2" type="noConversion"/>
  </si>
  <si>
    <t>三、生产辅助设备</t>
    <phoneticPr fontId="2" type="noConversion"/>
  </si>
  <si>
    <t>弯头加工模具</t>
    <phoneticPr fontId="2" type="noConversion"/>
  </si>
  <si>
    <t>委托公开</t>
    <phoneticPr fontId="2" type="noConversion"/>
  </si>
  <si>
    <t>(1)</t>
    <phoneticPr fontId="2" type="noConversion"/>
  </si>
  <si>
    <t>三通成型机模具</t>
    <phoneticPr fontId="2" type="noConversion"/>
  </si>
  <si>
    <t>Φ21.3~Φ219</t>
    <phoneticPr fontId="2" type="noConversion"/>
  </si>
  <si>
    <t>(2)</t>
    <phoneticPr fontId="2" type="noConversion"/>
  </si>
  <si>
    <t>弯头模具</t>
    <phoneticPr fontId="2" type="noConversion"/>
  </si>
  <si>
    <t>1.5D</t>
    <phoneticPr fontId="2" type="noConversion"/>
  </si>
  <si>
    <t>（1）</t>
    <phoneticPr fontId="2" type="noConversion"/>
  </si>
  <si>
    <t>弯头模具</t>
    <phoneticPr fontId="2" type="noConversion"/>
  </si>
  <si>
    <t>1D</t>
    <phoneticPr fontId="2" type="noConversion"/>
  </si>
  <si>
    <t>(1)</t>
    <phoneticPr fontId="2" type="noConversion"/>
  </si>
  <si>
    <t>弯头芯棒</t>
    <phoneticPr fontId="2" type="noConversion"/>
  </si>
  <si>
    <t>1.5D</t>
    <phoneticPr fontId="2" type="noConversion"/>
  </si>
  <si>
    <t>异径模具</t>
    <phoneticPr fontId="2" type="noConversion"/>
  </si>
  <si>
    <t>（同心、异心）</t>
    <phoneticPr fontId="2" type="noConversion"/>
  </si>
  <si>
    <t>热压成型模具</t>
    <phoneticPr fontId="2" type="noConversion"/>
  </si>
  <si>
    <t>三通Φ610弯头Φ610</t>
    <phoneticPr fontId="2" type="noConversion"/>
  </si>
  <si>
    <t>2</t>
    <phoneticPr fontId="2" type="noConversion"/>
  </si>
  <si>
    <t>大型压型模具</t>
    <phoneticPr fontId="2" type="noConversion"/>
  </si>
  <si>
    <t>4.5m*10m*2.9m</t>
    <phoneticPr fontId="2" type="noConversion"/>
  </si>
  <si>
    <t>抽真空泵</t>
    <phoneticPr fontId="2" type="noConversion"/>
  </si>
  <si>
    <t>小计</t>
    <phoneticPr fontId="2" type="noConversion"/>
  </si>
  <si>
    <t>四、起重运输设备</t>
    <phoneticPr fontId="2" type="noConversion"/>
  </si>
  <si>
    <t>1</t>
    <phoneticPr fontId="2" type="noConversion"/>
  </si>
  <si>
    <t>桥式起重机</t>
    <phoneticPr fontId="2" type="noConversion"/>
  </si>
  <si>
    <t>Gn=50/10t,S=34.5m,Ho=12m</t>
    <phoneticPr fontId="2" type="noConversion"/>
  </si>
  <si>
    <t>台</t>
    <phoneticPr fontId="2" type="noConversion"/>
  </si>
  <si>
    <t>不招标</t>
    <phoneticPr fontId="2" type="noConversion"/>
  </si>
  <si>
    <t>自制</t>
    <phoneticPr fontId="2" type="noConversion"/>
  </si>
  <si>
    <t>Gn=10t,S=34.5m,Ho=12m</t>
    <phoneticPr fontId="2" type="noConversion"/>
  </si>
  <si>
    <t>五、探伤室</t>
    <phoneticPr fontId="2" type="noConversion"/>
  </si>
  <si>
    <t>高频恒压X光机</t>
    <phoneticPr fontId="2" type="noConversion"/>
  </si>
  <si>
    <t>300kV  10mA</t>
    <phoneticPr fontId="2" type="noConversion"/>
  </si>
  <si>
    <t>钴-60探伤机</t>
    <phoneticPr fontId="2" type="noConversion"/>
  </si>
  <si>
    <t>钴-60  100居里</t>
    <phoneticPr fontId="2" type="noConversion"/>
  </si>
  <si>
    <t>铱-192  100居里</t>
    <phoneticPr fontId="2" type="noConversion"/>
  </si>
  <si>
    <t>超声检测设备</t>
    <phoneticPr fontId="2" type="noConversion"/>
  </si>
  <si>
    <t>400×300</t>
    <phoneticPr fontId="2" type="noConversion"/>
  </si>
  <si>
    <t>进口</t>
    <phoneticPr fontId="2" type="noConversion"/>
  </si>
  <si>
    <t>委托公开</t>
    <phoneticPr fontId="2" type="noConversion"/>
  </si>
  <si>
    <t>人民币采购</t>
    <phoneticPr fontId="2" type="noConversion"/>
  </si>
  <si>
    <t>胶片最大宽度14"</t>
    <phoneticPr fontId="2" type="noConversion"/>
  </si>
  <si>
    <t>插入管：4.0mm 长度：3.5m；手持控制单元：311mm*93mm*192mm；主机：227mm*189mm*64mm</t>
    <phoneticPr fontId="2" type="noConversion"/>
  </si>
  <si>
    <t>X射线探伤机（XXH-3505)</t>
    <phoneticPr fontId="2" type="noConversion"/>
  </si>
  <si>
    <t>HuaRi-300HP型,φ350×700</t>
    <phoneticPr fontId="2" type="noConversion"/>
  </si>
  <si>
    <t>Ir-192铅防护房</t>
    <phoneticPr fontId="2" type="noConversion"/>
  </si>
  <si>
    <t>2000×2000×2000</t>
    <phoneticPr fontId="2" type="noConversion"/>
  </si>
  <si>
    <t>电动单梁悬挂起重机</t>
    <phoneticPr fontId="2" type="noConversion"/>
  </si>
  <si>
    <t>10T</t>
    <phoneticPr fontId="2" type="noConversion"/>
  </si>
  <si>
    <t>电动平板车</t>
    <phoneticPr fontId="2" type="noConversion"/>
  </si>
  <si>
    <r>
      <t>2</t>
    </r>
    <r>
      <rPr>
        <sz val="12"/>
        <rFont val="宋体"/>
        <family val="3"/>
        <charset val="134"/>
      </rPr>
      <t>00t</t>
    </r>
    <phoneticPr fontId="2" type="noConversion"/>
  </si>
  <si>
    <t>钢加车间</t>
    <phoneticPr fontId="2" type="noConversion"/>
  </si>
  <si>
    <t>电动双梁桥式起重机</t>
    <phoneticPr fontId="2" type="noConversion"/>
  </si>
  <si>
    <r>
      <t>Gn=3t</t>
    </r>
    <r>
      <rPr>
        <sz val="14"/>
        <rFont val="宋体"/>
        <family val="3"/>
        <charset val="134"/>
      </rPr>
      <t>，</t>
    </r>
    <r>
      <rPr>
        <sz val="14"/>
        <rFont val="Times New Roman"/>
        <family val="1"/>
      </rPr>
      <t>S=22.5m</t>
    </r>
    <r>
      <rPr>
        <sz val="14"/>
        <rFont val="宋体"/>
        <family val="3"/>
        <charset val="134"/>
      </rPr>
      <t>，</t>
    </r>
    <r>
      <rPr>
        <sz val="14"/>
        <rFont val="Times New Roman"/>
        <family val="1"/>
      </rPr>
      <t>Ho=8m</t>
    </r>
    <phoneticPr fontId="2" type="noConversion"/>
  </si>
  <si>
    <t>信息化设备</t>
    <phoneticPr fontId="2" type="noConversion"/>
  </si>
  <si>
    <t>数字化制造平台</t>
    <phoneticPr fontId="2" type="noConversion"/>
  </si>
  <si>
    <t xml:space="preserve"> 计算机辅助工艺设计(CAPP)系统</t>
    <phoneticPr fontId="2" type="noConversion"/>
  </si>
  <si>
    <t>产品数据管理、工艺资源管理、工艺文件编辑、工艺权限管理、材料定额管理、工时定额管理、工艺文件输出</t>
    <phoneticPr fontId="2" type="noConversion"/>
  </si>
  <si>
    <t>(2)</t>
    <phoneticPr fontId="2" type="noConversion"/>
  </si>
  <si>
    <t xml:space="preserve"> 项目管理子系统</t>
    <phoneticPr fontId="2" type="noConversion"/>
  </si>
  <si>
    <t>项目计划管理、项目跟踪控制、项目资源管理、项目统计分析、项目文档管理</t>
    <phoneticPr fontId="2" type="noConversion"/>
  </si>
  <si>
    <t>2</t>
    <phoneticPr fontId="2" type="noConversion"/>
  </si>
  <si>
    <t>数字化管理平台</t>
    <phoneticPr fontId="2" type="noConversion"/>
  </si>
  <si>
    <t xml:space="preserve"> 销售管理子系统</t>
    <phoneticPr fontId="2" type="noConversion"/>
  </si>
  <si>
    <t>客户管理、合同管理、回款计划、发票管理、发货管理、客户主题分析</t>
    <phoneticPr fontId="2" type="noConversion"/>
  </si>
  <si>
    <t>3</t>
    <phoneticPr fontId="2" type="noConversion"/>
  </si>
  <si>
    <t>资源服务保障平台</t>
    <phoneticPr fontId="2" type="noConversion"/>
  </si>
  <si>
    <t xml:space="preserve"> 人力资源管理子系统</t>
    <phoneticPr fontId="2" type="noConversion"/>
  </si>
  <si>
    <t>人力资源规划、招聘与配置、培训与开发、绩效管理、薪酬福利管理</t>
    <phoneticPr fontId="2" type="noConversion"/>
  </si>
  <si>
    <t xml:space="preserve"> 档案管理子系统</t>
    <phoneticPr fontId="2" type="noConversion"/>
  </si>
  <si>
    <t>目录管理、档案维护、查询浏览、数据维护</t>
    <phoneticPr fontId="2" type="noConversion"/>
  </si>
  <si>
    <t xml:space="preserve"> 设备管理子系统</t>
    <phoneticPr fontId="2" type="noConversion"/>
  </si>
  <si>
    <t>设备台帐、设备领用、设备盘点、设备维护</t>
    <phoneticPr fontId="2" type="noConversion"/>
  </si>
  <si>
    <t xml:space="preserve"> 工具管理子系统</t>
    <phoneticPr fontId="2" type="noConversion"/>
  </si>
  <si>
    <t>工具计划、工具入库、工具领用、报表统计</t>
    <phoneticPr fontId="2" type="noConversion"/>
  </si>
  <si>
    <t xml:space="preserve"> 资源服务保障平台集成接口模块</t>
    <phoneticPr fontId="2" type="noConversion"/>
  </si>
  <si>
    <r>
      <rPr>
        <sz val="10"/>
        <rFont val="宋体"/>
        <family val="3"/>
        <charset val="134"/>
      </rPr>
      <t>人力资源管理</t>
    </r>
    <r>
      <rPr>
        <sz val="10"/>
        <rFont val="Times New Roman"/>
        <family val="1"/>
      </rPr>
      <t>HR</t>
    </r>
    <r>
      <rPr>
        <sz val="10"/>
        <rFont val="宋体"/>
        <family val="3"/>
        <charset val="134"/>
      </rPr>
      <t>系统接口、档案管理系统集成接口、设备管理子集成接口、工具管理子集成接口</t>
    </r>
    <phoneticPr fontId="2" type="noConversion"/>
  </si>
  <si>
    <t>企业决策支持平台</t>
    <phoneticPr fontId="2" type="noConversion"/>
  </si>
  <si>
    <t xml:space="preserve"> 外部决策分析模块</t>
    <phoneticPr fontId="2" type="noConversion"/>
  </si>
  <si>
    <t>收集、管理并提供与决策问题相关的外部信息</t>
    <phoneticPr fontId="2" type="noConversion"/>
  </si>
  <si>
    <t>信息化硬件设备</t>
    <phoneticPr fontId="2" type="noConversion"/>
  </si>
  <si>
    <t xml:space="preserve"> 数据库服务器</t>
    <phoneticPr fontId="2" type="noConversion"/>
  </si>
  <si>
    <r>
      <t>CPU:Xeon MP E7420,2130MHz,标配2个,最大4个,Tigerton(四核心)、 主板:Intel 7300，1067MHz</t>
    </r>
    <r>
      <rPr>
        <sz val="10"/>
        <rFont val="宋体"/>
        <family val="3"/>
        <charset val="134"/>
      </rPr>
      <t/>
    </r>
    <phoneticPr fontId="2" type="noConversion"/>
  </si>
  <si>
    <t>(3)</t>
    <phoneticPr fontId="2" type="noConversion"/>
  </si>
  <si>
    <t xml:space="preserve"> 应用服务器</t>
    <phoneticPr fontId="2" type="noConversion"/>
  </si>
  <si>
    <t>CPU:Xeon X5560,2130MHz,标配2个,最大2个,Tigerton(四核心)；主板:Intel 5521</t>
    <phoneticPr fontId="2" type="noConversion"/>
  </si>
  <si>
    <t>总计</t>
    <phoneticPr fontId="2" type="noConversion"/>
  </si>
  <si>
    <t>项目名称：大连船舶重工集团装备制造有限公司装备制造基地建设项目（二期）</t>
    <phoneticPr fontId="2" type="noConversion"/>
  </si>
  <si>
    <t>联合厂房</t>
    <phoneticPr fontId="2" type="noConversion"/>
  </si>
</sst>
</file>

<file path=xl/styles.xml><?xml version="1.0" encoding="utf-8"?>
<styleSheet xmlns="http://schemas.openxmlformats.org/spreadsheetml/2006/main">
  <numFmts count="44">
    <numFmt numFmtId="41" formatCode="_ * #,##0_ ;_ * \-#,##0_ ;_ * &quot;-&quot;_ ;_ @_ "/>
    <numFmt numFmtId="44" formatCode="_ &quot;¥&quot;* #,##0.00_ ;_ &quot;¥&quot;* \-#,##0.00_ ;_ &quot;¥&quot;* &quot;-&quot;??_ ;_ @_ "/>
    <numFmt numFmtId="43" formatCode="_ * #,##0.00_ ;_ * \-#,##0.00_ ;_ * &quot;-&quot;??_ ;_ @_ "/>
    <numFmt numFmtId="26" formatCode="\$#,##0.00_);[Red]\(\$#,##0.00\)"/>
    <numFmt numFmtId="176" formatCode="_ &quot;￥&quot;* #,##0.00_ ;_ &quot;￥&quot;* \-#,##0.00_ ;_ &quot;￥&quot;* &quot;-&quot;??_ ;_ @_ "/>
    <numFmt numFmtId="177" formatCode="0.0_);[Red]\(0.0\)"/>
    <numFmt numFmtId="178" formatCode="0_ "/>
    <numFmt numFmtId="179" formatCode="0.0_ "/>
    <numFmt numFmtId="180" formatCode="0_);[Red]\(0\)"/>
    <numFmt numFmtId="181" formatCode="0_);\(0\)"/>
    <numFmt numFmtId="182" formatCode="0.0"/>
    <numFmt numFmtId="183" formatCode="0;[Red]0"/>
    <numFmt numFmtId="184" formatCode="0.00_ "/>
    <numFmt numFmtId="185" formatCode="0.00_);[Red]\(0.00\)"/>
    <numFmt numFmtId="186" formatCode="0;_가"/>
    <numFmt numFmtId="187" formatCode="0.0000"/>
    <numFmt numFmtId="188" formatCode="_(&quot;$&quot;* #,##0.0_);_(&quot;$&quot;* \(#,##0.0\);_(&quot;$&quot;* &quot;-&quot;??_);_(@_)"/>
    <numFmt numFmtId="189" formatCode="_(&quot;$&quot;* #,##0_);_(&quot;$&quot;* \(#,##0\);_(&quot;$&quot;* &quot;-&quot;??_);_(@_)"/>
    <numFmt numFmtId="190" formatCode="mm/dd/yy_)"/>
    <numFmt numFmtId="191" formatCode="mmm\ dd\,\ yy"/>
    <numFmt numFmtId="192" formatCode="0.0000_);[Red]\(0.0000\)"/>
    <numFmt numFmtId="193" formatCode="_(&quot;$&quot;* #,##0_);_(&quot;$&quot;* \(#,##0\);_(&quot;$&quot;* &quot;-&quot;_);_(@_)"/>
    <numFmt numFmtId="194" formatCode="_(&quot;$&quot;* #,##0.00_);_(&quot;$&quot;* \(#,##0.00\);_(&quot;$&quot;* &quot;-&quot;??_);_(@_)"/>
    <numFmt numFmtId="195" formatCode="#,##0.0_);[Red]&quot;\&quot;&quot;\&quot;\(#,##0.0&quot;\&quot;&quot;\&quot;\)"/>
    <numFmt numFmtId="196" formatCode="0.0_);\(0.0\)"/>
    <numFmt numFmtId="197" formatCode="_-* #,##0.00_-;\-* #,##0.00_-;_-* &quot;-&quot;??_-;_-@_-"/>
    <numFmt numFmtId="198" formatCode="&quot;¥&quot;#,##0_);[Red]\(&quot;¥&quot;#,##0\)"/>
    <numFmt numFmtId="199" formatCode="0.00_)"/>
    <numFmt numFmtId="200" formatCode="0.00000_ "/>
    <numFmt numFmtId="201" formatCode="0.0000_ "/>
    <numFmt numFmtId="202" formatCode="#,##0.0_);[Red]\(#,##0.0\)"/>
    <numFmt numFmtId="203" formatCode="#,##0_);[Red]\(#,##0\)"/>
    <numFmt numFmtId="204" formatCode="0.0%"/>
    <numFmt numFmtId="205" formatCode="&quot;开&quot;;&quot;开&quot;;&quot;关&quot;"/>
    <numFmt numFmtId="206" formatCode="&quot;\&quot;#,##0.00;[Red]&quot;\&quot;&quot;\&quot;&quot;\&quot;&quot;\&quot;&quot;\&quot;\-#,##0.00"/>
    <numFmt numFmtId="207" formatCode="#,##0;\(#,##0\)"/>
    <numFmt numFmtId="208" formatCode="_-&quot;$&quot;\ * #,##0.00_-;_-&quot;$&quot;\ * #,##0.00\-;_-&quot;$&quot;\ * &quot;-&quot;??_-;_-@_-"/>
    <numFmt numFmtId="209" formatCode="\$#,##0.00;\(\$#,##0.00\)"/>
    <numFmt numFmtId="210" formatCode="\$#,##0;\(\$#,##0\)"/>
    <numFmt numFmtId="211" formatCode="#,##0.0_);\(#,##0.0\)"/>
    <numFmt numFmtId="212" formatCode="_-&quot;$&quot;\ * #,##0_-;_-&quot;$&quot;\ * #,##0\-;_-&quot;$&quot;\ * &quot;-&quot;_-;_-@_-"/>
    <numFmt numFmtId="213" formatCode="&quot;$&quot;\ #,##0.00_-;[Red]&quot;$&quot;\ #,##0.00\-"/>
    <numFmt numFmtId="214" formatCode="yy\.mm\.dd"/>
    <numFmt numFmtId="215" formatCode="0.00_);\(0.00\)"/>
  </numFmts>
  <fonts count="108">
    <font>
      <sz val="12"/>
      <name val="宋体"/>
      <charset val="134"/>
    </font>
    <font>
      <sz val="11"/>
      <color theme="1"/>
      <name val="宋体"/>
      <family val="2"/>
      <charset val="134"/>
      <scheme val="minor"/>
    </font>
    <font>
      <sz val="9"/>
      <name val="宋体"/>
      <family val="3"/>
      <charset val="134"/>
    </font>
    <font>
      <b/>
      <sz val="12"/>
      <name val="宋体"/>
      <family val="3"/>
      <charset val="134"/>
    </font>
    <font>
      <sz val="12"/>
      <name val="宋体"/>
      <family val="3"/>
      <charset val="134"/>
    </font>
    <font>
      <sz val="12"/>
      <name val="Times New Roman"/>
      <family val="1"/>
    </font>
    <font>
      <sz val="11"/>
      <name val="Times New Roman"/>
      <family val="1"/>
    </font>
    <font>
      <sz val="22"/>
      <name val="Times New Roman"/>
      <family val="1"/>
    </font>
    <font>
      <sz val="14"/>
      <name val="宋体"/>
      <family val="3"/>
      <charset val="134"/>
    </font>
    <font>
      <b/>
      <sz val="16"/>
      <name val="宋体"/>
      <family val="3"/>
      <charset val="134"/>
    </font>
    <font>
      <b/>
      <sz val="16"/>
      <name val="Times New Roman"/>
      <family val="1"/>
    </font>
    <font>
      <sz val="12"/>
      <name val="宋体"/>
      <family val="3"/>
      <charset val="134"/>
    </font>
    <font>
      <sz val="10"/>
      <name val="宋体"/>
      <family val="3"/>
      <charset val="134"/>
    </font>
    <font>
      <sz val="10"/>
      <name val="Times New Roman"/>
      <family val="1"/>
    </font>
    <font>
      <sz val="12"/>
      <color indexed="10"/>
      <name val="宋体"/>
      <family val="3"/>
      <charset val="134"/>
    </font>
    <font>
      <sz val="10.5"/>
      <name val="宋体"/>
      <family val="3"/>
      <charset val="134"/>
    </font>
    <font>
      <sz val="10"/>
      <name val="MS Sans Serif"/>
      <family val="2"/>
    </font>
    <font>
      <sz val="11"/>
      <name val="ＭＳ Ｐゴシック"/>
      <family val="3"/>
      <charset val="134"/>
    </font>
    <font>
      <sz val="12"/>
      <name val="바탕체"/>
      <family val="3"/>
    </font>
    <font>
      <sz val="11"/>
      <name val="蹈框"/>
      <charset val="134"/>
    </font>
    <font>
      <sz val="12"/>
      <color indexed="8"/>
      <name val="宋体"/>
      <family val="3"/>
      <charset val="134"/>
    </font>
    <font>
      <sz val="12"/>
      <color indexed="12"/>
      <name val="宋体"/>
      <family val="3"/>
      <charset val="134"/>
    </font>
    <font>
      <sz val="10"/>
      <color indexed="8"/>
      <name val="宋体"/>
      <family val="3"/>
      <charset val="134"/>
    </font>
    <font>
      <sz val="11"/>
      <color indexed="8"/>
      <name val="宋体"/>
      <family val="3"/>
      <charset val="134"/>
    </font>
    <font>
      <sz val="10"/>
      <name val="Arial"/>
      <family val="2"/>
    </font>
    <font>
      <b/>
      <sz val="10"/>
      <name val="MS Sans Serif"/>
      <family val="2"/>
    </font>
    <font>
      <b/>
      <sz val="12"/>
      <name val="Arial"/>
      <family val="2"/>
    </font>
    <font>
      <sz val="8"/>
      <name val="Times New Roman"/>
      <family val="1"/>
    </font>
    <font>
      <sz val="10"/>
      <name val="Helv"/>
      <family val="2"/>
    </font>
    <font>
      <sz val="11"/>
      <color indexed="9"/>
      <name val="宋体"/>
      <family val="3"/>
      <charset val="134"/>
    </font>
    <font>
      <b/>
      <sz val="15"/>
      <color indexed="56"/>
      <name val="宋体"/>
      <family val="3"/>
      <charset val="134"/>
    </font>
    <font>
      <b/>
      <sz val="13"/>
      <color indexed="56"/>
      <name val="宋体"/>
      <family val="3"/>
      <charset val="134"/>
    </font>
    <font>
      <b/>
      <sz val="11"/>
      <color indexed="56"/>
      <name val="宋体"/>
      <family val="3"/>
      <charset val="134"/>
    </font>
    <font>
      <sz val="11"/>
      <color indexed="20"/>
      <name val="宋体"/>
      <family val="3"/>
      <charset val="134"/>
    </font>
    <font>
      <sz val="11"/>
      <color indexed="17"/>
      <name val="宋体"/>
      <family val="3"/>
      <charset val="134"/>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b/>
      <sz val="12"/>
      <name val="Times New Roman"/>
      <family val="1"/>
    </font>
    <font>
      <sz val="10"/>
      <name val="Geneva"/>
      <family val="2"/>
    </font>
    <font>
      <sz val="8"/>
      <name val="Arial"/>
      <family val="2"/>
    </font>
    <font>
      <b/>
      <sz val="8"/>
      <name val="Arial"/>
      <family val="2"/>
    </font>
    <font>
      <b/>
      <i/>
      <sz val="16"/>
      <name val="Helv"/>
      <family val="2"/>
    </font>
    <font>
      <sz val="11"/>
      <name val="ＭＳ Ｐゴシック"/>
      <family val="2"/>
      <charset val="134"/>
    </font>
    <font>
      <sz val="12"/>
      <color indexed="20"/>
      <name val="宋体"/>
      <family val="3"/>
      <charset val="134"/>
    </font>
    <font>
      <u/>
      <sz val="12"/>
      <color indexed="12"/>
      <name val="宋体"/>
      <family val="3"/>
      <charset val="134"/>
    </font>
    <font>
      <sz val="12"/>
      <color indexed="17"/>
      <name val="宋体"/>
      <family val="3"/>
      <charset val="134"/>
    </font>
    <font>
      <b/>
      <sz val="10"/>
      <name val="宋体"/>
      <family val="3"/>
      <charset val="134"/>
    </font>
    <font>
      <sz val="12"/>
      <color theme="1"/>
      <name val="Times New Roman"/>
      <family val="1"/>
    </font>
    <font>
      <sz val="12"/>
      <color theme="0"/>
      <name val="宋体"/>
      <family val="3"/>
      <charset val="134"/>
    </font>
    <font>
      <b/>
      <sz val="12"/>
      <color theme="0"/>
      <name val="宋体"/>
      <family val="3"/>
      <charset val="134"/>
    </font>
    <font>
      <b/>
      <sz val="18"/>
      <name val="宋体"/>
      <family val="3"/>
      <charset val="134"/>
    </font>
    <font>
      <b/>
      <sz val="18"/>
      <name val="Times New Roman"/>
      <family val="1"/>
    </font>
    <font>
      <vertAlign val="superscript"/>
      <sz val="10"/>
      <name val="Times New Roman"/>
      <family val="1"/>
    </font>
    <font>
      <b/>
      <sz val="10"/>
      <name val="Times New Roman"/>
      <family val="1"/>
    </font>
    <font>
      <sz val="10"/>
      <color rgb="FFFF0000"/>
      <name val="宋体"/>
      <family val="3"/>
      <charset val="134"/>
    </font>
    <font>
      <sz val="10"/>
      <color theme="1"/>
      <name val="宋体"/>
      <family val="3"/>
      <charset val="134"/>
    </font>
    <font>
      <sz val="10"/>
      <color rgb="FFFFFF00"/>
      <name val="宋体"/>
      <family val="3"/>
      <charset val="134"/>
    </font>
    <font>
      <sz val="10"/>
      <color rgb="FFFF0000"/>
      <name val="Times New Roman"/>
      <family val="1"/>
    </font>
    <font>
      <sz val="8"/>
      <name val="宋体"/>
      <family val="3"/>
      <charset val="134"/>
    </font>
    <font>
      <sz val="12"/>
      <color theme="1"/>
      <name val="宋体"/>
      <family val="3"/>
      <charset val="134"/>
    </font>
    <font>
      <sz val="10"/>
      <color theme="0"/>
      <name val="宋体"/>
      <family val="3"/>
      <charset val="134"/>
    </font>
    <font>
      <b/>
      <sz val="10"/>
      <color theme="0"/>
      <name val="宋体"/>
      <family val="3"/>
      <charset val="134"/>
    </font>
    <font>
      <sz val="12"/>
      <color rgb="FFFF0000"/>
      <name val="宋体"/>
      <family val="3"/>
      <charset val="134"/>
    </font>
    <font>
      <b/>
      <sz val="8"/>
      <name val="宋体"/>
      <family val="3"/>
      <charset val="134"/>
    </font>
    <font>
      <b/>
      <sz val="9"/>
      <color indexed="81"/>
      <name val="宋体"/>
      <family val="3"/>
      <charset val="134"/>
    </font>
    <font>
      <sz val="9"/>
      <color indexed="81"/>
      <name val="宋体"/>
      <family val="3"/>
      <charset val="134"/>
    </font>
    <font>
      <sz val="11"/>
      <name val="µ¸¿ò"/>
      <family val="3"/>
    </font>
    <font>
      <sz val="12"/>
      <name val="Tms Rmn"/>
      <family val="1"/>
    </font>
    <font>
      <sz val="12"/>
      <name val="¹ÙÅÁÃ¼"/>
      <family val="1"/>
    </font>
    <font>
      <sz val="10"/>
      <name val="BERNHARD"/>
      <family val="1"/>
    </font>
    <font>
      <sz val="1"/>
      <color indexed="8"/>
      <name val="Courier"/>
      <family val="3"/>
    </font>
    <font>
      <b/>
      <sz val="1"/>
      <color indexed="8"/>
      <name val="Courier"/>
      <family val="3"/>
    </font>
    <font>
      <b/>
      <sz val="12"/>
      <name val="Helv"/>
      <family val="2"/>
    </font>
    <font>
      <sz val="12"/>
      <name val="Helv"/>
      <family val="2"/>
    </font>
    <font>
      <sz val="12"/>
      <color indexed="9"/>
      <name val="Helv"/>
      <family val="2"/>
    </font>
    <font>
      <b/>
      <sz val="11"/>
      <name val="Helv"/>
      <family val="2"/>
    </font>
    <font>
      <sz val="7"/>
      <name val="Small Fonts"/>
      <family val="2"/>
    </font>
    <font>
      <sz val="10"/>
      <color indexed="8"/>
      <name val="MS Sans Serif"/>
      <family val="2"/>
    </font>
    <font>
      <b/>
      <sz val="10"/>
      <name val="Souvenir"/>
      <family val="1"/>
    </font>
    <font>
      <sz val="8"/>
      <name val="Helv"/>
      <family val="2"/>
    </font>
    <font>
      <b/>
      <sz val="10"/>
      <name val="Tms Rmn"/>
      <family val="1"/>
    </font>
    <font>
      <b/>
      <sz val="28"/>
      <name val="Arial"/>
      <family val="2"/>
    </font>
    <font>
      <sz val="14"/>
      <name val="AngsanaUPC"/>
      <family val="1"/>
    </font>
    <font>
      <b/>
      <sz val="14"/>
      <name val="楷体"/>
      <family val="3"/>
      <charset val="134"/>
    </font>
    <font>
      <sz val="10"/>
      <name val="楷体"/>
      <family val="3"/>
      <charset val="134"/>
    </font>
    <font>
      <sz val="10"/>
      <color indexed="20"/>
      <name val="宋体"/>
      <family val="3"/>
      <charset val="134"/>
    </font>
    <font>
      <sz val="9"/>
      <color indexed="8"/>
      <name val="宋体"/>
      <family val="3"/>
      <charset val="134"/>
    </font>
    <font>
      <sz val="11"/>
      <color theme="1"/>
      <name val="宋体"/>
      <family val="3"/>
      <charset val="134"/>
      <scheme val="minor"/>
    </font>
    <font>
      <u/>
      <sz val="10"/>
      <color indexed="12"/>
      <name val="Arial"/>
      <family val="2"/>
    </font>
    <font>
      <b/>
      <sz val="10"/>
      <name val="Arial"/>
      <family val="2"/>
    </font>
    <font>
      <b/>
      <sz val="9"/>
      <name val="Arial"/>
      <family val="2"/>
    </font>
    <font>
      <sz val="10"/>
      <color indexed="17"/>
      <name val="宋体"/>
      <family val="3"/>
      <charset val="134"/>
    </font>
    <font>
      <u/>
      <sz val="10"/>
      <color indexed="36"/>
      <name val="Arial"/>
      <family val="2"/>
    </font>
    <font>
      <sz val="12"/>
      <name val="Courier"/>
      <family val="3"/>
    </font>
    <font>
      <b/>
      <sz val="12"/>
      <name val="宋体"/>
      <family val="3"/>
      <charset val="134"/>
      <scheme val="minor"/>
    </font>
    <font>
      <sz val="12"/>
      <name val="宋体"/>
      <family val="3"/>
      <charset val="134"/>
      <scheme val="minor"/>
    </font>
    <font>
      <b/>
      <sz val="20"/>
      <name val="Times New Roman"/>
      <family val="1"/>
    </font>
    <font>
      <b/>
      <sz val="20"/>
      <name val="宋体"/>
      <family val="3"/>
      <charset val="134"/>
    </font>
    <font>
      <sz val="12"/>
      <name val="宋体"/>
      <family val="3"/>
      <charset val="134"/>
      <scheme val="major"/>
    </font>
    <font>
      <b/>
      <sz val="12"/>
      <name val="宋体"/>
      <family val="3"/>
      <charset val="134"/>
      <scheme val="major"/>
    </font>
    <font>
      <sz val="14"/>
      <name val="Times New Roman"/>
      <family val="1"/>
    </font>
  </fonts>
  <fills count="3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9"/>
        <bgColor indexed="13"/>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13"/>
        <bgColor indexed="64"/>
      </patternFill>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indexed="22"/>
        <bgColor indexed="64"/>
      </patternFill>
    </fill>
    <fill>
      <patternFill patternType="solid">
        <fgColor indexed="26"/>
        <bgColor indexed="64"/>
      </patternFill>
    </fill>
    <fill>
      <patternFill patternType="solid">
        <fgColor theme="0" tint="-0.14999847407452621"/>
        <bgColor indexed="64"/>
      </patternFill>
    </fill>
    <fill>
      <patternFill patternType="solid">
        <fgColor indexed="15"/>
      </patternFill>
    </fill>
    <fill>
      <patternFill patternType="solid">
        <fgColor indexed="12"/>
      </patternFill>
    </fill>
    <fill>
      <patternFill patternType="mediumGray">
        <fgColor indexed="22"/>
      </patternFill>
    </fill>
    <fill>
      <patternFill patternType="gray0625"/>
    </fill>
    <fill>
      <patternFill patternType="solid">
        <fgColor indexed="9"/>
        <bgColor indexed="9"/>
      </patternFill>
    </fill>
    <fill>
      <patternFill patternType="solid">
        <fgColor indexed="45"/>
        <bgColor indexed="64"/>
      </patternFill>
    </fill>
  </fills>
  <borders count="21">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s>
  <cellStyleXfs count="525">
    <xf numFmtId="0" fontId="0" fillId="0" borderId="0"/>
    <xf numFmtId="0" fontId="5" fillId="0" borderId="0"/>
    <xf numFmtId="0" fontId="5" fillId="0" borderId="0"/>
    <xf numFmtId="0" fontId="28" fillId="0" borderId="0"/>
    <xf numFmtId="0" fontId="28" fillId="0" borderId="0"/>
    <xf numFmtId="0" fontId="5" fillId="0" borderId="0"/>
    <xf numFmtId="0" fontId="5" fillId="0" borderId="0"/>
    <xf numFmtId="0" fontId="5" fillId="0" borderId="0"/>
    <xf numFmtId="0" fontId="5" fillId="0" borderId="0"/>
    <xf numFmtId="0" fontId="5" fillId="0" borderId="0"/>
    <xf numFmtId="0" fontId="28" fillId="0" borderId="0"/>
    <xf numFmtId="0" fontId="5" fillId="0" borderId="0"/>
    <xf numFmtId="0" fontId="23" fillId="2" borderId="0" applyNumberFormat="0" applyBorder="0" applyAlignment="0" applyProtection="0">
      <alignment vertical="center"/>
    </xf>
    <xf numFmtId="0" fontId="23" fillId="3"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5"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9" fillId="12"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195" fontId="24" fillId="0" borderId="0" applyFill="0" applyBorder="0" applyAlignment="0"/>
    <xf numFmtId="15" fontId="16" fillId="0" borderId="0"/>
    <xf numFmtId="0" fontId="26" fillId="0" borderId="1" applyNumberFormat="0" applyAlignment="0" applyProtection="0">
      <alignment horizontal="left" vertical="center"/>
    </xf>
    <xf numFmtId="0" fontId="26" fillId="0" borderId="2">
      <alignment horizontal="left" vertical="center"/>
    </xf>
    <xf numFmtId="0" fontId="13" fillId="0" borderId="0"/>
    <xf numFmtId="0" fontId="25" fillId="0" borderId="0"/>
    <xf numFmtId="0" fontId="16" fillId="16" borderId="0"/>
    <xf numFmtId="0" fontId="4" fillId="0" borderId="3">
      <alignment horizontal="center" vertical="top" wrapText="1"/>
    </xf>
    <xf numFmtId="0" fontId="30" fillId="0" borderId="4" applyNumberFormat="0" applyFill="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2" fillId="0" borderId="0" applyNumberFormat="0" applyFill="0" applyBorder="0" applyAlignment="0" applyProtection="0">
      <alignment vertical="center"/>
    </xf>
    <xf numFmtId="0" fontId="33" fillId="3" borderId="0" applyNumberFormat="0" applyBorder="0" applyAlignment="0" applyProtection="0">
      <alignment vertical="center"/>
    </xf>
    <xf numFmtId="0" fontId="4" fillId="0" borderId="0"/>
    <xf numFmtId="0" fontId="4" fillId="0" borderId="0"/>
    <xf numFmtId="0" fontId="34" fillId="4" borderId="0" applyNumberFormat="0" applyBorder="0" applyAlignment="0" applyProtection="0">
      <alignment vertical="center"/>
    </xf>
    <xf numFmtId="0" fontId="35" fillId="0" borderId="7" applyNumberFormat="0" applyFill="0" applyAlignment="0" applyProtection="0">
      <alignment vertical="center"/>
    </xf>
    <xf numFmtId="0" fontId="36" fillId="17" borderId="8" applyNumberFormat="0" applyAlignment="0" applyProtection="0">
      <alignment vertical="center"/>
    </xf>
    <xf numFmtId="0" fontId="37" fillId="18" borderId="9" applyNumberForma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0" applyNumberFormat="0" applyFill="0" applyAlignment="0" applyProtection="0">
      <alignment vertical="center"/>
    </xf>
    <xf numFmtId="38" fontId="17" fillId="0" borderId="0" applyFont="0" applyFill="0" applyBorder="0" applyAlignment="0" applyProtection="0"/>
    <xf numFmtId="4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8" fillId="0" borderId="0"/>
    <xf numFmtId="189" fontId="4" fillId="0" borderId="0" applyFont="0" applyFill="0" applyBorder="0" applyAlignment="0" applyProtection="0"/>
    <xf numFmtId="191" fontId="4" fillId="0" borderId="0" applyFont="0" applyFill="0" applyBorder="0" applyAlignment="0" applyProtection="0"/>
    <xf numFmtId="188" fontId="4" fillId="0" borderId="0" applyFont="0" applyFill="0" applyBorder="0" applyAlignment="0" applyProtection="0"/>
    <xf numFmtId="190" fontId="4" fillId="0" borderId="0" applyFont="0" applyFill="0" applyBorder="0" applyAlignment="0" applyProtection="0"/>
    <xf numFmtId="0" fontId="13" fillId="0" borderId="0"/>
    <xf numFmtId="41" fontId="13" fillId="0" borderId="0" applyFont="0" applyFill="0" applyBorder="0" applyAlignment="0" applyProtection="0"/>
    <xf numFmtId="43" fontId="13" fillId="0" borderId="0" applyFont="0" applyFill="0" applyBorder="0" applyAlignment="0" applyProtection="0"/>
    <xf numFmtId="0" fontId="19" fillId="0" borderId="0"/>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22" borderId="0" applyNumberFormat="0" applyBorder="0" applyAlignment="0" applyProtection="0">
      <alignment vertical="center"/>
    </xf>
    <xf numFmtId="0" fontId="41" fillId="23" borderId="0" applyNumberFormat="0" applyBorder="0" applyAlignment="0" applyProtection="0">
      <alignment vertical="center"/>
    </xf>
    <xf numFmtId="0" fontId="42" fillId="17" borderId="11" applyNumberFormat="0" applyAlignment="0" applyProtection="0">
      <alignment vertical="center"/>
    </xf>
    <xf numFmtId="0" fontId="43" fillId="7" borderId="8" applyNumberFormat="0" applyAlignment="0" applyProtection="0">
      <alignment vertical="center"/>
    </xf>
    <xf numFmtId="0" fontId="4" fillId="24" borderId="12" applyNumberFormat="0" applyFont="0" applyAlignment="0" applyProtection="0">
      <alignment vertical="center"/>
    </xf>
    <xf numFmtId="9" fontId="4" fillId="0" borderId="0" applyFont="0" applyFill="0" applyBorder="0" applyAlignment="0" applyProtection="0"/>
    <xf numFmtId="176" fontId="4" fillId="0" borderId="0" applyFont="0" applyFill="0" applyBorder="0" applyAlignment="0" applyProtection="0"/>
    <xf numFmtId="0" fontId="4" fillId="0" borderId="0"/>
    <xf numFmtId="0" fontId="1" fillId="0" borderId="0">
      <alignment vertical="center"/>
    </xf>
    <xf numFmtId="0" fontId="4" fillId="0" borderId="0">
      <alignment vertical="center"/>
    </xf>
    <xf numFmtId="0" fontId="4" fillId="0" borderId="0"/>
    <xf numFmtId="0" fontId="4" fillId="0" borderId="0"/>
    <xf numFmtId="0" fontId="5" fillId="0" borderId="0"/>
    <xf numFmtId="0" fontId="28" fillId="0" borderId="0"/>
    <xf numFmtId="0" fontId="5" fillId="0" borderId="0"/>
    <xf numFmtId="0" fontId="45" fillId="0" borderId="0"/>
    <xf numFmtId="0" fontId="45" fillId="0" borderId="0"/>
    <xf numFmtId="0" fontId="45" fillId="0" borderId="0"/>
    <xf numFmtId="0" fontId="5" fillId="0" borderId="0"/>
    <xf numFmtId="0" fontId="5" fillId="0" borderId="0"/>
    <xf numFmtId="0" fontId="5" fillId="0" borderId="0"/>
    <xf numFmtId="0" fontId="5" fillId="0" borderId="0"/>
    <xf numFmtId="0" fontId="2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28" fillId="0" borderId="0"/>
    <xf numFmtId="0" fontId="45" fillId="0" borderId="0"/>
    <xf numFmtId="0" fontId="45" fillId="0" borderId="0"/>
    <xf numFmtId="0" fontId="5" fillId="0" borderId="0"/>
    <xf numFmtId="0" fontId="5" fillId="0" borderId="0"/>
    <xf numFmtId="0" fontId="5" fillId="0" borderId="0"/>
    <xf numFmtId="0" fontId="5" fillId="0" borderId="0"/>
    <xf numFmtId="0" fontId="5" fillId="0" borderId="0"/>
    <xf numFmtId="0" fontId="45" fillId="0" borderId="0"/>
    <xf numFmtId="0" fontId="45" fillId="0" borderId="0"/>
    <xf numFmtId="0" fontId="24" fillId="0" borderId="0"/>
    <xf numFmtId="0" fontId="24" fillId="0" borderId="0"/>
    <xf numFmtId="0" fontId="28" fillId="0" borderId="0"/>
    <xf numFmtId="0" fontId="45" fillId="0" borderId="0"/>
    <xf numFmtId="0" fontId="23" fillId="2" borderId="0" applyNumberFormat="0" applyBorder="0" applyAlignment="0" applyProtection="0">
      <alignment vertical="center"/>
    </xf>
    <xf numFmtId="0" fontId="23" fillId="3" borderId="0" applyNumberFormat="0" applyBorder="0" applyAlignment="0" applyProtection="0">
      <alignment vertical="center"/>
    </xf>
    <xf numFmtId="0" fontId="23" fillId="4" borderId="0" applyNumberFormat="0" applyBorder="0" applyAlignment="0" applyProtection="0">
      <alignment vertical="center"/>
    </xf>
    <xf numFmtId="0" fontId="23" fillId="5" borderId="0" applyNumberFormat="0" applyBorder="0" applyAlignment="0" applyProtection="0">
      <alignment vertical="center"/>
    </xf>
    <xf numFmtId="0" fontId="23" fillId="6" borderId="0" applyNumberFormat="0" applyBorder="0" applyAlignment="0" applyProtection="0">
      <alignment vertical="center"/>
    </xf>
    <xf numFmtId="0" fontId="23" fillId="7" borderId="0" applyNumberFormat="0" applyBorder="0" applyAlignment="0" applyProtection="0">
      <alignment vertical="center"/>
    </xf>
    <xf numFmtId="0" fontId="23" fillId="8" borderId="0" applyNumberFormat="0" applyBorder="0" applyAlignment="0" applyProtection="0">
      <alignment vertical="center"/>
    </xf>
    <xf numFmtId="0" fontId="23" fillId="9" borderId="0" applyNumberFormat="0" applyBorder="0" applyAlignment="0" applyProtection="0">
      <alignment vertical="center"/>
    </xf>
    <xf numFmtId="0" fontId="23" fillId="10" borderId="0" applyNumberFormat="0" applyBorder="0" applyAlignment="0" applyProtection="0">
      <alignment vertical="center"/>
    </xf>
    <xf numFmtId="0" fontId="23" fillId="5" borderId="0" applyNumberFormat="0" applyBorder="0" applyAlignment="0" applyProtection="0">
      <alignment vertical="center"/>
    </xf>
    <xf numFmtId="0" fontId="23" fillId="8" borderId="0" applyNumberFormat="0" applyBorder="0" applyAlignment="0" applyProtection="0">
      <alignment vertical="center"/>
    </xf>
    <xf numFmtId="0" fontId="23" fillId="11" borderId="0" applyNumberFormat="0" applyBorder="0" applyAlignment="0" applyProtection="0">
      <alignment vertical="center"/>
    </xf>
    <xf numFmtId="0" fontId="29" fillId="12"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2" fontId="46" fillId="0" borderId="0" applyNumberFormat="0" applyFont="0" applyFill="0" applyAlignment="0" applyProtection="0">
      <alignment horizontal="center"/>
    </xf>
    <xf numFmtId="0" fontId="47" fillId="0" borderId="14">
      <alignment horizontal="center"/>
    </xf>
    <xf numFmtId="38" fontId="16" fillId="0" borderId="0" applyFont="0" applyFill="0" applyBorder="0" applyAlignment="0" applyProtection="0"/>
    <xf numFmtId="198" fontId="16" fillId="0" borderId="0" applyFont="0" applyFill="0" applyBorder="0" applyAlignment="0" applyProtection="0"/>
    <xf numFmtId="38" fontId="46" fillId="30" borderId="0" applyNumberFormat="0" applyBorder="0" applyAlignment="0" applyProtection="0"/>
    <xf numFmtId="10" fontId="46" fillId="31" borderId="3" applyNumberFormat="0" applyBorder="0" applyAlignment="0" applyProtection="0"/>
    <xf numFmtId="199" fontId="48" fillId="0" borderId="0"/>
    <xf numFmtId="0" fontId="46" fillId="0" borderId="0">
      <alignment horizontal="left" vertical="center" wrapText="1"/>
    </xf>
    <xf numFmtId="10" fontId="24" fillId="0" borderId="0" applyFont="0" applyFill="0" applyBorder="0" applyAlignment="0" applyProtection="0"/>
    <xf numFmtId="0" fontId="30" fillId="0" borderId="4" applyNumberFormat="0" applyFill="0" applyAlignment="0" applyProtection="0">
      <alignment vertical="center"/>
    </xf>
    <xf numFmtId="0" fontId="31" fillId="0" borderId="5" applyNumberFormat="0" applyFill="0" applyAlignment="0" applyProtection="0">
      <alignment vertical="center"/>
    </xf>
    <xf numFmtId="0" fontId="32" fillId="0" borderId="6" applyNumberFormat="0" applyFill="0" applyAlignment="0" applyProtection="0">
      <alignment vertical="center"/>
    </xf>
    <xf numFmtId="0" fontId="32" fillId="0" borderId="0" applyNumberFormat="0" applyFill="0" applyBorder="0" applyAlignment="0" applyProtection="0">
      <alignment vertical="center"/>
    </xf>
    <xf numFmtId="0" fontId="4" fillId="0" borderId="3">
      <alignment horizontal="center" vertical="top" wrapText="1"/>
    </xf>
    <xf numFmtId="0" fontId="49" fillId="0" borderId="0"/>
    <xf numFmtId="0" fontId="33" fillId="3" borderId="0" applyNumberFormat="0" applyBorder="0" applyAlignment="0" applyProtection="0">
      <alignment vertical="center"/>
    </xf>
    <xf numFmtId="0" fontId="50" fillId="3" borderId="0" applyNumberFormat="0" applyBorder="0" applyAlignment="0" applyProtection="0">
      <alignment vertical="center"/>
    </xf>
    <xf numFmtId="0" fontId="34" fillId="4" borderId="0" applyNumberFormat="0" applyBorder="0" applyAlignment="0" applyProtection="0">
      <alignment vertical="center"/>
    </xf>
    <xf numFmtId="0" fontId="52" fillId="4" borderId="0" applyNumberFormat="0" applyBorder="0" applyAlignment="0" applyProtection="0">
      <alignment vertical="center"/>
    </xf>
    <xf numFmtId="0" fontId="35" fillId="0" borderId="7" applyNumberFormat="0" applyFill="0" applyAlignment="0" applyProtection="0">
      <alignment vertical="center"/>
    </xf>
    <xf numFmtId="0" fontId="36" fillId="17" borderId="8" applyNumberFormat="0" applyAlignment="0" applyProtection="0">
      <alignment vertical="center"/>
    </xf>
    <xf numFmtId="0" fontId="37" fillId="18" borderId="9" applyNumberForma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10" applyNumberFormat="0" applyFill="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22" borderId="0" applyNumberFormat="0" applyBorder="0" applyAlignment="0" applyProtection="0">
      <alignment vertical="center"/>
    </xf>
    <xf numFmtId="0" fontId="41" fillId="23" borderId="0" applyNumberFormat="0" applyBorder="0" applyAlignment="0" applyProtection="0">
      <alignment vertical="center"/>
    </xf>
    <xf numFmtId="0" fontId="42" fillId="17" borderId="11" applyNumberFormat="0" applyAlignment="0" applyProtection="0">
      <alignment vertical="center"/>
    </xf>
    <xf numFmtId="0" fontId="43" fillId="7" borderId="8" applyNumberFormat="0" applyAlignment="0" applyProtection="0">
      <alignment vertical="center"/>
    </xf>
    <xf numFmtId="0" fontId="4" fillId="24" borderId="12" applyNumberFormat="0" applyFont="0" applyAlignment="0" applyProtection="0">
      <alignment vertical="center"/>
    </xf>
    <xf numFmtId="0" fontId="4" fillId="0" borderId="0"/>
    <xf numFmtId="0" fontId="5"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xf numFmtId="0" fontId="4" fillId="0" borderId="0">
      <alignment vertical="center"/>
    </xf>
    <xf numFmtId="0" fontId="4" fillId="0" borderId="0"/>
    <xf numFmtId="0" fontId="28" fillId="0" borderId="0"/>
    <xf numFmtId="0" fontId="28" fillId="0" borderId="0"/>
    <xf numFmtId="0" fontId="28" fillId="0" borderId="0"/>
    <xf numFmtId="0" fontId="5" fillId="0" borderId="0"/>
    <xf numFmtId="0" fontId="28" fillId="0" borderId="0"/>
    <xf numFmtId="0" fontId="5" fillId="0" borderId="0"/>
    <xf numFmtId="0" fontId="5" fillId="0" borderId="0"/>
    <xf numFmtId="0" fontId="2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28" fillId="0" borderId="0"/>
    <xf numFmtId="0" fontId="28" fillId="0" borderId="0"/>
    <xf numFmtId="0" fontId="5" fillId="0" borderId="0"/>
    <xf numFmtId="0" fontId="5" fillId="0" borderId="0"/>
    <xf numFmtId="0" fontId="5" fillId="0" borderId="0"/>
    <xf numFmtId="0" fontId="28" fillId="0" borderId="0"/>
    <xf numFmtId="0" fontId="5" fillId="0" borderId="0"/>
    <xf numFmtId="0" fontId="5" fillId="0" borderId="0"/>
    <xf numFmtId="0" fontId="28" fillId="0" borderId="0"/>
    <xf numFmtId="49" fontId="24" fillId="0" borderId="0" applyFont="0" applyFill="0" applyBorder="0" applyAlignment="0" applyProtection="0"/>
    <xf numFmtId="0" fontId="4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xf numFmtId="0" fontId="5" fillId="0" borderId="0"/>
    <xf numFmtId="0" fontId="5" fillId="0" borderId="0" applyFont="0" applyBorder="0" applyAlignment="0">
      <alignment vertical="center"/>
    </xf>
    <xf numFmtId="0" fontId="5" fillId="0" borderId="0"/>
    <xf numFmtId="0" fontId="24" fillId="0" borderId="0" applyBorder="0"/>
    <xf numFmtId="0" fontId="5" fillId="0" borderId="0"/>
    <xf numFmtId="0" fontId="5" fillId="0" borderId="0"/>
    <xf numFmtId="0" fontId="5" fillId="0" borderId="0"/>
    <xf numFmtId="0" fontId="28" fillId="0" borderId="0"/>
    <xf numFmtId="0" fontId="5" fillId="0" borderId="0"/>
    <xf numFmtId="0" fontId="5" fillId="0" borderId="0"/>
    <xf numFmtId="0" fontId="5" fillId="0" borderId="0"/>
    <xf numFmtId="0" fontId="28" fillId="0" borderId="0"/>
    <xf numFmtId="0" fontId="5" fillId="0" borderId="0"/>
    <xf numFmtId="0" fontId="5" fillId="0" borderId="0"/>
    <xf numFmtId="0" fontId="4" fillId="0" borderId="0"/>
    <xf numFmtId="0" fontId="5" fillId="0" borderId="0"/>
    <xf numFmtId="0" fontId="5" fillId="0" borderId="0"/>
    <xf numFmtId="0" fontId="5" fillId="0" borderId="0"/>
    <xf numFmtId="0" fontId="5" fillId="0" borderId="0" applyFont="0" applyBorder="0" applyAlignment="0"/>
    <xf numFmtId="0" fontId="28" fillId="0" borderId="0"/>
    <xf numFmtId="0" fontId="28" fillId="0" borderId="0"/>
    <xf numFmtId="0" fontId="28" fillId="0" borderId="0"/>
    <xf numFmtId="0" fontId="24" fillId="0" borderId="0"/>
    <xf numFmtId="0" fontId="28" fillId="0" borderId="0"/>
    <xf numFmtId="0" fontId="5" fillId="0" borderId="0"/>
    <xf numFmtId="0" fontId="28" fillId="0" borderId="0"/>
    <xf numFmtId="0" fontId="28" fillId="0" borderId="0"/>
    <xf numFmtId="0" fontId="45" fillId="0" borderId="0"/>
    <xf numFmtId="0" fontId="5" fillId="0" borderId="0"/>
    <xf numFmtId="0" fontId="28" fillId="0" borderId="0"/>
    <xf numFmtId="0" fontId="5" fillId="0" borderId="0"/>
    <xf numFmtId="0" fontId="28" fillId="0" borderId="0"/>
    <xf numFmtId="0" fontId="5" fillId="0" borderId="0"/>
    <xf numFmtId="0" fontId="5" fillId="0" borderId="0"/>
    <xf numFmtId="0" fontId="5" fillId="0" borderId="0"/>
    <xf numFmtId="0" fontId="24" fillId="0" borderId="0"/>
    <xf numFmtId="0" fontId="5" fillId="0" borderId="0"/>
    <xf numFmtId="0" fontId="28" fillId="0" borderId="0"/>
    <xf numFmtId="0" fontId="5" fillId="0" borderId="0"/>
    <xf numFmtId="0" fontId="5" fillId="0" borderId="0"/>
    <xf numFmtId="0" fontId="28" fillId="0" borderId="0"/>
    <xf numFmtId="0" fontId="28" fillId="0" borderId="0"/>
    <xf numFmtId="0" fontId="28" fillId="0" borderId="0"/>
    <xf numFmtId="0" fontId="28" fillId="0" borderId="0"/>
    <xf numFmtId="0" fontId="4" fillId="0" borderId="0"/>
    <xf numFmtId="0" fontId="28" fillId="0" borderId="0"/>
    <xf numFmtId="0" fontId="28" fillId="0" borderId="0"/>
    <xf numFmtId="0" fontId="28" fillId="0" borderId="0"/>
    <xf numFmtId="0" fontId="28" fillId="0" borderId="0"/>
    <xf numFmtId="0" fontId="45" fillId="0" borderId="0"/>
    <xf numFmtId="0" fontId="5" fillId="0" borderId="0"/>
    <xf numFmtId="0" fontId="4" fillId="0" borderId="0"/>
    <xf numFmtId="0" fontId="4" fillId="0" borderId="0"/>
    <xf numFmtId="0" fontId="5" fillId="0" borderId="0"/>
    <xf numFmtId="0" fontId="4" fillId="0" borderId="0"/>
    <xf numFmtId="0" fontId="4" fillId="0" borderId="0"/>
    <xf numFmtId="0" fontId="4" fillId="0" borderId="0"/>
    <xf numFmtId="0" fontId="28" fillId="0" borderId="0">
      <protection locked="0"/>
    </xf>
    <xf numFmtId="0" fontId="73" fillId="0" borderId="0" applyFont="0" applyFill="0" applyBorder="0" applyAlignment="0" applyProtection="0"/>
    <xf numFmtId="0" fontId="73" fillId="0" borderId="0" applyFont="0" applyFill="0" applyBorder="0" applyAlignment="0" applyProtection="0"/>
    <xf numFmtId="0" fontId="27" fillId="0" borderId="0">
      <alignment horizontal="center" wrapText="1"/>
      <protection locked="0"/>
    </xf>
    <xf numFmtId="41" fontId="73" fillId="0" borderId="0" applyFont="0" applyFill="0" applyBorder="0" applyAlignment="0" applyProtection="0"/>
    <xf numFmtId="43" fontId="73" fillId="0" borderId="0" applyFont="0" applyFill="0" applyBorder="0" applyAlignment="0" applyProtection="0"/>
    <xf numFmtId="0" fontId="24" fillId="0" borderId="0"/>
    <xf numFmtId="0" fontId="74" fillId="0" borderId="0" applyNumberFormat="0" applyFill="0" applyBorder="0" applyAlignment="0" applyProtection="0"/>
    <xf numFmtId="0" fontId="75" fillId="0" borderId="0"/>
    <xf numFmtId="205" fontId="4" fillId="0" borderId="0" applyFill="0" applyBorder="0" applyAlignment="0"/>
    <xf numFmtId="205" fontId="4" fillId="0" borderId="0" applyFill="0" applyBorder="0" applyAlignment="0"/>
    <xf numFmtId="205" fontId="4" fillId="0" borderId="0" applyFill="0" applyBorder="0" applyAlignment="0"/>
    <xf numFmtId="205" fontId="4" fillId="0" borderId="0" applyFill="0" applyBorder="0" applyAlignment="0"/>
    <xf numFmtId="0" fontId="25" fillId="0" borderId="0" applyNumberFormat="0" applyFill="0" applyBorder="0" applyAlignment="0" applyProtection="0"/>
    <xf numFmtId="206" fontId="13" fillId="0" borderId="0"/>
    <xf numFmtId="206" fontId="13" fillId="0" borderId="0"/>
    <xf numFmtId="206" fontId="13" fillId="0" borderId="0"/>
    <xf numFmtId="206" fontId="13" fillId="0" borderId="0"/>
    <xf numFmtId="206" fontId="13" fillId="0" borderId="0"/>
    <xf numFmtId="206" fontId="13" fillId="0" borderId="0"/>
    <xf numFmtId="206" fontId="13" fillId="0" borderId="0"/>
    <xf numFmtId="206" fontId="13" fillId="0" borderId="0"/>
    <xf numFmtId="207" fontId="13" fillId="0" borderId="0"/>
    <xf numFmtId="197" fontId="24" fillId="0" borderId="0" applyFont="0" applyFill="0" applyBorder="0" applyAlignment="0" applyProtection="0"/>
    <xf numFmtId="0" fontId="76" fillId="0" borderId="0"/>
    <xf numFmtId="0" fontId="28" fillId="0" borderId="0"/>
    <xf numFmtId="0" fontId="76" fillId="0" borderId="0"/>
    <xf numFmtId="0" fontId="28" fillId="0" borderId="0"/>
    <xf numFmtId="208" fontId="24" fillId="0" borderId="0" applyFont="0" applyFill="0" applyBorder="0" applyAlignment="0" applyProtection="0"/>
    <xf numFmtId="209" fontId="13" fillId="0" borderId="0"/>
    <xf numFmtId="0" fontId="77" fillId="0" borderId="0">
      <protection locked="0"/>
    </xf>
    <xf numFmtId="210" fontId="13" fillId="0" borderId="0"/>
    <xf numFmtId="0" fontId="78" fillId="0" borderId="0">
      <protection locked="0"/>
    </xf>
    <xf numFmtId="0" fontId="78" fillId="0" borderId="0">
      <protection locked="0"/>
    </xf>
    <xf numFmtId="0" fontId="46" fillId="26" borderId="3"/>
    <xf numFmtId="0" fontId="77" fillId="0" borderId="0">
      <protection locked="0"/>
    </xf>
    <xf numFmtId="0" fontId="77" fillId="0" borderId="0">
      <protection locked="0"/>
    </xf>
    <xf numFmtId="0" fontId="77" fillId="0" borderId="0">
      <protection locked="0"/>
    </xf>
    <xf numFmtId="0" fontId="77" fillId="0" borderId="0">
      <protection locked="0"/>
    </xf>
    <xf numFmtId="0" fontId="77" fillId="0" borderId="0">
      <protection locked="0"/>
    </xf>
    <xf numFmtId="0" fontId="77" fillId="0" borderId="0">
      <protection locked="0"/>
    </xf>
    <xf numFmtId="0" fontId="77" fillId="0" borderId="0">
      <protection locked="0"/>
    </xf>
    <xf numFmtId="0" fontId="77" fillId="0" borderId="0">
      <protection locked="0"/>
    </xf>
    <xf numFmtId="0" fontId="77" fillId="0" borderId="0">
      <protection locked="0"/>
    </xf>
    <xf numFmtId="0" fontId="79" fillId="0" borderId="0">
      <alignment horizontal="left"/>
    </xf>
    <xf numFmtId="211" fontId="80" fillId="33" borderId="0"/>
    <xf numFmtId="0" fontId="45" fillId="0" borderId="0"/>
    <xf numFmtId="211" fontId="81" fillId="34" borderId="0"/>
    <xf numFmtId="41" fontId="24" fillId="0" borderId="0" applyFont="0" applyFill="0" applyBorder="0" applyAlignment="0" applyProtection="0"/>
    <xf numFmtId="43" fontId="24" fillId="0" borderId="0" applyFont="0" applyFill="0" applyBorder="0" applyAlignment="0" applyProtection="0"/>
    <xf numFmtId="212" fontId="24" fillId="0" borderId="0" applyFont="0" applyFill="0" applyBorder="0" applyAlignment="0" applyProtection="0"/>
    <xf numFmtId="0" fontId="24" fillId="0" borderId="0" applyFont="0" applyFill="0" applyBorder="0" applyAlignment="0" applyProtection="0"/>
    <xf numFmtId="0" fontId="82" fillId="0" borderId="18"/>
    <xf numFmtId="0" fontId="4" fillId="0" borderId="0" applyFont="0" applyFill="0" applyBorder="0" applyAlignment="0" applyProtection="0"/>
    <xf numFmtId="0" fontId="4" fillId="0" borderId="0" applyFont="0" applyFill="0" applyBorder="0" applyAlignment="0" applyProtection="0"/>
    <xf numFmtId="0" fontId="77" fillId="0" borderId="0">
      <protection locked="0"/>
    </xf>
    <xf numFmtId="213" fontId="24" fillId="0" borderId="0" applyFont="0" applyFill="0" applyBorder="0" applyAlignment="0" applyProtection="0"/>
    <xf numFmtId="212" fontId="24" fillId="0" borderId="0" applyFont="0" applyFill="0" applyBorder="0" applyAlignment="0" applyProtection="0"/>
    <xf numFmtId="37" fontId="83" fillId="0" borderId="0"/>
    <xf numFmtId="0" fontId="28" fillId="0" borderId="0"/>
    <xf numFmtId="0" fontId="84" fillId="0" borderId="0"/>
    <xf numFmtId="14" fontId="27" fillId="0" borderId="0">
      <alignment horizontal="center" wrapText="1"/>
      <protection locked="0"/>
    </xf>
    <xf numFmtId="9" fontId="28" fillId="0" borderId="0" applyFont="0" applyFill="0" applyBorder="0" applyAlignment="0" applyProtection="0"/>
    <xf numFmtId="0" fontId="77" fillId="0" borderId="0">
      <protection locked="0"/>
    </xf>
    <xf numFmtId="13" fontId="24" fillId="0" borderId="0" applyFont="0" applyFill="0" applyProtection="0"/>
    <xf numFmtId="0" fontId="46" fillId="30" borderId="3"/>
    <xf numFmtId="0" fontId="85" fillId="0" borderId="0"/>
    <xf numFmtId="0" fontId="16" fillId="0" borderId="0" applyNumberFormat="0" applyFont="0" applyFill="0" applyBorder="0" applyAlignment="0" applyProtection="0">
      <alignment horizontal="left"/>
    </xf>
    <xf numFmtId="15" fontId="16" fillId="0" borderId="0" applyFont="0" applyFill="0" applyBorder="0" applyAlignment="0" applyProtection="0"/>
    <xf numFmtId="4" fontId="16" fillId="0" borderId="0" applyFont="0" applyFill="0" applyBorder="0" applyAlignment="0" applyProtection="0"/>
    <xf numFmtId="0" fontId="25" fillId="0" borderId="18">
      <alignment horizontal="center"/>
    </xf>
    <xf numFmtId="3" fontId="16" fillId="0" borderId="0" applyFont="0" applyFill="0" applyBorder="0" applyAlignment="0" applyProtection="0"/>
    <xf numFmtId="0" fontId="16" fillId="35" borderId="0" applyNumberFormat="0" applyFont="0" applyBorder="0" applyAlignment="0" applyProtection="0"/>
    <xf numFmtId="38" fontId="86" fillId="0" borderId="0"/>
    <xf numFmtId="0" fontId="25" fillId="0" borderId="0" applyNumberFormat="0" applyFill="0" applyBorder="0" applyAlignment="0" applyProtection="0"/>
    <xf numFmtId="0" fontId="87" fillId="36" borderId="19">
      <protection locked="0"/>
    </xf>
    <xf numFmtId="0" fontId="88" fillId="37" borderId="0" applyNumberFormat="0" applyFont="0" applyFill="0" applyBorder="0" applyAlignment="0" applyProtection="0">
      <alignment horizontal="center"/>
    </xf>
    <xf numFmtId="0" fontId="84" fillId="0" borderId="0"/>
    <xf numFmtId="0" fontId="82" fillId="0" borderId="0"/>
    <xf numFmtId="0" fontId="87" fillId="36" borderId="19">
      <protection locked="0"/>
    </xf>
    <xf numFmtId="0" fontId="87" fillId="36" borderId="19">
      <protection locked="0"/>
    </xf>
    <xf numFmtId="0" fontId="35" fillId="0" borderId="7" applyNumberFormat="0" applyFill="0" applyAlignment="0" applyProtection="0">
      <alignment vertical="center"/>
    </xf>
    <xf numFmtId="0" fontId="89"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194" fontId="24" fillId="0" borderId="0" applyFont="0" applyFill="0" applyBorder="0" applyAlignment="0" applyProtection="0"/>
    <xf numFmtId="193" fontId="24" fillId="0" borderId="0" applyFont="0" applyFill="0" applyBorder="0" applyAlignment="0" applyProtection="0"/>
    <xf numFmtId="0" fontId="24" fillId="0" borderId="13" applyNumberFormat="0" applyFill="0" applyProtection="0">
      <alignment horizontal="right"/>
    </xf>
    <xf numFmtId="0" fontId="90" fillId="0" borderId="13" applyNumberFormat="0" applyFill="0" applyProtection="0">
      <alignment horizontal="center"/>
    </xf>
    <xf numFmtId="0" fontId="91" fillId="0" borderId="20" applyNumberFormat="0" applyFill="0" applyProtection="0">
      <alignment horizont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50" fillId="3" borderId="0" applyNumberFormat="0" applyBorder="0" applyAlignment="0" applyProtection="0">
      <alignment vertical="center"/>
    </xf>
    <xf numFmtId="0" fontId="33" fillId="3" borderId="0" applyNumberFormat="0" applyBorder="0" applyAlignment="0" applyProtection="0">
      <alignment vertical="center"/>
    </xf>
    <xf numFmtId="0" fontId="50" fillId="3" borderId="0" applyNumberFormat="0" applyBorder="0" applyAlignment="0" applyProtection="0">
      <alignment vertical="center"/>
    </xf>
    <xf numFmtId="0" fontId="33" fillId="5" borderId="0" applyNumberFormat="0" applyBorder="0" applyAlignment="0" applyProtection="0">
      <alignment vertical="center"/>
    </xf>
    <xf numFmtId="0" fontId="50"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92"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8"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50" fillId="3" borderId="0" applyNumberFormat="0" applyBorder="0" applyAlignment="0" applyProtection="0">
      <alignment vertical="center"/>
    </xf>
    <xf numFmtId="0" fontId="50"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50" fillId="3" borderId="0" applyNumberFormat="0" applyBorder="0" applyAlignment="0" applyProtection="0">
      <alignment vertical="center"/>
    </xf>
    <xf numFmtId="0" fontId="33" fillId="3" borderId="0" applyNumberFormat="0" applyBorder="0" applyAlignment="0" applyProtection="0">
      <alignment vertical="center"/>
    </xf>
    <xf numFmtId="0" fontId="50"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93" fillId="0" borderId="0"/>
    <xf numFmtId="0" fontId="94" fillId="0" borderId="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93" fillId="0" borderId="0"/>
    <xf numFmtId="0" fontId="94" fillId="0" borderId="0">
      <alignment vertical="center"/>
    </xf>
    <xf numFmtId="0" fontId="94" fillId="0" borderId="0">
      <alignment vertical="center"/>
    </xf>
    <xf numFmtId="0" fontId="4" fillId="0" borderId="0">
      <alignment vertical="center"/>
    </xf>
    <xf numFmtId="0" fontId="93" fillId="0" borderId="0"/>
    <xf numFmtId="0" fontId="93" fillId="0" borderId="0"/>
    <xf numFmtId="0" fontId="93" fillId="0" borderId="0"/>
    <xf numFmtId="0" fontId="4" fillId="0" borderId="0"/>
    <xf numFmtId="0" fontId="4" fillId="0" borderId="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23" fillId="0" borderId="0">
      <alignment vertical="center"/>
    </xf>
    <xf numFmtId="0" fontId="4" fillId="0" borderId="0">
      <alignment vertical="center"/>
    </xf>
    <xf numFmtId="0" fontId="22" fillId="0" borderId="0"/>
    <xf numFmtId="0" fontId="4" fillId="0" borderId="0"/>
    <xf numFmtId="0" fontId="94" fillId="0" borderId="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4" fillId="0" borderId="0"/>
    <xf numFmtId="0" fontId="93" fillId="0" borderId="0"/>
    <xf numFmtId="0" fontId="4" fillId="0" borderId="0"/>
    <xf numFmtId="0" fontId="93" fillId="0" borderId="0"/>
    <xf numFmtId="0" fontId="93" fillId="0" borderId="0"/>
    <xf numFmtId="0" fontId="4" fillId="0" borderId="0">
      <alignment vertical="center"/>
    </xf>
    <xf numFmtId="0" fontId="93" fillId="0" borderId="0"/>
    <xf numFmtId="0" fontId="93" fillId="0" borderId="0"/>
    <xf numFmtId="0" fontId="93" fillId="0" borderId="0"/>
    <xf numFmtId="0" fontId="4" fillId="0" borderId="0">
      <alignment vertical="center"/>
    </xf>
    <xf numFmtId="0" fontId="4" fillId="0" borderId="0">
      <alignment vertical="center"/>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5" fillId="0" borderId="0"/>
    <xf numFmtId="0" fontId="4" fillId="0" borderId="0"/>
    <xf numFmtId="0" fontId="5" fillId="0" borderId="0"/>
    <xf numFmtId="0" fontId="5" fillId="0" borderId="0"/>
    <xf numFmtId="0" fontId="4" fillId="0" borderId="0">
      <alignment vertical="center"/>
    </xf>
    <xf numFmtId="0" fontId="95"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3" fontId="96" fillId="0" borderId="0" applyNumberFormat="0" applyFill="0" applyBorder="0" applyAlignment="0" applyProtection="0"/>
    <xf numFmtId="0" fontId="97" fillId="0" borderId="0" applyNumberFormat="0" applyFill="0" applyBorder="0" applyAlignment="0" applyProtection="0"/>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52" fillId="4" borderId="0" applyNumberFormat="0" applyBorder="0" applyAlignment="0" applyProtection="0">
      <alignment vertical="center"/>
    </xf>
    <xf numFmtId="0" fontId="34" fillId="4" borderId="0" applyNumberFormat="0" applyBorder="0" applyAlignment="0" applyProtection="0">
      <alignment vertical="center"/>
    </xf>
    <xf numFmtId="0" fontId="52" fillId="4" borderId="0" applyNumberFormat="0" applyBorder="0" applyAlignment="0" applyProtection="0">
      <alignment vertical="center"/>
    </xf>
    <xf numFmtId="0" fontId="34" fillId="6" borderId="0" applyNumberFormat="0" applyBorder="0" applyAlignment="0" applyProtection="0">
      <alignment vertical="center"/>
    </xf>
    <xf numFmtId="0" fontId="52"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98"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27"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52" fillId="4" borderId="0" applyNumberFormat="0" applyBorder="0" applyAlignment="0" applyProtection="0">
      <alignment vertical="center"/>
    </xf>
    <xf numFmtId="0" fontId="52"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52" fillId="4" borderId="0" applyNumberFormat="0" applyBorder="0" applyAlignment="0" applyProtection="0">
      <alignment vertical="center"/>
    </xf>
    <xf numFmtId="0" fontId="34" fillId="4" borderId="0" applyNumberFormat="0" applyBorder="0" applyAlignment="0" applyProtection="0">
      <alignment vertical="center"/>
    </xf>
    <xf numFmtId="0" fontId="52"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34" fillId="4" borderId="0" applyNumberFormat="0" applyBorder="0" applyAlignment="0" applyProtection="0">
      <alignment vertical="center"/>
    </xf>
    <xf numFmtId="0" fontId="99" fillId="0" borderId="0" applyNumberFormat="0" applyFill="0" applyBorder="0" applyAlignment="0" applyProtection="0">
      <alignment vertical="top"/>
      <protection locked="0"/>
    </xf>
    <xf numFmtId="44" fontId="4" fillId="0" borderId="0" applyFont="0" applyFill="0" applyBorder="0" applyAlignment="0" applyProtection="0"/>
    <xf numFmtId="44" fontId="4" fillId="0" borderId="0" applyFont="0" applyFill="0" applyBorder="0" applyAlignment="0" applyProtection="0"/>
    <xf numFmtId="0" fontId="91" fillId="0" borderId="20" applyNumberFormat="0" applyFill="0" applyProtection="0">
      <alignment horizontal="left"/>
    </xf>
    <xf numFmtId="41" fontId="24" fillId="0" borderId="0" applyFont="0" applyFill="0" applyBorder="0" applyAlignment="0" applyProtection="0"/>
    <xf numFmtId="43" fontId="24" fillId="0" borderId="0" applyFont="0" applyFill="0" applyBorder="0" applyAlignment="0" applyProtection="0"/>
    <xf numFmtId="43" fontId="4" fillId="0" borderId="0" applyFont="0" applyFill="0" applyBorder="0" applyAlignment="0" applyProtection="0"/>
    <xf numFmtId="41" fontId="4" fillId="0" borderId="0" applyFont="0" applyFill="0" applyBorder="0" applyAlignment="0" applyProtection="0"/>
    <xf numFmtId="214" fontId="24" fillId="0" borderId="20" applyFill="0" applyProtection="0">
      <alignment horizontal="right"/>
    </xf>
    <xf numFmtId="0" fontId="24" fillId="0" borderId="13" applyNumberFormat="0" applyFill="0" applyProtection="0">
      <alignment horizontal="left"/>
    </xf>
    <xf numFmtId="1" fontId="24" fillId="0" borderId="20" applyFill="0" applyProtection="0">
      <alignment horizontal="center"/>
    </xf>
    <xf numFmtId="0" fontId="100" fillId="0" borderId="0"/>
    <xf numFmtId="0" fontId="28" fillId="0" borderId="0"/>
    <xf numFmtId="0" fontId="4" fillId="0" borderId="0"/>
    <xf numFmtId="0" fontId="16" fillId="0" borderId="0"/>
    <xf numFmtId="43" fontId="24" fillId="0" borderId="0" applyFont="0" applyFill="0" applyBorder="0" applyAlignment="0" applyProtection="0"/>
    <xf numFmtId="41" fontId="24" fillId="0" borderId="0" applyFont="0" applyFill="0" applyBorder="0" applyAlignment="0" applyProtection="0"/>
    <xf numFmtId="37" fontId="13" fillId="0" borderId="19">
      <alignment horizontal="center" vertical="center"/>
    </xf>
    <xf numFmtId="49" fontId="13" fillId="0" borderId="0">
      <alignment horizontal="center" vertical="center"/>
    </xf>
  </cellStyleXfs>
  <cellXfs count="420">
    <xf numFmtId="0" fontId="0" fillId="0" borderId="0" xfId="0"/>
    <xf numFmtId="0" fontId="4" fillId="0" borderId="3" xfId="44" applyFont="1" applyBorder="1" applyAlignment="1">
      <alignment horizontal="center" vertical="center" wrapText="1"/>
    </xf>
    <xf numFmtId="0" fontId="5" fillId="0" borderId="3" xfId="44" applyFont="1" applyBorder="1" applyAlignment="1">
      <alignment horizontal="left" vertical="center" wrapText="1"/>
    </xf>
    <xf numFmtId="0" fontId="5" fillId="0" borderId="3" xfId="44" applyFont="1" applyBorder="1" applyAlignment="1">
      <alignment horizontal="center" vertical="center" wrapText="1"/>
    </xf>
    <xf numFmtId="0" fontId="6" fillId="0" borderId="0" xfId="44" applyFont="1" applyBorder="1" applyAlignment="1">
      <alignment horizontal="left" vertical="center" wrapText="1"/>
    </xf>
    <xf numFmtId="0" fontId="6" fillId="0" borderId="0" xfId="44" applyFont="1" applyBorder="1" applyAlignment="1">
      <alignment horizontal="center" vertical="center" wrapText="1"/>
    </xf>
    <xf numFmtId="0" fontId="5" fillId="0" borderId="0" xfId="44" applyFont="1" applyAlignment="1">
      <alignment vertical="center" wrapText="1"/>
    </xf>
    <xf numFmtId="0" fontId="7" fillId="0" borderId="0" xfId="44" applyFont="1" applyAlignment="1">
      <alignment vertical="center" wrapText="1"/>
    </xf>
    <xf numFmtId="0" fontId="5" fillId="0" borderId="0" xfId="44" applyFont="1" applyAlignment="1">
      <alignment horizontal="left" vertical="center" wrapText="1"/>
    </xf>
    <xf numFmtId="0" fontId="5" fillId="0" borderId="0" xfId="44" applyFont="1" applyFill="1" applyAlignment="1">
      <alignment vertical="center" wrapText="1"/>
    </xf>
    <xf numFmtId="0" fontId="5" fillId="0" borderId="0" xfId="44" applyFont="1" applyAlignment="1">
      <alignment horizontal="center" vertical="center" wrapText="1"/>
    </xf>
    <xf numFmtId="0" fontId="8" fillId="0" borderId="3" xfId="44" applyFont="1" applyBorder="1" applyAlignment="1">
      <alignment horizontal="center" vertical="center" wrapText="1"/>
    </xf>
    <xf numFmtId="0" fontId="8" fillId="0" borderId="3" xfId="0" applyFont="1" applyBorder="1" applyAlignment="1">
      <alignment horizontal="center" vertical="center" wrapText="1"/>
    </xf>
    <xf numFmtId="0" fontId="4" fillId="0" borderId="0" xfId="43" applyFont="1" applyAlignment="1">
      <alignment horizontal="center"/>
    </xf>
    <xf numFmtId="177" fontId="4" fillId="0" borderId="0" xfId="43" applyNumberFormat="1" applyFont="1" applyAlignment="1">
      <alignment horizontal="center"/>
    </xf>
    <xf numFmtId="177" fontId="4" fillId="0" borderId="0" xfId="43" applyNumberFormat="1" applyFont="1"/>
    <xf numFmtId="183" fontId="4" fillId="0" borderId="0" xfId="43" applyNumberFormat="1" applyFont="1"/>
    <xf numFmtId="0" fontId="4" fillId="0" borderId="0" xfId="43" applyFont="1"/>
    <xf numFmtId="0" fontId="11" fillId="0" borderId="0" xfId="43" applyFont="1" applyAlignment="1">
      <alignment horizontal="center" vertical="center"/>
    </xf>
    <xf numFmtId="0" fontId="11" fillId="0" borderId="0" xfId="43" applyFont="1"/>
    <xf numFmtId="0" fontId="11" fillId="0" borderId="0" xfId="44" applyFont="1" applyAlignment="1">
      <alignment vertical="center" wrapText="1"/>
    </xf>
    <xf numFmtId="0" fontId="11" fillId="0" borderId="3" xfId="43" applyFont="1" applyBorder="1" applyAlignment="1">
      <alignment horizontal="center" vertical="center" wrapText="1"/>
    </xf>
    <xf numFmtId="177" fontId="11" fillId="0" borderId="3" xfId="43" applyNumberFormat="1" applyFont="1" applyBorder="1" applyAlignment="1">
      <alignment horizontal="center" vertical="center" wrapText="1"/>
    </xf>
    <xf numFmtId="0" fontId="11" fillId="0" borderId="0" xfId="43" applyFont="1" applyAlignment="1">
      <alignment vertical="center" wrapText="1"/>
    </xf>
    <xf numFmtId="0" fontId="11" fillId="0" borderId="3" xfId="43" applyFont="1" applyBorder="1" applyAlignment="1">
      <alignment horizontal="center" vertical="center"/>
    </xf>
    <xf numFmtId="0" fontId="11" fillId="0" borderId="3" xfId="43" applyFont="1" applyBorder="1" applyAlignment="1">
      <alignment horizontal="center"/>
    </xf>
    <xf numFmtId="177" fontId="11" fillId="0" borderId="3" xfId="43" applyNumberFormat="1" applyFont="1" applyBorder="1" applyAlignment="1">
      <alignment horizontal="center" vertical="center"/>
    </xf>
    <xf numFmtId="183" fontId="11" fillId="0" borderId="3" xfId="43" applyNumberFormat="1" applyFont="1" applyBorder="1" applyAlignment="1">
      <alignment horizontal="center" vertical="center"/>
    </xf>
    <xf numFmtId="0" fontId="11" fillId="0" borderId="13" xfId="43" applyFont="1" applyBorder="1" applyAlignment="1">
      <alignment horizontal="center" vertical="center"/>
    </xf>
    <xf numFmtId="0" fontId="11" fillId="0" borderId="3" xfId="43" applyFont="1" applyBorder="1" applyAlignment="1">
      <alignment vertical="center" wrapText="1"/>
    </xf>
    <xf numFmtId="1" fontId="11" fillId="0" borderId="3" xfId="43" applyNumberFormat="1" applyFont="1" applyBorder="1" applyAlignment="1">
      <alignment horizontal="center"/>
    </xf>
    <xf numFmtId="0" fontId="11" fillId="0" borderId="13" xfId="43" applyFont="1" applyBorder="1" applyAlignment="1">
      <alignment vertical="center" wrapText="1"/>
    </xf>
    <xf numFmtId="0" fontId="11" fillId="0" borderId="3" xfId="43" applyFont="1" applyBorder="1" applyAlignment="1">
      <alignment horizontal="left" vertical="center" wrapText="1"/>
    </xf>
    <xf numFmtId="0" fontId="11" fillId="0" borderId="3" xfId="43" applyFont="1" applyFill="1" applyBorder="1" applyAlignment="1">
      <alignment horizontal="left" vertical="center" wrapText="1"/>
    </xf>
    <xf numFmtId="0" fontId="11" fillId="0" borderId="3" xfId="43" applyFont="1" applyBorder="1"/>
    <xf numFmtId="0" fontId="11" fillId="0" borderId="3" xfId="43" applyFont="1" applyBorder="1" applyAlignment="1">
      <alignment horizontal="left" vertical="center"/>
    </xf>
    <xf numFmtId="0" fontId="11" fillId="0" borderId="3" xfId="43" applyFont="1" applyFill="1" applyBorder="1" applyAlignment="1">
      <alignment horizontal="left" vertical="center"/>
    </xf>
    <xf numFmtId="177" fontId="11" fillId="0" borderId="0" xfId="43" applyNumberFormat="1" applyFont="1" applyAlignment="1">
      <alignment horizontal="center" vertical="center"/>
    </xf>
    <xf numFmtId="183" fontId="11" fillId="0" borderId="0" xfId="43" applyNumberFormat="1" applyFont="1" applyAlignment="1">
      <alignment horizontal="center" vertical="center"/>
    </xf>
    <xf numFmtId="0" fontId="11" fillId="0" borderId="0" xfId="43" applyFont="1" applyAlignment="1">
      <alignment horizontal="center"/>
    </xf>
    <xf numFmtId="177" fontId="11" fillId="0" borderId="0" xfId="43" applyNumberFormat="1" applyFont="1" applyAlignment="1">
      <alignment horizontal="center"/>
    </xf>
    <xf numFmtId="177" fontId="11" fillId="0" borderId="0" xfId="43" applyNumberFormat="1" applyFont="1"/>
    <xf numFmtId="183" fontId="11" fillId="0" borderId="0" xfId="43" applyNumberFormat="1" applyFont="1"/>
    <xf numFmtId="1" fontId="11" fillId="0" borderId="3" xfId="43" applyNumberFormat="1" applyFont="1" applyBorder="1" applyAlignment="1">
      <alignment horizontal="center" vertical="center"/>
    </xf>
    <xf numFmtId="1" fontId="11" fillId="0" borderId="3" xfId="43" applyNumberFormat="1" applyFont="1" applyFill="1" applyBorder="1" applyAlignment="1">
      <alignment horizontal="center" vertical="center"/>
    </xf>
    <xf numFmtId="1" fontId="11" fillId="0" borderId="3" xfId="43" applyNumberFormat="1" applyFont="1" applyFill="1" applyBorder="1" applyAlignment="1">
      <alignment horizontal="center"/>
    </xf>
    <xf numFmtId="1" fontId="11" fillId="0" borderId="3" xfId="43" quotePrefix="1" applyNumberFormat="1" applyFont="1" applyBorder="1" applyAlignment="1">
      <alignment horizontal="center" vertical="center"/>
    </xf>
    <xf numFmtId="1" fontId="11" fillId="0" borderId="3" xfId="43" applyNumberFormat="1" applyFont="1" applyBorder="1" applyAlignment="1">
      <alignment horizontal="center" vertical="center" wrapText="1"/>
    </xf>
    <xf numFmtId="1" fontId="11" fillId="0" borderId="14" xfId="43" applyNumberFormat="1" applyFont="1" applyBorder="1" applyAlignment="1">
      <alignment horizontal="center" vertical="center"/>
    </xf>
    <xf numFmtId="1" fontId="11" fillId="0" borderId="0" xfId="43" applyNumberFormat="1" applyFont="1" applyAlignment="1">
      <alignment horizontal="center" vertical="center"/>
    </xf>
    <xf numFmtId="0" fontId="11" fillId="0" borderId="14" xfId="43" applyFont="1" applyBorder="1" applyAlignment="1">
      <alignment horizontal="center" vertical="center" wrapText="1"/>
    </xf>
    <xf numFmtId="0" fontId="11" fillId="0" borderId="13" xfId="43" applyFont="1" applyBorder="1" applyAlignment="1">
      <alignment horizontal="center" vertical="center" wrapText="1"/>
    </xf>
    <xf numFmtId="0" fontId="5" fillId="25" borderId="3" xfId="0" applyFont="1" applyFill="1" applyBorder="1" applyAlignment="1">
      <alignment horizontal="center" vertical="center"/>
    </xf>
    <xf numFmtId="177" fontId="5" fillId="25" borderId="3" xfId="0" applyNumberFormat="1" applyFont="1" applyFill="1" applyBorder="1" applyAlignment="1">
      <alignment horizontal="center" vertical="center"/>
    </xf>
    <xf numFmtId="179" fontId="5" fillId="25" borderId="3" xfId="0" applyNumberFormat="1" applyFont="1" applyFill="1" applyBorder="1" applyAlignment="1">
      <alignment horizontal="center" vertical="center"/>
    </xf>
    <xf numFmtId="179" fontId="0" fillId="25" borderId="3" xfId="0" applyNumberFormat="1" applyFill="1" applyBorder="1" applyAlignment="1">
      <alignment horizontal="center" vertical="center"/>
    </xf>
    <xf numFmtId="0" fontId="11" fillId="0" borderId="0" xfId="43" applyFont="1" applyBorder="1" applyAlignment="1">
      <alignment horizontal="center" vertical="center"/>
    </xf>
    <xf numFmtId="0" fontId="0" fillId="25" borderId="3" xfId="0" applyFill="1" applyBorder="1" applyAlignment="1">
      <alignment horizontal="center" vertical="center"/>
    </xf>
    <xf numFmtId="0" fontId="5" fillId="25" borderId="13" xfId="0" applyFont="1" applyFill="1" applyBorder="1" applyAlignment="1">
      <alignment horizontal="center" vertical="center" wrapText="1"/>
    </xf>
    <xf numFmtId="0" fontId="0" fillId="25" borderId="13" xfId="0" applyFill="1" applyBorder="1" applyAlignment="1">
      <alignment horizontal="center" vertical="center" wrapText="1"/>
    </xf>
    <xf numFmtId="0" fontId="14" fillId="0" borderId="3" xfId="43" applyFont="1" applyBorder="1" applyAlignment="1">
      <alignment horizontal="center" vertical="center"/>
    </xf>
    <xf numFmtId="184" fontId="11" fillId="0" borderId="3" xfId="43" applyNumberFormat="1" applyFont="1" applyBorder="1" applyAlignment="1">
      <alignment horizontal="center" vertical="center"/>
    </xf>
    <xf numFmtId="1" fontId="4" fillId="0" borderId="3" xfId="43" applyNumberFormat="1" applyFont="1" applyBorder="1" applyAlignment="1">
      <alignment horizontal="center"/>
    </xf>
    <xf numFmtId="0" fontId="11" fillId="0" borderId="15" xfId="44" applyFont="1" applyBorder="1" applyAlignment="1">
      <alignment horizontal="center" vertical="center" wrapText="1"/>
    </xf>
    <xf numFmtId="0" fontId="15" fillId="0" borderId="3" xfId="44" applyFont="1" applyBorder="1" applyAlignment="1">
      <alignment horizontal="center" vertical="center" wrapText="1"/>
    </xf>
    <xf numFmtId="0" fontId="15" fillId="0" borderId="3" xfId="0" applyFont="1" applyBorder="1" applyAlignment="1">
      <alignment horizontal="center"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4" fillId="0" borderId="13" xfId="0" applyFont="1" applyBorder="1" applyAlignment="1">
      <alignment horizontal="center" vertical="center" wrapText="1"/>
    </xf>
    <xf numFmtId="1" fontId="14" fillId="0" borderId="3" xfId="43" applyNumberFormat="1" applyFont="1" applyBorder="1" applyAlignment="1">
      <alignment horizontal="center"/>
    </xf>
    <xf numFmtId="0" fontId="0" fillId="25" borderId="3" xfId="0" applyFill="1" applyBorder="1" applyAlignment="1">
      <alignment horizontal="justify" vertical="center" wrapText="1"/>
    </xf>
    <xf numFmtId="0" fontId="4" fillId="26" borderId="3" xfId="0" applyFont="1" applyFill="1" applyBorder="1" applyAlignment="1">
      <alignment horizontal="justify" vertical="center" wrapText="1"/>
    </xf>
    <xf numFmtId="0" fontId="11" fillId="27" borderId="3" xfId="43" applyFont="1" applyFill="1" applyBorder="1" applyAlignment="1">
      <alignment horizontal="center" vertical="center"/>
    </xf>
    <xf numFmtId="0" fontId="11" fillId="27" borderId="3" xfId="43" applyFont="1" applyFill="1" applyBorder="1" applyAlignment="1">
      <alignment horizontal="center" vertical="center" wrapText="1"/>
    </xf>
    <xf numFmtId="0" fontId="0" fillId="0" borderId="3" xfId="0" applyBorder="1" applyAlignment="1">
      <alignment vertical="center"/>
    </xf>
    <xf numFmtId="0" fontId="4" fillId="27" borderId="3" xfId="0" applyFont="1" applyFill="1" applyBorder="1" applyAlignment="1">
      <alignment horizontal="center" vertical="center"/>
    </xf>
    <xf numFmtId="187" fontId="11" fillId="0" borderId="3" xfId="43" applyNumberFormat="1" applyFont="1" applyBorder="1" applyAlignment="1">
      <alignment horizontal="center" vertical="center"/>
    </xf>
    <xf numFmtId="0" fontId="8" fillId="27" borderId="3" xfId="44" applyFont="1" applyFill="1" applyBorder="1" applyAlignment="1">
      <alignment horizontal="center" vertical="center" wrapText="1"/>
    </xf>
    <xf numFmtId="0" fontId="8" fillId="27" borderId="13" xfId="0" applyFont="1" applyFill="1" applyBorder="1" applyAlignment="1">
      <alignment horizontal="center" vertical="center" wrapText="1"/>
    </xf>
    <xf numFmtId="0" fontId="20" fillId="28" borderId="13" xfId="0" applyFont="1" applyFill="1" applyBorder="1" applyAlignment="1">
      <alignment horizontal="center" vertical="center" wrapText="1"/>
    </xf>
    <xf numFmtId="186" fontId="5" fillId="0" borderId="3" xfId="44" applyNumberFormat="1" applyFont="1" applyBorder="1" applyAlignment="1">
      <alignment horizontal="center" vertical="center" wrapText="1"/>
    </xf>
    <xf numFmtId="1" fontId="14" fillId="0" borderId="0" xfId="43" applyNumberFormat="1" applyFont="1" applyAlignment="1">
      <alignment horizontal="center" vertical="center"/>
    </xf>
    <xf numFmtId="180" fontId="11" fillId="0" borderId="3" xfId="43" applyNumberFormat="1" applyFont="1" applyBorder="1" applyAlignment="1">
      <alignment horizontal="center" vertical="center"/>
    </xf>
    <xf numFmtId="178" fontId="11" fillId="0" borderId="3" xfId="43" applyNumberFormat="1" applyFont="1" applyBorder="1" applyAlignment="1">
      <alignment vertical="center" wrapText="1"/>
    </xf>
    <xf numFmtId="179" fontId="11" fillId="0" borderId="3" xfId="43" applyNumberFormat="1" applyFont="1" applyBorder="1" applyAlignment="1">
      <alignment horizontal="center" vertical="center"/>
    </xf>
    <xf numFmtId="180" fontId="11" fillId="0" borderId="0" xfId="43" applyNumberFormat="1" applyFont="1" applyAlignment="1">
      <alignment horizontal="center" vertical="center"/>
    </xf>
    <xf numFmtId="185" fontId="11" fillId="0" borderId="0" xfId="43" applyNumberFormat="1" applyFont="1" applyAlignment="1">
      <alignment horizontal="center" vertical="center"/>
    </xf>
    <xf numFmtId="183" fontId="12" fillId="0" borderId="0" xfId="43" applyNumberFormat="1" applyFont="1"/>
    <xf numFmtId="177" fontId="12" fillId="0" borderId="0" xfId="43" applyNumberFormat="1" applyFont="1" applyAlignment="1">
      <alignment horizontal="center" vertical="center"/>
    </xf>
    <xf numFmtId="183" fontId="21" fillId="0" borderId="0" xfId="43" applyNumberFormat="1" applyFont="1" applyAlignment="1">
      <alignment horizontal="center" vertical="center"/>
    </xf>
    <xf numFmtId="0" fontId="4" fillId="0" borderId="14" xfId="44" applyFont="1" applyBorder="1" applyAlignment="1">
      <alignment horizontal="center" vertical="center" wrapText="1"/>
    </xf>
    <xf numFmtId="0" fontId="4" fillId="0" borderId="13" xfId="44" applyFont="1" applyBorder="1" applyAlignment="1">
      <alignment horizontal="center" vertical="center" wrapText="1"/>
    </xf>
    <xf numFmtId="0" fontId="4" fillId="0" borderId="13" xfId="44" applyFont="1" applyBorder="1" applyAlignment="1">
      <alignment horizontal="left" vertical="center" wrapText="1"/>
    </xf>
    <xf numFmtId="0" fontId="4" fillId="0" borderId="3" xfId="44" applyFont="1" applyBorder="1" applyAlignment="1">
      <alignment horizontal="left" vertical="center" wrapText="1"/>
    </xf>
    <xf numFmtId="0" fontId="4" fillId="0" borderId="13" xfId="0" applyFont="1" applyBorder="1" applyAlignment="1">
      <alignment horizontal="left" vertical="center" wrapText="1"/>
    </xf>
    <xf numFmtId="183" fontId="4" fillId="0" borderId="3" xfId="44" applyNumberFormat="1" applyFont="1" applyBorder="1" applyAlignment="1">
      <alignment horizontal="center" vertical="center" wrapText="1"/>
    </xf>
    <xf numFmtId="0" fontId="4" fillId="0" borderId="0" xfId="44" applyFont="1" applyAlignment="1">
      <alignment vertical="center" wrapText="1"/>
    </xf>
    <xf numFmtId="181" fontId="4" fillId="0" borderId="3" xfId="44" applyNumberFormat="1" applyFont="1" applyFill="1" applyBorder="1" applyAlignment="1">
      <alignment horizontal="center" vertical="center" wrapText="1"/>
    </xf>
    <xf numFmtId="0" fontId="4" fillId="0" borderId="3" xfId="44" applyFont="1" applyFill="1" applyBorder="1" applyAlignment="1">
      <alignment horizontal="center" vertical="center" wrapText="1"/>
    </xf>
    <xf numFmtId="181" fontId="4" fillId="0" borderId="3" xfId="44" applyNumberFormat="1" applyFont="1" applyBorder="1" applyAlignment="1">
      <alignment horizontal="center" vertical="center" wrapText="1"/>
    </xf>
    <xf numFmtId="0" fontId="4" fillId="0" borderId="3" xfId="44" applyFont="1" applyFill="1" applyBorder="1" applyAlignment="1">
      <alignment horizontal="left" vertical="center" wrapText="1"/>
    </xf>
    <xf numFmtId="0" fontId="4" fillId="0" borderId="0" xfId="0" applyFont="1" applyAlignment="1">
      <alignment horizontal="center" vertical="center" wrapText="1"/>
    </xf>
    <xf numFmtId="178" fontId="4" fillId="0" borderId="3" xfId="0" applyNumberFormat="1" applyFont="1" applyBorder="1" applyAlignment="1">
      <alignment horizontal="center" vertical="center" wrapText="1"/>
    </xf>
    <xf numFmtId="0" fontId="4" fillId="0" borderId="3" xfId="44" applyFont="1" applyBorder="1" applyAlignment="1">
      <alignment vertical="center" wrapText="1"/>
    </xf>
    <xf numFmtId="178" fontId="4" fillId="0" borderId="3" xfId="44" applyNumberFormat="1" applyFont="1" applyBorder="1" applyAlignment="1">
      <alignment horizontal="center" vertical="center" wrapText="1"/>
    </xf>
    <xf numFmtId="0" fontId="4" fillId="27" borderId="3" xfId="0" applyFont="1" applyFill="1" applyBorder="1" applyAlignment="1">
      <alignment horizontal="center" vertical="center" wrapText="1"/>
    </xf>
    <xf numFmtId="0" fontId="4" fillId="0" borderId="3" xfId="44" applyFont="1" applyBorder="1" applyAlignment="1">
      <alignment horizontal="right" vertical="center" wrapText="1"/>
    </xf>
    <xf numFmtId="0" fontId="12" fillId="0" borderId="0" xfId="172" applyFont="1"/>
    <xf numFmtId="0" fontId="13" fillId="0" borderId="0" xfId="173" applyFont="1" applyAlignment="1">
      <alignment vertical="center"/>
    </xf>
    <xf numFmtId="0" fontId="12" fillId="0" borderId="0" xfId="174" applyFont="1" applyAlignment="1">
      <alignment vertical="center"/>
    </xf>
    <xf numFmtId="0" fontId="53" fillId="0" borderId="0" xfId="174" applyFont="1" applyAlignment="1">
      <alignment horizontal="center" vertical="center"/>
    </xf>
    <xf numFmtId="0" fontId="12" fillId="0" borderId="0" xfId="172" applyFont="1" applyAlignment="1">
      <alignment vertical="center"/>
    </xf>
    <xf numFmtId="0" fontId="12" fillId="0" borderId="3" xfId="174" applyFont="1" applyBorder="1" applyAlignment="1">
      <alignment horizontal="center" vertical="center" wrapText="1"/>
    </xf>
    <xf numFmtId="0" fontId="12" fillId="0" borderId="3" xfId="174" applyFont="1" applyBorder="1" applyAlignment="1">
      <alignment horizontal="center" vertical="center"/>
    </xf>
    <xf numFmtId="0" fontId="12" fillId="0" borderId="3" xfId="174" applyFont="1" applyBorder="1" applyAlignment="1">
      <alignment horizontal="left" vertical="center"/>
    </xf>
    <xf numFmtId="0" fontId="12" fillId="0" borderId="3" xfId="81" applyFont="1" applyBorder="1" applyAlignment="1">
      <alignment horizontal="center" vertical="center"/>
    </xf>
    <xf numFmtId="0" fontId="15" fillId="0" borderId="3" xfId="81" applyFont="1" applyBorder="1" applyAlignment="1">
      <alignment vertical="center"/>
    </xf>
    <xf numFmtId="0" fontId="12" fillId="29" borderId="3" xfId="174" applyFont="1" applyFill="1" applyBorder="1" applyAlignment="1">
      <alignment horizontal="center" vertical="center"/>
    </xf>
    <xf numFmtId="0" fontId="22" fillId="29" borderId="3" xfId="174" applyFont="1" applyFill="1" applyBorder="1" applyAlignment="1">
      <alignment horizontal="left" vertical="center"/>
    </xf>
    <xf numFmtId="0" fontId="12" fillId="29" borderId="3" xfId="174" applyFont="1" applyFill="1" applyBorder="1" applyAlignment="1">
      <alignment vertical="center"/>
    </xf>
    <xf numFmtId="0" fontId="12" fillId="29" borderId="3" xfId="81" applyFont="1" applyFill="1" applyBorder="1" applyAlignment="1">
      <alignment horizontal="center" vertical="center"/>
    </xf>
    <xf numFmtId="0" fontId="12" fillId="29" borderId="0" xfId="172" applyFont="1" applyFill="1" applyAlignment="1">
      <alignment vertical="center"/>
    </xf>
    <xf numFmtId="0" fontId="22" fillId="0" borderId="3" xfId="174" applyFont="1" applyBorder="1" applyAlignment="1">
      <alignment horizontal="left" vertical="center"/>
    </xf>
    <xf numFmtId="0" fontId="22" fillId="0" borderId="3" xfId="174" applyFont="1" applyBorder="1" applyAlignment="1">
      <alignment horizontal="center" vertical="center"/>
    </xf>
    <xf numFmtId="0" fontId="12" fillId="0" borderId="3" xfId="174" applyFont="1" applyBorder="1" applyAlignment="1">
      <alignment vertical="center"/>
    </xf>
    <xf numFmtId="0" fontId="4" fillId="29" borderId="3" xfId="77" applyFont="1" applyFill="1" applyBorder="1" applyAlignment="1">
      <alignment horizontal="center" vertical="center" wrapText="1"/>
    </xf>
    <xf numFmtId="0" fontId="4" fillId="0" borderId="3" xfId="77" applyFont="1" applyFill="1" applyBorder="1" applyAlignment="1">
      <alignment horizontal="center" vertical="center" wrapText="1"/>
    </xf>
    <xf numFmtId="177" fontId="4" fillId="0" borderId="0" xfId="177" applyNumberFormat="1" applyFont="1" applyFill="1" applyAlignment="1">
      <alignment horizontal="center" vertical="center"/>
    </xf>
    <xf numFmtId="177" fontId="4" fillId="0" borderId="0" xfId="177" applyNumberFormat="1" applyFont="1" applyFill="1" applyAlignment="1">
      <alignment horizontal="right" vertical="center"/>
    </xf>
    <xf numFmtId="177" fontId="3" fillId="0" borderId="0" xfId="177" applyNumberFormat="1" applyFont="1" applyFill="1" applyAlignment="1">
      <alignment horizontal="right" vertical="center"/>
    </xf>
    <xf numFmtId="0" fontId="4" fillId="0" borderId="0" xfId="177" applyFont="1" applyFill="1" applyAlignment="1">
      <alignment vertical="center"/>
    </xf>
    <xf numFmtId="0" fontId="12" fillId="0" borderId="15" xfId="177" applyFont="1" applyFill="1" applyBorder="1" applyAlignment="1">
      <alignment horizontal="left" vertical="center"/>
    </xf>
    <xf numFmtId="177" fontId="12" fillId="0" borderId="0" xfId="177" applyNumberFormat="1" applyFont="1" applyFill="1" applyBorder="1" applyAlignment="1">
      <alignment horizontal="right" vertical="center"/>
    </xf>
    <xf numFmtId="177" fontId="13" fillId="0" borderId="15" xfId="177" applyNumberFormat="1" applyFont="1" applyFill="1" applyBorder="1" applyAlignment="1">
      <alignment vertical="center"/>
    </xf>
    <xf numFmtId="177" fontId="12" fillId="0" borderId="15" xfId="177" applyNumberFormat="1" applyFont="1" applyFill="1" applyBorder="1" applyAlignment="1">
      <alignment vertical="center"/>
    </xf>
    <xf numFmtId="177" fontId="12" fillId="0" borderId="0" xfId="177" applyNumberFormat="1" applyFont="1" applyFill="1" applyAlignment="1">
      <alignment horizontal="right" vertical="center"/>
    </xf>
    <xf numFmtId="177" fontId="12" fillId="0" borderId="15" xfId="177" applyNumberFormat="1" applyFont="1" applyFill="1" applyBorder="1" applyAlignment="1">
      <alignment horizontal="right" vertical="center"/>
    </xf>
    <xf numFmtId="0" fontId="12" fillId="0" borderId="0" xfId="177" applyFont="1" applyFill="1" applyAlignment="1">
      <alignment vertical="center"/>
    </xf>
    <xf numFmtId="177" fontId="12" fillId="0" borderId="3" xfId="177" applyNumberFormat="1" applyFont="1" applyFill="1" applyBorder="1" applyAlignment="1">
      <alignment horizontal="center" vertical="center" wrapText="1"/>
    </xf>
    <xf numFmtId="0" fontId="12" fillId="0" borderId="3" xfId="177" applyFont="1" applyFill="1" applyBorder="1" applyAlignment="1">
      <alignment horizontal="center" vertical="center"/>
    </xf>
    <xf numFmtId="0" fontId="13" fillId="0" borderId="3" xfId="177" applyFont="1" applyFill="1" applyBorder="1" applyAlignment="1">
      <alignment horizontal="center" vertical="center"/>
    </xf>
    <xf numFmtId="0" fontId="53" fillId="0" borderId="3" xfId="177" applyFont="1" applyFill="1" applyBorder="1" applyAlignment="1">
      <alignment horizontal="center" vertical="center"/>
    </xf>
    <xf numFmtId="177" fontId="13" fillId="0" borderId="3" xfId="177" applyNumberFormat="1" applyFont="1" applyFill="1" applyBorder="1" applyAlignment="1">
      <alignment horizontal="center" vertical="center" wrapText="1"/>
    </xf>
    <xf numFmtId="177" fontId="60" fillId="0" borderId="3" xfId="177" applyNumberFormat="1" applyFont="1" applyFill="1" applyBorder="1" applyAlignment="1">
      <alignment horizontal="center" vertical="center" wrapText="1"/>
    </xf>
    <xf numFmtId="177" fontId="13" fillId="0" borderId="3" xfId="177" applyNumberFormat="1" applyFont="1" applyFill="1" applyBorder="1" applyAlignment="1">
      <alignment horizontal="center" vertical="center"/>
    </xf>
    <xf numFmtId="177" fontId="13" fillId="0" borderId="3" xfId="177" applyNumberFormat="1" applyFont="1" applyFill="1" applyBorder="1" applyAlignment="1">
      <alignment horizontal="right" vertical="center"/>
    </xf>
    <xf numFmtId="49" fontId="12" fillId="0" borderId="3" xfId="177" applyNumberFormat="1" applyFont="1" applyFill="1" applyBorder="1" applyAlignment="1">
      <alignment horizontal="center" vertical="center"/>
    </xf>
    <xf numFmtId="0" fontId="61" fillId="0" borderId="3" xfId="177" applyFont="1" applyFill="1" applyBorder="1" applyAlignment="1">
      <alignment horizontal="center" vertical="center" wrapText="1"/>
    </xf>
    <xf numFmtId="177" fontId="61" fillId="0" borderId="3" xfId="177" applyNumberFormat="1" applyFont="1" applyFill="1" applyBorder="1" applyAlignment="1">
      <alignment horizontal="center" vertical="center" wrapText="1"/>
    </xf>
    <xf numFmtId="0" fontId="13" fillId="0" borderId="3" xfId="1" applyFont="1" applyFill="1" applyBorder="1" applyAlignment="1">
      <alignment horizontal="center" vertical="center"/>
    </xf>
    <xf numFmtId="0" fontId="12" fillId="0" borderId="3" xfId="1" applyFont="1" applyFill="1" applyBorder="1" applyAlignment="1">
      <alignment horizontal="center" vertical="center"/>
    </xf>
    <xf numFmtId="179" fontId="12" fillId="0" borderId="17" xfId="178" applyNumberFormat="1" applyFont="1" applyFill="1" applyBorder="1" applyAlignment="1">
      <alignment horizontal="center" vertical="center" wrapText="1"/>
    </xf>
    <xf numFmtId="179" fontId="12" fillId="0" borderId="3" xfId="178" applyNumberFormat="1" applyFont="1" applyFill="1" applyBorder="1" applyAlignment="1">
      <alignment horizontal="center" vertical="center" wrapText="1"/>
    </xf>
    <xf numFmtId="179" fontId="12" fillId="0" borderId="3" xfId="177" applyNumberFormat="1" applyFont="1" applyFill="1" applyBorder="1" applyAlignment="1">
      <alignment horizontal="center" vertical="center" wrapText="1"/>
    </xf>
    <xf numFmtId="0" fontId="12" fillId="0" borderId="3" xfId="177" applyFont="1" applyFill="1" applyBorder="1" applyAlignment="1">
      <alignment vertical="center"/>
    </xf>
    <xf numFmtId="177" fontId="13" fillId="0" borderId="3" xfId="179" applyNumberFormat="1" applyFont="1" applyFill="1" applyBorder="1" applyAlignment="1">
      <alignment horizontal="center" vertical="center" wrapText="1"/>
    </xf>
    <xf numFmtId="177" fontId="61" fillId="0" borderId="3" xfId="179" applyNumberFormat="1" applyFont="1" applyFill="1" applyBorder="1" applyAlignment="1">
      <alignment horizontal="center" vertical="center"/>
    </xf>
    <xf numFmtId="0" fontId="12" fillId="0" borderId="3" xfId="1" applyFont="1" applyFill="1" applyBorder="1" applyAlignment="1">
      <alignment horizontal="left" vertical="center"/>
    </xf>
    <xf numFmtId="182" fontId="12" fillId="0" borderId="0" xfId="177" applyNumberFormat="1" applyFont="1" applyFill="1" applyAlignment="1">
      <alignment horizontal="center" vertical="center"/>
    </xf>
    <xf numFmtId="182" fontId="12" fillId="0" borderId="0" xfId="177" applyNumberFormat="1" applyFont="1" applyFill="1" applyAlignment="1">
      <alignment vertical="center"/>
    </xf>
    <xf numFmtId="177" fontId="12" fillId="0" borderId="0" xfId="177" applyNumberFormat="1" applyFont="1" applyFill="1" applyAlignment="1">
      <alignment vertical="center"/>
    </xf>
    <xf numFmtId="49" fontId="12" fillId="0" borderId="3" xfId="1" applyNumberFormat="1" applyFont="1" applyFill="1" applyBorder="1" applyAlignment="1">
      <alignment horizontal="center" vertical="center" wrapText="1"/>
    </xf>
    <xf numFmtId="200" fontId="12" fillId="0" borderId="3" xfId="178" applyNumberFormat="1" applyFont="1" applyFill="1" applyBorder="1" applyAlignment="1">
      <alignment horizontal="center" vertical="center" wrapText="1"/>
    </xf>
    <xf numFmtId="0" fontId="12" fillId="0" borderId="0" xfId="179" applyFont="1" applyFill="1" applyAlignment="1">
      <alignment vertical="center"/>
    </xf>
    <xf numFmtId="177" fontId="12" fillId="0" borderId="3" xfId="178" applyNumberFormat="1" applyFont="1" applyFill="1" applyBorder="1" applyAlignment="1">
      <alignment horizontal="center" vertical="center" wrapText="1"/>
    </xf>
    <xf numFmtId="179" fontId="12" fillId="0" borderId="0" xfId="179" applyNumberFormat="1" applyFont="1" applyFill="1" applyBorder="1" applyAlignment="1">
      <alignment vertical="center"/>
    </xf>
    <xf numFmtId="179" fontId="62" fillId="0" borderId="3" xfId="178" applyNumberFormat="1" applyFont="1" applyFill="1" applyBorder="1" applyAlignment="1">
      <alignment horizontal="center" vertical="center" wrapText="1"/>
    </xf>
    <xf numFmtId="179" fontId="12" fillId="0" borderId="3" xfId="179" applyNumberFormat="1" applyFont="1" applyFill="1" applyBorder="1" applyAlignment="1">
      <alignment vertical="center"/>
    </xf>
    <xf numFmtId="179" fontId="62" fillId="0" borderId="3" xfId="1" applyNumberFormat="1" applyFont="1" applyFill="1" applyBorder="1" applyAlignment="1">
      <alignment horizontal="center" vertical="center" wrapText="1"/>
    </xf>
    <xf numFmtId="201" fontId="12" fillId="0" borderId="3" xfId="178" applyNumberFormat="1" applyFont="1" applyFill="1" applyBorder="1" applyAlignment="1">
      <alignment horizontal="center" vertical="center" wrapText="1"/>
    </xf>
    <xf numFmtId="182" fontId="12" fillId="0" borderId="3" xfId="1" applyNumberFormat="1" applyFont="1" applyFill="1" applyBorder="1" applyAlignment="1">
      <alignment horizontal="center" vertical="center"/>
    </xf>
    <xf numFmtId="179" fontId="61" fillId="0" borderId="3" xfId="178" applyNumberFormat="1" applyFont="1" applyFill="1" applyBorder="1" applyAlignment="1">
      <alignment horizontal="center" vertical="center" wrapText="1"/>
    </xf>
    <xf numFmtId="179" fontId="12" fillId="0" borderId="3" xfId="1" applyNumberFormat="1" applyFont="1" applyFill="1" applyBorder="1" applyAlignment="1">
      <alignment horizontal="center" vertical="center"/>
    </xf>
    <xf numFmtId="179" fontId="12" fillId="0" borderId="3" xfId="1" applyNumberFormat="1" applyFont="1" applyFill="1" applyBorder="1" applyAlignment="1">
      <alignment horizontal="center" vertical="center" wrapText="1"/>
    </xf>
    <xf numFmtId="0" fontId="63" fillId="0" borderId="0" xfId="179" applyFont="1" applyFill="1" applyAlignment="1">
      <alignment vertical="center"/>
    </xf>
    <xf numFmtId="179" fontId="62" fillId="0" borderId="3" xfId="1" applyNumberFormat="1" applyFont="1" applyFill="1" applyBorder="1" applyAlignment="1">
      <alignment horizontal="center" vertical="center"/>
    </xf>
    <xf numFmtId="179" fontId="12" fillId="0" borderId="0" xfId="179" applyNumberFormat="1" applyFont="1" applyFill="1" applyAlignment="1">
      <alignment vertical="center"/>
    </xf>
    <xf numFmtId="0" fontId="12" fillId="0" borderId="3" xfId="177" applyNumberFormat="1" applyFont="1" applyFill="1" applyBorder="1" applyAlignment="1" applyProtection="1">
      <alignment horizontal="center" vertical="center"/>
    </xf>
    <xf numFmtId="0" fontId="12" fillId="0" borderId="3" xfId="180" applyFont="1" applyFill="1" applyBorder="1" applyAlignment="1">
      <alignment horizontal="left" vertical="center"/>
    </xf>
    <xf numFmtId="177" fontId="53" fillId="0" borderId="3" xfId="177" applyNumberFormat="1" applyFont="1" applyFill="1" applyBorder="1" applyAlignment="1">
      <alignment horizontal="center" vertical="center" wrapText="1"/>
    </xf>
    <xf numFmtId="180" fontId="53" fillId="0" borderId="3" xfId="177" applyNumberFormat="1" applyFont="1" applyFill="1" applyBorder="1" applyAlignment="1">
      <alignment horizontal="center" vertical="center"/>
    </xf>
    <xf numFmtId="0" fontId="53" fillId="0" borderId="0" xfId="177" applyFont="1" applyFill="1" applyAlignment="1">
      <alignment vertical="center"/>
    </xf>
    <xf numFmtId="179" fontId="53" fillId="0" borderId="0" xfId="177" applyNumberFormat="1" applyFont="1" applyFill="1" applyAlignment="1">
      <alignment vertical="center"/>
    </xf>
    <xf numFmtId="0" fontId="53" fillId="0" borderId="3" xfId="177" applyFont="1" applyFill="1" applyBorder="1" applyAlignment="1">
      <alignment vertical="center"/>
    </xf>
    <xf numFmtId="202" fontId="13" fillId="0" borderId="3" xfId="177" applyNumberFormat="1" applyFont="1" applyFill="1" applyBorder="1" applyAlignment="1">
      <alignment horizontal="right" vertical="center"/>
    </xf>
    <xf numFmtId="0" fontId="12" fillId="0" borderId="3" xfId="1" applyFont="1" applyFill="1" applyBorder="1" applyAlignment="1">
      <alignment vertical="center" wrapText="1"/>
    </xf>
    <xf numFmtId="177" fontId="64" fillId="0" borderId="3" xfId="177" applyNumberFormat="1" applyFont="1" applyFill="1" applyBorder="1" applyAlignment="1">
      <alignment horizontal="right" vertical="center"/>
    </xf>
    <xf numFmtId="0" fontId="61" fillId="0" borderId="0" xfId="177" applyFont="1" applyFill="1" applyAlignment="1">
      <alignment vertical="center"/>
    </xf>
    <xf numFmtId="0" fontId="53" fillId="0" borderId="3" xfId="177" applyFont="1" applyFill="1" applyBorder="1" applyAlignment="1">
      <alignment horizontal="center" vertical="center" wrapText="1"/>
    </xf>
    <xf numFmtId="192" fontId="13" fillId="0" borderId="3" xfId="177" applyNumberFormat="1" applyFont="1" applyFill="1" applyBorder="1" applyAlignment="1">
      <alignment horizontal="right" vertical="center"/>
    </xf>
    <xf numFmtId="9" fontId="12" fillId="0" borderId="3" xfId="75" applyFont="1" applyFill="1" applyBorder="1" applyAlignment="1">
      <alignment horizontal="center" vertical="center" wrapText="1"/>
    </xf>
    <xf numFmtId="178" fontId="12" fillId="0" borderId="3" xfId="178" applyNumberFormat="1" applyFont="1" applyFill="1" applyBorder="1" applyAlignment="1">
      <alignment horizontal="center" vertical="center" wrapText="1"/>
    </xf>
    <xf numFmtId="0" fontId="4" fillId="0" borderId="0" xfId="177" applyFont="1" applyFill="1" applyAlignment="1">
      <alignment horizontal="center" vertical="center"/>
    </xf>
    <xf numFmtId="202" fontId="4" fillId="0" borderId="0" xfId="177" applyNumberFormat="1" applyFont="1" applyFill="1" applyAlignment="1">
      <alignment horizontal="right" vertical="center"/>
    </xf>
    <xf numFmtId="202" fontId="3" fillId="0" borderId="0" xfId="177" applyNumberFormat="1" applyFont="1" applyFill="1" applyAlignment="1">
      <alignment horizontal="right" vertical="center"/>
    </xf>
    <xf numFmtId="202" fontId="4" fillId="32" borderId="0" xfId="177" applyNumberFormat="1" applyFont="1" applyFill="1" applyAlignment="1">
      <alignment horizontal="right" vertical="center"/>
    </xf>
    <xf numFmtId="179" fontId="12" fillId="0" borderId="0" xfId="177" applyNumberFormat="1" applyFont="1" applyFill="1" applyBorder="1" applyAlignment="1">
      <alignment horizontal="center" vertical="center"/>
    </xf>
    <xf numFmtId="202" fontId="65" fillId="0" borderId="0" xfId="177" applyNumberFormat="1" applyFont="1" applyFill="1" applyAlignment="1">
      <alignment horizontal="right" vertical="center"/>
    </xf>
    <xf numFmtId="0" fontId="55" fillId="0" borderId="0" xfId="177" applyFont="1" applyFill="1" applyBorder="1" applyAlignment="1">
      <alignment horizontal="center" vertical="center"/>
    </xf>
    <xf numFmtId="0" fontId="66" fillId="0" borderId="0" xfId="177" applyFont="1" applyFill="1" applyBorder="1" applyAlignment="1">
      <alignment horizontal="center" vertical="center"/>
    </xf>
    <xf numFmtId="0" fontId="66" fillId="0" borderId="0" xfId="177" applyFont="1" applyFill="1" applyBorder="1" applyAlignment="1">
      <alignment vertical="center"/>
    </xf>
    <xf numFmtId="177" fontId="66" fillId="0" borderId="0" xfId="177" applyNumberFormat="1" applyFont="1" applyFill="1" applyBorder="1" applyAlignment="1">
      <alignment horizontal="center" vertical="center"/>
    </xf>
    <xf numFmtId="202" fontId="66" fillId="0" borderId="0" xfId="177" applyNumberFormat="1" applyFont="1" applyFill="1" applyBorder="1" applyAlignment="1">
      <alignment horizontal="right" vertical="center"/>
    </xf>
    <xf numFmtId="202" fontId="55" fillId="0" borderId="0" xfId="177" applyNumberFormat="1" applyFont="1" applyFill="1" applyBorder="1" applyAlignment="1">
      <alignment horizontal="right" vertical="center"/>
    </xf>
    <xf numFmtId="202" fontId="67" fillId="0" borderId="0" xfId="177" applyNumberFormat="1" applyFont="1" applyFill="1" applyBorder="1" applyAlignment="1">
      <alignment horizontal="right" vertical="center"/>
    </xf>
    <xf numFmtId="180" fontId="68" fillId="0" borderId="0" xfId="177" applyNumberFormat="1" applyFont="1" applyFill="1" applyBorder="1" applyAlignment="1">
      <alignment horizontal="right" vertical="center"/>
    </xf>
    <xf numFmtId="0" fontId="67" fillId="0" borderId="0" xfId="177" applyNumberFormat="1" applyFont="1" applyFill="1" applyBorder="1" applyAlignment="1">
      <alignment horizontal="right" vertical="center"/>
    </xf>
    <xf numFmtId="202" fontId="55" fillId="32" borderId="0" xfId="177" applyNumberFormat="1" applyFont="1" applyFill="1" applyBorder="1" applyAlignment="1">
      <alignment horizontal="right" vertical="center"/>
    </xf>
    <xf numFmtId="202" fontId="3" fillId="0" borderId="0" xfId="177" applyNumberFormat="1" applyFont="1" applyFill="1" applyBorder="1" applyAlignment="1">
      <alignment horizontal="right" vertical="center"/>
    </xf>
    <xf numFmtId="202" fontId="4" fillId="32" borderId="0" xfId="177" applyNumberFormat="1" applyFont="1" applyFill="1" applyBorder="1" applyAlignment="1">
      <alignment horizontal="right" vertical="center"/>
    </xf>
    <xf numFmtId="202" fontId="4" fillId="0" borderId="0" xfId="177" applyNumberFormat="1" applyFont="1" applyFill="1" applyBorder="1" applyAlignment="1">
      <alignment horizontal="right" vertical="center"/>
    </xf>
    <xf numFmtId="0" fontId="4" fillId="0" borderId="0" xfId="177" applyFont="1" applyFill="1" applyBorder="1" applyAlignment="1">
      <alignment vertical="center"/>
    </xf>
    <xf numFmtId="203" fontId="4" fillId="0" borderId="0" xfId="177" applyNumberFormat="1" applyFont="1" applyFill="1" applyBorder="1" applyAlignment="1">
      <alignment horizontal="right" vertical="center"/>
    </xf>
    <xf numFmtId="0" fontId="66" fillId="0" borderId="0" xfId="181" applyFont="1" applyFill="1" applyBorder="1" applyAlignment="1">
      <alignment horizontal="center" vertical="center" wrapText="1"/>
    </xf>
    <xf numFmtId="178" fontId="66" fillId="0" borderId="0" xfId="181" applyNumberFormat="1" applyFont="1" applyFill="1" applyBorder="1" applyAlignment="1">
      <alignment horizontal="center" vertical="center" wrapText="1"/>
    </xf>
    <xf numFmtId="202" fontId="66" fillId="0" borderId="0" xfId="181" applyNumberFormat="1" applyFont="1" applyFill="1" applyBorder="1" applyAlignment="1">
      <alignment horizontal="right" vertical="center" wrapText="1"/>
    </xf>
    <xf numFmtId="180" fontId="55" fillId="0" borderId="0" xfId="177" applyNumberFormat="1" applyFont="1" applyFill="1" applyBorder="1" applyAlignment="1">
      <alignment horizontal="right" vertical="center"/>
    </xf>
    <xf numFmtId="180" fontId="67" fillId="0" borderId="0" xfId="177" applyNumberFormat="1" applyFont="1" applyFill="1" applyBorder="1" applyAlignment="1">
      <alignment horizontal="right" vertical="center"/>
    </xf>
    <xf numFmtId="0" fontId="67" fillId="0" borderId="0" xfId="177" applyNumberFormat="1" applyFont="1" applyFill="1" applyBorder="1" applyAlignment="1">
      <alignment horizontal="center" vertical="center"/>
    </xf>
    <xf numFmtId="177" fontId="12" fillId="0" borderId="0" xfId="177" applyNumberFormat="1" applyFont="1" applyFill="1" applyBorder="1" applyAlignment="1">
      <alignment horizontal="center" vertical="center"/>
    </xf>
    <xf numFmtId="0" fontId="66" fillId="0" borderId="0" xfId="177" applyFont="1" applyFill="1" applyBorder="1" applyAlignment="1">
      <alignment horizontal="justify" vertical="center" wrapText="1"/>
    </xf>
    <xf numFmtId="180" fontId="54" fillId="0" borderId="0" xfId="177" applyNumberFormat="1" applyFont="1" applyFill="1" applyBorder="1" applyAlignment="1">
      <alignment horizontal="center" vertical="center" wrapText="1"/>
    </xf>
    <xf numFmtId="204" fontId="54" fillId="0" borderId="0" xfId="177" applyNumberFormat="1" applyFont="1" applyFill="1" applyBorder="1" applyAlignment="1">
      <alignment horizontal="center" vertical="center" wrapText="1"/>
    </xf>
    <xf numFmtId="203" fontId="68" fillId="0" borderId="0" xfId="177" applyNumberFormat="1" applyFont="1" applyFill="1" applyBorder="1" applyAlignment="1">
      <alignment horizontal="right" vertical="center"/>
    </xf>
    <xf numFmtId="177" fontId="67" fillId="0" borderId="0" xfId="177" applyNumberFormat="1" applyFont="1" applyFill="1" applyBorder="1" applyAlignment="1">
      <alignment horizontal="right" vertical="center"/>
    </xf>
    <xf numFmtId="202" fontId="4" fillId="0" borderId="0" xfId="177" applyNumberFormat="1" applyFont="1" applyFill="1" applyBorder="1" applyAlignment="1">
      <alignment horizontal="center" vertical="center"/>
    </xf>
    <xf numFmtId="178" fontId="69" fillId="0" borderId="0" xfId="177" applyNumberFormat="1" applyFont="1" applyFill="1" applyBorder="1" applyAlignment="1">
      <alignment vertical="center"/>
    </xf>
    <xf numFmtId="0" fontId="56" fillId="0" borderId="0" xfId="177" applyNumberFormat="1" applyFont="1" applyFill="1" applyBorder="1" applyAlignment="1">
      <alignment horizontal="right" vertical="center"/>
    </xf>
    <xf numFmtId="0" fontId="55" fillId="0" borderId="0" xfId="177" applyNumberFormat="1" applyFont="1" applyFill="1" applyBorder="1" applyAlignment="1">
      <alignment horizontal="right" vertical="center"/>
    </xf>
    <xf numFmtId="0" fontId="55" fillId="32" borderId="0" xfId="177" applyNumberFormat="1" applyFont="1" applyFill="1" applyBorder="1" applyAlignment="1">
      <alignment horizontal="right" vertical="center"/>
    </xf>
    <xf numFmtId="202" fontId="68" fillId="0" borderId="0" xfId="177" applyNumberFormat="1" applyFont="1" applyFill="1" applyBorder="1" applyAlignment="1">
      <alignment horizontal="right" vertical="center"/>
    </xf>
    <xf numFmtId="182" fontId="4" fillId="0" borderId="0" xfId="177" applyNumberFormat="1" applyFont="1" applyFill="1" applyBorder="1" applyAlignment="1">
      <alignment vertical="center"/>
    </xf>
    <xf numFmtId="182" fontId="4" fillId="0" borderId="0" xfId="177" applyNumberFormat="1" applyFont="1" applyFill="1" applyBorder="1" applyAlignment="1">
      <alignment horizontal="right" vertical="center"/>
    </xf>
    <xf numFmtId="179" fontId="12" fillId="0" borderId="0" xfId="178" applyNumberFormat="1" applyFont="1" applyFill="1" applyBorder="1" applyAlignment="1">
      <alignment horizontal="center" vertical="center" wrapText="1"/>
    </xf>
    <xf numFmtId="10" fontId="4" fillId="0" borderId="0" xfId="177" applyNumberFormat="1" applyFont="1" applyFill="1" applyBorder="1" applyAlignment="1">
      <alignment vertical="center"/>
    </xf>
    <xf numFmtId="179" fontId="4" fillId="0" borderId="0" xfId="177" applyNumberFormat="1" applyFont="1" applyFill="1" applyBorder="1" applyAlignment="1">
      <alignment vertical="center"/>
    </xf>
    <xf numFmtId="202" fontId="56" fillId="0" borderId="0" xfId="177" applyNumberFormat="1" applyFont="1" applyFill="1" applyBorder="1" applyAlignment="1">
      <alignment horizontal="right" vertical="center"/>
    </xf>
    <xf numFmtId="202" fontId="70" fillId="0" borderId="0" xfId="177" applyNumberFormat="1" applyFont="1" applyFill="1" applyBorder="1" applyAlignment="1">
      <alignment horizontal="right" vertical="center"/>
    </xf>
    <xf numFmtId="202" fontId="0" fillId="0" borderId="0" xfId="177" applyNumberFormat="1" applyFont="1" applyFill="1" applyBorder="1" applyAlignment="1">
      <alignment horizontal="right" vertical="center"/>
    </xf>
    <xf numFmtId="180" fontId="4" fillId="0" borderId="0" xfId="177" applyNumberFormat="1" applyFont="1" applyFill="1" applyBorder="1" applyAlignment="1">
      <alignment horizontal="center" vertical="center"/>
    </xf>
    <xf numFmtId="0" fontId="4" fillId="0" borderId="0" xfId="177" applyFont="1" applyFill="1" applyBorder="1" applyAlignment="1">
      <alignment horizontal="center" vertical="center"/>
    </xf>
    <xf numFmtId="0" fontId="54" fillId="0" borderId="0" xfId="181" applyFont="1" applyFill="1" applyBorder="1" applyAlignment="1">
      <alignment horizontal="center" vertical="center" wrapText="1"/>
    </xf>
    <xf numFmtId="0" fontId="66" fillId="0" borderId="0" xfId="177" applyFont="1" applyFill="1" applyBorder="1" applyAlignment="1">
      <alignment horizontal="center" vertical="center" wrapText="1"/>
    </xf>
    <xf numFmtId="204" fontId="54" fillId="0" borderId="0" xfId="75" applyNumberFormat="1" applyFont="1" applyFill="1" applyBorder="1" applyAlignment="1">
      <alignment horizontal="right" vertical="center" wrapText="1"/>
    </xf>
    <xf numFmtId="0" fontId="66" fillId="0" borderId="0" xfId="177" applyFont="1" applyFill="1" applyAlignment="1">
      <alignment horizontal="center" vertical="center"/>
    </xf>
    <xf numFmtId="0" fontId="66" fillId="0" borderId="0" xfId="177" applyFont="1" applyFill="1" applyAlignment="1">
      <alignment vertical="center"/>
    </xf>
    <xf numFmtId="177" fontId="66" fillId="0" borderId="0" xfId="177" applyNumberFormat="1" applyFont="1" applyFill="1" applyAlignment="1">
      <alignment horizontal="center" vertical="center"/>
    </xf>
    <xf numFmtId="202" fontId="66" fillId="0" borderId="0" xfId="177" applyNumberFormat="1" applyFont="1" applyFill="1" applyAlignment="1">
      <alignment horizontal="right" vertical="center"/>
    </xf>
    <xf numFmtId="0" fontId="101" fillId="29" borderId="17" xfId="100" applyFont="1" applyFill="1" applyBorder="1" applyAlignment="1">
      <alignment horizontal="center" vertical="center" wrapText="1"/>
    </xf>
    <xf numFmtId="0" fontId="101" fillId="29" borderId="3" xfId="100" applyFont="1" applyFill="1" applyBorder="1" applyAlignment="1">
      <alignment horizontal="center" vertical="center" wrapText="1"/>
    </xf>
    <xf numFmtId="0" fontId="102" fillId="29" borderId="3" xfId="100" applyFont="1" applyFill="1" applyBorder="1" applyAlignment="1">
      <alignment horizontal="left" vertical="center" wrapText="1"/>
    </xf>
    <xf numFmtId="0" fontId="102" fillId="29" borderId="3" xfId="100" applyFont="1" applyFill="1" applyBorder="1" applyAlignment="1">
      <alignment horizontal="center" vertical="center" wrapText="1"/>
    </xf>
    <xf numFmtId="2" fontId="102" fillId="29" borderId="3" xfId="464" applyNumberFormat="1" applyFont="1" applyFill="1" applyBorder="1" applyAlignment="1">
      <alignment horizontal="center" vertical="center" wrapText="1"/>
    </xf>
    <xf numFmtId="180" fontId="102" fillId="29" borderId="3" xfId="464" applyNumberFormat="1" applyFont="1" applyFill="1" applyBorder="1" applyAlignment="1">
      <alignment horizontal="center" vertical="center" wrapText="1"/>
    </xf>
    <xf numFmtId="196" fontId="4" fillId="29" borderId="3" xfId="77" applyNumberFormat="1" applyFont="1" applyFill="1" applyBorder="1" applyAlignment="1">
      <alignment horizontal="center" vertical="center" wrapText="1"/>
    </xf>
    <xf numFmtId="177" fontId="102" fillId="29" borderId="3" xfId="466" applyNumberFormat="1" applyFont="1" applyFill="1" applyBorder="1" applyAlignment="1">
      <alignment horizontal="center" vertical="center" wrapText="1"/>
    </xf>
    <xf numFmtId="49" fontId="102" fillId="29" borderId="3" xfId="100" applyNumberFormat="1" applyFont="1" applyFill="1" applyBorder="1" applyAlignment="1">
      <alignment horizontal="center" vertical="center" wrapText="1"/>
    </xf>
    <xf numFmtId="49" fontId="4" fillId="29" borderId="3" xfId="77" applyNumberFormat="1" applyFont="1" applyFill="1" applyBorder="1" applyAlignment="1">
      <alignment horizontal="center" vertical="center" wrapText="1"/>
    </xf>
    <xf numFmtId="0" fontId="4" fillId="29" borderId="3" xfId="77" applyNumberFormat="1" applyFont="1" applyFill="1" applyBorder="1" applyAlignment="1">
      <alignment horizontal="center" vertical="center" wrapText="1"/>
    </xf>
    <xf numFmtId="1" fontId="4" fillId="29" borderId="3" xfId="77" applyNumberFormat="1" applyFont="1" applyFill="1" applyBorder="1" applyAlignment="1">
      <alignment horizontal="center" vertical="center" wrapText="1"/>
    </xf>
    <xf numFmtId="182" fontId="4" fillId="29" borderId="3" xfId="77" applyNumberFormat="1" applyFont="1" applyFill="1" applyBorder="1" applyAlignment="1">
      <alignment horizontal="center" vertical="center" wrapText="1"/>
    </xf>
    <xf numFmtId="49" fontId="4" fillId="29" borderId="3" xfId="176" applyNumberFormat="1" applyFont="1" applyFill="1" applyBorder="1" applyAlignment="1">
      <alignment horizontal="center" vertical="center" wrapText="1"/>
    </xf>
    <xf numFmtId="0" fontId="4" fillId="29" borderId="3" xfId="77" applyFont="1" applyFill="1" applyBorder="1" applyAlignment="1">
      <alignment horizontal="left" vertical="center" wrapText="1"/>
    </xf>
    <xf numFmtId="0" fontId="4" fillId="29" borderId="3" xfId="432" applyFont="1" applyFill="1" applyBorder="1" applyAlignment="1">
      <alignment horizontal="left" vertical="center"/>
    </xf>
    <xf numFmtId="177" fontId="102" fillId="29" borderId="3" xfId="464" applyNumberFormat="1" applyFont="1" applyFill="1" applyBorder="1" applyAlignment="1">
      <alignment horizontal="center" vertical="center" wrapText="1"/>
    </xf>
    <xf numFmtId="215" fontId="4" fillId="29" borderId="3" xfId="77" applyNumberFormat="1" applyFont="1" applyFill="1" applyBorder="1" applyAlignment="1">
      <alignment horizontal="center" vertical="center" wrapText="1"/>
    </xf>
    <xf numFmtId="185" fontId="102" fillId="29" borderId="3" xfId="466" applyNumberFormat="1" applyFont="1" applyFill="1" applyBorder="1" applyAlignment="1">
      <alignment horizontal="center" vertical="center" wrapText="1"/>
    </xf>
    <xf numFmtId="180" fontId="101" fillId="29" borderId="3" xfId="464" applyNumberFormat="1" applyFont="1" applyFill="1" applyBorder="1" applyAlignment="1">
      <alignment horizontal="center" vertical="center" wrapText="1"/>
    </xf>
    <xf numFmtId="0" fontId="4" fillId="29" borderId="3" xfId="176" applyFont="1" applyFill="1" applyBorder="1" applyAlignment="1">
      <alignment horizontal="center" vertical="center" wrapText="1"/>
    </xf>
    <xf numFmtId="0" fontId="4" fillId="29" borderId="0" xfId="176" applyFont="1" applyFill="1" applyBorder="1" applyAlignment="1">
      <alignment wrapText="1"/>
    </xf>
    <xf numFmtId="0" fontId="4" fillId="29" borderId="0" xfId="176" applyFont="1" applyFill="1" applyAlignment="1">
      <alignment wrapText="1"/>
    </xf>
    <xf numFmtId="0" fontId="69" fillId="29" borderId="0" xfId="176" applyFont="1" applyFill="1" applyBorder="1" applyAlignment="1">
      <alignment wrapText="1"/>
    </xf>
    <xf numFmtId="0" fontId="69" fillId="29" borderId="0" xfId="176" applyFont="1" applyFill="1" applyAlignment="1">
      <alignment wrapText="1"/>
    </xf>
    <xf numFmtId="0" fontId="4" fillId="0" borderId="3" xfId="176" applyFont="1" applyFill="1" applyBorder="1" applyAlignment="1">
      <alignment horizontal="center" vertical="center" wrapText="1"/>
    </xf>
    <xf numFmtId="0" fontId="3" fillId="0" borderId="3" xfId="176" applyFont="1" applyFill="1" applyBorder="1" applyAlignment="1">
      <alignment horizontal="center" vertical="center" wrapText="1"/>
    </xf>
    <xf numFmtId="0" fontId="102" fillId="0" borderId="3" xfId="100" applyFont="1" applyFill="1" applyBorder="1" applyAlignment="1">
      <alignment horizontal="center" vertical="center" wrapText="1"/>
    </xf>
    <xf numFmtId="49" fontId="102" fillId="0" borderId="3" xfId="100" applyNumberFormat="1" applyFont="1" applyFill="1" applyBorder="1" applyAlignment="1">
      <alignment horizontal="center" vertical="center" wrapText="1"/>
    </xf>
    <xf numFmtId="0" fontId="4" fillId="25" borderId="3" xfId="415" applyFont="1" applyFill="1" applyBorder="1" applyAlignment="1">
      <alignment vertical="center" shrinkToFit="1"/>
    </xf>
    <xf numFmtId="182" fontId="4" fillId="25" borderId="3" xfId="276" applyNumberFormat="1" applyFont="1" applyFill="1" applyBorder="1" applyAlignment="1">
      <alignment vertical="center"/>
    </xf>
    <xf numFmtId="2" fontId="102" fillId="0" borderId="3" xfId="464" applyNumberFormat="1" applyFont="1" applyFill="1" applyBorder="1" applyAlignment="1">
      <alignment horizontal="center" vertical="center" wrapText="1"/>
    </xf>
    <xf numFmtId="1" fontId="4" fillId="25" borderId="3" xfId="276" applyNumberFormat="1" applyFont="1" applyFill="1" applyBorder="1" applyAlignment="1">
      <alignment horizontal="center" vertical="center" wrapText="1"/>
    </xf>
    <xf numFmtId="180" fontId="102" fillId="0" borderId="3" xfId="464" applyNumberFormat="1" applyFont="1" applyFill="1" applyBorder="1" applyAlignment="1">
      <alignment horizontal="center" vertical="center" wrapText="1"/>
    </xf>
    <xf numFmtId="185" fontId="102" fillId="0" borderId="3" xfId="466" applyNumberFormat="1" applyFont="1" applyFill="1" applyBorder="1" applyAlignment="1">
      <alignment horizontal="center" vertical="center" wrapText="1"/>
    </xf>
    <xf numFmtId="177" fontId="102" fillId="0" borderId="3" xfId="466" applyNumberFormat="1" applyFont="1" applyFill="1" applyBorder="1" applyAlignment="1">
      <alignment horizontal="center" vertical="center" wrapText="1"/>
    </xf>
    <xf numFmtId="0" fontId="4" fillId="25" borderId="14" xfId="415" applyFont="1" applyFill="1" applyBorder="1" applyAlignment="1">
      <alignment vertical="center"/>
    </xf>
    <xf numFmtId="0" fontId="4" fillId="25" borderId="3" xfId="465" applyFont="1" applyFill="1" applyBorder="1" applyAlignment="1">
      <alignment horizontal="center" vertical="center" wrapText="1"/>
    </xf>
    <xf numFmtId="0" fontId="4" fillId="25" borderId="14" xfId="415" applyFont="1" applyFill="1" applyBorder="1" applyAlignment="1">
      <alignment horizontal="center" vertical="center"/>
    </xf>
    <xf numFmtId="215" fontId="4" fillId="25" borderId="3" xfId="432" applyNumberFormat="1" applyFont="1" applyFill="1" applyBorder="1" applyAlignment="1">
      <alignment horizontal="center" vertical="center"/>
    </xf>
    <xf numFmtId="0" fontId="4" fillId="25" borderId="3" xfId="415" applyFont="1" applyFill="1" applyBorder="1" applyAlignment="1">
      <alignment vertical="center"/>
    </xf>
    <xf numFmtId="0" fontId="4" fillId="25" borderId="3" xfId="463" applyFont="1" applyFill="1" applyBorder="1" applyAlignment="1">
      <alignment vertical="center" wrapText="1"/>
    </xf>
    <xf numFmtId="0" fontId="4" fillId="25" borderId="3" xfId="463" applyFont="1" applyFill="1" applyBorder="1" applyAlignment="1">
      <alignment horizontal="center" vertical="center" wrapText="1"/>
    </xf>
    <xf numFmtId="0" fontId="4" fillId="29" borderId="0" xfId="176" applyFont="1" applyFill="1" applyAlignment="1">
      <alignment horizontal="center" wrapText="1"/>
    </xf>
    <xf numFmtId="0" fontId="4" fillId="25" borderId="3" xfId="415" applyFont="1" applyFill="1" applyBorder="1" applyAlignment="1">
      <alignment horizontal="left" vertical="center"/>
    </xf>
    <xf numFmtId="0" fontId="4" fillId="25" borderId="3" xfId="415" applyFont="1" applyFill="1" applyBorder="1" applyAlignment="1">
      <alignment horizontal="center" vertical="center"/>
    </xf>
    <xf numFmtId="215" fontId="4" fillId="25" borderId="3" xfId="415" applyNumberFormat="1" applyFont="1" applyFill="1" applyBorder="1" applyAlignment="1">
      <alignment horizontal="center" vertical="center"/>
    </xf>
    <xf numFmtId="0" fontId="101" fillId="0" borderId="17" xfId="100" applyFont="1" applyFill="1" applyBorder="1" applyAlignment="1">
      <alignment horizontal="center" vertical="center" wrapText="1"/>
    </xf>
    <xf numFmtId="0" fontId="102" fillId="0" borderId="3" xfId="100" applyFont="1" applyFill="1" applyBorder="1" applyAlignment="1">
      <alignment horizontal="left" vertical="center" wrapText="1"/>
    </xf>
    <xf numFmtId="0" fontId="3" fillId="25" borderId="3" xfId="415" applyFont="1" applyFill="1" applyBorder="1" applyAlignment="1">
      <alignment vertical="center"/>
    </xf>
    <xf numFmtId="215" fontId="4" fillId="25" borderId="0" xfId="463" applyNumberFormat="1" applyFont="1" applyFill="1" applyBorder="1" applyAlignment="1">
      <alignment horizontal="center" vertical="center" wrapText="1"/>
    </xf>
    <xf numFmtId="182" fontId="4" fillId="0" borderId="3" xfId="276" applyNumberFormat="1" applyFont="1" applyFill="1" applyBorder="1" applyAlignment="1">
      <alignment vertical="center"/>
    </xf>
    <xf numFmtId="0" fontId="4" fillId="25" borderId="3" xfId="415" applyFont="1" applyFill="1" applyBorder="1" applyAlignment="1">
      <alignment horizontal="left" vertical="center" wrapText="1"/>
    </xf>
    <xf numFmtId="182" fontId="4" fillId="25" borderId="3" xfId="276" applyNumberFormat="1" applyFont="1" applyFill="1" applyBorder="1" applyAlignment="1">
      <alignment horizontal="left" vertical="center"/>
    </xf>
    <xf numFmtId="177" fontId="102" fillId="0" borderId="3" xfId="464" applyNumberFormat="1" applyFont="1" applyFill="1" applyBorder="1" applyAlignment="1">
      <alignment horizontal="center" vertical="center" wrapText="1"/>
    </xf>
    <xf numFmtId="0" fontId="102" fillId="0" borderId="3" xfId="100" applyFont="1" applyFill="1" applyBorder="1" applyAlignment="1">
      <alignment vertical="center" wrapText="1"/>
    </xf>
    <xf numFmtId="177" fontId="102" fillId="0" borderId="3" xfId="466" applyNumberFormat="1" applyFont="1" applyFill="1" applyBorder="1" applyAlignment="1">
      <alignment horizontal="right" vertical="center" wrapText="1"/>
    </xf>
    <xf numFmtId="0" fontId="4" fillId="25" borderId="3" xfId="432" applyFont="1" applyFill="1" applyBorder="1" applyAlignment="1">
      <alignment horizontal="center" vertical="center"/>
    </xf>
    <xf numFmtId="0" fontId="4" fillId="25" borderId="3" xfId="415" applyFont="1" applyFill="1" applyBorder="1" applyAlignment="1"/>
    <xf numFmtId="196" fontId="4" fillId="0" borderId="3" xfId="77" applyNumberFormat="1" applyFont="1" applyFill="1" applyBorder="1" applyAlignment="1">
      <alignment horizontal="center" vertical="center" wrapText="1"/>
    </xf>
    <xf numFmtId="0" fontId="4" fillId="25" borderId="3" xfId="415" applyFont="1" applyFill="1" applyBorder="1" applyAlignment="1">
      <alignment horizontal="left" vertical="center" shrinkToFit="1"/>
    </xf>
    <xf numFmtId="0" fontId="4" fillId="25" borderId="3" xfId="432" applyFont="1" applyFill="1" applyBorder="1" applyAlignment="1">
      <alignment vertical="center" wrapText="1"/>
    </xf>
    <xf numFmtId="215" fontId="102" fillId="0" borderId="3" xfId="466" applyNumberFormat="1" applyFont="1" applyFill="1" applyBorder="1" applyAlignment="1">
      <alignment horizontal="center" vertical="center" wrapText="1"/>
    </xf>
    <xf numFmtId="215" fontId="102" fillId="0" borderId="3" xfId="464" applyNumberFormat="1" applyFont="1" applyFill="1" applyBorder="1" applyAlignment="1">
      <alignment horizontal="center" vertical="center" wrapText="1"/>
    </xf>
    <xf numFmtId="0" fontId="102" fillId="0" borderId="17" xfId="100" applyFont="1" applyFill="1" applyBorder="1" applyAlignment="1">
      <alignment horizontal="center" vertical="center" wrapText="1"/>
    </xf>
    <xf numFmtId="0" fontId="3" fillId="25" borderId="3" xfId="415" applyFont="1" applyFill="1" applyBorder="1" applyAlignment="1">
      <alignment horizontal="center" vertical="center"/>
    </xf>
    <xf numFmtId="0" fontId="101" fillId="0" borderId="3" xfId="100" applyFont="1" applyFill="1" applyBorder="1" applyAlignment="1">
      <alignment horizontal="left" vertical="center" wrapText="1"/>
    </xf>
    <xf numFmtId="0" fontId="101" fillId="0" borderId="3" xfId="100" applyFont="1" applyFill="1" applyBorder="1" applyAlignment="1">
      <alignment horizontal="center" vertical="center" wrapText="1"/>
    </xf>
    <xf numFmtId="2" fontId="101" fillId="0" borderId="3" xfId="464" applyNumberFormat="1" applyFont="1" applyFill="1" applyBorder="1" applyAlignment="1">
      <alignment horizontal="center" vertical="center" wrapText="1"/>
    </xf>
    <xf numFmtId="180" fontId="101" fillId="0" borderId="3" xfId="464" applyNumberFormat="1" applyFont="1" applyFill="1" applyBorder="1" applyAlignment="1">
      <alignment horizontal="center" vertical="center" wrapText="1"/>
    </xf>
    <xf numFmtId="0" fontId="60" fillId="0" borderId="3" xfId="415" applyFont="1" applyFill="1" applyBorder="1" applyAlignment="1">
      <alignment horizontal="center"/>
    </xf>
    <xf numFmtId="0" fontId="53" fillId="0" borderId="3" xfId="415" applyFont="1" applyFill="1" applyBorder="1" applyAlignment="1">
      <alignment horizontal="center"/>
    </xf>
    <xf numFmtId="0" fontId="60" fillId="0" borderId="3" xfId="415" applyFont="1" applyFill="1" applyBorder="1"/>
    <xf numFmtId="0" fontId="53" fillId="0" borderId="3" xfId="415" applyFont="1" applyFill="1" applyBorder="1" applyAlignment="1">
      <alignment horizontal="center" vertical="center"/>
    </xf>
    <xf numFmtId="177" fontId="60" fillId="0" borderId="3" xfId="415" applyNumberFormat="1" applyFont="1" applyFill="1" applyBorder="1" applyAlignment="1">
      <alignment horizontal="center"/>
    </xf>
    <xf numFmtId="49" fontId="13" fillId="0" borderId="3" xfId="415" applyNumberFormat="1" applyFont="1" applyBorder="1" applyAlignment="1" applyProtection="1">
      <alignment horizontal="center" vertical="center" wrapText="1" readingOrder="1"/>
      <protection locked="0"/>
    </xf>
    <xf numFmtId="0" fontId="12" fillId="0" borderId="3" xfId="415" applyFont="1" applyBorder="1" applyAlignment="1" applyProtection="1">
      <alignment vertical="center" wrapText="1" readingOrder="1"/>
      <protection locked="0"/>
    </xf>
    <xf numFmtId="0" fontId="12" fillId="0" borderId="3" xfId="415" applyFont="1" applyBorder="1" applyAlignment="1">
      <alignment horizontal="center" vertical="center"/>
    </xf>
    <xf numFmtId="0" fontId="12" fillId="0" borderId="3" xfId="415" applyFont="1" applyBorder="1" applyAlignment="1" applyProtection="1">
      <alignment horizontal="center" vertical="center" wrapText="1"/>
      <protection locked="0"/>
    </xf>
    <xf numFmtId="0" fontId="13" fillId="0" borderId="3" xfId="415" applyFont="1" applyBorder="1" applyAlignment="1" applyProtection="1">
      <alignment horizontal="center" vertical="center" wrapText="1"/>
      <protection locked="0"/>
    </xf>
    <xf numFmtId="0" fontId="13" fillId="0" borderId="3" xfId="415" applyNumberFormat="1" applyFont="1" applyBorder="1" applyAlignment="1" applyProtection="1">
      <alignment horizontal="center" vertical="center" wrapText="1"/>
      <protection locked="0"/>
    </xf>
    <xf numFmtId="0" fontId="13" fillId="0" borderId="3" xfId="415" applyFont="1" applyBorder="1" applyAlignment="1" applyProtection="1">
      <alignment vertical="center" wrapText="1" readingOrder="1"/>
      <protection locked="0"/>
    </xf>
    <xf numFmtId="0" fontId="12" fillId="0" borderId="3" xfId="415" applyFont="1" applyFill="1" applyBorder="1" applyAlignment="1">
      <alignment horizontal="center" vertical="center"/>
    </xf>
    <xf numFmtId="0" fontId="13" fillId="0" borderId="3" xfId="415" applyFont="1" applyFill="1" applyBorder="1" applyAlignment="1">
      <alignment horizontal="center"/>
    </xf>
    <xf numFmtId="0" fontId="60" fillId="0" borderId="3" xfId="415" applyFont="1" applyFill="1" applyBorder="1" applyAlignment="1" applyProtection="1">
      <alignment vertical="center" wrapText="1" readingOrder="1"/>
      <protection locked="0"/>
    </xf>
    <xf numFmtId="0" fontId="53" fillId="0" borderId="3" xfId="415" applyFont="1" applyFill="1" applyBorder="1" applyAlignment="1" applyProtection="1">
      <alignment horizontal="center" vertical="center" wrapText="1"/>
      <protection locked="0"/>
    </xf>
    <xf numFmtId="0" fontId="60" fillId="0" borderId="3" xfId="415" applyFont="1" applyFill="1" applyBorder="1" applyAlignment="1" applyProtection="1">
      <alignment horizontal="center" vertical="center" wrapText="1"/>
      <protection locked="0"/>
    </xf>
    <xf numFmtId="0" fontId="60" fillId="0" borderId="3" xfId="415" applyNumberFormat="1" applyFont="1" applyFill="1" applyBorder="1" applyAlignment="1" applyProtection="1">
      <alignment horizontal="center" vertical="center" wrapText="1"/>
      <protection locked="0"/>
    </xf>
    <xf numFmtId="0" fontId="13" fillId="0" borderId="3" xfId="415" applyFont="1" applyBorder="1"/>
    <xf numFmtId="182" fontId="12" fillId="25" borderId="3" xfId="276" applyNumberFormat="1" applyFont="1" applyFill="1" applyBorder="1" applyAlignment="1">
      <alignment vertical="center" wrapText="1"/>
    </xf>
    <xf numFmtId="0" fontId="60" fillId="0" borderId="3" xfId="415" applyFont="1" applyBorder="1" applyAlignment="1">
      <alignment horizontal="center" vertical="center"/>
    </xf>
    <xf numFmtId="0" fontId="60" fillId="0" borderId="3" xfId="415" applyFont="1" applyBorder="1"/>
    <xf numFmtId="0" fontId="53" fillId="0" borderId="3" xfId="415" applyFont="1" applyBorder="1" applyAlignment="1">
      <alignment horizontal="center" vertical="center" wrapText="1"/>
    </xf>
    <xf numFmtId="177" fontId="12" fillId="0" borderId="3" xfId="467" applyNumberFormat="1" applyFont="1" applyFill="1" applyBorder="1" applyAlignment="1">
      <alignment horizontal="center" vertical="center"/>
    </xf>
    <xf numFmtId="0" fontId="4" fillId="29" borderId="0" xfId="176" applyFont="1" applyFill="1" applyAlignment="1">
      <alignment horizontal="left" wrapText="1"/>
    </xf>
    <xf numFmtId="0" fontId="104" fillId="29" borderId="15" xfId="176" applyFont="1" applyFill="1" applyBorder="1" applyAlignment="1">
      <alignment horizontal="center" wrapText="1"/>
    </xf>
    <xf numFmtId="0" fontId="4" fillId="29" borderId="15" xfId="415" applyFont="1" applyFill="1" applyBorder="1" applyAlignment="1">
      <alignment wrapText="1"/>
    </xf>
    <xf numFmtId="0" fontId="4" fillId="29" borderId="17" xfId="176" applyFont="1" applyFill="1" applyBorder="1" applyAlignment="1">
      <alignment horizontal="center" wrapText="1"/>
    </xf>
    <xf numFmtId="49" fontId="105" fillId="0" borderId="3" xfId="415" applyNumberFormat="1" applyFont="1" applyBorder="1" applyAlignment="1" applyProtection="1">
      <alignment horizontal="center" vertical="center" wrapText="1" readingOrder="1"/>
      <protection locked="0"/>
    </xf>
    <xf numFmtId="0" fontId="105" fillId="0" borderId="3" xfId="415" applyFont="1" applyBorder="1" applyAlignment="1" applyProtection="1">
      <alignment horizontal="left" vertical="center" wrapText="1" readingOrder="1"/>
      <protection locked="0"/>
    </xf>
    <xf numFmtId="0" fontId="105" fillId="0" borderId="3" xfId="415" applyFont="1" applyBorder="1" applyAlignment="1" applyProtection="1">
      <alignment vertical="center" wrapText="1" readingOrder="1"/>
      <protection locked="0"/>
    </xf>
    <xf numFmtId="0" fontId="105" fillId="0" borderId="3" xfId="415" applyFont="1" applyBorder="1" applyAlignment="1">
      <alignment horizontal="center" vertical="center"/>
    </xf>
    <xf numFmtId="0" fontId="105" fillId="0" borderId="3" xfId="415" applyFont="1" applyBorder="1" applyAlignment="1" applyProtection="1">
      <alignment horizontal="center" vertical="center" wrapText="1"/>
      <protection locked="0"/>
    </xf>
    <xf numFmtId="0" fontId="105" fillId="0" borderId="3" xfId="415" applyNumberFormat="1" applyFont="1" applyBorder="1" applyAlignment="1" applyProtection="1">
      <alignment horizontal="center" vertical="center" wrapText="1"/>
      <protection locked="0"/>
    </xf>
    <xf numFmtId="0" fontId="105" fillId="0" borderId="3" xfId="415" applyFont="1" applyFill="1" applyBorder="1" applyAlignment="1">
      <alignment horizontal="center" vertical="center"/>
    </xf>
    <xf numFmtId="0" fontId="105" fillId="0" borderId="3" xfId="415" applyFont="1" applyFill="1" applyBorder="1" applyAlignment="1">
      <alignment horizontal="center"/>
    </xf>
    <xf numFmtId="0" fontId="105" fillId="0" borderId="0" xfId="415" applyFont="1" applyAlignment="1" applyProtection="1">
      <alignment vertical="center" wrapText="1" readingOrder="1"/>
      <protection locked="0"/>
    </xf>
    <xf numFmtId="0" fontId="106" fillId="0" borderId="3" xfId="415" applyFont="1" applyFill="1" applyBorder="1" applyAlignment="1">
      <alignment horizontal="center"/>
    </xf>
    <xf numFmtId="0" fontId="106" fillId="0" borderId="3" xfId="415" applyFont="1" applyFill="1" applyBorder="1" applyAlignment="1">
      <alignment horizontal="left"/>
    </xf>
    <xf numFmtId="0" fontId="3" fillId="0" borderId="3" xfId="176" applyFont="1" applyFill="1" applyBorder="1" applyAlignment="1">
      <alignment horizontal="left" vertical="center" wrapText="1"/>
    </xf>
    <xf numFmtId="0" fontId="101" fillId="29" borderId="3" xfId="100" applyFont="1" applyFill="1" applyBorder="1" applyAlignment="1">
      <alignment horizontal="left" vertical="center" wrapText="1"/>
    </xf>
    <xf numFmtId="0" fontId="4" fillId="25" borderId="3" xfId="0" applyFont="1" applyFill="1" applyBorder="1" applyAlignment="1">
      <alignment vertical="center"/>
    </xf>
    <xf numFmtId="0" fontId="3" fillId="0" borderId="3" xfId="415" applyFont="1" applyFill="1" applyBorder="1" applyAlignment="1">
      <alignment horizontal="center" vertical="center"/>
    </xf>
    <xf numFmtId="182" fontId="3" fillId="25" borderId="3" xfId="276" applyNumberFormat="1" applyFont="1" applyFill="1" applyBorder="1" applyAlignment="1">
      <alignment vertical="center" wrapText="1"/>
    </xf>
    <xf numFmtId="0" fontId="44" fillId="0" borderId="3" xfId="415" applyFont="1" applyBorder="1"/>
    <xf numFmtId="0" fontId="44" fillId="0" borderId="3" xfId="415" applyFont="1" applyBorder="1" applyAlignment="1">
      <alignment horizontal="center" vertical="center"/>
    </xf>
    <xf numFmtId="0" fontId="3" fillId="0" borderId="3" xfId="415" applyFont="1" applyBorder="1" applyAlignment="1">
      <alignment horizontal="center" vertical="center" wrapText="1"/>
    </xf>
    <xf numFmtId="177" fontId="3" fillId="0" borderId="3" xfId="467" applyNumberFormat="1" applyFont="1" applyFill="1" applyBorder="1" applyAlignment="1">
      <alignment horizontal="center" vertical="center"/>
    </xf>
    <xf numFmtId="0" fontId="4" fillId="25" borderId="3" xfId="432" applyFont="1" applyFill="1" applyBorder="1" applyAlignment="1">
      <alignment horizontal="left" vertical="center"/>
    </xf>
    <xf numFmtId="0" fontId="4" fillId="0" borderId="15" xfId="177" applyFont="1" applyFill="1" applyBorder="1" applyAlignment="1">
      <alignment vertical="center"/>
    </xf>
    <xf numFmtId="0" fontId="4" fillId="0" borderId="15" xfId="177" applyFont="1" applyFill="1" applyBorder="1" applyAlignment="1">
      <alignment horizontal="left" vertical="center"/>
    </xf>
    <xf numFmtId="0" fontId="3" fillId="0" borderId="0" xfId="43" applyFont="1" applyAlignment="1">
      <alignment horizontal="left"/>
    </xf>
    <xf numFmtId="0" fontId="9" fillId="0" borderId="0" xfId="43" applyFont="1" applyAlignment="1">
      <alignment horizontal="center" vertical="center"/>
    </xf>
    <xf numFmtId="0" fontId="11" fillId="0" borderId="15" xfId="44" applyFont="1" applyBorder="1" applyAlignment="1">
      <alignment horizontal="left" vertical="center" wrapText="1"/>
    </xf>
    <xf numFmtId="0" fontId="11" fillId="0" borderId="3" xfId="43" applyFont="1" applyBorder="1" applyAlignment="1">
      <alignment horizontal="center" vertical="center" wrapText="1"/>
    </xf>
    <xf numFmtId="0" fontId="11" fillId="0" borderId="14" xfId="43" applyFont="1" applyBorder="1" applyAlignment="1">
      <alignment horizontal="center" vertical="center" wrapText="1"/>
    </xf>
    <xf numFmtId="0" fontId="11" fillId="0" borderId="13" xfId="43" applyFont="1" applyBorder="1" applyAlignment="1">
      <alignment horizontal="center" vertical="center" wrapText="1"/>
    </xf>
    <xf numFmtId="0" fontId="4" fillId="25" borderId="3" xfId="0" applyFont="1" applyFill="1" applyBorder="1" applyAlignment="1">
      <alignment horizontal="center" vertical="center" wrapText="1"/>
    </xf>
    <xf numFmtId="0" fontId="0" fillId="25" borderId="3" xfId="0" applyFont="1" applyFill="1" applyBorder="1" applyAlignment="1">
      <alignment horizontal="center" vertical="center" wrapText="1"/>
    </xf>
    <xf numFmtId="177" fontId="11" fillId="0" borderId="3" xfId="43" applyNumberFormat="1" applyFont="1" applyBorder="1" applyAlignment="1">
      <alignment horizontal="center" vertical="center" wrapText="1"/>
    </xf>
    <xf numFmtId="177" fontId="11" fillId="0" borderId="14" xfId="43" applyNumberFormat="1" applyFont="1" applyBorder="1" applyAlignment="1">
      <alignment horizontal="center" vertical="center" wrapText="1"/>
    </xf>
    <xf numFmtId="177" fontId="11" fillId="0" borderId="13" xfId="43" applyNumberFormat="1" applyFont="1" applyBorder="1" applyAlignment="1">
      <alignment horizontal="center" vertical="center" wrapText="1"/>
    </xf>
    <xf numFmtId="183" fontId="11" fillId="0" borderId="3" xfId="43" applyNumberFormat="1" applyFont="1" applyBorder="1" applyAlignment="1">
      <alignment horizontal="center" vertical="center" wrapText="1"/>
    </xf>
    <xf numFmtId="0" fontId="0" fillId="25" borderId="14" xfId="0" applyFill="1" applyBorder="1" applyAlignment="1">
      <alignment horizontal="center" vertical="center" wrapText="1"/>
    </xf>
    <xf numFmtId="0" fontId="0" fillId="25" borderId="13" xfId="0" applyFont="1" applyFill="1" applyBorder="1" applyAlignment="1">
      <alignment horizontal="center" vertical="center" wrapText="1"/>
    </xf>
    <xf numFmtId="0" fontId="4" fillId="0" borderId="14" xfId="44" applyFont="1" applyFill="1" applyBorder="1" applyAlignment="1">
      <alignment horizontal="center" vertical="center" wrapText="1"/>
    </xf>
    <xf numFmtId="0" fontId="4" fillId="0" borderId="13" xfId="44"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0" xfId="44" applyFont="1" applyBorder="1" applyAlignment="1">
      <alignment vertical="center" wrapText="1"/>
    </xf>
    <xf numFmtId="0" fontId="5" fillId="0" borderId="0" xfId="44" applyFont="1" applyBorder="1" applyAlignment="1">
      <alignment vertical="center" wrapText="1"/>
    </xf>
    <xf numFmtId="0" fontId="9" fillId="0" borderId="0" xfId="44" applyFont="1" applyBorder="1" applyAlignment="1">
      <alignment horizontal="center" vertical="center" wrapText="1"/>
    </xf>
    <xf numFmtId="0" fontId="10" fillId="0" borderId="0" xfId="44" applyFont="1" applyBorder="1" applyAlignment="1">
      <alignment horizontal="center" vertical="center" wrapText="1"/>
    </xf>
    <xf numFmtId="0" fontId="4" fillId="0" borderId="15" xfId="44" applyFont="1" applyBorder="1" applyAlignment="1">
      <alignment horizontal="left" vertical="center" wrapText="1"/>
    </xf>
    <xf numFmtId="0" fontId="4" fillId="0" borderId="3" xfId="44" applyFont="1" applyBorder="1" applyAlignment="1">
      <alignment horizontal="center" vertical="center" wrapText="1"/>
    </xf>
    <xf numFmtId="0" fontId="4" fillId="0" borderId="14" xfId="44" applyFont="1" applyBorder="1" applyAlignment="1">
      <alignment horizontal="center" vertical="center" wrapText="1"/>
    </xf>
    <xf numFmtId="0" fontId="4" fillId="0" borderId="13" xfId="44" applyFont="1" applyBorder="1" applyAlignment="1">
      <alignment horizontal="center" vertical="center" wrapText="1"/>
    </xf>
    <xf numFmtId="177" fontId="12" fillId="0" borderId="3" xfId="177" applyNumberFormat="1" applyFont="1" applyFill="1" applyBorder="1" applyAlignment="1">
      <alignment horizontal="center" vertical="center" wrapText="1"/>
    </xf>
    <xf numFmtId="177" fontId="12" fillId="0" borderId="14" xfId="177" applyNumberFormat="1" applyFont="1" applyFill="1" applyBorder="1" applyAlignment="1">
      <alignment horizontal="center" vertical="center" wrapText="1"/>
    </xf>
    <xf numFmtId="177" fontId="12" fillId="0" borderId="13" xfId="177" applyNumberFormat="1" applyFont="1" applyFill="1" applyBorder="1" applyAlignment="1">
      <alignment horizontal="center" vertical="center" wrapText="1"/>
    </xf>
    <xf numFmtId="0" fontId="4" fillId="0" borderId="0" xfId="177" applyFont="1" applyFill="1" applyAlignment="1">
      <alignment vertical="center"/>
    </xf>
    <xf numFmtId="0" fontId="57" fillId="0" borderId="0" xfId="177" applyFont="1" applyFill="1" applyAlignment="1">
      <alignment horizontal="center" vertical="center"/>
    </xf>
    <xf numFmtId="0" fontId="12" fillId="0" borderId="3" xfId="177" applyFont="1" applyFill="1" applyBorder="1" applyAlignment="1">
      <alignment horizontal="center" vertical="center" wrapText="1"/>
    </xf>
    <xf numFmtId="0" fontId="12" fillId="0" borderId="14" xfId="177" applyFont="1" applyFill="1" applyBorder="1" applyAlignment="1">
      <alignment horizontal="center" vertical="center" wrapText="1"/>
    </xf>
    <xf numFmtId="0" fontId="12" fillId="0" borderId="13" xfId="177" applyFont="1" applyFill="1" applyBorder="1" applyAlignment="1">
      <alignment horizontal="center" vertical="center" wrapText="1"/>
    </xf>
    <xf numFmtId="177" fontId="12" fillId="0" borderId="3" xfId="177" applyNumberFormat="1" applyFont="1" applyFill="1" applyBorder="1" applyAlignment="1">
      <alignment horizontal="center" vertical="center"/>
    </xf>
    <xf numFmtId="177" fontId="102" fillId="29" borderId="14" xfId="466" applyNumberFormat="1" applyFont="1" applyFill="1" applyBorder="1" applyAlignment="1">
      <alignment horizontal="center" vertical="center" wrapText="1"/>
    </xf>
    <xf numFmtId="177" fontId="102" fillId="29" borderId="19" xfId="466" applyNumberFormat="1" applyFont="1" applyFill="1" applyBorder="1" applyAlignment="1">
      <alignment horizontal="center" vertical="center" wrapText="1"/>
    </xf>
    <xf numFmtId="177" fontId="102" fillId="29" borderId="13" xfId="466" applyNumberFormat="1" applyFont="1" applyFill="1" applyBorder="1" applyAlignment="1">
      <alignment horizontal="center" vertical="center" wrapText="1"/>
    </xf>
    <xf numFmtId="0" fontId="105" fillId="29" borderId="15" xfId="176" applyFont="1" applyFill="1" applyBorder="1" applyAlignment="1">
      <alignment horizontal="left" wrapText="1"/>
    </xf>
    <xf numFmtId="0" fontId="103" fillId="29" borderId="0" xfId="176" applyFont="1" applyFill="1" applyBorder="1" applyAlignment="1">
      <alignment horizontal="center" wrapText="1"/>
    </xf>
    <xf numFmtId="0" fontId="4" fillId="29" borderId="3" xfId="176" applyFont="1" applyFill="1" applyBorder="1" applyAlignment="1">
      <alignment horizontal="center" wrapText="1"/>
    </xf>
    <xf numFmtId="0" fontId="4" fillId="29" borderId="3" xfId="176" applyFont="1" applyFill="1" applyBorder="1" applyAlignment="1">
      <alignment horizontal="center" vertical="center" wrapText="1"/>
    </xf>
    <xf numFmtId="0" fontId="4" fillId="29" borderId="16" xfId="176" applyFont="1" applyFill="1" applyBorder="1" applyAlignment="1">
      <alignment horizontal="center" vertical="center" wrapText="1"/>
    </xf>
    <xf numFmtId="0" fontId="4" fillId="29" borderId="2" xfId="176" applyFont="1" applyFill="1" applyBorder="1" applyAlignment="1">
      <alignment horizontal="center" vertical="center" wrapText="1"/>
    </xf>
    <xf numFmtId="0" fontId="53" fillId="0" borderId="0" xfId="174" applyFont="1" applyAlignment="1">
      <alignment horizontal="center" vertical="center"/>
    </xf>
    <xf numFmtId="26" fontId="12" fillId="0" borderId="15" xfId="174" applyNumberFormat="1" applyFont="1" applyBorder="1" applyAlignment="1">
      <alignment horizontal="left" vertical="center"/>
    </xf>
    <xf numFmtId="0" fontId="12" fillId="0" borderId="15" xfId="81" applyFont="1" applyBorder="1" applyAlignment="1">
      <alignment vertical="center"/>
    </xf>
    <xf numFmtId="0" fontId="4" fillId="0" borderId="15" xfId="81" applyBorder="1" applyAlignment="1">
      <alignment vertical="center"/>
    </xf>
    <xf numFmtId="0" fontId="12" fillId="0" borderId="3" xfId="174" applyFont="1" applyBorder="1" applyAlignment="1">
      <alignment horizontal="center" vertical="center" wrapText="1"/>
    </xf>
    <xf numFmtId="0" fontId="12" fillId="0" borderId="14" xfId="81" applyFont="1" applyBorder="1" applyAlignment="1">
      <alignment horizontal="center" vertical="center"/>
    </xf>
    <xf numFmtId="0" fontId="12" fillId="0" borderId="13" xfId="81" applyFont="1" applyBorder="1" applyAlignment="1">
      <alignment horizontal="center" vertical="center"/>
    </xf>
  </cellXfs>
  <cellStyles count="525">
    <cellStyle name=" 1" xfId="82"/>
    <cellStyle name="_☆403概算" xfId="182"/>
    <cellStyle name="_☆403概算3" xfId="83"/>
    <cellStyle name="_☆403概算调整08.07.04" xfId="183"/>
    <cellStyle name="_☆403设备汇总表(节能减排)" xfId="184"/>
    <cellStyle name="_★新增工艺设备明细表" xfId="185"/>
    <cellStyle name="_048投资估算（5.13－18：00修改后稿）" xfId="186"/>
    <cellStyle name="_10(1)(1).23材料表(浓缩)" xfId="84"/>
    <cellStyle name="_204#外协员工宿舍土建表5.20" xfId="187"/>
    <cellStyle name="_2104改造.2602" xfId="188"/>
    <cellStyle name="_37中二期工程报价清单2006-01-12" xfId="189"/>
    <cellStyle name="_426－08－1－18" xfId="190"/>
    <cellStyle name="_426概算" xfId="191"/>
    <cellStyle name="_426-概算表" xfId="192"/>
    <cellStyle name="_426-概算表－修改2008(1)(1).5" xfId="193"/>
    <cellStyle name="_426-概算表－修改2008.5" xfId="194"/>
    <cellStyle name="_432&amp;429总表" xfId="85"/>
    <cellStyle name="_432工艺设备表1" xfId="86"/>
    <cellStyle name="_453工艺招标表" xfId="87"/>
    <cellStyle name="_481-投资估算0714" xfId="195"/>
    <cellStyle name="_703（481）11概算" xfId="88"/>
    <cellStyle name="_703（481）概算" xfId="89"/>
    <cellStyle name="_703(481)哈尔滨" xfId="90"/>
    <cellStyle name="_703(951)概算" xfId="91"/>
    <cellStyle name="_712－951初设设备表（小胡gai-1）" xfId="196"/>
    <cellStyle name="_712所动力专项总概算及各专业概算-081222228" xfId="197"/>
    <cellStyle name="_712所动力专项总概算及各专业概算-081228" xfId="198"/>
    <cellStyle name="_712－援潜926初设设备表1.3" xfId="199"/>
    <cellStyle name="_713舰炮（上报稿）" xfId="200"/>
    <cellStyle name="_716电" xfId="2"/>
    <cellStyle name="_716概算表" xfId="3"/>
    <cellStyle name="_716概算表-报地方报文" xfId="201"/>
    <cellStyle name="_716概算表-报集团" xfId="4"/>
    <cellStyle name="_716概算表电" xfId="202"/>
    <cellStyle name="_716概算表-暖" xfId="203"/>
    <cellStyle name="_716概算表水" xfId="204"/>
    <cellStyle name="_716-给王鹏" xfId="205"/>
    <cellStyle name="_716锅、动" xfId="5"/>
    <cellStyle name="_716科工(080731)-出文件原稿" xfId="206"/>
    <cellStyle name="_716暖" xfId="6"/>
    <cellStyle name="_716水" xfId="7"/>
    <cellStyle name="_717概算" xfId="207"/>
    <cellStyle name="_717所保密估算+设备20110707" xfId="208"/>
    <cellStyle name="_723室外工程" xfId="92"/>
    <cellStyle name="_725概算11" xfId="209"/>
    <cellStyle name="_725概算4" xfId="210"/>
    <cellStyle name="_Book1" xfId="93"/>
    <cellStyle name="_Book1_1" xfId="211"/>
    <cellStyle name="_Book1_2" xfId="212"/>
    <cellStyle name="_Book1_438声隐身估算10-09-30" xfId="213"/>
    <cellStyle name="_Cover" xfId="214"/>
    <cellStyle name="_CY403.13A-01" xfId="94"/>
    <cellStyle name="_CY403.21A-01" xfId="95"/>
    <cellStyle name="_CY403.602-01" xfId="96"/>
    <cellStyle name="_CY403.G24-01" xfId="97"/>
    <cellStyle name="_CY403.YAN-01" xfId="98"/>
    <cellStyle name="_CY403.YUN-01" xfId="99"/>
    <cellStyle name="_ET_STYLE_NoName_00_" xfId="100"/>
    <cellStyle name="_ET_STYLE_NoName_00__407可研(10-04-28AM改稿)" xfId="215"/>
    <cellStyle name="_ET_STYLE_NoName_00__725所315投资估算-原稿" xfId="216"/>
    <cellStyle name="_ET_STYLE_NoName_00__Book1" xfId="217"/>
    <cellStyle name="_ET_STYLE_NoName_00__Sheet3" xfId="218"/>
    <cellStyle name="_ET_STYLE_NoName_00__电梯" xfId="219"/>
    <cellStyle name="_ET_STYLE_NoName_00__工艺设备表0705" xfId="220"/>
    <cellStyle name="_ET_STYLE_NoName_00__会议系统 (2)_1" xfId="221"/>
    <cellStyle name="_ET_STYLE_NoName_00__酒店" xfId="222"/>
    <cellStyle name="_ET_STYLE_NoName_00__内蒙古海装风电投资估算-审查会后改（100227）" xfId="223"/>
    <cellStyle name="_ET_STYLE_NoName_00__音视频会议系统" xfId="224"/>
    <cellStyle name="_ET_STYLE_NoName_00__总概算-室里格式" xfId="225"/>
    <cellStyle name="_ET_STYLE_NoName_01_" xfId="226"/>
    <cellStyle name="_Extreme数据交换机设备配置南华中天20050816" xfId="227"/>
    <cellStyle name="_L2-Summary by Element" xfId="228"/>
    <cellStyle name="_SMQ布线" xfId="229"/>
    <cellStyle name="_报价表格" xfId="101"/>
    <cellStyle name="_北码头水工概算" xfId="230"/>
    <cellStyle name="_补充初设工艺设备表（赵实）2011(1).8.12" xfId="231"/>
    <cellStyle name="_初步设计设备表" xfId="8"/>
    <cellStyle name="_初设设备表" xfId="232"/>
    <cellStyle name="_单体概算" xfId="233"/>
    <cellStyle name="_电磁兼容试验场工艺设备" xfId="102"/>
    <cellStyle name="_电气工程" xfId="103"/>
    <cellStyle name="_电影放映机" xfId="234"/>
    <cellStyle name="_动力专项初设设备表2.0 合稿" xfId="235"/>
    <cellStyle name="_附表1、4 投资估算+公用5.21" xfId="236"/>
    <cellStyle name="_附表1、4估算、公用" xfId="237"/>
    <cellStyle name="_附表1-5" xfId="238"/>
    <cellStyle name="_附表2、3、6设备、进口及招标表" xfId="239"/>
    <cellStyle name="_附表2、3设备、进口表" xfId="240"/>
    <cellStyle name="_复件 高桥商务方案初设" xfId="241"/>
    <cellStyle name="_概 算" xfId="104"/>
    <cellStyle name="_概 算_1" xfId="242"/>
    <cellStyle name="_概 算书" xfId="9"/>
    <cellStyle name="_概算" xfId="105"/>
    <cellStyle name="_概算（951）6" xfId="106"/>
    <cellStyle name="_概算（燃机）2007  1105调整" xfId="107"/>
    <cellStyle name="_概算（燃机）5" xfId="108"/>
    <cellStyle name="_概算（燃机）8" xfId="109"/>
    <cellStyle name="_概算4" xfId="110"/>
    <cellStyle name="_概算56" xfId="243"/>
    <cellStyle name="_概算－7" xfId="111"/>
    <cellStyle name="_概算表" xfId="10"/>
    <cellStyle name="_工商机房装修报价new" xfId="244"/>
    <cellStyle name="_工艺设备明细表＋进口表" xfId="245"/>
    <cellStyle name="_公 用 设 备  表716模具" xfId="246"/>
    <cellStyle name="_公用系统" xfId="112"/>
    <cellStyle name="_哈工程特色学科上报三表" xfId="247"/>
    <cellStyle name="_会议扩声配置清单" xfId="248"/>
    <cellStyle name="_九江概算09-09-28" xfId="249"/>
    <cellStyle name="_军品中心设备表1125(简)" xfId="250"/>
    <cellStyle name="_科研楼加五层方案原稿（080811）" xfId="251"/>
    <cellStyle name="_可研工艺设备汇总表" xfId="113"/>
    <cellStyle name="_码头概算1" xfId="252"/>
    <cellStyle name="_南岸党校同传" xfId="253"/>
    <cellStyle name="_南码头水工概算" xfId="254"/>
    <cellStyle name="_燃机研究设计平台设备表-初设" xfId="114"/>
    <cellStyle name="_山海关整体初设工艺设备表2010.4.10" xfId="255"/>
    <cellStyle name="_设备表" xfId="256"/>
    <cellStyle name="_设备表(A3)12" xfId="257"/>
    <cellStyle name="_设备表（最新样表）" xfId="258"/>
    <cellStyle name="_设备表-12.18" xfId="115"/>
    <cellStyle name="_设备表－已排版(总04.10)" xfId="116"/>
    <cellStyle name="_审后修改-723-概算表-1.15" xfId="259"/>
    <cellStyle name="_声研保新增工艺设备表" xfId="260"/>
    <cellStyle name="_投资估算（定稿）090508xls" xfId="261"/>
    <cellStyle name="_投资估算表" xfId="262"/>
    <cellStyle name="_无锡分部" xfId="117"/>
    <cellStyle name="_西墅水面舰概算原稿(08105)" xfId="263"/>
    <cellStyle name="_西墅新方案概算原稿" xfId="264"/>
    <cellStyle name="_新设备报价清单20100108" xfId="265"/>
    <cellStyle name="_新增工艺设备表" xfId="266"/>
    <cellStyle name="_新增工艺设备表090415" xfId="267"/>
    <cellStyle name="_新增工艺设备表修改情况备注2010.6.8" xfId="268"/>
    <cellStyle name="_新增工艺设备表最终提交版2010.6.8" xfId="269"/>
    <cellStyle name="_诱饵三表" xfId="270"/>
    <cellStyle name="_中天报价单01-24(袁登明)" xfId="271"/>
    <cellStyle name="_中心项目设备表071121" xfId="272"/>
    <cellStyle name="_总概算" xfId="273"/>
    <cellStyle name="_总设备表071107" xfId="118"/>
    <cellStyle name="0,0_x000d__x000a_NA_x000d__x000a_" xfId="11"/>
    <cellStyle name="0,0_x000d__x000a_NA_x000d__x000a_ 2" xfId="274"/>
    <cellStyle name="0,0_x000d__x000a_NA_x000d__x000a_ 2 2" xfId="275"/>
    <cellStyle name="0,0_x000d__x000a_NA_x000d__x000a_ 3" xfId="276"/>
    <cellStyle name="0,0_x000d__x000a_NA_x000d__x000a_ 3 2 2 2 2 2 2 5 2" xfId="277"/>
    <cellStyle name="0,0_x000d__x000a_NA_x000d__x000a_ 4" xfId="278"/>
    <cellStyle name="0,0_x000d__x000a_NA_x000d__x000a__048投资估算（5.13－18：00修改后稿）" xfId="279"/>
    <cellStyle name="20% - 强调文字颜色 1" xfId="12" builtinId="30" customBuiltin="1"/>
    <cellStyle name="20% - 强调文字颜色 1 2" xfId="119"/>
    <cellStyle name="20% - 强调文字颜色 2" xfId="13" builtinId="34" customBuiltin="1"/>
    <cellStyle name="20% - 强调文字颜色 2 2" xfId="120"/>
    <cellStyle name="20% - 强调文字颜色 3" xfId="14" builtinId="38" customBuiltin="1"/>
    <cellStyle name="20% - 强调文字颜色 3 2" xfId="121"/>
    <cellStyle name="20% - 强调文字颜色 4" xfId="15" builtinId="42" customBuiltin="1"/>
    <cellStyle name="20% - 强调文字颜色 4 2" xfId="122"/>
    <cellStyle name="20% - 强调文字颜色 5" xfId="16" builtinId="46" customBuiltin="1"/>
    <cellStyle name="20% - 强调文字颜色 5 2" xfId="123"/>
    <cellStyle name="20% - 强调文字颜色 6" xfId="17" builtinId="50" customBuiltin="1"/>
    <cellStyle name="20% - 强调文字颜色 6 2" xfId="124"/>
    <cellStyle name="40% - 强调文字颜色 1" xfId="18" builtinId="31" customBuiltin="1"/>
    <cellStyle name="40% - 强调文字颜色 1 2" xfId="125"/>
    <cellStyle name="40% - 强调文字颜色 2" xfId="19" builtinId="35" customBuiltin="1"/>
    <cellStyle name="40% - 强调文字颜色 2 2" xfId="126"/>
    <cellStyle name="40% - 强调文字颜色 3" xfId="20" builtinId="39" customBuiltin="1"/>
    <cellStyle name="40% - 强调文字颜色 3 2" xfId="127"/>
    <cellStyle name="40% - 强调文字颜色 4" xfId="21" builtinId="43" customBuiltin="1"/>
    <cellStyle name="40% - 强调文字颜色 4 2" xfId="128"/>
    <cellStyle name="40% - 强调文字颜色 5" xfId="22" builtinId="47" customBuiltin="1"/>
    <cellStyle name="40% - 强调文字颜色 5 2" xfId="129"/>
    <cellStyle name="40% - 强调文字颜色 6" xfId="23" builtinId="51" customBuiltin="1"/>
    <cellStyle name="40% - 强调文字颜色 6 2" xfId="130"/>
    <cellStyle name="60% - 强调文字颜色 1" xfId="24" builtinId="32" customBuiltin="1"/>
    <cellStyle name="60% - 强调文字颜色 1 2" xfId="131"/>
    <cellStyle name="60% - 强调文字颜色 2" xfId="25" builtinId="36" customBuiltin="1"/>
    <cellStyle name="60% - 强调文字颜色 2 2" xfId="132"/>
    <cellStyle name="60% - 强调文字颜色 3" xfId="26" builtinId="40" customBuiltin="1"/>
    <cellStyle name="60% - 强调文字颜色 3 2" xfId="133"/>
    <cellStyle name="60% - 强调文字颜色 4" xfId="27" builtinId="44" customBuiltin="1"/>
    <cellStyle name="60% - 强调文字颜色 4 2" xfId="134"/>
    <cellStyle name="60% - 强调文字颜色 5" xfId="28" builtinId="48" customBuiltin="1"/>
    <cellStyle name="60% - 强调文字颜色 5 2" xfId="135"/>
    <cellStyle name="60% - 强调文字颜色 6" xfId="29" builtinId="52" customBuiltin="1"/>
    <cellStyle name="60% - 强调文字颜色 6 2" xfId="136"/>
    <cellStyle name="6mal" xfId="280"/>
    <cellStyle name="ÅëÈ­ [0]_laroux" xfId="281"/>
    <cellStyle name="ÅëÈ­_laroux" xfId="282"/>
    <cellStyle name="args.style" xfId="283"/>
    <cellStyle name="ÄÞ¸¶ [0]_laroux" xfId="284"/>
    <cellStyle name="ÄÞ¸¶_laroux" xfId="285"/>
    <cellStyle name="AutoFormat Options" xfId="286"/>
    <cellStyle name="Body" xfId="287"/>
    <cellStyle name="BORDERS" xfId="137"/>
    <cellStyle name="Ç¥ÁØ_ÀÎÀç°³¹ß¿ø" xfId="288"/>
    <cellStyle name="Calc Currency (0)" xfId="30"/>
    <cellStyle name="Calc Currency (0) 2" xfId="289"/>
    <cellStyle name="Calc Currency (0) 3" xfId="290"/>
    <cellStyle name="Calc Currency (0) 4" xfId="291"/>
    <cellStyle name="Calc Currency (0)_716投资估算10-08-05" xfId="292"/>
    <cellStyle name="ColLevel_0" xfId="293"/>
    <cellStyle name="Column_Title" xfId="138"/>
    <cellStyle name="Comma  - Style1" xfId="294"/>
    <cellStyle name="Comma  - Style2" xfId="295"/>
    <cellStyle name="Comma  - Style3" xfId="296"/>
    <cellStyle name="Comma  - Style4" xfId="297"/>
    <cellStyle name="Comma  - Style5" xfId="298"/>
    <cellStyle name="Comma  - Style6" xfId="299"/>
    <cellStyle name="Comma  - Style7" xfId="300"/>
    <cellStyle name="Comma  - Style8" xfId="301"/>
    <cellStyle name="Comma [0]" xfId="139"/>
    <cellStyle name="comma zerodec" xfId="302"/>
    <cellStyle name="Comma_!!!GO" xfId="303"/>
    <cellStyle name="Comma0 - Modelo1" xfId="304"/>
    <cellStyle name="Comma0 - Style1" xfId="305"/>
    <cellStyle name="Comma1 - Modelo2" xfId="306"/>
    <cellStyle name="Comma1 - Style2" xfId="307"/>
    <cellStyle name="Currency [0]" xfId="140"/>
    <cellStyle name="Currency_!!!GO" xfId="308"/>
    <cellStyle name="Currency1" xfId="309"/>
    <cellStyle name="Date" xfId="31"/>
    <cellStyle name="Dia" xfId="310"/>
    <cellStyle name="Dollar (zero dec)" xfId="311"/>
    <cellStyle name="Encabez1" xfId="312"/>
    <cellStyle name="Encabez2" xfId="313"/>
    <cellStyle name="entry box" xfId="314"/>
    <cellStyle name="F2" xfId="315"/>
    <cellStyle name="F3" xfId="316"/>
    <cellStyle name="F4" xfId="317"/>
    <cellStyle name="F5" xfId="318"/>
    <cellStyle name="F6" xfId="319"/>
    <cellStyle name="F7" xfId="320"/>
    <cellStyle name="F8" xfId="321"/>
    <cellStyle name="Fijo" xfId="322"/>
    <cellStyle name="Financiero" xfId="323"/>
    <cellStyle name="Grey" xfId="141"/>
    <cellStyle name="HEADER" xfId="324"/>
    <cellStyle name="Header1" xfId="32"/>
    <cellStyle name="Header2" xfId="33"/>
    <cellStyle name="Input [yellow]" xfId="142"/>
    <cellStyle name="Input Cells" xfId="325"/>
    <cellStyle name="Jun" xfId="326"/>
    <cellStyle name="Linked Cells" xfId="327"/>
    <cellStyle name="Millares [0]_10 AVERIAS MASIVAS + ANT" xfId="328"/>
    <cellStyle name="Millares_10 AVERIAS MASIVAS + ANT" xfId="329"/>
    <cellStyle name="Milliers [0]_!!!GO" xfId="330"/>
    <cellStyle name="Milliers_!!!GO" xfId="331"/>
    <cellStyle name="Model" xfId="332"/>
    <cellStyle name="Moneda [0]_10 AVERIAS MASIVAS + ANT" xfId="333"/>
    <cellStyle name="Moneda_10 AVERIAS MASIVAS + ANT" xfId="334"/>
    <cellStyle name="Monetario" xfId="335"/>
    <cellStyle name="Mon閠aire [0]_!!!GO" xfId="336"/>
    <cellStyle name="Mon閠aire_!!!GO" xfId="337"/>
    <cellStyle name="New Times Roman" xfId="34"/>
    <cellStyle name="no dec" xfId="338"/>
    <cellStyle name="Normal - Style1" xfId="143"/>
    <cellStyle name="Normal_!!!GO" xfId="339"/>
    <cellStyle name="Normalny_Arkusz1" xfId="340"/>
    <cellStyle name="Note" xfId="144"/>
    <cellStyle name="per.style" xfId="341"/>
    <cellStyle name="Percent [2]" xfId="145"/>
    <cellStyle name="Percent_!!!GO" xfId="342"/>
    <cellStyle name="Porcentaje" xfId="343"/>
    <cellStyle name="Pourcentage_pldt" xfId="344"/>
    <cellStyle name="Prefilled" xfId="345"/>
    <cellStyle name="Price Header" xfId="346"/>
    <cellStyle name="prods" xfId="35"/>
    <cellStyle name="PSChar" xfId="347"/>
    <cellStyle name="PSDate" xfId="348"/>
    <cellStyle name="PSDec" xfId="349"/>
    <cellStyle name="PSHeading" xfId="350"/>
    <cellStyle name="PSInt" xfId="351"/>
    <cellStyle name="PSSpacer" xfId="352"/>
    <cellStyle name="RM" xfId="353"/>
    <cellStyle name="RowLevel_0" xfId="354"/>
    <cellStyle name="shade" xfId="36"/>
    <cellStyle name="sstot" xfId="355"/>
    <cellStyle name="ST_01" xfId="356"/>
    <cellStyle name="Standard_AREAS" xfId="357"/>
    <cellStyle name="subhead" xfId="358"/>
    <cellStyle name="t" xfId="359"/>
    <cellStyle name="t_HVAC Equipment (3)" xfId="360"/>
    <cellStyle name="Total" xfId="361"/>
    <cellStyle name="ปกติ_11wq42" xfId="362"/>
    <cellStyle name="百分比 2" xfId="75"/>
    <cellStyle name="百分比 2 2" xfId="363"/>
    <cellStyle name="百分比 3" xfId="364"/>
    <cellStyle name="百分比 4" xfId="365"/>
    <cellStyle name="百分比 5" xfId="366"/>
    <cellStyle name="捠壿 [0.00]_Region Orders (2)" xfId="367"/>
    <cellStyle name="捠壿_Region Orders (2)" xfId="368"/>
    <cellStyle name="编号" xfId="369"/>
    <cellStyle name="标题" xfId="37" builtinId="15" customBuiltin="1"/>
    <cellStyle name="标题 1" xfId="38" builtinId="16" customBuiltin="1"/>
    <cellStyle name="标题 1 2" xfId="146"/>
    <cellStyle name="标题 2" xfId="39" builtinId="17" customBuiltin="1"/>
    <cellStyle name="标题 2 2" xfId="147"/>
    <cellStyle name="标题 3" xfId="40" builtinId="18" customBuiltin="1"/>
    <cellStyle name="标题 3 2" xfId="148"/>
    <cellStyle name="标题 4" xfId="41" builtinId="19" customBuiltin="1"/>
    <cellStyle name="标题 4 2" xfId="149"/>
    <cellStyle name="标题 5" xfId="150"/>
    <cellStyle name="标题1" xfId="370"/>
    <cellStyle name="標準_APCO BQ_0312_BQ_BQ-2" xfId="151"/>
    <cellStyle name="部门" xfId="371"/>
    <cellStyle name="差" xfId="42" builtinId="27" customBuiltin="1"/>
    <cellStyle name="差 2" xfId="152"/>
    <cellStyle name="差_☆403投资估算表" xfId="372"/>
    <cellStyle name="差_★724附表" xfId="373"/>
    <cellStyle name="差_388厂动态保军项目建议书-(0515)原稿" xfId="374"/>
    <cellStyle name="差_388大船" xfId="375"/>
    <cellStyle name="差_388综合设备表" xfId="376"/>
    <cellStyle name="差_403投资估算（石）09.2.19" xfId="377"/>
    <cellStyle name="差_446新增设备表2010-08-2" xfId="378"/>
    <cellStyle name="差_446研保估算表10-08-05" xfId="379"/>
    <cellStyle name="差_455厂投资建议书估算新模版" xfId="380"/>
    <cellStyle name="差_6402投资估算09-03-06" xfId="381"/>
    <cellStyle name="差_662平台可研-估算2011.9.3-第1稿" xfId="382"/>
    <cellStyle name="差_701估算表090505" xfId="383"/>
    <cellStyle name="差_702-给樊稿（10.813）" xfId="384"/>
    <cellStyle name="差_717概算081023" xfId="385"/>
    <cellStyle name="差_726安全性可研附表-08.4.9(du修改)" xfId="386"/>
    <cellStyle name="差_760特性测试估算" xfId="387"/>
    <cellStyle name="差_884估算表2011.8.19-03" xfId="388"/>
    <cellStyle name="差_Book1" xfId="389"/>
    <cellStyle name="差_初设概算(shi)-5.14晚-7.9-8.27 last " xfId="390"/>
    <cellStyle name="差_风电估算表" xfId="391"/>
    <cellStyle name="差_工艺设备表" xfId="392"/>
    <cellStyle name="差_公用设备表" xfId="393"/>
    <cellStyle name="差_建构物一览表" xfId="394"/>
    <cellStyle name="差_建筑工程预算表(保密网络)" xfId="395"/>
    <cellStyle name="差_节能减排" xfId="396"/>
    <cellStyle name="差_可研工艺设备汇总表" xfId="153"/>
    <cellStyle name="差_设备表改" xfId="397"/>
    <cellStyle name="差_投资估算" xfId="398"/>
    <cellStyle name="差_投资估算-10-06-01" xfId="399"/>
    <cellStyle name="差_投资估算表" xfId="400"/>
    <cellStyle name="差_投资估算及工艺设备（重通）" xfId="401"/>
    <cellStyle name="差_新增进口工艺设备表" xfId="402"/>
    <cellStyle name="差_招标核准意见表（20100919）" xfId="403"/>
    <cellStyle name="常规" xfId="0" builtinId="0"/>
    <cellStyle name="常规 10" xfId="404"/>
    <cellStyle name="常规 11" xfId="405"/>
    <cellStyle name="常规 12" xfId="406"/>
    <cellStyle name="常规 12 2" xfId="407"/>
    <cellStyle name="常规 13" xfId="408"/>
    <cellStyle name="常规 14" xfId="409"/>
    <cellStyle name="常规 14 2" xfId="410"/>
    <cellStyle name="常规 15" xfId="411"/>
    <cellStyle name="常规 16" xfId="412"/>
    <cellStyle name="常规 17" xfId="413"/>
    <cellStyle name="常规 18" xfId="414"/>
    <cellStyle name="常规 18 2" xfId="415"/>
    <cellStyle name="常规 19" xfId="416"/>
    <cellStyle name="常规 2" xfId="78"/>
    <cellStyle name="常规 2 19" xfId="417"/>
    <cellStyle name="常规 2 19 2" xfId="418"/>
    <cellStyle name="常规 2 2" xfId="79"/>
    <cellStyle name="常规 2 2 2" xfId="81"/>
    <cellStyle name="常规 2 3" xfId="419"/>
    <cellStyle name="常规 2 4" xfId="420"/>
    <cellStyle name="常规 20" xfId="421"/>
    <cellStyle name="常规 21" xfId="422"/>
    <cellStyle name="常规 22" xfId="423"/>
    <cellStyle name="常规 22 2" xfId="424"/>
    <cellStyle name="常规 23" xfId="177"/>
    <cellStyle name="常规 24" xfId="425"/>
    <cellStyle name="常规 25" xfId="426"/>
    <cellStyle name="常规 26" xfId="427"/>
    <cellStyle name="常规 27" xfId="428"/>
    <cellStyle name="常规 28" xfId="429"/>
    <cellStyle name="常规 29" xfId="430"/>
    <cellStyle name="常规 29 2" xfId="431"/>
    <cellStyle name="常规 3" xfId="80"/>
    <cellStyle name="常规 3 2" xfId="178"/>
    <cellStyle name="常规 3 2 2" xfId="432"/>
    <cellStyle name="常规 3 3" xfId="433"/>
    <cellStyle name="常规 3 3 2" xfId="434"/>
    <cellStyle name="常规 3_662平台估算       2011.9.8-第二稿" xfId="435"/>
    <cellStyle name="常规 30" xfId="436"/>
    <cellStyle name="常规 31" xfId="437"/>
    <cellStyle name="常规 32" xfId="438"/>
    <cellStyle name="常规 33" xfId="439"/>
    <cellStyle name="常规 34" xfId="440"/>
    <cellStyle name="常规 35" xfId="441"/>
    <cellStyle name="常规 36" xfId="442"/>
    <cellStyle name="常规 37" xfId="443"/>
    <cellStyle name="常规 38" xfId="444"/>
    <cellStyle name="常规 39" xfId="445"/>
    <cellStyle name="常规 4" xfId="446"/>
    <cellStyle name="常规 4 2" xfId="447"/>
    <cellStyle name="常规 40" xfId="448"/>
    <cellStyle name="常规 41" xfId="449"/>
    <cellStyle name="常规 42" xfId="450"/>
    <cellStyle name="常规 43" xfId="451"/>
    <cellStyle name="常规 5" xfId="452"/>
    <cellStyle name="常规 5 2" xfId="453"/>
    <cellStyle name="常规 5_222" xfId="454"/>
    <cellStyle name="常规 6" xfId="455"/>
    <cellStyle name="常规 7" xfId="456"/>
    <cellStyle name="常规 7 2" xfId="457"/>
    <cellStyle name="常规 8" xfId="458"/>
    <cellStyle name="常规 8 2" xfId="459"/>
    <cellStyle name="常规 8 3" xfId="460"/>
    <cellStyle name="常规 9" xfId="175"/>
    <cellStyle name="常规 9 2" xfId="461"/>
    <cellStyle name="常规 9 2 2" xfId="462"/>
    <cellStyle name="常规_★新增工艺设备明细表" xfId="463"/>
    <cellStyle name="常规_070423三表" xfId="176"/>
    <cellStyle name="常规_315设备表2010-7-29" xfId="77"/>
    <cellStyle name="常规_438估算表10-08-30" xfId="172"/>
    <cellStyle name="常规_468概算" xfId="43"/>
    <cellStyle name="常规_705－87A投资估算表" xfId="464"/>
    <cellStyle name="常规_Sheet1_717估算表081009(审后）" xfId="465"/>
    <cellStyle name="常规_船舶配套变配电控制系统项目设备表%2B招标表（20090111)" xfId="173"/>
    <cellStyle name="常规_附表23工艺设备表、进口表1" xfId="44"/>
    <cellStyle name="常规_概算表（65913）-20100201" xfId="179"/>
    <cellStyle name="常规_节能减排投资表" xfId="180"/>
    <cellStyle name="常规_昆船概算10.14" xfId="181"/>
    <cellStyle name="常规_水下新增设备表081013" xfId="466"/>
    <cellStyle name="常规_新增工艺设备表" xfId="467"/>
    <cellStyle name="常规_一体化投资估算表" xfId="174"/>
    <cellStyle name="超级链接_PERSONAL" xfId="468"/>
    <cellStyle name="超链接 2" xfId="469"/>
    <cellStyle name="超链接 3" xfId="470"/>
    <cellStyle name="超链接 4" xfId="471"/>
    <cellStyle name="分级显示行_1_Book1" xfId="472"/>
    <cellStyle name="分级显示列_1_Book1" xfId="473"/>
    <cellStyle name="好" xfId="45" builtinId="26" customBuiltin="1"/>
    <cellStyle name="好 2" xfId="154"/>
    <cellStyle name="好_☆403投资估算表" xfId="474"/>
    <cellStyle name="好_★724附表" xfId="475"/>
    <cellStyle name="好_388厂动态保军项目建议书-(0515)原稿" xfId="476"/>
    <cellStyle name="好_388大船" xfId="477"/>
    <cellStyle name="好_388综合设备表" xfId="478"/>
    <cellStyle name="好_403投资估算（石）09.2.19" xfId="479"/>
    <cellStyle name="好_446新增设备表2010-08-2" xfId="480"/>
    <cellStyle name="好_446研保估算表10-08-05" xfId="481"/>
    <cellStyle name="好_455厂投资建议书估算新模版" xfId="482"/>
    <cellStyle name="好_6402投资估算09-03-06" xfId="483"/>
    <cellStyle name="好_662平台可研-估算2011.9.3-第1稿" xfId="484"/>
    <cellStyle name="好_701估算表090505" xfId="485"/>
    <cellStyle name="好_702-给樊稿（10.813）" xfId="486"/>
    <cellStyle name="好_717概算081023" xfId="487"/>
    <cellStyle name="好_726安全性可研附表-08.4.9(du修改)" xfId="488"/>
    <cellStyle name="好_760特性测试估算" xfId="489"/>
    <cellStyle name="好_884估算表2011.8.19-03" xfId="490"/>
    <cellStyle name="好_Book1" xfId="491"/>
    <cellStyle name="好_初设概算(shi)-5.14晚-7.9-8.27 last " xfId="492"/>
    <cellStyle name="好_风电估算表" xfId="493"/>
    <cellStyle name="好_工艺设备表" xfId="494"/>
    <cellStyle name="好_公用设备表" xfId="495"/>
    <cellStyle name="好_建构物一览表" xfId="496"/>
    <cellStyle name="好_建筑工程预算表(保密网络)" xfId="497"/>
    <cellStyle name="好_节能减排" xfId="498"/>
    <cellStyle name="好_可研工艺设备汇总表" xfId="155"/>
    <cellStyle name="好_设备表改" xfId="499"/>
    <cellStyle name="好_投资估算" xfId="500"/>
    <cellStyle name="好_投资估算-10-06-01" xfId="501"/>
    <cellStyle name="好_投资估算表" xfId="502"/>
    <cellStyle name="好_投资估算及工艺设备（重通）" xfId="503"/>
    <cellStyle name="好_新增进口工艺设备表" xfId="504"/>
    <cellStyle name="好_招标核准意见表（20100919）" xfId="505"/>
    <cellStyle name="后继超级链接_PERSONAL" xfId="506"/>
    <cellStyle name="汇总" xfId="46" builtinId="25" customBuiltin="1"/>
    <cellStyle name="汇总 2" xfId="156"/>
    <cellStyle name="货币 2" xfId="76"/>
    <cellStyle name="货币 2 2" xfId="507"/>
    <cellStyle name="货币 3" xfId="508"/>
    <cellStyle name="计算" xfId="47" builtinId="22" customBuiltin="1"/>
    <cellStyle name="计算 2" xfId="157"/>
    <cellStyle name="检查单元格" xfId="48" builtinId="23" customBuiltin="1"/>
    <cellStyle name="检查单元格 2" xfId="158"/>
    <cellStyle name="解释性文本" xfId="49" builtinId="53" customBuiltin="1"/>
    <cellStyle name="解释性文本 2" xfId="159"/>
    <cellStyle name="借出原因" xfId="509"/>
    <cellStyle name="警告文本" xfId="50" builtinId="11" customBuiltin="1"/>
    <cellStyle name="警告文本 2" xfId="160"/>
    <cellStyle name="链接单元格" xfId="51" builtinId="24" customBuiltin="1"/>
    <cellStyle name="链接单元格 2" xfId="161"/>
    <cellStyle name="霓付 [0]_97MBO" xfId="57"/>
    <cellStyle name="霓付_97MBO" xfId="58"/>
    <cellStyle name="烹拳 [0]_97MBO" xfId="59"/>
    <cellStyle name="烹拳_97MBO" xfId="60"/>
    <cellStyle name="普通_ 白土" xfId="61"/>
    <cellStyle name="千分位[0]_ 白土" xfId="62"/>
    <cellStyle name="千分位_ 白土" xfId="63"/>
    <cellStyle name="千位[0]_ 方正PC" xfId="510"/>
    <cellStyle name="千位_ 方正PC" xfId="511"/>
    <cellStyle name="千位分隔 2" xfId="512"/>
    <cellStyle name="千位分隔[0] 2" xfId="513"/>
    <cellStyle name="钎霖_laroux" xfId="64"/>
    <cellStyle name="强调文字颜色 1" xfId="65" builtinId="29" customBuiltin="1"/>
    <cellStyle name="强调文字颜色 1 2" xfId="162"/>
    <cellStyle name="强调文字颜色 2" xfId="66" builtinId="33" customBuiltin="1"/>
    <cellStyle name="强调文字颜色 2 2" xfId="163"/>
    <cellStyle name="强调文字颜色 3" xfId="67" builtinId="37" customBuiltin="1"/>
    <cellStyle name="强调文字颜色 3 2" xfId="164"/>
    <cellStyle name="强调文字颜色 4" xfId="68" builtinId="41" customBuiltin="1"/>
    <cellStyle name="强调文字颜色 4 2" xfId="165"/>
    <cellStyle name="强调文字颜色 5" xfId="69" builtinId="45" customBuiltin="1"/>
    <cellStyle name="强调文字颜色 5 2" xfId="166"/>
    <cellStyle name="强调文字颜色 6" xfId="70" builtinId="49" customBuiltin="1"/>
    <cellStyle name="强调文字颜色 6 2" xfId="167"/>
    <cellStyle name="日期" xfId="514"/>
    <cellStyle name="商品名称" xfId="515"/>
    <cellStyle name="适中" xfId="71" builtinId="28" customBuiltin="1"/>
    <cellStyle name="适中 2" xfId="168"/>
    <cellStyle name="输出" xfId="72" builtinId="21" customBuiltin="1"/>
    <cellStyle name="输出 2" xfId="169"/>
    <cellStyle name="输入" xfId="73" builtinId="20" customBuiltin="1"/>
    <cellStyle name="输入 2" xfId="170"/>
    <cellStyle name="数量" xfId="516"/>
    <cellStyle name="未定义" xfId="517"/>
    <cellStyle name="样式 1" xfId="1"/>
    <cellStyle name="样式 1 2" xfId="518"/>
    <cellStyle name="一般_D-Link 產品 一月份價格表 -(全總版）" xfId="519"/>
    <cellStyle name="昗弨_Pacific Region P&amp;L" xfId="520"/>
    <cellStyle name="寘嬫愗傝 [0.00]_Region Orders (2)" xfId="521"/>
    <cellStyle name="寘嬫愗傝_Region Orders (2)" xfId="522"/>
    <cellStyle name="中文表格" xfId="523"/>
    <cellStyle name="注释" xfId="74" builtinId="10" customBuiltin="1"/>
    <cellStyle name="注释 2" xfId="171"/>
    <cellStyle name="字符" xfId="524"/>
    <cellStyle name="콤마 [0]_BOILER-CO1" xfId="52"/>
    <cellStyle name="콤마_BOILER-CO1" xfId="53"/>
    <cellStyle name="통화 [0]_BOILER-CO1" xfId="54"/>
    <cellStyle name="통화_BOILER-CO1" xfId="55"/>
    <cellStyle name="표준_0N-HANDLING " xfId="5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S01\jhc\unzipped\Eastern%20Airline%20FE\Spares\FILES\SMCTS2\SMCTSSP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O:\s71\&#26446;&#28976;\&#36196;&#23792;&#39044;&#31639;\&#36196;&#23792;--&#31934;&#24178;&#21253;&#21378;&#2515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0701026\&#24037;&#31243;&#27010;&#31639;\2002&#24180;&#24037;&#31243;\&#24037;&#31243;&#27010;&#31639;\&#21704;&#33647;&#24635;&#21378;\&#21704;&#33647;&#24635;&#21378;&#31881;&#38024;&#21450;&#32508;&#21512;&#21046;&#21058;&#36710;&#38388;\&#21704;&#33647;&#19977;&#21378;&#31881;&#38024;&#21450;&#32508;&#21512;&#21046;&#21058;&#36710;&#3838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26&#20108;&#26399;&#21021;&#35774;&#23457;&#21518;&#20462;&#25913;2013.3.11/426&#20108;&#26399;&#27010;&#31639;&#34920;2013.3.1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qpmad2"/>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内装修及基础计算表"/>
      <sheetName val="内装修"/>
      <sheetName val="内装修预算表"/>
      <sheetName val="内装修调价表"/>
      <sheetName val="内装修取费表"/>
      <sheetName val="工程量屋面屋架柱"/>
      <sheetName val="工程量墙梁"/>
      <sheetName val="钢结构调价表"/>
      <sheetName val="综合表"/>
      <sheetName val="内装修估价表"/>
      <sheetName val="钢结构取费表"/>
      <sheetName val="外维护估价表"/>
      <sheetName val="钢结构预算表"/>
      <sheetName val="综合表1"/>
      <sheetName val="取费表"/>
      <sheetName val="室内"/>
      <sheetName val="室外 "/>
      <sheetName val="公用设备"/>
    </sheetNames>
    <sheetDataSet>
      <sheetData sheetId="0"/>
      <sheetData sheetId="1"/>
      <sheetData sheetId="2"/>
      <sheetData sheetId="3"/>
      <sheetData sheetId="4"/>
      <sheetData sheetId="5">
        <row r="1">
          <cell r="A1" t="str">
            <v>图号</v>
          </cell>
        </row>
      </sheetData>
      <sheetData sheetId="6"/>
      <sheetData sheetId="7"/>
      <sheetData sheetId="8"/>
      <sheetData sheetId="9"/>
      <sheetData sheetId="10"/>
      <sheetData sheetId="11"/>
      <sheetData sheetId="12"/>
      <sheetData sheetId="13" refreshError="1"/>
      <sheetData sheetId="14" refreshError="1"/>
      <sheetData sheetId="15"/>
      <sheetData sheetId="16"/>
      <sheetData sheetId="17"/>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总图取费"/>
      <sheetName val="装饰取费 (2)"/>
      <sheetName val="注射剂车间土建取费 (2)"/>
      <sheetName val="总图"/>
      <sheetName val="Sheet1"/>
      <sheetName val="哈药土建修改"/>
      <sheetName val="哈药总厂粉针及综合制剂车间建筑部分"/>
      <sheetName val="装饰修改"/>
      <sheetName val="装饰工程预算表"/>
      <sheetName val="工程量屋面屋架柱"/>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总概"/>
      <sheetName val="其他"/>
      <sheetName val="汇总表"/>
      <sheetName val="工艺概算"/>
      <sheetName val="101#工艺设备"/>
      <sheetName val="102#工艺设备"/>
      <sheetName val="103#工艺设备"/>
      <sheetName val="信息系统设备表"/>
      <sheetName val="汇总表1"/>
      <sheetName val="码头概算厂提"/>
      <sheetName val="护岸概算厂提"/>
      <sheetName val="ms1"/>
      <sheetName val="ms2"/>
      <sheetName val="mq1"/>
      <sheetName val="mq2"/>
      <sheetName val="mq3"/>
      <sheetName val="md1"/>
      <sheetName val="md2"/>
      <sheetName val="md3"/>
      <sheetName val="汇总表2"/>
      <sheetName val="hs1"/>
      <sheetName val="hs2"/>
      <sheetName val="hq1"/>
      <sheetName val="hq2"/>
      <sheetName val="hq3"/>
      <sheetName val="hd1"/>
      <sheetName val="hd2"/>
      <sheetName val="汇总表4"/>
      <sheetName val="地基处理"/>
      <sheetName val="汇总表5g"/>
      <sheetName val="gt1"/>
      <sheetName val="gt2"/>
      <sheetName val="gt3"/>
      <sheetName val="gs1"/>
      <sheetName val="gs2"/>
      <sheetName val="gn1"/>
      <sheetName val="gn2"/>
      <sheetName val="gn3"/>
      <sheetName val="gq1"/>
      <sheetName val="gq2"/>
      <sheetName val="gq3"/>
      <sheetName val="gd1"/>
      <sheetName val="gd2"/>
      <sheetName val="gd3"/>
      <sheetName val="汇总表t"/>
      <sheetName val="tt1"/>
      <sheetName val="tt2"/>
      <sheetName val="tt3"/>
      <sheetName val="tt4"/>
      <sheetName val="td1"/>
      <sheetName val="td2"/>
      <sheetName val="td3"/>
      <sheetName val="ty1"/>
      <sheetName val="ty2"/>
      <sheetName val="ty3"/>
      <sheetName val="tn1"/>
      <sheetName val="tn2"/>
      <sheetName val="tn3"/>
      <sheetName val="ts1"/>
      <sheetName val="ts2"/>
      <sheetName val="ts3"/>
      <sheetName val="tk1"/>
      <sheetName val="tk2"/>
      <sheetName val="tk3"/>
      <sheetName val="汇总表6j"/>
      <sheetName val="汇总表7"/>
      <sheetName val="汇总表8-2"/>
      <sheetName val="2t1"/>
      <sheetName val="2t2"/>
      <sheetName val="2t3"/>
      <sheetName val="2s1"/>
      <sheetName val="2s2"/>
      <sheetName val="2q1"/>
      <sheetName val="2q2"/>
      <sheetName val="2q3"/>
      <sheetName val="2d1"/>
      <sheetName val="2d2"/>
      <sheetName val="2d3"/>
      <sheetName val="汇总表9-3"/>
      <sheetName val="汇总表9-4"/>
      <sheetName val="3t1"/>
      <sheetName val="3t2"/>
      <sheetName val="3t3"/>
      <sheetName val="4t1"/>
      <sheetName val="4t2"/>
      <sheetName val="4t3"/>
      <sheetName val="fs1"/>
      <sheetName val="fs2"/>
      <sheetName val="fs3"/>
      <sheetName val="fn1"/>
      <sheetName val="fn2"/>
      <sheetName val="fn3"/>
      <sheetName val="fd1"/>
      <sheetName val="fd2"/>
      <sheetName val="fd3"/>
      <sheetName val="汇总表10-k1"/>
      <sheetName val="汇总表11-k2"/>
      <sheetName val="kt1"/>
      <sheetName val="kt2"/>
      <sheetName val="kt3"/>
      <sheetName val="kt4"/>
      <sheetName val="ks1"/>
      <sheetName val="ks2"/>
      <sheetName val="ks3"/>
      <sheetName val="kn1"/>
      <sheetName val="kn2"/>
      <sheetName val="kn3"/>
      <sheetName val="kq1"/>
      <sheetName val="kq2"/>
      <sheetName val="kq3"/>
      <sheetName val="kd1"/>
      <sheetName val="kd2"/>
      <sheetName val="kd3"/>
      <sheetName val="汇总表13-b"/>
      <sheetName val="bt1"/>
      <sheetName val="bt2"/>
      <sheetName val="bt3"/>
      <sheetName val="bs1"/>
      <sheetName val="bs2"/>
      <sheetName val="bs3"/>
      <sheetName val="bn1"/>
      <sheetName val="bn2"/>
      <sheetName val="bn3"/>
      <sheetName val="bd1"/>
      <sheetName val="bd2"/>
      <sheetName val="bd3"/>
      <sheetName val="汇总表12-m"/>
      <sheetName val="mwn1"/>
      <sheetName val="mwn2"/>
      <sheetName val="mwn3"/>
      <sheetName val="mwd1"/>
      <sheetName val="mwd2"/>
      <sheetName val="汇总表14"/>
      <sheetName val="ws1"/>
      <sheetName val="ws2"/>
      <sheetName val="wn1"/>
      <sheetName val="wn2"/>
      <sheetName val="wq1"/>
      <sheetName val="wq2"/>
      <sheetName val="wd1"/>
      <sheetName val="wd2"/>
    </sheetNames>
    <sheetDataSet>
      <sheetData sheetId="0"/>
      <sheetData sheetId="1">
        <row r="7">
          <cell r="B7" t="str">
            <v>建设单位管理费</v>
          </cell>
          <cell r="F7">
            <v>563</v>
          </cell>
          <cell r="H7">
            <v>1501.4216425306556</v>
          </cell>
        </row>
        <row r="8">
          <cell r="B8" t="str">
            <v>前期工作费</v>
          </cell>
          <cell r="F8">
            <v>170.72</v>
          </cell>
        </row>
        <row r="9">
          <cell r="B9" t="str">
            <v>勘察费</v>
          </cell>
          <cell r="F9">
            <v>91.53492</v>
          </cell>
        </row>
        <row r="10">
          <cell r="B10" t="str">
            <v>工程设计费</v>
          </cell>
        </row>
        <row r="11">
          <cell r="B11" t="str">
            <v>工程建设监理费</v>
          </cell>
          <cell r="F11">
            <v>677.12918994553002</v>
          </cell>
        </row>
        <row r="12">
          <cell r="B12" t="str">
            <v>招标代理服务费</v>
          </cell>
          <cell r="F12">
            <v>87.427175919482792</v>
          </cell>
        </row>
        <row r="13">
          <cell r="B13" t="str">
            <v>施工图审查费</v>
          </cell>
          <cell r="F13">
            <v>75.071082126532787</v>
          </cell>
        </row>
        <row r="14">
          <cell r="B14" t="str">
            <v>劳动卫生安全评价费</v>
          </cell>
          <cell r="F14">
            <v>60</v>
          </cell>
        </row>
        <row r="15">
          <cell r="B15" t="str">
            <v>环境影响咨询费</v>
          </cell>
          <cell r="F15">
            <v>104.8</v>
          </cell>
        </row>
        <row r="16">
          <cell r="B16" t="str">
            <v>设备搬迁费</v>
          </cell>
          <cell r="F16">
            <v>600</v>
          </cell>
        </row>
        <row r="17">
          <cell r="B17" t="str">
            <v>二期土地购置费</v>
          </cell>
          <cell r="F17">
            <v>11931.772000000001</v>
          </cell>
        </row>
        <row r="18">
          <cell r="B18" t="str">
            <v>一期土地购置费</v>
          </cell>
          <cell r="F18">
            <v>7620.3680000000004</v>
          </cell>
        </row>
        <row r="19">
          <cell r="B19" t="str">
            <v>二期土地购置税金</v>
          </cell>
          <cell r="F19">
            <v>536.92973999999992</v>
          </cell>
        </row>
        <row r="20">
          <cell r="B20" t="str">
            <v>一期土地购置税金</v>
          </cell>
          <cell r="F20">
            <v>342.91656</v>
          </cell>
        </row>
        <row r="21">
          <cell r="B21" t="str">
            <v>其他</v>
          </cell>
        </row>
        <row r="22">
          <cell r="B22" t="str">
            <v>项目管理费</v>
          </cell>
          <cell r="F22">
            <v>300</v>
          </cell>
        </row>
      </sheetData>
      <sheetData sheetId="2">
        <row r="9">
          <cell r="Q9">
            <v>0</v>
          </cell>
        </row>
        <row r="14">
          <cell r="J14">
            <v>0</v>
          </cell>
        </row>
        <row r="15">
          <cell r="J15">
            <v>0</v>
          </cell>
        </row>
        <row r="16">
          <cell r="B16">
            <v>102</v>
          </cell>
          <cell r="C16" t="str">
            <v>锅压厂房</v>
          </cell>
        </row>
        <row r="20">
          <cell r="C20" t="str">
            <v>2#总装场地</v>
          </cell>
        </row>
        <row r="21">
          <cell r="C21" t="str">
            <v>周转场地</v>
          </cell>
        </row>
        <row r="22">
          <cell r="B22">
            <v>301</v>
          </cell>
          <cell r="C22" t="str">
            <v>66KV总降压站</v>
          </cell>
        </row>
        <row r="24">
          <cell r="B24">
            <v>303</v>
          </cell>
          <cell r="C24" t="str">
            <v>1#空压站</v>
          </cell>
        </row>
        <row r="25">
          <cell r="B25">
            <v>304</v>
          </cell>
          <cell r="C25" t="str">
            <v>2#空压站</v>
          </cell>
        </row>
        <row r="30">
          <cell r="B30">
            <v>301</v>
          </cell>
          <cell r="C30" t="str">
            <v>办公楼</v>
          </cell>
        </row>
        <row r="31">
          <cell r="C31" t="str">
            <v>门卫房二</v>
          </cell>
        </row>
        <row r="32">
          <cell r="C32" t="str">
            <v>门卫房三</v>
          </cell>
        </row>
        <row r="33">
          <cell r="Q33">
            <v>0</v>
          </cell>
        </row>
        <row r="34">
          <cell r="C34" t="str">
            <v>工厂信息化工程</v>
          </cell>
          <cell r="Q34">
            <v>0</v>
          </cell>
        </row>
        <row r="38">
          <cell r="H38">
            <v>12882248</v>
          </cell>
        </row>
      </sheetData>
      <sheetData sheetId="3">
        <row r="92">
          <cell r="M92">
            <v>68.959999999999994</v>
          </cell>
          <cell r="O92">
            <v>1.45</v>
          </cell>
        </row>
        <row r="110">
          <cell r="M110">
            <v>164.70999999999998</v>
          </cell>
          <cell r="O110">
            <v>2.2584</v>
          </cell>
        </row>
        <row r="112">
          <cell r="I112">
            <v>5409.5550000000003</v>
          </cell>
          <cell r="O112">
            <v>307.00509999999997</v>
          </cell>
        </row>
        <row r="181">
          <cell r="I181">
            <v>4938.9937</v>
          </cell>
          <cell r="O181">
            <v>61.331325999999997</v>
          </cell>
        </row>
        <row r="186">
          <cell r="M186">
            <v>24</v>
          </cell>
          <cell r="O186">
            <v>2.4</v>
          </cell>
        </row>
        <row r="227">
          <cell r="I227">
            <v>607.02</v>
          </cell>
        </row>
      </sheetData>
      <sheetData sheetId="4"/>
      <sheetData sheetId="5"/>
      <sheetData sheetId="6"/>
      <sheetData sheetId="7"/>
      <sheetData sheetId="8">
        <row r="6">
          <cell r="C6">
            <v>105205.42</v>
          </cell>
        </row>
        <row r="8">
          <cell r="C8">
            <v>140818.57</v>
          </cell>
        </row>
        <row r="9">
          <cell r="C9">
            <v>5829865.2599999998</v>
          </cell>
        </row>
        <row r="10">
          <cell r="D10">
            <v>784000</v>
          </cell>
        </row>
      </sheetData>
      <sheetData sheetId="9">
        <row r="45">
          <cell r="I45">
            <v>47088175.259655699</v>
          </cell>
        </row>
      </sheetData>
      <sheetData sheetId="10">
        <row r="29">
          <cell r="I29">
            <v>7442765</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5">
          <cell r="C5">
            <v>45000000</v>
          </cell>
        </row>
      </sheetData>
      <sheetData sheetId="28"/>
      <sheetData sheetId="29">
        <row r="5">
          <cell r="C5">
            <v>23250817.120000001</v>
          </cell>
        </row>
        <row r="6">
          <cell r="C6">
            <v>17820000</v>
          </cell>
        </row>
        <row r="7">
          <cell r="C7">
            <v>717267.98</v>
          </cell>
        </row>
        <row r="8">
          <cell r="C8">
            <v>327463.95999999996</v>
          </cell>
        </row>
        <row r="9">
          <cell r="C9">
            <v>560359.59</v>
          </cell>
        </row>
        <row r="10">
          <cell r="C10">
            <v>869428.08999999985</v>
          </cell>
        </row>
        <row r="11">
          <cell r="D11">
            <v>4463600</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ow r="5">
          <cell r="C5">
            <v>79866295.430000007</v>
          </cell>
        </row>
        <row r="6">
          <cell r="C6">
            <v>14654400</v>
          </cell>
        </row>
        <row r="7">
          <cell r="C7">
            <v>3310432.6300000008</v>
          </cell>
        </row>
        <row r="8">
          <cell r="C8">
            <v>11313384.629999999</v>
          </cell>
        </row>
        <row r="9">
          <cell r="C9">
            <v>1037137.75</v>
          </cell>
        </row>
        <row r="10">
          <cell r="C10">
            <v>12335656.66</v>
          </cell>
        </row>
        <row r="11">
          <cell r="D11">
            <v>40420000</v>
          </cell>
        </row>
      </sheetData>
      <sheetData sheetId="65">
        <row r="9">
          <cell r="C9">
            <v>159018.47</v>
          </cell>
        </row>
        <row r="11">
          <cell r="D11">
            <v>5598000</v>
          </cell>
        </row>
      </sheetData>
      <sheetData sheetId="66">
        <row r="5">
          <cell r="C5">
            <v>4063292.55</v>
          </cell>
        </row>
        <row r="6">
          <cell r="C6">
            <v>154992.82</v>
          </cell>
        </row>
        <row r="8">
          <cell r="C8">
            <v>157887.84999999998</v>
          </cell>
        </row>
        <row r="9">
          <cell r="C9">
            <v>3782153.9299999997</v>
          </cell>
        </row>
        <row r="10">
          <cell r="D10">
            <v>3440000</v>
          </cell>
        </row>
      </sheetData>
      <sheetData sheetId="67"/>
      <sheetData sheetId="68"/>
      <sheetData sheetId="69"/>
      <sheetData sheetId="70"/>
      <sheetData sheetId="71"/>
      <sheetData sheetId="72"/>
      <sheetData sheetId="73"/>
      <sheetData sheetId="74"/>
      <sheetData sheetId="75"/>
      <sheetData sheetId="76"/>
      <sheetData sheetId="77"/>
      <sheetData sheetId="78">
        <row r="5">
          <cell r="C5">
            <v>2463695.36</v>
          </cell>
        </row>
        <row r="6">
          <cell r="C6">
            <v>196256.83</v>
          </cell>
        </row>
        <row r="7">
          <cell r="C7">
            <v>618187.34</v>
          </cell>
        </row>
        <row r="9">
          <cell r="C9">
            <v>153675.95999999996</v>
          </cell>
        </row>
        <row r="10">
          <cell r="D10">
            <v>1481000</v>
          </cell>
        </row>
      </sheetData>
      <sheetData sheetId="79">
        <row r="5">
          <cell r="C5">
            <v>2904530.99</v>
          </cell>
        </row>
      </sheetData>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ow r="6">
          <cell r="C6">
            <v>284289.25</v>
          </cell>
        </row>
        <row r="7">
          <cell r="C7">
            <v>39992.879999999997</v>
          </cell>
        </row>
        <row r="8">
          <cell r="C8">
            <v>272910.56999999983</v>
          </cell>
        </row>
        <row r="9">
          <cell r="C9">
            <v>153675.95999999996</v>
          </cell>
        </row>
        <row r="10">
          <cell r="D10">
            <v>4519500</v>
          </cell>
        </row>
      </sheetData>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row r="5">
          <cell r="C5">
            <v>28019434.329999998</v>
          </cell>
        </row>
        <row r="6">
          <cell r="C6">
            <v>1714464.27</v>
          </cell>
        </row>
        <row r="7">
          <cell r="C7">
            <v>686665.08999999985</v>
          </cell>
        </row>
        <row r="9">
          <cell r="C9">
            <v>999650.0299999998</v>
          </cell>
        </row>
        <row r="10">
          <cell r="D10">
            <v>7160375</v>
          </cell>
        </row>
      </sheetData>
      <sheetData sheetId="114"/>
      <sheetData sheetId="115"/>
      <sheetData sheetId="116"/>
      <sheetData sheetId="117"/>
      <sheetData sheetId="118"/>
      <sheetData sheetId="119"/>
      <sheetData sheetId="120"/>
      <sheetData sheetId="121"/>
      <sheetData sheetId="122"/>
      <sheetData sheetId="123"/>
      <sheetData sheetId="124"/>
      <sheetData sheetId="125"/>
      <sheetData sheetId="126">
        <row r="7">
          <cell r="C7">
            <v>38192.629999999997</v>
          </cell>
        </row>
        <row r="9">
          <cell r="C9">
            <v>10558.36</v>
          </cell>
        </row>
        <row r="10">
          <cell r="D10">
            <v>22000</v>
          </cell>
        </row>
      </sheetData>
      <sheetData sheetId="127"/>
      <sheetData sheetId="128"/>
      <sheetData sheetId="129"/>
      <sheetData sheetId="130"/>
      <sheetData sheetId="131"/>
      <sheetData sheetId="132">
        <row r="6">
          <cell r="C6">
            <v>1564723.96</v>
          </cell>
        </row>
        <row r="7">
          <cell r="C7">
            <v>2934356.56</v>
          </cell>
        </row>
        <row r="8">
          <cell r="C8">
            <v>4672947.22</v>
          </cell>
        </row>
        <row r="9">
          <cell r="C9">
            <v>2425000</v>
          </cell>
        </row>
        <row r="10">
          <cell r="C10">
            <v>9750000</v>
          </cell>
        </row>
        <row r="11">
          <cell r="C11">
            <v>980000</v>
          </cell>
        </row>
      </sheetData>
      <sheetData sheetId="133"/>
      <sheetData sheetId="134"/>
      <sheetData sheetId="135"/>
      <sheetData sheetId="136"/>
      <sheetData sheetId="137"/>
      <sheetData sheetId="138"/>
      <sheetData sheetId="139"/>
      <sheetData sheetId="140"/>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BS117"/>
  <sheetViews>
    <sheetView topLeftCell="C10" workbookViewId="0">
      <selection activeCell="G27" sqref="G27"/>
    </sheetView>
  </sheetViews>
  <sheetFormatPr defaultColWidth="9.875" defaultRowHeight="14.25"/>
  <cols>
    <col min="1" max="2" width="9.875" style="19" hidden="1" customWidth="1"/>
    <col min="3" max="3" width="5" style="19" customWidth="1"/>
    <col min="4" max="4" width="31.625" style="19" bestFit="1" customWidth="1"/>
    <col min="5" max="5" width="9.875" style="39" customWidth="1"/>
    <col min="6" max="6" width="7.25" style="40" customWidth="1"/>
    <col min="7" max="8" width="9.875" style="41" customWidth="1"/>
    <col min="9" max="9" width="6.875" style="41" customWidth="1"/>
    <col min="10" max="10" width="7.25" style="41" customWidth="1"/>
    <col min="11" max="11" width="8.125" style="41" customWidth="1"/>
    <col min="12" max="12" width="7.375" style="42" customWidth="1"/>
    <col min="13" max="13" width="7.25" style="19" customWidth="1"/>
    <col min="14" max="14" width="7.5" style="19" customWidth="1"/>
    <col min="15" max="15" width="9.875" style="19" customWidth="1"/>
    <col min="16" max="16" width="9.875" style="19" hidden="1" customWidth="1"/>
    <col min="17" max="16384" width="9.875" style="19"/>
  </cols>
  <sheetData>
    <row r="1" spans="1:71" s="17" customFormat="1">
      <c r="A1" s="369" t="s">
        <v>13</v>
      </c>
      <c r="B1" s="369"/>
      <c r="C1" s="369"/>
      <c r="D1" s="369"/>
      <c r="E1" s="13"/>
      <c r="F1" s="14"/>
      <c r="G1" s="15"/>
      <c r="H1" s="15"/>
      <c r="I1" s="15"/>
      <c r="J1" s="15"/>
      <c r="K1" s="15"/>
      <c r="L1" s="16"/>
    </row>
    <row r="2" spans="1:71" ht="20.25">
      <c r="A2" s="370" t="s">
        <v>14</v>
      </c>
      <c r="B2" s="370"/>
      <c r="C2" s="370"/>
      <c r="D2" s="370"/>
      <c r="E2" s="370"/>
      <c r="F2" s="370"/>
      <c r="G2" s="370"/>
      <c r="H2" s="370"/>
      <c r="I2" s="370"/>
      <c r="J2" s="370"/>
      <c r="K2" s="370"/>
      <c r="L2" s="370"/>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row>
    <row r="3" spans="1:71" s="20" customFormat="1" ht="27.75" customHeight="1">
      <c r="A3" s="63" t="s">
        <v>64</v>
      </c>
      <c r="B3" s="63"/>
      <c r="C3" s="371" t="s">
        <v>23</v>
      </c>
      <c r="D3" s="371"/>
      <c r="E3" s="371"/>
      <c r="F3" s="371"/>
      <c r="G3" s="371"/>
      <c r="H3" s="371"/>
      <c r="I3" s="371"/>
      <c r="J3" s="371"/>
      <c r="K3" s="371"/>
      <c r="L3" s="371"/>
      <c r="M3" s="371"/>
      <c r="N3" s="371"/>
    </row>
    <row r="4" spans="1:71" s="23" customFormat="1" ht="18.75" customHeight="1">
      <c r="A4" s="372" t="s">
        <v>24</v>
      </c>
      <c r="B4" s="373" t="s">
        <v>65</v>
      </c>
      <c r="C4" s="50"/>
      <c r="D4" s="372" t="s">
        <v>66</v>
      </c>
      <c r="E4" s="372" t="s">
        <v>67</v>
      </c>
      <c r="F4" s="377" t="s">
        <v>68</v>
      </c>
      <c r="G4" s="377" t="s">
        <v>69</v>
      </c>
      <c r="H4" s="377"/>
      <c r="I4" s="377" t="s">
        <v>70</v>
      </c>
      <c r="J4" s="377" t="s">
        <v>71</v>
      </c>
      <c r="K4" s="378" t="s">
        <v>72</v>
      </c>
      <c r="L4" s="380" t="s">
        <v>73</v>
      </c>
      <c r="M4" s="381" t="s">
        <v>74</v>
      </c>
      <c r="N4" s="375" t="s">
        <v>75</v>
      </c>
    </row>
    <row r="5" spans="1:71" s="23" customFormat="1" ht="18.75" customHeight="1">
      <c r="A5" s="372"/>
      <c r="B5" s="374"/>
      <c r="C5" s="51"/>
      <c r="D5" s="372"/>
      <c r="E5" s="372"/>
      <c r="F5" s="377"/>
      <c r="G5" s="22" t="s">
        <v>76</v>
      </c>
      <c r="H5" s="22" t="s">
        <v>77</v>
      </c>
      <c r="I5" s="377"/>
      <c r="J5" s="377"/>
      <c r="K5" s="379"/>
      <c r="L5" s="380"/>
      <c r="M5" s="382"/>
      <c r="N5" s="376"/>
    </row>
    <row r="6" spans="1:71" ht="15.75">
      <c r="A6" s="24"/>
      <c r="B6" s="24"/>
      <c r="C6" s="24"/>
      <c r="D6" s="60" t="s">
        <v>78</v>
      </c>
      <c r="E6" s="25"/>
      <c r="F6" s="26"/>
      <c r="G6" s="26"/>
      <c r="H6" s="26"/>
      <c r="I6" s="26"/>
      <c r="J6" s="26"/>
      <c r="K6" s="26"/>
      <c r="L6" s="27"/>
      <c r="M6" s="52"/>
      <c r="N6" s="52"/>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row>
    <row r="7" spans="1:71" ht="15.75">
      <c r="A7" s="24"/>
      <c r="B7" s="24"/>
      <c r="C7" s="57" t="s">
        <v>79</v>
      </c>
      <c r="D7" s="72" t="s">
        <v>80</v>
      </c>
      <c r="E7" s="25"/>
      <c r="F7" s="26"/>
      <c r="G7" s="26"/>
      <c r="H7" s="26"/>
      <c r="I7" s="26"/>
      <c r="J7" s="26"/>
      <c r="K7" s="26"/>
      <c r="L7" s="27"/>
      <c r="M7" s="53"/>
      <c r="N7" s="52"/>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row>
    <row r="8" spans="1:71" ht="15.75">
      <c r="A8" s="24"/>
      <c r="B8" s="28"/>
      <c r="C8" s="58">
        <v>1</v>
      </c>
      <c r="D8" s="71" t="s">
        <v>81</v>
      </c>
      <c r="E8" s="25"/>
      <c r="F8" s="26"/>
      <c r="G8" s="26"/>
      <c r="H8" s="26"/>
      <c r="I8" s="26"/>
      <c r="J8" s="26"/>
      <c r="K8" s="26"/>
      <c r="L8" s="27"/>
      <c r="M8" s="53"/>
      <c r="N8" s="52"/>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row>
    <row r="9" spans="1:71" ht="15.75">
      <c r="A9" s="24">
        <v>1</v>
      </c>
      <c r="B9" s="28"/>
      <c r="C9" s="34">
        <v>1.1000000000000001</v>
      </c>
      <c r="D9" s="29" t="s">
        <v>82</v>
      </c>
      <c r="E9" s="62"/>
      <c r="F9" s="43">
        <v>383.31</v>
      </c>
      <c r="G9" s="43"/>
      <c r="H9" s="43">
        <v>13671.39</v>
      </c>
      <c r="I9" s="43">
        <v>383.31</v>
      </c>
      <c r="J9" s="43"/>
      <c r="K9" s="43">
        <v>14438.01</v>
      </c>
      <c r="L9" s="43"/>
      <c r="M9" s="53"/>
      <c r="N9" s="52"/>
      <c r="O9" s="18"/>
      <c r="P9" s="43">
        <v>1305</v>
      </c>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row>
    <row r="10" spans="1:71" ht="15.75">
      <c r="A10" s="24">
        <v>2</v>
      </c>
      <c r="B10" s="28"/>
      <c r="C10" s="34">
        <v>1.2</v>
      </c>
      <c r="D10" s="31" t="s">
        <v>83</v>
      </c>
      <c r="E10" s="62"/>
      <c r="F10" s="43">
        <v>113.13</v>
      </c>
      <c r="G10" s="30"/>
      <c r="H10" s="43">
        <v>4034.97</v>
      </c>
      <c r="I10" s="43">
        <v>113.13</v>
      </c>
      <c r="J10" s="43"/>
      <c r="K10" s="43">
        <v>4261.2299999999996</v>
      </c>
      <c r="L10" s="43"/>
      <c r="M10" s="54"/>
      <c r="N10" s="52"/>
      <c r="O10" s="18"/>
      <c r="P10" s="43">
        <v>1385</v>
      </c>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row>
    <row r="11" spans="1:71" ht="15.75">
      <c r="A11" s="24">
        <v>3</v>
      </c>
      <c r="B11" s="24"/>
      <c r="C11" s="34">
        <v>1.3</v>
      </c>
      <c r="D11" s="32" t="s">
        <v>84</v>
      </c>
      <c r="E11" s="30"/>
      <c r="F11" s="43">
        <v>21.5</v>
      </c>
      <c r="G11" s="43"/>
      <c r="H11" s="43">
        <v>460.1</v>
      </c>
      <c r="I11" s="43">
        <v>10.75</v>
      </c>
      <c r="J11" s="43"/>
      <c r="K11" s="43">
        <v>492.35</v>
      </c>
      <c r="L11" s="43"/>
      <c r="M11" s="54"/>
      <c r="N11" s="52"/>
      <c r="O11" s="18"/>
      <c r="P11" s="43">
        <v>1278</v>
      </c>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row>
    <row r="12" spans="1:71" ht="15.75">
      <c r="A12" s="24">
        <v>4</v>
      </c>
      <c r="B12" s="24"/>
      <c r="C12" s="34">
        <v>1.4</v>
      </c>
      <c r="D12" s="32" t="s">
        <v>85</v>
      </c>
      <c r="E12" s="30"/>
      <c r="F12" s="43">
        <v>28.7</v>
      </c>
      <c r="G12" s="43"/>
      <c r="H12" s="43">
        <v>1535.45</v>
      </c>
      <c r="I12" s="43">
        <v>28.7</v>
      </c>
      <c r="J12" s="43"/>
      <c r="K12" s="43">
        <v>1592.85</v>
      </c>
      <c r="L12" s="43"/>
      <c r="M12" s="54"/>
      <c r="N12" s="52"/>
      <c r="O12" s="18"/>
      <c r="P12" s="43">
        <v>982</v>
      </c>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row>
    <row r="13" spans="1:71" ht="15.75">
      <c r="A13" s="24">
        <v>5</v>
      </c>
      <c r="B13" s="24"/>
      <c r="C13" s="34">
        <v>1.5</v>
      </c>
      <c r="D13" s="32" t="s">
        <v>86</v>
      </c>
      <c r="E13" s="69"/>
      <c r="F13" s="43">
        <v>0.8</v>
      </c>
      <c r="G13" s="43"/>
      <c r="H13" s="43">
        <v>85.6</v>
      </c>
      <c r="I13" s="43">
        <v>4</v>
      </c>
      <c r="J13" s="43"/>
      <c r="K13" s="43">
        <v>90.4</v>
      </c>
      <c r="L13" s="43"/>
      <c r="M13" s="54"/>
      <c r="N13" s="52"/>
      <c r="O13" s="18"/>
      <c r="P13" s="43">
        <v>1072</v>
      </c>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row>
    <row r="14" spans="1:71" ht="15.75">
      <c r="A14" s="24"/>
      <c r="B14" s="24"/>
      <c r="C14" s="34">
        <v>1.6</v>
      </c>
      <c r="D14" s="32" t="s">
        <v>37</v>
      </c>
      <c r="E14" s="62"/>
      <c r="F14" s="43">
        <v>0</v>
      </c>
      <c r="G14" s="43"/>
      <c r="H14" s="43">
        <v>112.70299999999999</v>
      </c>
      <c r="I14" s="43">
        <v>0</v>
      </c>
      <c r="J14" s="43"/>
      <c r="K14" s="43">
        <v>112.70299999999999</v>
      </c>
      <c r="L14" s="43"/>
      <c r="M14" s="54"/>
      <c r="N14" s="52"/>
      <c r="O14" s="18"/>
      <c r="P14" s="43">
        <v>130</v>
      </c>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row>
    <row r="15" spans="1:71" ht="15.75">
      <c r="A15" s="24"/>
      <c r="B15" s="24"/>
      <c r="C15" s="58"/>
      <c r="D15" s="21" t="s">
        <v>87</v>
      </c>
      <c r="E15" s="43"/>
      <c r="F15" s="43">
        <v>547.44000000000005</v>
      </c>
      <c r="G15" s="43"/>
      <c r="H15" s="43">
        <v>19900.213</v>
      </c>
      <c r="I15" s="43">
        <v>539.89</v>
      </c>
      <c r="J15" s="43"/>
      <c r="K15" s="43">
        <v>20987.542999999998</v>
      </c>
      <c r="L15" s="43">
        <v>685.22875816993462</v>
      </c>
      <c r="M15" s="54"/>
      <c r="N15" s="52"/>
      <c r="O15" s="81">
        <v>20987.543000000001</v>
      </c>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row>
    <row r="16" spans="1:71" ht="15.75">
      <c r="A16" s="24"/>
      <c r="B16" s="24"/>
      <c r="C16" s="58"/>
      <c r="D16" s="21"/>
      <c r="E16" s="43"/>
      <c r="F16" s="43"/>
      <c r="G16" s="43"/>
      <c r="H16" s="43"/>
      <c r="I16" s="43"/>
      <c r="J16" s="43"/>
      <c r="K16" s="43"/>
      <c r="L16" s="43"/>
      <c r="M16" s="54"/>
      <c r="N16" s="52"/>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row>
    <row r="17" spans="1:71" ht="15.75">
      <c r="A17" s="24"/>
      <c r="B17" s="24"/>
      <c r="C17" s="58">
        <v>2</v>
      </c>
      <c r="D17" s="71" t="s">
        <v>88</v>
      </c>
      <c r="E17" s="43"/>
      <c r="F17" s="43"/>
      <c r="G17" s="43"/>
      <c r="H17" s="43"/>
      <c r="I17" s="43"/>
      <c r="J17" s="43"/>
      <c r="K17" s="43"/>
      <c r="L17" s="43"/>
      <c r="M17" s="54"/>
      <c r="N17" s="52"/>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row>
    <row r="18" spans="1:71" ht="15.75">
      <c r="A18" s="24"/>
      <c r="B18" s="24"/>
      <c r="C18" s="58">
        <v>2.1</v>
      </c>
      <c r="D18" s="70" t="s">
        <v>38</v>
      </c>
      <c r="E18" s="43">
        <v>16669.8</v>
      </c>
      <c r="F18" s="43">
        <v>3967.4124000000006</v>
      </c>
      <c r="G18" s="43"/>
      <c r="H18" s="43"/>
      <c r="I18" s="43"/>
      <c r="J18" s="43"/>
      <c r="K18" s="43">
        <v>3967.4124000000006</v>
      </c>
      <c r="L18" s="43"/>
      <c r="M18" s="54"/>
      <c r="N18" s="52"/>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row>
    <row r="19" spans="1:71" ht="15.75">
      <c r="A19" s="24"/>
      <c r="B19" s="24"/>
      <c r="C19" s="58">
        <v>2.2000000000000002</v>
      </c>
      <c r="D19" s="70" t="s">
        <v>39</v>
      </c>
      <c r="E19" s="43">
        <v>9903.6</v>
      </c>
      <c r="F19" s="43">
        <v>2347.1532000000002</v>
      </c>
      <c r="G19" s="76"/>
      <c r="H19" s="43"/>
      <c r="I19" s="43"/>
      <c r="J19" s="43"/>
      <c r="K19" s="43">
        <v>2347.1532000000002</v>
      </c>
      <c r="L19" s="43"/>
      <c r="M19" s="54"/>
      <c r="N19" s="52"/>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row>
    <row r="20" spans="1:71" ht="15.75">
      <c r="A20" s="24"/>
      <c r="B20" s="24"/>
      <c r="C20" s="58">
        <v>2.2999999999999998</v>
      </c>
      <c r="D20" s="70" t="s">
        <v>40</v>
      </c>
      <c r="E20" s="43">
        <v>100.8</v>
      </c>
      <c r="F20" s="43">
        <v>10.08</v>
      </c>
      <c r="G20" s="43"/>
      <c r="H20" s="43"/>
      <c r="I20" s="43"/>
      <c r="J20" s="43"/>
      <c r="K20" s="43">
        <v>10.08</v>
      </c>
      <c r="L20" s="43"/>
      <c r="M20" s="54"/>
      <c r="N20" s="52"/>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row>
    <row r="21" spans="1:71" ht="15.75">
      <c r="A21" s="24"/>
      <c r="B21" s="24"/>
      <c r="C21" s="58">
        <v>2.4</v>
      </c>
      <c r="D21" s="70" t="s">
        <v>41</v>
      </c>
      <c r="E21" s="82">
        <v>-300</v>
      </c>
      <c r="F21" s="43">
        <v>24</v>
      </c>
      <c r="G21" s="43"/>
      <c r="H21" s="43"/>
      <c r="I21" s="43"/>
      <c r="J21" s="43"/>
      <c r="K21" s="43">
        <v>24</v>
      </c>
      <c r="L21" s="43"/>
      <c r="M21" s="54"/>
      <c r="N21" s="52"/>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row>
    <row r="22" spans="1:71" ht="15.75">
      <c r="A22" s="24"/>
      <c r="B22" s="24"/>
      <c r="C22" s="58">
        <v>2.5</v>
      </c>
      <c r="D22" s="70" t="s">
        <v>42</v>
      </c>
      <c r="E22" s="82">
        <v>-500</v>
      </c>
      <c r="F22" s="43">
        <v>25</v>
      </c>
      <c r="G22" s="43"/>
      <c r="H22" s="43"/>
      <c r="I22" s="43"/>
      <c r="J22" s="43"/>
      <c r="K22" s="43">
        <v>25</v>
      </c>
      <c r="L22" s="43"/>
      <c r="M22" s="54"/>
      <c r="N22" s="52"/>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row>
    <row r="23" spans="1:71" ht="15.75">
      <c r="A23" s="24"/>
      <c r="B23" s="24"/>
      <c r="C23" s="58"/>
      <c r="D23" s="57" t="s">
        <v>89</v>
      </c>
      <c r="E23" s="43">
        <v>26674.2</v>
      </c>
      <c r="F23" s="43">
        <v>6373.6456000000007</v>
      </c>
      <c r="G23" s="43"/>
      <c r="H23" s="43"/>
      <c r="I23" s="43"/>
      <c r="J23" s="43"/>
      <c r="K23" s="43">
        <v>6373.6456000000007</v>
      </c>
      <c r="L23" s="43"/>
      <c r="M23" s="54"/>
      <c r="N23" s="52"/>
      <c r="O23" s="81">
        <v>6373.6456000000007</v>
      </c>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row>
    <row r="24" spans="1:71" ht="15.75">
      <c r="A24" s="24"/>
      <c r="B24" s="24"/>
      <c r="C24" s="58"/>
      <c r="D24" s="21"/>
      <c r="E24" s="43"/>
      <c r="F24" s="43"/>
      <c r="G24" s="43"/>
      <c r="H24" s="43"/>
      <c r="I24" s="43"/>
      <c r="J24" s="43"/>
      <c r="K24" s="43"/>
      <c r="L24" s="43"/>
      <c r="M24" s="54"/>
      <c r="N24" s="52"/>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row>
    <row r="25" spans="1:71" ht="15.75">
      <c r="A25" s="24"/>
      <c r="B25" s="24"/>
      <c r="C25" s="59" t="s">
        <v>90</v>
      </c>
      <c r="D25" s="73" t="s">
        <v>91</v>
      </c>
      <c r="E25" s="43"/>
      <c r="F25" s="43"/>
      <c r="G25" s="43"/>
      <c r="H25" s="43"/>
      <c r="I25" s="43"/>
      <c r="J25" s="43"/>
      <c r="K25" s="43"/>
      <c r="L25" s="43"/>
      <c r="M25" s="54"/>
      <c r="N25" s="52"/>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row>
    <row r="26" spans="1:71" ht="15.75" customHeight="1">
      <c r="A26" s="24">
        <v>1</v>
      </c>
      <c r="B26" s="24"/>
      <c r="C26" s="59">
        <v>1</v>
      </c>
      <c r="D26" s="29" t="s">
        <v>43</v>
      </c>
      <c r="E26" s="29"/>
      <c r="F26" s="29"/>
      <c r="G26" s="83">
        <v>775.75</v>
      </c>
      <c r="H26" s="43"/>
      <c r="I26" s="43"/>
      <c r="J26" s="43"/>
      <c r="K26" s="43">
        <v>775.75</v>
      </c>
      <c r="L26" s="43"/>
      <c r="M26" s="55"/>
      <c r="N26" s="52"/>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row>
    <row r="27" spans="1:71" ht="16.5" customHeight="1">
      <c r="A27" s="24">
        <v>2</v>
      </c>
      <c r="B27" s="24"/>
      <c r="C27" s="59">
        <v>2</v>
      </c>
      <c r="D27" s="29" t="s">
        <v>44</v>
      </c>
      <c r="E27" s="43"/>
      <c r="F27" s="43"/>
      <c r="G27" s="83">
        <v>85.6</v>
      </c>
      <c r="H27" s="43"/>
      <c r="I27" s="43"/>
      <c r="J27" s="43"/>
      <c r="K27" s="43">
        <v>85.6</v>
      </c>
      <c r="L27" s="43"/>
      <c r="M27" s="52"/>
      <c r="N27" s="55"/>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row>
    <row r="28" spans="1:71" ht="15.75">
      <c r="A28" s="24">
        <v>3</v>
      </c>
      <c r="B28" s="24"/>
      <c r="C28" s="59">
        <v>3</v>
      </c>
      <c r="D28" s="33" t="s">
        <v>45</v>
      </c>
      <c r="E28" s="44"/>
      <c r="F28" s="44"/>
      <c r="G28" s="83">
        <v>32.1</v>
      </c>
      <c r="H28" s="44"/>
      <c r="I28" s="44"/>
      <c r="J28" s="44"/>
      <c r="K28" s="43">
        <v>32.1</v>
      </c>
      <c r="L28" s="43"/>
      <c r="M28" s="52"/>
      <c r="N28" s="55"/>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row>
    <row r="29" spans="1:71">
      <c r="A29" s="24">
        <v>4</v>
      </c>
      <c r="B29" s="24"/>
      <c r="C29" s="59">
        <v>4</v>
      </c>
      <c r="D29" s="33" t="s">
        <v>46</v>
      </c>
      <c r="E29" s="43"/>
      <c r="F29" s="44"/>
      <c r="G29" s="83">
        <v>813.2</v>
      </c>
      <c r="H29" s="43"/>
      <c r="I29" s="43"/>
      <c r="J29" s="43"/>
      <c r="K29" s="43">
        <v>813.2</v>
      </c>
      <c r="L29" s="43"/>
      <c r="M29" s="24"/>
      <c r="N29" s="24"/>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row>
    <row r="30" spans="1:71">
      <c r="A30" s="24"/>
      <c r="B30" s="24"/>
      <c r="C30" s="59">
        <v>5</v>
      </c>
      <c r="D30" s="33" t="s">
        <v>47</v>
      </c>
      <c r="E30" s="43"/>
      <c r="F30" s="44"/>
      <c r="G30" s="83">
        <v>16.05</v>
      </c>
      <c r="H30" s="43"/>
      <c r="I30" s="43"/>
      <c r="J30" s="43"/>
      <c r="K30" s="43">
        <v>16.05</v>
      </c>
      <c r="L30" s="43"/>
      <c r="M30" s="24"/>
      <c r="N30" s="24"/>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row>
    <row r="31" spans="1:71">
      <c r="A31" s="24"/>
      <c r="B31" s="24"/>
      <c r="C31" s="24"/>
      <c r="D31" s="21" t="s">
        <v>92</v>
      </c>
      <c r="E31" s="43"/>
      <c r="F31" s="43"/>
      <c r="G31" s="83">
        <f>SUM(G26:G30)</f>
        <v>1722.7</v>
      </c>
      <c r="H31" s="43"/>
      <c r="I31" s="43"/>
      <c r="J31" s="43"/>
      <c r="K31" s="43">
        <v>1722.7</v>
      </c>
      <c r="L31" s="43"/>
      <c r="M31" s="43"/>
      <c r="N31" s="24"/>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row>
    <row r="32" spans="1:71">
      <c r="A32" s="24"/>
      <c r="B32" s="24"/>
      <c r="C32" s="24"/>
      <c r="D32" s="21"/>
      <c r="E32" s="43"/>
      <c r="F32" s="43"/>
      <c r="G32" s="43"/>
      <c r="H32" s="43"/>
      <c r="I32" s="43"/>
      <c r="J32" s="43"/>
      <c r="K32" s="43"/>
      <c r="L32" s="43"/>
      <c r="M32" s="43"/>
      <c r="N32" s="24"/>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row>
    <row r="33" spans="1:69">
      <c r="A33" s="24"/>
      <c r="B33" s="24"/>
      <c r="C33" s="24" t="s">
        <v>93</v>
      </c>
      <c r="D33" s="75" t="s">
        <v>94</v>
      </c>
      <c r="E33" s="43"/>
      <c r="F33" s="43"/>
      <c r="G33" s="43"/>
      <c r="H33" s="43"/>
      <c r="I33" s="43"/>
      <c r="J33" s="43"/>
      <c r="K33" s="43"/>
      <c r="L33" s="43"/>
      <c r="M33" s="43"/>
      <c r="N33" s="24"/>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row>
    <row r="34" spans="1:69">
      <c r="A34" s="24"/>
      <c r="B34" s="24"/>
      <c r="C34" s="24">
        <v>1</v>
      </c>
      <c r="D34" s="74" t="s">
        <v>48</v>
      </c>
      <c r="E34" s="43"/>
      <c r="F34" s="43">
        <v>100</v>
      </c>
      <c r="G34" s="43"/>
      <c r="H34" s="43"/>
      <c r="I34" s="43"/>
      <c r="J34" s="43"/>
      <c r="K34" s="43">
        <v>100</v>
      </c>
      <c r="L34" s="43"/>
      <c r="M34" s="43"/>
      <c r="N34" s="24"/>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row>
    <row r="35" spans="1:69">
      <c r="A35" s="24"/>
      <c r="B35" s="24"/>
      <c r="C35" s="24">
        <v>2</v>
      </c>
      <c r="D35" s="74" t="s">
        <v>49</v>
      </c>
      <c r="E35" s="43"/>
      <c r="F35" s="43">
        <v>80</v>
      </c>
      <c r="G35" s="43"/>
      <c r="H35" s="43"/>
      <c r="I35" s="43"/>
      <c r="J35" s="43"/>
      <c r="K35" s="43">
        <v>80</v>
      </c>
      <c r="L35" s="43"/>
      <c r="M35" s="43"/>
      <c r="N35" s="24"/>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row>
    <row r="36" spans="1:69">
      <c r="A36" s="24"/>
      <c r="B36" s="24"/>
      <c r="C36" s="24">
        <v>3</v>
      </c>
      <c r="D36" s="74" t="s">
        <v>50</v>
      </c>
      <c r="E36" s="43"/>
      <c r="F36" s="43">
        <v>157.5</v>
      </c>
      <c r="G36" s="43"/>
      <c r="H36" s="43"/>
      <c r="I36" s="43"/>
      <c r="J36" s="43"/>
      <c r="K36" s="43">
        <v>157.5</v>
      </c>
      <c r="L36" s="43"/>
      <c r="M36" s="43"/>
      <c r="N36" s="24"/>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row>
    <row r="37" spans="1:69">
      <c r="A37" s="24"/>
      <c r="B37" s="24"/>
      <c r="C37" s="24">
        <v>4</v>
      </c>
      <c r="D37" s="74" t="s">
        <v>51</v>
      </c>
      <c r="E37" s="43"/>
      <c r="F37" s="43">
        <v>60</v>
      </c>
      <c r="G37" s="43"/>
      <c r="H37" s="43"/>
      <c r="I37" s="43"/>
      <c r="J37" s="43"/>
      <c r="K37" s="43">
        <v>60</v>
      </c>
      <c r="L37" s="43"/>
      <c r="M37" s="43"/>
      <c r="N37" s="24"/>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row>
    <row r="38" spans="1:69">
      <c r="A38" s="24"/>
      <c r="B38" s="24"/>
      <c r="C38" s="24">
        <v>5</v>
      </c>
      <c r="D38" s="74" t="s">
        <v>52</v>
      </c>
      <c r="E38" s="43"/>
      <c r="F38" s="43">
        <v>25</v>
      </c>
      <c r="G38" s="43"/>
      <c r="H38" s="43"/>
      <c r="I38" s="43"/>
      <c r="J38" s="43"/>
      <c r="K38" s="43">
        <v>25</v>
      </c>
      <c r="L38" s="43"/>
      <c r="M38" s="43"/>
      <c r="N38" s="24"/>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row>
    <row r="39" spans="1:69">
      <c r="A39" s="34"/>
      <c r="B39" s="34"/>
      <c r="C39" s="24">
        <v>6</v>
      </c>
      <c r="D39" s="74" t="s">
        <v>53</v>
      </c>
      <c r="E39" s="43"/>
      <c r="F39" s="43"/>
      <c r="G39" s="43"/>
      <c r="H39" s="43"/>
      <c r="I39" s="43"/>
      <c r="J39" s="43">
        <v>50</v>
      </c>
      <c r="K39" s="43">
        <v>50</v>
      </c>
      <c r="L39" s="43"/>
      <c r="M39" s="24"/>
      <c r="N39" s="24"/>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row>
    <row r="40" spans="1:69">
      <c r="A40" s="24"/>
      <c r="B40" s="24"/>
      <c r="C40" s="24"/>
      <c r="D40" s="21" t="s">
        <v>92</v>
      </c>
      <c r="E40" s="44"/>
      <c r="F40" s="43">
        <v>422.5</v>
      </c>
      <c r="G40" s="43"/>
      <c r="H40" s="43"/>
      <c r="I40" s="43"/>
      <c r="J40" s="43">
        <v>50</v>
      </c>
      <c r="K40" s="43">
        <v>472.5</v>
      </c>
      <c r="L40" s="43"/>
      <c r="M40" s="61"/>
      <c r="N40" s="24"/>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row>
    <row r="41" spans="1:69">
      <c r="A41" s="24"/>
      <c r="B41" s="24"/>
      <c r="C41" s="24"/>
      <c r="D41" s="24" t="s">
        <v>95</v>
      </c>
      <c r="E41" s="44">
        <v>26674.2</v>
      </c>
      <c r="F41" s="44">
        <v>7343.5856000000003</v>
      </c>
      <c r="G41" s="44">
        <v>1722.7</v>
      </c>
      <c r="H41" s="44">
        <v>19900.213</v>
      </c>
      <c r="I41" s="44">
        <v>539.89</v>
      </c>
      <c r="J41" s="44">
        <v>50</v>
      </c>
      <c r="K41" s="44">
        <v>29556.388599999998</v>
      </c>
      <c r="L41" s="44">
        <v>685.22875816993462</v>
      </c>
      <c r="M41" s="61">
        <v>66.314528501981343</v>
      </c>
      <c r="N41" s="24"/>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row>
    <row r="42" spans="1:69">
      <c r="A42" s="24"/>
      <c r="B42" s="24"/>
      <c r="C42" s="24"/>
      <c r="D42" s="35"/>
      <c r="E42" s="45"/>
      <c r="F42" s="43"/>
      <c r="G42" s="43"/>
      <c r="H42" s="43"/>
      <c r="I42" s="43"/>
      <c r="J42" s="43"/>
      <c r="K42" s="43"/>
      <c r="L42" s="43"/>
      <c r="M42" s="61"/>
      <c r="N42" s="24"/>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row>
    <row r="43" spans="1:69">
      <c r="A43" s="24"/>
      <c r="B43" s="24"/>
      <c r="C43" s="24"/>
      <c r="D43" s="60" t="s">
        <v>96</v>
      </c>
      <c r="E43" s="43"/>
      <c r="F43" s="43"/>
      <c r="G43" s="43"/>
      <c r="H43" s="43"/>
      <c r="I43" s="43"/>
      <c r="J43" s="43"/>
      <c r="K43" s="43"/>
      <c r="L43" s="43"/>
      <c r="M43" s="61"/>
      <c r="N43" s="24"/>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row>
    <row r="44" spans="1:69">
      <c r="A44" s="24">
        <v>1</v>
      </c>
      <c r="B44" s="24"/>
      <c r="C44" s="24">
        <v>1</v>
      </c>
      <c r="D44" s="36" t="s">
        <v>54</v>
      </c>
      <c r="E44" s="43"/>
      <c r="F44" s="43"/>
      <c r="G44" s="43"/>
      <c r="H44" s="43"/>
      <c r="I44" s="43"/>
      <c r="J44" s="43">
        <v>389.56</v>
      </c>
      <c r="K44" s="43">
        <v>389.56</v>
      </c>
      <c r="L44" s="43"/>
      <c r="M44" s="61"/>
      <c r="N44" s="24"/>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row>
    <row r="45" spans="1:69">
      <c r="A45" s="24">
        <v>2</v>
      </c>
      <c r="B45" s="24"/>
      <c r="C45" s="24">
        <v>2</v>
      </c>
      <c r="D45" s="36" t="s">
        <v>55</v>
      </c>
      <c r="E45" s="43"/>
      <c r="F45" s="43"/>
      <c r="G45" s="43"/>
      <c r="H45" s="43"/>
      <c r="I45" s="43"/>
      <c r="J45" s="43">
        <v>128.27575000000002</v>
      </c>
      <c r="K45" s="43">
        <v>128.27575000000002</v>
      </c>
      <c r="L45" s="43"/>
      <c r="M45" s="61"/>
      <c r="N45" s="24"/>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row>
    <row r="46" spans="1:69">
      <c r="A46" s="24">
        <v>4</v>
      </c>
      <c r="B46" s="24"/>
      <c r="C46" s="24">
        <v>3</v>
      </c>
      <c r="D46" s="36" t="s">
        <v>56</v>
      </c>
      <c r="E46" s="43"/>
      <c r="F46" s="43"/>
      <c r="G46" s="43"/>
      <c r="H46" s="43"/>
      <c r="I46" s="43"/>
      <c r="J46" s="43">
        <v>593.35033349417495</v>
      </c>
      <c r="K46" s="43">
        <v>593.35033349417495</v>
      </c>
      <c r="L46" s="43"/>
      <c r="M46" s="61"/>
      <c r="N46" s="24"/>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row>
    <row r="47" spans="1:69">
      <c r="A47" s="24">
        <v>5</v>
      </c>
      <c r="B47" s="24"/>
      <c r="C47" s="24">
        <v>4</v>
      </c>
      <c r="D47" s="36" t="s">
        <v>57</v>
      </c>
      <c r="E47" s="46"/>
      <c r="F47" s="43"/>
      <c r="G47" s="43"/>
      <c r="H47" s="43"/>
      <c r="I47" s="43"/>
      <c r="J47" s="43">
        <v>32.009039999999999</v>
      </c>
      <c r="K47" s="43">
        <v>32.009039999999999</v>
      </c>
      <c r="L47" s="43"/>
      <c r="M47" s="61"/>
      <c r="N47" s="24"/>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row>
    <row r="48" spans="1:69">
      <c r="A48" s="24">
        <v>6</v>
      </c>
      <c r="B48" s="24"/>
      <c r="C48" s="24">
        <v>5</v>
      </c>
      <c r="D48" s="36" t="s">
        <v>58</v>
      </c>
      <c r="E48" s="46"/>
      <c r="F48" s="43"/>
      <c r="G48" s="43"/>
      <c r="H48" s="43"/>
      <c r="I48" s="43"/>
      <c r="J48" s="43">
        <v>178.6617437066667</v>
      </c>
      <c r="K48" s="43">
        <v>178.6617437066667</v>
      </c>
      <c r="L48" s="43"/>
      <c r="M48" s="61"/>
      <c r="N48" s="24"/>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row>
    <row r="49" spans="1:69">
      <c r="A49" s="24">
        <v>7</v>
      </c>
      <c r="B49" s="24"/>
      <c r="C49" s="24">
        <v>6</v>
      </c>
      <c r="D49" s="36" t="s">
        <v>59</v>
      </c>
      <c r="E49" s="46"/>
      <c r="F49" s="43"/>
      <c r="G49" s="43"/>
      <c r="H49" s="43"/>
      <c r="I49" s="43"/>
      <c r="J49" s="43">
        <v>39.2732928</v>
      </c>
      <c r="K49" s="43">
        <v>39.2732928</v>
      </c>
      <c r="L49" s="43"/>
      <c r="M49" s="61"/>
      <c r="N49" s="24"/>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row>
    <row r="50" spans="1:69">
      <c r="A50" s="24">
        <v>8</v>
      </c>
      <c r="B50" s="24"/>
      <c r="C50" s="24">
        <v>7</v>
      </c>
      <c r="D50" s="36" t="s">
        <v>60</v>
      </c>
      <c r="E50" s="46"/>
      <c r="F50" s="43"/>
      <c r="G50" s="43"/>
      <c r="H50" s="43"/>
      <c r="I50" s="43"/>
      <c r="J50" s="43">
        <v>25.370999999999999</v>
      </c>
      <c r="K50" s="43">
        <v>25.370999999999999</v>
      </c>
      <c r="L50" s="43"/>
      <c r="M50" s="61"/>
      <c r="N50" s="24"/>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row>
    <row r="51" spans="1:69">
      <c r="A51" s="24"/>
      <c r="B51" s="24"/>
      <c r="C51" s="24">
        <v>8</v>
      </c>
      <c r="D51" s="36" t="s">
        <v>61</v>
      </c>
      <c r="E51" s="46"/>
      <c r="F51" s="43"/>
      <c r="G51" s="43"/>
      <c r="H51" s="43"/>
      <c r="I51" s="43"/>
      <c r="J51" s="43">
        <v>1999.9100044997749</v>
      </c>
      <c r="K51" s="43">
        <v>1999.9100044997749</v>
      </c>
      <c r="L51" s="43"/>
      <c r="M51" s="61"/>
      <c r="N51" s="24"/>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row>
    <row r="52" spans="1:69">
      <c r="A52" s="24"/>
      <c r="B52" s="24"/>
      <c r="C52" s="24">
        <v>9</v>
      </c>
      <c r="D52" s="36" t="s">
        <v>62</v>
      </c>
      <c r="E52" s="44"/>
      <c r="F52" s="44"/>
      <c r="G52" s="44"/>
      <c r="H52" s="44"/>
      <c r="I52" s="44"/>
      <c r="J52" s="43">
        <v>30</v>
      </c>
      <c r="K52" s="43">
        <v>30</v>
      </c>
      <c r="L52" s="43"/>
      <c r="M52" s="24"/>
      <c r="N52" s="24"/>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row>
    <row r="53" spans="1:69">
      <c r="A53" s="24"/>
      <c r="B53" s="24"/>
      <c r="C53" s="24">
        <v>10</v>
      </c>
      <c r="D53" s="36" t="s">
        <v>63</v>
      </c>
      <c r="E53" s="44"/>
      <c r="F53" s="44"/>
      <c r="G53" s="44"/>
      <c r="H53" s="44"/>
      <c r="I53" s="44"/>
      <c r="J53" s="43">
        <v>98.501064999999997</v>
      </c>
      <c r="K53" s="43">
        <v>98.501064999999997</v>
      </c>
      <c r="L53" s="43"/>
      <c r="M53" s="24"/>
      <c r="N53" s="24"/>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row>
    <row r="54" spans="1:69">
      <c r="A54" s="24"/>
      <c r="B54" s="24"/>
      <c r="C54" s="24"/>
      <c r="D54" s="24" t="s">
        <v>97</v>
      </c>
      <c r="E54" s="43"/>
      <c r="F54" s="43"/>
      <c r="G54" s="43"/>
      <c r="H54" s="43"/>
      <c r="I54" s="43"/>
      <c r="J54" s="43">
        <v>3514.9122295006164</v>
      </c>
      <c r="K54" s="43">
        <v>3514.9122295006164</v>
      </c>
      <c r="L54" s="43"/>
      <c r="M54" s="61">
        <v>7.8862729266315501</v>
      </c>
      <c r="N54" s="24"/>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row>
    <row r="55" spans="1:69">
      <c r="A55" s="24"/>
      <c r="B55" s="24"/>
      <c r="C55" s="24"/>
      <c r="D55" s="35"/>
      <c r="E55" s="43"/>
      <c r="F55" s="43"/>
      <c r="G55" s="43"/>
      <c r="H55" s="43"/>
      <c r="I55" s="43"/>
      <c r="J55" s="43"/>
      <c r="K55" s="43"/>
      <c r="L55" s="43"/>
      <c r="M55" s="61"/>
      <c r="N55" s="24"/>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row>
    <row r="56" spans="1:69">
      <c r="A56" s="24"/>
      <c r="B56" s="24"/>
      <c r="C56" s="24"/>
      <c r="D56" s="24" t="s">
        <v>98</v>
      </c>
      <c r="E56" s="43">
        <v>26674.2</v>
      </c>
      <c r="F56" s="43">
        <v>7343.5856000000003</v>
      </c>
      <c r="G56" s="43">
        <v>1722.7</v>
      </c>
      <c r="H56" s="43">
        <v>19900.213</v>
      </c>
      <c r="I56" s="43">
        <v>539.89</v>
      </c>
      <c r="J56" s="43">
        <v>3564.9122295006164</v>
      </c>
      <c r="K56" s="43">
        <v>33071.300829500615</v>
      </c>
      <c r="L56" s="43">
        <v>0</v>
      </c>
      <c r="M56" s="61"/>
      <c r="N56" s="24"/>
      <c r="O56" s="81">
        <v>33071.300829500615</v>
      </c>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row>
    <row r="57" spans="1:69">
      <c r="A57" s="24"/>
      <c r="B57" s="24"/>
      <c r="C57" s="24"/>
      <c r="D57" s="35"/>
      <c r="E57" s="45"/>
      <c r="F57" s="43"/>
      <c r="G57" s="43"/>
      <c r="H57" s="43"/>
      <c r="I57" s="43"/>
      <c r="J57" s="43"/>
      <c r="K57" s="43"/>
      <c r="L57" s="43"/>
      <c r="M57" s="61"/>
      <c r="N57" s="24"/>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row>
    <row r="58" spans="1:69">
      <c r="A58" s="24"/>
      <c r="B58" s="24"/>
      <c r="C58" s="24"/>
      <c r="D58" s="21" t="s">
        <v>99</v>
      </c>
      <c r="E58" s="43"/>
      <c r="F58" s="43"/>
      <c r="G58" s="43"/>
      <c r="H58" s="43"/>
      <c r="I58" s="43"/>
      <c r="J58" s="43">
        <v>2648.7040663600492</v>
      </c>
      <c r="K58" s="43">
        <v>2648.7040663600492</v>
      </c>
      <c r="L58" s="43"/>
      <c r="M58" s="61">
        <v>5.9427950985171227</v>
      </c>
      <c r="N58" s="24"/>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row>
    <row r="59" spans="1:69">
      <c r="A59" s="24"/>
      <c r="B59" s="24"/>
      <c r="C59" s="24"/>
      <c r="D59" s="21"/>
      <c r="E59" s="43"/>
      <c r="F59" s="43"/>
      <c r="G59" s="43"/>
      <c r="H59" s="43"/>
      <c r="I59" s="43"/>
      <c r="J59" s="43"/>
      <c r="K59" s="43"/>
      <c r="L59" s="43"/>
      <c r="M59" s="61"/>
      <c r="N59" s="24"/>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row>
    <row r="60" spans="1:69" ht="28.5">
      <c r="A60" s="24"/>
      <c r="B60" s="24"/>
      <c r="C60" s="24"/>
      <c r="D60" s="21" t="s">
        <v>100</v>
      </c>
      <c r="E60" s="43">
        <v>26674.2</v>
      </c>
      <c r="F60" s="43">
        <v>7343.5856000000003</v>
      </c>
      <c r="G60" s="43">
        <v>1722.7</v>
      </c>
      <c r="H60" s="43">
        <v>19900.213</v>
      </c>
      <c r="I60" s="43">
        <v>539.89</v>
      </c>
      <c r="J60" s="43">
        <v>6213.6162958606656</v>
      </c>
      <c r="K60" s="43">
        <v>35720.004895860664</v>
      </c>
      <c r="L60" s="43">
        <v>0</v>
      </c>
      <c r="M60" s="61"/>
      <c r="N60" s="24"/>
      <c r="O60" s="81">
        <v>35720.004895860664</v>
      </c>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row>
    <row r="61" spans="1:69">
      <c r="A61" s="24"/>
      <c r="B61" s="24"/>
      <c r="C61" s="24"/>
      <c r="D61" s="21"/>
      <c r="E61" s="43"/>
      <c r="F61" s="47"/>
      <c r="G61" s="47"/>
      <c r="H61" s="47"/>
      <c r="I61" s="47"/>
      <c r="J61" s="43"/>
      <c r="K61" s="43"/>
      <c r="L61" s="43"/>
      <c r="M61" s="61"/>
      <c r="N61" s="24"/>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row>
    <row r="62" spans="1:69">
      <c r="A62" s="24"/>
      <c r="B62" s="24"/>
      <c r="C62" s="24"/>
      <c r="D62" s="24" t="s">
        <v>101</v>
      </c>
      <c r="E62" s="45"/>
      <c r="F62" s="43"/>
      <c r="G62" s="43"/>
      <c r="H62" s="43"/>
      <c r="I62" s="43"/>
      <c r="J62" s="43"/>
      <c r="K62" s="43"/>
      <c r="L62" s="43"/>
      <c r="M62" s="61"/>
      <c r="N62" s="24"/>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row>
    <row r="63" spans="1:69" hidden="1">
      <c r="A63" s="24"/>
      <c r="B63" s="24"/>
      <c r="C63" s="56"/>
      <c r="E63" s="43"/>
      <c r="F63" s="43"/>
      <c r="G63" s="43"/>
      <c r="H63" s="43"/>
      <c r="I63" s="43"/>
      <c r="J63" s="43"/>
      <c r="K63" s="43"/>
      <c r="L63" s="43"/>
      <c r="M63" s="61"/>
      <c r="N63" s="24"/>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row>
    <row r="64" spans="1:69" hidden="1">
      <c r="A64" s="24">
        <v>1</v>
      </c>
      <c r="B64" s="24"/>
      <c r="C64" s="24"/>
      <c r="D64" s="35" t="s">
        <v>102</v>
      </c>
      <c r="E64" s="43"/>
      <c r="F64" s="43"/>
      <c r="G64" s="43"/>
      <c r="H64" s="43"/>
      <c r="I64" s="43"/>
      <c r="J64" s="43"/>
      <c r="K64" s="43">
        <v>0</v>
      </c>
      <c r="L64" s="43"/>
      <c r="M64" s="61"/>
      <c r="N64" s="24"/>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row>
    <row r="65" spans="1:69" hidden="1">
      <c r="A65" s="24">
        <v>2</v>
      </c>
      <c r="B65" s="24"/>
      <c r="C65" s="24"/>
      <c r="D65" s="35" t="s">
        <v>103</v>
      </c>
      <c r="E65" s="43"/>
      <c r="F65" s="43"/>
      <c r="G65" s="43"/>
      <c r="H65" s="43"/>
      <c r="I65" s="43"/>
      <c r="J65" s="43"/>
      <c r="K65" s="43">
        <v>0</v>
      </c>
      <c r="L65" s="43"/>
      <c r="M65" s="61"/>
      <c r="N65" s="24"/>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row>
    <row r="66" spans="1:69">
      <c r="A66" s="24">
        <v>3</v>
      </c>
      <c r="B66" s="24"/>
      <c r="C66" s="24">
        <v>1</v>
      </c>
      <c r="D66" s="35" t="s">
        <v>104</v>
      </c>
      <c r="E66" s="43"/>
      <c r="F66" s="43"/>
      <c r="G66" s="43"/>
      <c r="H66" s="43"/>
      <c r="I66" s="43"/>
      <c r="J66" s="43">
        <v>1200</v>
      </c>
      <c r="K66" s="43">
        <v>1200</v>
      </c>
      <c r="L66" s="43"/>
      <c r="M66" s="61"/>
      <c r="N66" s="24"/>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row>
    <row r="67" spans="1:69">
      <c r="A67" s="24"/>
      <c r="B67" s="24"/>
      <c r="C67" s="24">
        <v>2</v>
      </c>
      <c r="D67" s="35" t="s">
        <v>105</v>
      </c>
      <c r="E67" s="43"/>
      <c r="F67" s="43"/>
      <c r="G67" s="43"/>
      <c r="H67" s="43"/>
      <c r="I67" s="43"/>
      <c r="J67" s="43">
        <v>7650</v>
      </c>
      <c r="K67" s="43">
        <v>7650</v>
      </c>
      <c r="L67" s="43"/>
      <c r="M67" s="61"/>
      <c r="N67" s="24"/>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row>
    <row r="68" spans="1:69">
      <c r="A68" s="24"/>
      <c r="B68" s="24"/>
      <c r="C68" s="24"/>
      <c r="D68" s="24" t="s">
        <v>106</v>
      </c>
      <c r="E68" s="43"/>
      <c r="F68" s="43"/>
      <c r="G68" s="43"/>
      <c r="H68" s="43"/>
      <c r="I68" s="43"/>
      <c r="J68" s="43">
        <v>8850</v>
      </c>
      <c r="K68" s="43">
        <v>8850</v>
      </c>
      <c r="L68" s="43"/>
      <c r="M68" s="61">
        <v>19.856403472869989</v>
      </c>
      <c r="N68" s="24"/>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row>
    <row r="69" spans="1:69">
      <c r="A69" s="24"/>
      <c r="B69" s="24"/>
      <c r="C69" s="24"/>
      <c r="D69" s="24"/>
      <c r="E69" s="43"/>
      <c r="F69" s="43"/>
      <c r="G69" s="43"/>
      <c r="H69" s="43"/>
      <c r="I69" s="43"/>
      <c r="J69" s="43"/>
      <c r="K69" s="48"/>
      <c r="L69" s="43"/>
      <c r="M69" s="61"/>
      <c r="N69" s="24"/>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row>
    <row r="70" spans="1:69">
      <c r="A70" s="24"/>
      <c r="B70" s="24"/>
      <c r="C70" s="24"/>
      <c r="D70" s="24" t="s">
        <v>107</v>
      </c>
      <c r="E70" s="43">
        <v>26674.2</v>
      </c>
      <c r="F70" s="43">
        <v>7343.5856000000003</v>
      </c>
      <c r="G70" s="43">
        <v>1722.7</v>
      </c>
      <c r="H70" s="43">
        <v>19900.213</v>
      </c>
      <c r="I70" s="43">
        <v>539.89</v>
      </c>
      <c r="J70" s="43">
        <v>15063.616295860666</v>
      </c>
      <c r="K70" s="43">
        <v>44570.004895860664</v>
      </c>
      <c r="L70" s="47">
        <v>685.22875816993462</v>
      </c>
      <c r="M70" s="84">
        <v>100</v>
      </c>
      <c r="N70" s="24"/>
      <c r="O70" s="81">
        <v>44570.004895860664</v>
      </c>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row>
    <row r="71" spans="1:69" ht="18.75" customHeight="1">
      <c r="A71" s="24"/>
      <c r="B71" s="24"/>
      <c r="C71" s="24"/>
      <c r="D71" s="24"/>
      <c r="E71" s="45"/>
      <c r="F71" s="43"/>
      <c r="G71" s="43"/>
      <c r="H71" s="43"/>
      <c r="I71" s="43"/>
      <c r="J71" s="43"/>
      <c r="K71" s="43"/>
      <c r="L71" s="43"/>
      <c r="M71" s="24"/>
      <c r="N71" s="24"/>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row>
    <row r="72" spans="1:69" ht="21.95" hidden="1" customHeight="1">
      <c r="A72" s="18"/>
      <c r="B72" s="18"/>
      <c r="C72" s="18"/>
      <c r="D72" s="18"/>
      <c r="E72" s="49"/>
      <c r="F72" s="49"/>
      <c r="G72" s="49"/>
      <c r="H72" s="49"/>
      <c r="I72" s="49"/>
      <c r="J72" s="49"/>
      <c r="K72" s="37">
        <v>-4570.004895860664</v>
      </c>
      <c r="L72" s="49"/>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row>
    <row r="73" spans="1:69" ht="21.95" hidden="1" customHeight="1">
      <c r="A73" s="18"/>
      <c r="B73" s="18"/>
      <c r="C73" s="18"/>
      <c r="D73" s="18"/>
      <c r="E73" s="18"/>
      <c r="F73" s="37"/>
      <c r="G73" s="37"/>
      <c r="H73" s="37"/>
      <c r="I73" s="37"/>
      <c r="J73" s="37"/>
      <c r="L73" s="38"/>
      <c r="M73" s="49">
        <v>36920.004895860664</v>
      </c>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row>
    <row r="74" spans="1:69" ht="21.95" customHeight="1">
      <c r="A74" s="18"/>
      <c r="B74" s="18"/>
      <c r="C74" s="18"/>
      <c r="D74" s="18"/>
      <c r="E74" s="18"/>
      <c r="F74" s="37"/>
      <c r="G74" s="37"/>
      <c r="H74" s="37"/>
      <c r="I74" s="37"/>
      <c r="J74" s="37"/>
      <c r="K74" s="37"/>
      <c r="L74" s="3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row>
    <row r="75" spans="1:69" ht="21.95" customHeight="1">
      <c r="A75" s="18"/>
      <c r="B75" s="18"/>
      <c r="C75" s="18"/>
      <c r="D75" s="18"/>
      <c r="E75" s="18"/>
      <c r="F75" s="37"/>
      <c r="G75" s="37"/>
      <c r="H75" s="37"/>
      <c r="J75" s="88" t="s">
        <v>108</v>
      </c>
      <c r="K75" s="85">
        <v>41960</v>
      </c>
      <c r="L75" s="87" t="s">
        <v>109</v>
      </c>
      <c r="M75" s="89">
        <v>2610.004895860664</v>
      </c>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row>
    <row r="76" spans="1:69" ht="21.95" customHeight="1">
      <c r="A76" s="18"/>
      <c r="B76" s="18"/>
      <c r="C76" s="18"/>
      <c r="D76" s="18"/>
      <c r="E76" s="18"/>
      <c r="F76" s="88" t="s">
        <v>110</v>
      </c>
      <c r="G76" s="86">
        <v>1.1142501223965167</v>
      </c>
      <c r="H76" s="37"/>
      <c r="I76" s="37"/>
      <c r="J76" s="88" t="s">
        <v>111</v>
      </c>
      <c r="K76" s="85">
        <v>-350</v>
      </c>
      <c r="L76" s="3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row>
    <row r="77" spans="1:69" ht="21.95" customHeight="1">
      <c r="A77" s="18"/>
      <c r="B77" s="18"/>
      <c r="C77" s="18"/>
      <c r="D77" s="18"/>
      <c r="E77" s="18"/>
      <c r="F77" s="37"/>
      <c r="G77" s="37"/>
      <c r="H77" s="37"/>
      <c r="I77" s="37"/>
      <c r="J77" s="37"/>
      <c r="K77" s="37"/>
      <c r="L77" s="3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row>
    <row r="78" spans="1:69" ht="21.95" customHeight="1">
      <c r="A78" s="18"/>
      <c r="B78" s="18"/>
      <c r="C78" s="18"/>
      <c r="D78" s="18"/>
      <c r="E78" s="18"/>
      <c r="F78" s="37"/>
      <c r="G78" s="37"/>
      <c r="H78" s="37"/>
      <c r="I78" s="37"/>
      <c r="J78" s="37"/>
      <c r="K78" s="37"/>
      <c r="L78" s="3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row>
    <row r="79" spans="1:69" ht="21.95" customHeight="1">
      <c r="A79" s="18"/>
      <c r="B79" s="18"/>
      <c r="C79" s="18"/>
      <c r="D79" s="18"/>
      <c r="E79" s="18"/>
      <c r="F79" s="37"/>
      <c r="G79" s="37"/>
      <c r="H79" s="37"/>
      <c r="I79" s="37"/>
      <c r="J79" s="37"/>
      <c r="K79" s="37"/>
      <c r="L79" s="3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row>
    <row r="80" spans="1:69" ht="21.95" customHeight="1">
      <c r="A80" s="18"/>
      <c r="B80" s="18"/>
      <c r="C80" s="18"/>
      <c r="D80" s="18"/>
      <c r="E80" s="18"/>
      <c r="F80" s="37"/>
      <c r="G80" s="37"/>
      <c r="H80" s="37"/>
      <c r="I80" s="37"/>
      <c r="J80" s="37"/>
      <c r="K80" s="37"/>
      <c r="L80" s="3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row>
    <row r="81" spans="1:69" ht="21.95" customHeight="1">
      <c r="A81" s="18"/>
      <c r="B81" s="18"/>
      <c r="C81" s="18"/>
      <c r="D81" s="18"/>
      <c r="E81" s="18"/>
      <c r="F81" s="37"/>
      <c r="G81" s="37"/>
      <c r="H81" s="37"/>
      <c r="I81" s="37"/>
      <c r="J81" s="37"/>
      <c r="K81" s="37"/>
      <c r="L81" s="3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row>
    <row r="82" spans="1:69" ht="21.95" customHeight="1">
      <c r="A82" s="18"/>
      <c r="B82" s="18"/>
      <c r="C82" s="18"/>
      <c r="D82" s="18"/>
      <c r="E82" s="18"/>
      <c r="F82" s="37"/>
      <c r="G82" s="37"/>
      <c r="H82" s="37"/>
      <c r="I82" s="37"/>
      <c r="J82" s="37"/>
      <c r="K82" s="37"/>
      <c r="L82" s="3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row>
    <row r="83" spans="1:69" ht="21.95" customHeight="1">
      <c r="A83" s="18"/>
      <c r="B83" s="18"/>
      <c r="C83" s="18"/>
      <c r="D83" s="18"/>
      <c r="E83" s="18"/>
      <c r="F83" s="37"/>
      <c r="G83" s="37"/>
      <c r="H83" s="37"/>
      <c r="I83" s="37"/>
      <c r="J83" s="37"/>
      <c r="K83" s="37"/>
      <c r="L83" s="3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row>
    <row r="84" spans="1:69" ht="21.95" customHeight="1">
      <c r="A84" s="18"/>
      <c r="B84" s="18"/>
      <c r="C84" s="18"/>
      <c r="D84" s="18"/>
      <c r="E84" s="18"/>
      <c r="F84" s="37"/>
      <c r="G84" s="37"/>
      <c r="H84" s="37"/>
      <c r="I84" s="37"/>
      <c r="J84" s="37"/>
      <c r="K84" s="37"/>
      <c r="L84" s="3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row>
    <row r="85" spans="1:69" ht="21.95" customHeight="1">
      <c r="A85" s="18"/>
      <c r="B85" s="18"/>
      <c r="C85" s="18"/>
      <c r="D85" s="18"/>
      <c r="E85" s="18"/>
      <c r="F85" s="37"/>
      <c r="G85" s="37"/>
      <c r="H85" s="37"/>
      <c r="I85" s="37"/>
      <c r="J85" s="37"/>
      <c r="K85" s="37"/>
      <c r="L85" s="3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row>
    <row r="86" spans="1:69" ht="21.95" customHeight="1">
      <c r="A86" s="18"/>
      <c r="B86" s="18"/>
      <c r="C86" s="18"/>
      <c r="D86" s="18"/>
      <c r="E86" s="18"/>
      <c r="F86" s="37"/>
      <c r="G86" s="37"/>
      <c r="H86" s="37"/>
      <c r="I86" s="37"/>
      <c r="J86" s="37"/>
      <c r="K86" s="37"/>
      <c r="L86" s="3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row>
    <row r="87" spans="1:69" ht="21.95" customHeight="1">
      <c r="A87" s="18"/>
      <c r="B87" s="18"/>
      <c r="C87" s="18"/>
      <c r="D87" s="18"/>
      <c r="E87" s="18"/>
      <c r="F87" s="37"/>
      <c r="G87" s="37"/>
      <c r="H87" s="37"/>
      <c r="I87" s="37"/>
      <c r="J87" s="37"/>
      <c r="K87" s="37"/>
      <c r="L87" s="3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row>
    <row r="88" spans="1:69" ht="21.95" customHeight="1">
      <c r="A88" s="18"/>
      <c r="B88" s="18"/>
      <c r="C88" s="18"/>
      <c r="D88" s="18"/>
      <c r="E88" s="18"/>
      <c r="F88" s="37"/>
      <c r="G88" s="37"/>
      <c r="H88" s="37"/>
      <c r="I88" s="37"/>
      <c r="J88" s="37"/>
      <c r="K88" s="37"/>
      <c r="L88" s="3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row>
    <row r="89" spans="1:69" ht="21.95" customHeight="1">
      <c r="A89" s="18"/>
      <c r="B89" s="18"/>
      <c r="C89" s="18"/>
      <c r="D89" s="18"/>
      <c r="E89" s="18"/>
      <c r="F89" s="37"/>
      <c r="G89" s="37"/>
      <c r="H89" s="37"/>
      <c r="I89" s="37"/>
      <c r="J89" s="37"/>
      <c r="K89" s="37"/>
      <c r="L89" s="3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row>
    <row r="90" spans="1:69" ht="21.95" customHeight="1">
      <c r="A90" s="18"/>
      <c r="B90" s="18"/>
      <c r="C90" s="18"/>
      <c r="D90" s="18"/>
      <c r="E90" s="18"/>
      <c r="F90" s="37"/>
      <c r="G90" s="37"/>
      <c r="H90" s="37"/>
      <c r="I90" s="37"/>
      <c r="J90" s="37"/>
      <c r="K90" s="37"/>
      <c r="L90" s="3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row>
    <row r="91" spans="1:69" ht="21.95" customHeight="1">
      <c r="A91" s="18"/>
      <c r="B91" s="18"/>
      <c r="C91" s="18"/>
      <c r="D91" s="18"/>
      <c r="E91" s="18"/>
      <c r="F91" s="37"/>
      <c r="G91" s="37"/>
      <c r="H91" s="37"/>
      <c r="I91" s="37"/>
      <c r="J91" s="37"/>
      <c r="K91" s="37"/>
      <c r="L91" s="3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row>
    <row r="92" spans="1:69" ht="21.95" customHeight="1">
      <c r="A92" s="18"/>
      <c r="B92" s="18"/>
      <c r="C92" s="18"/>
      <c r="D92" s="18"/>
      <c r="E92" s="18"/>
      <c r="F92" s="37"/>
      <c r="G92" s="37"/>
      <c r="H92" s="37"/>
      <c r="I92" s="37"/>
      <c r="J92" s="37"/>
      <c r="K92" s="37"/>
      <c r="L92" s="3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row>
    <row r="93" spans="1:69" ht="21.95" customHeight="1">
      <c r="A93" s="18"/>
      <c r="B93" s="18"/>
      <c r="C93" s="18"/>
      <c r="D93" s="18"/>
      <c r="E93" s="18"/>
      <c r="F93" s="37"/>
      <c r="G93" s="37"/>
      <c r="H93" s="37"/>
      <c r="I93" s="37"/>
      <c r="J93" s="37"/>
      <c r="K93" s="37"/>
      <c r="L93" s="3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row>
    <row r="94" spans="1:69" ht="21.95" customHeight="1">
      <c r="A94" s="18"/>
      <c r="B94" s="18"/>
      <c r="C94" s="18"/>
      <c r="D94" s="18"/>
      <c r="E94" s="18"/>
      <c r="F94" s="37"/>
      <c r="G94" s="37"/>
      <c r="H94" s="37"/>
      <c r="I94" s="37"/>
      <c r="J94" s="37"/>
      <c r="K94" s="37"/>
      <c r="L94" s="3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row>
    <row r="95" spans="1:69" ht="21.95" customHeight="1">
      <c r="A95" s="18"/>
      <c r="B95" s="18"/>
      <c r="C95" s="18"/>
      <c r="D95" s="18"/>
      <c r="E95" s="18"/>
      <c r="F95" s="37"/>
      <c r="G95" s="37"/>
      <c r="H95" s="37"/>
      <c r="I95" s="37"/>
      <c r="J95" s="37"/>
      <c r="K95" s="37"/>
      <c r="L95" s="3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row>
    <row r="96" spans="1:69" ht="21.95" customHeight="1">
      <c r="A96" s="18"/>
      <c r="B96" s="18"/>
      <c r="C96" s="18"/>
      <c r="D96" s="18"/>
      <c r="E96" s="18"/>
      <c r="F96" s="37"/>
      <c r="G96" s="37"/>
      <c r="H96" s="37"/>
      <c r="I96" s="37"/>
      <c r="J96" s="37"/>
      <c r="K96" s="37"/>
      <c r="L96" s="3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row>
    <row r="97" spans="1:69" ht="21.95" customHeight="1">
      <c r="A97" s="18"/>
      <c r="B97" s="18"/>
      <c r="C97" s="18"/>
      <c r="D97" s="18"/>
      <c r="E97" s="18"/>
      <c r="F97" s="37"/>
      <c r="G97" s="37"/>
      <c r="H97" s="37"/>
      <c r="I97" s="37"/>
      <c r="J97" s="37"/>
      <c r="K97" s="37"/>
      <c r="L97" s="3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row>
    <row r="98" spans="1:69" ht="21.95" customHeight="1">
      <c r="A98" s="18"/>
      <c r="B98" s="18"/>
      <c r="C98" s="18"/>
      <c r="D98" s="18"/>
      <c r="E98" s="18"/>
      <c r="F98" s="37"/>
      <c r="G98" s="37"/>
      <c r="H98" s="37"/>
      <c r="I98" s="37"/>
      <c r="J98" s="37"/>
      <c r="K98" s="37"/>
      <c r="L98" s="3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row>
    <row r="99" spans="1:69" ht="21.95" customHeight="1">
      <c r="A99" s="18"/>
      <c r="B99" s="18"/>
      <c r="C99" s="18"/>
      <c r="D99" s="18"/>
      <c r="E99" s="18"/>
      <c r="F99" s="37"/>
      <c r="G99" s="37"/>
      <c r="H99" s="37"/>
      <c r="I99" s="37"/>
      <c r="J99" s="37"/>
      <c r="K99" s="37"/>
      <c r="L99" s="3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row>
    <row r="100" spans="1:69" ht="21.95" customHeight="1">
      <c r="A100" s="18"/>
      <c r="B100" s="18"/>
      <c r="C100" s="18"/>
      <c r="D100" s="18"/>
      <c r="E100" s="18"/>
      <c r="F100" s="37"/>
      <c r="G100" s="37"/>
      <c r="H100" s="37"/>
      <c r="I100" s="37"/>
      <c r="J100" s="37"/>
      <c r="K100" s="37"/>
      <c r="L100" s="3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row>
    <row r="101" spans="1:69" ht="21.95" customHeight="1">
      <c r="A101" s="18"/>
      <c r="B101" s="18"/>
      <c r="C101" s="18"/>
      <c r="D101" s="18"/>
      <c r="E101" s="18"/>
      <c r="F101" s="37"/>
      <c r="G101" s="37"/>
      <c r="H101" s="37"/>
      <c r="I101" s="37"/>
      <c r="J101" s="37"/>
      <c r="K101" s="37"/>
      <c r="L101" s="3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row>
    <row r="102" spans="1:69" ht="21.95" customHeight="1">
      <c r="A102" s="18"/>
      <c r="B102" s="18"/>
      <c r="C102" s="18"/>
      <c r="D102" s="18"/>
      <c r="E102" s="18"/>
      <c r="F102" s="37"/>
      <c r="G102" s="37"/>
      <c r="H102" s="37"/>
      <c r="I102" s="37"/>
      <c r="J102" s="37"/>
      <c r="K102" s="37"/>
      <c r="L102" s="3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row>
    <row r="103" spans="1:69" ht="21.95" customHeight="1">
      <c r="A103" s="18"/>
      <c r="B103" s="18"/>
      <c r="C103" s="18"/>
      <c r="D103" s="18"/>
      <c r="E103" s="18"/>
      <c r="F103" s="37"/>
      <c r="G103" s="37"/>
      <c r="H103" s="37"/>
      <c r="I103" s="37"/>
      <c r="J103" s="37"/>
      <c r="K103" s="37"/>
      <c r="L103" s="3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row>
    <row r="104" spans="1:69" ht="21.95" customHeight="1">
      <c r="A104" s="18"/>
      <c r="B104" s="18"/>
      <c r="C104" s="18"/>
      <c r="D104" s="18"/>
      <c r="E104" s="18"/>
      <c r="F104" s="37"/>
      <c r="G104" s="37"/>
      <c r="H104" s="37"/>
      <c r="I104" s="37"/>
      <c r="J104" s="37"/>
      <c r="K104" s="37"/>
      <c r="L104" s="3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row>
    <row r="105" spans="1:69" ht="21.95" customHeight="1">
      <c r="A105" s="18"/>
      <c r="B105" s="18"/>
      <c r="C105" s="18"/>
      <c r="D105" s="18"/>
      <c r="E105" s="18"/>
      <c r="F105" s="37"/>
      <c r="G105" s="37"/>
      <c r="H105" s="37"/>
      <c r="I105" s="37"/>
      <c r="J105" s="37"/>
      <c r="K105" s="37"/>
      <c r="L105" s="3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row>
    <row r="106" spans="1:69" ht="21.95" customHeight="1">
      <c r="A106" s="18"/>
      <c r="B106" s="18"/>
      <c r="C106" s="18"/>
      <c r="D106" s="18"/>
      <c r="E106" s="18"/>
      <c r="F106" s="37"/>
      <c r="G106" s="37"/>
      <c r="H106" s="37"/>
      <c r="I106" s="37"/>
      <c r="J106" s="37"/>
      <c r="K106" s="37"/>
      <c r="L106" s="3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row>
    <row r="107" spans="1:69" ht="21.95" customHeight="1">
      <c r="A107" s="18"/>
      <c r="B107" s="18"/>
      <c r="C107" s="18"/>
      <c r="D107" s="18"/>
      <c r="E107" s="18"/>
      <c r="F107" s="37"/>
      <c r="G107" s="37"/>
      <c r="H107" s="37"/>
      <c r="I107" s="37"/>
      <c r="J107" s="37"/>
      <c r="K107" s="37"/>
      <c r="L107" s="3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row>
    <row r="108" spans="1:69" ht="21.95" customHeight="1">
      <c r="A108" s="18"/>
      <c r="B108" s="18"/>
      <c r="C108" s="18"/>
      <c r="D108" s="18"/>
      <c r="E108" s="18"/>
      <c r="F108" s="37"/>
      <c r="G108" s="37"/>
      <c r="H108" s="37"/>
      <c r="I108" s="37"/>
      <c r="J108" s="37"/>
      <c r="K108" s="37"/>
      <c r="L108" s="3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row>
    <row r="109" spans="1:69" ht="21.95" customHeight="1">
      <c r="A109" s="18"/>
      <c r="B109" s="18"/>
      <c r="C109" s="18"/>
      <c r="D109" s="18"/>
      <c r="E109" s="18"/>
      <c r="F109" s="37"/>
      <c r="G109" s="37"/>
      <c r="H109" s="37"/>
      <c r="I109" s="37"/>
      <c r="J109" s="37"/>
      <c r="K109" s="37"/>
      <c r="L109" s="3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row>
    <row r="110" spans="1:69" ht="21.95" customHeight="1">
      <c r="A110" s="18"/>
      <c r="B110" s="18"/>
      <c r="C110" s="18"/>
      <c r="D110" s="18"/>
      <c r="E110" s="18"/>
      <c r="F110" s="37"/>
      <c r="G110" s="37"/>
      <c r="H110" s="37"/>
      <c r="I110" s="37"/>
      <c r="J110" s="37"/>
      <c r="K110" s="37"/>
      <c r="L110" s="3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row>
    <row r="111" spans="1:69" ht="21.95" customHeight="1">
      <c r="A111" s="18"/>
      <c r="B111" s="18"/>
      <c r="C111" s="18"/>
      <c r="D111" s="18"/>
      <c r="E111" s="18"/>
      <c r="F111" s="37"/>
      <c r="G111" s="37"/>
      <c r="H111" s="37"/>
      <c r="I111" s="37"/>
      <c r="J111" s="37"/>
      <c r="K111" s="37"/>
      <c r="L111" s="3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row>
    <row r="112" spans="1:69" ht="21.95" customHeight="1">
      <c r="A112" s="18"/>
      <c r="B112" s="18"/>
      <c r="C112" s="18"/>
      <c r="D112" s="18"/>
      <c r="E112" s="18"/>
      <c r="F112" s="37"/>
      <c r="G112" s="37"/>
      <c r="H112" s="37"/>
      <c r="I112" s="37"/>
      <c r="J112" s="37"/>
      <c r="K112" s="37"/>
      <c r="L112" s="3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row>
    <row r="113" spans="1:69" ht="21.95" customHeight="1">
      <c r="A113" s="18"/>
      <c r="B113" s="18"/>
      <c r="C113" s="18"/>
      <c r="D113" s="18"/>
      <c r="E113" s="18"/>
      <c r="F113" s="37"/>
      <c r="G113" s="37"/>
      <c r="H113" s="37"/>
      <c r="I113" s="37"/>
      <c r="J113" s="37"/>
      <c r="K113" s="37"/>
      <c r="L113" s="3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row>
    <row r="114" spans="1:69" ht="21.95" customHeight="1">
      <c r="A114" s="18"/>
      <c r="B114" s="18"/>
      <c r="C114" s="18"/>
      <c r="D114" s="18"/>
      <c r="E114" s="18"/>
      <c r="F114" s="37"/>
      <c r="G114" s="37"/>
      <c r="H114" s="37"/>
      <c r="I114" s="37"/>
      <c r="J114" s="37"/>
      <c r="K114" s="37"/>
      <c r="L114" s="3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row>
    <row r="115" spans="1:69" ht="21.95" customHeight="1">
      <c r="A115" s="18"/>
      <c r="B115" s="18"/>
      <c r="C115" s="18"/>
      <c r="D115" s="18"/>
      <c r="E115" s="18"/>
      <c r="F115" s="37"/>
      <c r="G115" s="37"/>
      <c r="H115" s="37"/>
      <c r="I115" s="37"/>
      <c r="J115" s="37"/>
      <c r="K115" s="37"/>
      <c r="L115" s="3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row>
    <row r="116" spans="1:69" ht="21.95" customHeight="1">
      <c r="A116" s="18"/>
      <c r="B116" s="18"/>
      <c r="C116" s="18"/>
      <c r="D116" s="18"/>
      <c r="E116" s="18"/>
      <c r="F116" s="37"/>
      <c r="G116" s="37"/>
      <c r="H116" s="37"/>
      <c r="I116" s="37"/>
      <c r="J116" s="37"/>
      <c r="K116" s="37"/>
      <c r="L116" s="3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row>
    <row r="117" spans="1:69">
      <c r="D117" s="18"/>
    </row>
  </sheetData>
  <mergeCells count="15">
    <mergeCell ref="A1:D1"/>
    <mergeCell ref="A2:L2"/>
    <mergeCell ref="C3:N3"/>
    <mergeCell ref="A4:A5"/>
    <mergeCell ref="B4:B5"/>
    <mergeCell ref="N4:N5"/>
    <mergeCell ref="J4:J5"/>
    <mergeCell ref="K4:K5"/>
    <mergeCell ref="L4:L5"/>
    <mergeCell ref="M4:M5"/>
    <mergeCell ref="D4:D5"/>
    <mergeCell ref="E4:E5"/>
    <mergeCell ref="F4:F5"/>
    <mergeCell ref="G4:H4"/>
    <mergeCell ref="I4:I5"/>
  </mergeCells>
  <phoneticPr fontId="2"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dimension ref="A1:M88"/>
  <sheetViews>
    <sheetView topLeftCell="A4" workbookViewId="0">
      <selection activeCell="G27" sqref="G27"/>
    </sheetView>
  </sheetViews>
  <sheetFormatPr defaultColWidth="13.5" defaultRowHeight="27.75" customHeight="1"/>
  <cols>
    <col min="1" max="1" width="7.625" style="10" customWidth="1"/>
    <col min="2" max="2" width="19" style="6" customWidth="1"/>
    <col min="3" max="3" width="20.25" style="8" hidden="1" customWidth="1"/>
    <col min="4" max="4" width="26.625" style="8" hidden="1" customWidth="1"/>
    <col min="5" max="5" width="22.125" style="8" hidden="1" customWidth="1"/>
    <col min="6" max="6" width="4.75" style="10" customWidth="1"/>
    <col min="7" max="7" width="5.25" style="10" customWidth="1"/>
    <col min="8" max="8" width="7.375" style="10" customWidth="1"/>
    <col min="9" max="9" width="7.875" style="10" customWidth="1"/>
    <col min="10" max="10" width="12.75" style="10" bestFit="1" customWidth="1"/>
    <col min="11" max="11" width="7.375" style="10" customWidth="1"/>
    <col min="12" max="16384" width="13.5" style="6"/>
  </cols>
  <sheetData>
    <row r="1" spans="1:13" ht="27.75" customHeight="1">
      <c r="A1" s="387" t="s">
        <v>112</v>
      </c>
      <c r="B1" s="388"/>
      <c r="C1" s="4"/>
      <c r="D1" s="4"/>
      <c r="E1" s="4"/>
      <c r="F1" s="5"/>
      <c r="G1" s="5"/>
      <c r="H1" s="5"/>
      <c r="I1" s="5"/>
      <c r="J1" s="5"/>
      <c r="K1" s="5"/>
    </row>
    <row r="2" spans="1:13" s="7" customFormat="1" ht="27.75" customHeight="1">
      <c r="A2" s="389" t="s">
        <v>113</v>
      </c>
      <c r="B2" s="390"/>
      <c r="C2" s="390"/>
      <c r="D2" s="390"/>
      <c r="E2" s="390"/>
      <c r="F2" s="390"/>
      <c r="G2" s="390"/>
      <c r="H2" s="390"/>
      <c r="I2" s="390"/>
      <c r="J2" s="390"/>
      <c r="K2" s="390"/>
    </row>
    <row r="3" spans="1:13" ht="27.75" customHeight="1">
      <c r="A3" s="391" t="s">
        <v>114</v>
      </c>
      <c r="B3" s="391"/>
      <c r="C3" s="391"/>
      <c r="D3" s="391"/>
      <c r="E3" s="391"/>
      <c r="F3" s="391"/>
      <c r="G3" s="391"/>
      <c r="H3" s="391"/>
      <c r="I3" s="391"/>
      <c r="J3" s="391"/>
      <c r="K3" s="391"/>
    </row>
    <row r="4" spans="1:13" ht="15.75">
      <c r="A4" s="392" t="s">
        <v>0</v>
      </c>
      <c r="B4" s="392" t="s">
        <v>15</v>
      </c>
      <c r="C4" s="393" t="s">
        <v>115</v>
      </c>
      <c r="D4" s="393" t="s">
        <v>16</v>
      </c>
      <c r="E4" s="393" t="s">
        <v>116</v>
      </c>
      <c r="F4" s="392" t="s">
        <v>11</v>
      </c>
      <c r="G4" s="392" t="s">
        <v>17</v>
      </c>
      <c r="H4" s="392" t="s">
        <v>18</v>
      </c>
      <c r="I4" s="392"/>
      <c r="J4" s="392"/>
      <c r="K4" s="392" t="s">
        <v>19</v>
      </c>
    </row>
    <row r="5" spans="1:13" ht="15.75">
      <c r="A5" s="392"/>
      <c r="B5" s="392"/>
      <c r="C5" s="394"/>
      <c r="D5" s="394"/>
      <c r="E5" s="394"/>
      <c r="F5" s="392"/>
      <c r="G5" s="392"/>
      <c r="H5" s="1" t="s">
        <v>20</v>
      </c>
      <c r="I5" s="1" t="s">
        <v>21</v>
      </c>
      <c r="J5" s="1" t="s">
        <v>22</v>
      </c>
      <c r="K5" s="392"/>
    </row>
    <row r="6" spans="1:13" ht="18.75">
      <c r="A6" s="11" t="s">
        <v>117</v>
      </c>
      <c r="B6" s="77" t="s">
        <v>118</v>
      </c>
      <c r="C6" s="91"/>
      <c r="D6" s="91"/>
      <c r="E6" s="92"/>
      <c r="F6" s="1"/>
      <c r="G6" s="1"/>
      <c r="H6" s="1"/>
      <c r="I6" s="1"/>
      <c r="J6" s="1"/>
      <c r="K6" s="1"/>
    </row>
    <row r="7" spans="1:13" ht="15.75">
      <c r="A7" s="1" t="s">
        <v>119</v>
      </c>
      <c r="B7" s="67" t="s">
        <v>120</v>
      </c>
      <c r="C7" s="91"/>
      <c r="D7" s="91"/>
      <c r="E7" s="92"/>
      <c r="F7" s="1"/>
      <c r="G7" s="1"/>
      <c r="H7" s="1"/>
      <c r="I7" s="1"/>
      <c r="J7" s="1"/>
      <c r="K7" s="1"/>
    </row>
    <row r="8" spans="1:13" ht="15.75">
      <c r="A8" s="1">
        <v>1</v>
      </c>
      <c r="B8" s="66" t="s">
        <v>12</v>
      </c>
      <c r="C8" s="93" t="s">
        <v>121</v>
      </c>
      <c r="D8" s="93" t="s">
        <v>122</v>
      </c>
      <c r="E8" s="94" t="s">
        <v>123</v>
      </c>
      <c r="F8" s="1" t="s">
        <v>9</v>
      </c>
      <c r="G8" s="1">
        <v>1</v>
      </c>
      <c r="H8" s="1">
        <v>1262</v>
      </c>
      <c r="I8" s="1">
        <f t="shared" ref="I8:I13" si="0">H8*G8</f>
        <v>1262</v>
      </c>
      <c r="J8" s="95">
        <f>I8/7.65</f>
        <v>164.96732026143789</v>
      </c>
      <c r="K8" s="1"/>
      <c r="L8" s="96"/>
    </row>
    <row r="9" spans="1:13" ht="15.75">
      <c r="A9" s="1">
        <f>A8+1</f>
        <v>2</v>
      </c>
      <c r="B9" s="66" t="s">
        <v>1</v>
      </c>
      <c r="C9" s="93" t="s">
        <v>121</v>
      </c>
      <c r="D9" s="93" t="s">
        <v>124</v>
      </c>
      <c r="E9" s="94" t="s">
        <v>123</v>
      </c>
      <c r="F9" s="1" t="s">
        <v>9</v>
      </c>
      <c r="G9" s="1">
        <v>1</v>
      </c>
      <c r="H9" s="67">
        <v>1200</v>
      </c>
      <c r="I9" s="1">
        <f t="shared" si="0"/>
        <v>1200</v>
      </c>
      <c r="J9" s="95">
        <f>I9/7.65</f>
        <v>156.8627450980392</v>
      </c>
      <c r="K9" s="1"/>
    </row>
    <row r="10" spans="1:13" s="9" customFormat="1" ht="15.75">
      <c r="A10" s="1">
        <f>A9+1</f>
        <v>3</v>
      </c>
      <c r="B10" s="66" t="s">
        <v>1</v>
      </c>
      <c r="C10" s="93" t="s">
        <v>121</v>
      </c>
      <c r="D10" s="93" t="s">
        <v>125</v>
      </c>
      <c r="E10" s="94" t="s">
        <v>123</v>
      </c>
      <c r="F10" s="1" t="s">
        <v>9</v>
      </c>
      <c r="G10" s="97">
        <v>1</v>
      </c>
      <c r="H10" s="68">
        <v>680</v>
      </c>
      <c r="I10" s="1">
        <f t="shared" si="0"/>
        <v>680</v>
      </c>
      <c r="J10" s="95">
        <f>I10/7.65</f>
        <v>88.888888888888886</v>
      </c>
      <c r="K10" s="98"/>
    </row>
    <row r="11" spans="1:13" ht="15.75">
      <c r="A11" s="1">
        <f>A10+1</f>
        <v>4</v>
      </c>
      <c r="B11" s="66" t="s">
        <v>1</v>
      </c>
      <c r="C11" s="93" t="s">
        <v>2</v>
      </c>
      <c r="D11" s="93" t="s">
        <v>126</v>
      </c>
      <c r="E11" s="94" t="s">
        <v>123</v>
      </c>
      <c r="F11" s="1" t="s">
        <v>9</v>
      </c>
      <c r="G11" s="99">
        <v>1</v>
      </c>
      <c r="H11" s="68">
        <v>900</v>
      </c>
      <c r="I11" s="1">
        <f t="shared" si="0"/>
        <v>900</v>
      </c>
      <c r="J11" s="95">
        <f>I11/7.65</f>
        <v>117.64705882352941</v>
      </c>
      <c r="K11" s="1"/>
    </row>
    <row r="12" spans="1:13" ht="15.75">
      <c r="A12" s="1">
        <f>A11+1</f>
        <v>5</v>
      </c>
      <c r="B12" s="66" t="s">
        <v>1</v>
      </c>
      <c r="C12" s="93" t="s">
        <v>127</v>
      </c>
      <c r="D12" s="93" t="s">
        <v>128</v>
      </c>
      <c r="E12" s="94" t="s">
        <v>129</v>
      </c>
      <c r="F12" s="1" t="s">
        <v>9</v>
      </c>
      <c r="G12" s="1">
        <v>4</v>
      </c>
      <c r="H12" s="68">
        <v>180</v>
      </c>
      <c r="I12" s="1">
        <f t="shared" si="0"/>
        <v>720</v>
      </c>
      <c r="J12" s="95"/>
      <c r="K12" s="1"/>
      <c r="M12" s="6">
        <v>7.65</v>
      </c>
    </row>
    <row r="13" spans="1:13" ht="15.75">
      <c r="A13" s="1">
        <f>A12+1</f>
        <v>6</v>
      </c>
      <c r="B13" s="66" t="s">
        <v>1</v>
      </c>
      <c r="C13" s="93" t="s">
        <v>127</v>
      </c>
      <c r="D13" s="93" t="s">
        <v>130</v>
      </c>
      <c r="E13" s="94" t="s">
        <v>129</v>
      </c>
      <c r="F13" s="1" t="s">
        <v>9</v>
      </c>
      <c r="G13" s="1">
        <v>3</v>
      </c>
      <c r="H13" s="68">
        <v>550</v>
      </c>
      <c r="I13" s="1">
        <f t="shared" si="0"/>
        <v>1650</v>
      </c>
      <c r="J13" s="95"/>
      <c r="K13" s="1"/>
    </row>
    <row r="14" spans="1:13" ht="15.75">
      <c r="A14" s="1"/>
      <c r="B14" s="68" t="s">
        <v>131</v>
      </c>
      <c r="C14" s="93"/>
      <c r="D14" s="93"/>
      <c r="E14" s="94"/>
      <c r="F14" s="1" t="s">
        <v>9</v>
      </c>
      <c r="G14" s="1">
        <f>SUM(G8:G13)</f>
        <v>11</v>
      </c>
      <c r="H14" s="1"/>
      <c r="I14" s="1">
        <f>SUM(I8:I13)</f>
        <v>6412</v>
      </c>
      <c r="J14" s="95">
        <f>SUM(J8:J13)</f>
        <v>528.3660130718954</v>
      </c>
      <c r="K14" s="1"/>
    </row>
    <row r="15" spans="1:13" ht="15.75">
      <c r="A15" s="1"/>
      <c r="B15" s="94"/>
      <c r="C15" s="93"/>
      <c r="D15" s="93"/>
      <c r="E15" s="94"/>
      <c r="F15" s="1"/>
      <c r="G15" s="1"/>
      <c r="H15" s="68"/>
      <c r="I15" s="1"/>
      <c r="J15" s="95"/>
      <c r="K15" s="1"/>
    </row>
    <row r="16" spans="1:13" ht="15.75">
      <c r="A16" s="1" t="s">
        <v>132</v>
      </c>
      <c r="B16" s="94" t="s">
        <v>133</v>
      </c>
      <c r="C16" s="93"/>
      <c r="D16" s="93"/>
      <c r="E16" s="94"/>
      <c r="F16" s="1"/>
      <c r="G16" s="1"/>
      <c r="H16" s="68"/>
      <c r="I16" s="1"/>
      <c r="J16" s="95"/>
      <c r="K16" s="1"/>
    </row>
    <row r="17" spans="1:11" ht="15.75">
      <c r="A17" s="1">
        <v>1</v>
      </c>
      <c r="B17" s="94" t="s">
        <v>26</v>
      </c>
      <c r="C17" s="100" t="s">
        <v>134</v>
      </c>
      <c r="D17" s="94" t="s">
        <v>135</v>
      </c>
      <c r="E17" s="94" t="s">
        <v>136</v>
      </c>
      <c r="F17" s="1" t="s">
        <v>9</v>
      </c>
      <c r="G17" s="1">
        <v>2</v>
      </c>
      <c r="H17" s="68">
        <v>400</v>
      </c>
      <c r="I17" s="1">
        <f>H17*G17</f>
        <v>800</v>
      </c>
      <c r="J17" s="64"/>
      <c r="K17" s="1"/>
    </row>
    <row r="18" spans="1:11" ht="15.75">
      <c r="A18" s="1">
        <f>A17+1</f>
        <v>2</v>
      </c>
      <c r="B18" s="94" t="s">
        <v>27</v>
      </c>
      <c r="C18" s="100"/>
      <c r="D18" s="94" t="s">
        <v>137</v>
      </c>
      <c r="E18" s="94" t="s">
        <v>138</v>
      </c>
      <c r="F18" s="1" t="s">
        <v>9</v>
      </c>
      <c r="G18" s="1">
        <v>2</v>
      </c>
      <c r="H18" s="68">
        <v>340</v>
      </c>
      <c r="I18" s="1">
        <f>H18*G18</f>
        <v>680</v>
      </c>
      <c r="J18" s="64"/>
      <c r="K18" s="1"/>
    </row>
    <row r="19" spans="1:11" ht="15.75">
      <c r="A19" s="1">
        <v>3</v>
      </c>
      <c r="B19" s="94" t="s">
        <v>27</v>
      </c>
      <c r="C19" s="100"/>
      <c r="D19" s="94" t="s">
        <v>139</v>
      </c>
      <c r="E19" s="94" t="s">
        <v>138</v>
      </c>
      <c r="F19" s="1" t="s">
        <v>9</v>
      </c>
      <c r="G19" s="1">
        <v>2</v>
      </c>
      <c r="H19" s="68">
        <v>500</v>
      </c>
      <c r="I19" s="1">
        <f>H19*G19</f>
        <v>1000</v>
      </c>
      <c r="J19" s="64"/>
      <c r="K19" s="1"/>
    </row>
    <row r="20" spans="1:11" ht="15.75">
      <c r="A20" s="1">
        <v>4</v>
      </c>
      <c r="B20" s="94" t="s">
        <v>28</v>
      </c>
      <c r="C20" s="383" t="s">
        <v>140</v>
      </c>
      <c r="D20" s="94" t="s">
        <v>141</v>
      </c>
      <c r="E20" s="94" t="s">
        <v>138</v>
      </c>
      <c r="F20" s="1" t="s">
        <v>9</v>
      </c>
      <c r="G20" s="1">
        <v>4</v>
      </c>
      <c r="H20" s="68">
        <v>270</v>
      </c>
      <c r="I20" s="1">
        <f>H20*G20</f>
        <v>1080</v>
      </c>
      <c r="J20" s="64"/>
      <c r="K20" s="1"/>
    </row>
    <row r="21" spans="1:11" ht="15.75">
      <c r="A21" s="1">
        <v>5</v>
      </c>
      <c r="B21" s="94" t="s">
        <v>28</v>
      </c>
      <c r="C21" s="384"/>
      <c r="D21" s="94" t="s">
        <v>142</v>
      </c>
      <c r="E21" s="94" t="s">
        <v>138</v>
      </c>
      <c r="F21" s="1" t="s">
        <v>9</v>
      </c>
      <c r="G21" s="1">
        <v>4</v>
      </c>
      <c r="H21" s="68">
        <v>160</v>
      </c>
      <c r="I21" s="1">
        <f>H21*G21</f>
        <v>640</v>
      </c>
      <c r="J21" s="64"/>
      <c r="K21" s="1"/>
    </row>
    <row r="22" spans="1:11" ht="15.75">
      <c r="A22" s="1"/>
      <c r="B22" s="68" t="s">
        <v>131</v>
      </c>
      <c r="C22" s="93"/>
      <c r="D22" s="94"/>
      <c r="E22" s="94"/>
      <c r="F22" s="1" t="s">
        <v>9</v>
      </c>
      <c r="G22" s="1">
        <f>SUM(G17:G19)</f>
        <v>6</v>
      </c>
      <c r="H22" s="1"/>
      <c r="I22" s="1">
        <f>SUM(I17:I21)</f>
        <v>4200</v>
      </c>
      <c r="J22" s="64"/>
      <c r="K22" s="1"/>
    </row>
    <row r="23" spans="1:11" ht="15.75">
      <c r="A23" s="1"/>
      <c r="B23" s="94"/>
      <c r="C23" s="92"/>
      <c r="D23" s="94"/>
      <c r="E23" s="94"/>
      <c r="F23" s="1"/>
      <c r="G23" s="1"/>
      <c r="H23" s="91"/>
      <c r="I23" s="1"/>
      <c r="J23" s="64"/>
      <c r="K23" s="1"/>
    </row>
    <row r="24" spans="1:11" ht="15.75">
      <c r="A24" s="1" t="s">
        <v>143</v>
      </c>
      <c r="B24" s="94" t="s">
        <v>144</v>
      </c>
      <c r="C24" s="92"/>
      <c r="D24" s="94"/>
      <c r="E24" s="94"/>
      <c r="F24" s="1"/>
      <c r="G24" s="1"/>
      <c r="H24" s="91"/>
      <c r="I24" s="1"/>
      <c r="J24" s="64"/>
      <c r="K24" s="1"/>
    </row>
    <row r="25" spans="1:11" s="101" customFormat="1" ht="14.25">
      <c r="A25" s="67">
        <v>1</v>
      </c>
      <c r="B25" s="67" t="s">
        <v>31</v>
      </c>
      <c r="C25" s="67" t="s">
        <v>145</v>
      </c>
      <c r="D25" s="67" t="s">
        <v>146</v>
      </c>
      <c r="E25" s="66" t="s">
        <v>3</v>
      </c>
      <c r="F25" s="67" t="s">
        <v>4</v>
      </c>
      <c r="G25" s="67">
        <v>2</v>
      </c>
      <c r="H25" s="67">
        <v>400</v>
      </c>
      <c r="I25" s="67">
        <f>H25*G25</f>
        <v>800</v>
      </c>
      <c r="J25" s="67"/>
      <c r="K25" s="65"/>
    </row>
    <row r="26" spans="1:11" s="101" customFormat="1" ht="14.25">
      <c r="A26" s="67">
        <f>A25+1</f>
        <v>2</v>
      </c>
      <c r="B26" s="67" t="s">
        <v>32</v>
      </c>
      <c r="D26" s="67" t="s">
        <v>147</v>
      </c>
      <c r="E26" s="94" t="s">
        <v>129</v>
      </c>
      <c r="F26" s="67" t="s">
        <v>4</v>
      </c>
      <c r="G26" s="67">
        <v>1</v>
      </c>
      <c r="H26" s="67">
        <v>400</v>
      </c>
      <c r="I26" s="67">
        <f>H26*G26</f>
        <v>400</v>
      </c>
      <c r="J26" s="67"/>
      <c r="K26" s="65"/>
    </row>
    <row r="27" spans="1:11" s="101" customFormat="1" ht="14.25">
      <c r="A27" s="67">
        <f>A26+1</f>
        <v>3</v>
      </c>
      <c r="B27" s="67" t="s">
        <v>33</v>
      </c>
      <c r="C27" s="385" t="s">
        <v>148</v>
      </c>
      <c r="D27" s="386"/>
      <c r="E27" s="66" t="s">
        <v>149</v>
      </c>
      <c r="F27" s="67" t="s">
        <v>4</v>
      </c>
      <c r="G27" s="67">
        <v>1</v>
      </c>
      <c r="H27" s="67">
        <v>100</v>
      </c>
      <c r="I27" s="67">
        <f>H27*G27</f>
        <v>100</v>
      </c>
      <c r="J27" s="67"/>
      <c r="K27" s="65"/>
    </row>
    <row r="28" spans="1:11" s="101" customFormat="1" ht="14.25">
      <c r="A28" s="67">
        <f>A27+1</f>
        <v>4</v>
      </c>
      <c r="B28" s="67" t="s">
        <v>150</v>
      </c>
      <c r="C28" s="67"/>
      <c r="D28" s="67" t="s">
        <v>5</v>
      </c>
      <c r="E28" s="66" t="s">
        <v>3</v>
      </c>
      <c r="F28" s="67" t="s">
        <v>4</v>
      </c>
      <c r="G28" s="67">
        <v>1</v>
      </c>
      <c r="H28" s="67">
        <v>60</v>
      </c>
      <c r="I28" s="67">
        <f>H28*G28</f>
        <v>60</v>
      </c>
      <c r="J28" s="67"/>
      <c r="K28" s="65"/>
    </row>
    <row r="29" spans="1:11" s="101" customFormat="1" ht="14.25">
      <c r="A29" s="67"/>
      <c r="B29" s="68" t="s">
        <v>131</v>
      </c>
      <c r="C29" s="68"/>
      <c r="D29" s="68"/>
      <c r="E29" s="94"/>
      <c r="F29" s="67" t="s">
        <v>4</v>
      </c>
      <c r="G29" s="67">
        <f>SUM(G25:G28)</f>
        <v>5</v>
      </c>
      <c r="H29" s="67"/>
      <c r="I29" s="67">
        <f>SUM(I25:I28)</f>
        <v>1360</v>
      </c>
      <c r="J29" s="102"/>
      <c r="K29" s="65"/>
    </row>
    <row r="30" spans="1:11" s="101" customFormat="1" ht="14.25">
      <c r="A30" s="67"/>
      <c r="B30" s="68"/>
      <c r="C30" s="68"/>
      <c r="D30" s="68"/>
      <c r="E30" s="94"/>
      <c r="F30" s="67"/>
      <c r="G30" s="67"/>
      <c r="H30" s="68"/>
      <c r="I30" s="67"/>
      <c r="J30" s="67"/>
      <c r="K30" s="65"/>
    </row>
    <row r="31" spans="1:11" s="101" customFormat="1" ht="14.25">
      <c r="A31" s="67" t="s">
        <v>151</v>
      </c>
      <c r="B31" s="68" t="s">
        <v>152</v>
      </c>
      <c r="C31" s="68"/>
      <c r="D31" s="68"/>
      <c r="E31" s="94"/>
      <c r="F31" s="67"/>
      <c r="G31" s="67"/>
      <c r="H31" s="68"/>
      <c r="I31" s="67"/>
      <c r="J31" s="67"/>
      <c r="K31" s="65"/>
    </row>
    <row r="32" spans="1:11" s="101" customFormat="1" ht="14.25">
      <c r="A32" s="67">
        <v>1</v>
      </c>
      <c r="B32" s="67" t="s">
        <v>29</v>
      </c>
      <c r="C32" s="68" t="s">
        <v>153</v>
      </c>
      <c r="D32" s="68" t="s">
        <v>154</v>
      </c>
      <c r="E32" s="66" t="s">
        <v>155</v>
      </c>
      <c r="F32" s="1" t="s">
        <v>9</v>
      </c>
      <c r="G32" s="1">
        <v>1</v>
      </c>
      <c r="H32" s="68">
        <v>300</v>
      </c>
      <c r="I32" s="1">
        <f>H32*G32</f>
        <v>300</v>
      </c>
      <c r="J32" s="67"/>
      <c r="K32" s="65"/>
    </row>
    <row r="33" spans="1:11" s="101" customFormat="1" ht="14.25">
      <c r="A33" s="67">
        <f>A32+1</f>
        <v>2</v>
      </c>
      <c r="B33" s="67" t="s">
        <v>29</v>
      </c>
      <c r="C33" s="68" t="s">
        <v>156</v>
      </c>
      <c r="D33" s="68" t="s">
        <v>157</v>
      </c>
      <c r="E33" s="66" t="s">
        <v>155</v>
      </c>
      <c r="F33" s="1" t="s">
        <v>9</v>
      </c>
      <c r="G33" s="1">
        <v>1</v>
      </c>
      <c r="H33" s="68">
        <v>340</v>
      </c>
      <c r="I33" s="1">
        <f>H33*G33</f>
        <v>340</v>
      </c>
      <c r="J33" s="67"/>
      <c r="K33" s="65"/>
    </row>
    <row r="34" spans="1:11" s="101" customFormat="1" ht="14.25">
      <c r="A34" s="67"/>
      <c r="B34" s="68" t="s">
        <v>131</v>
      </c>
      <c r="C34" s="68"/>
      <c r="D34" s="68"/>
      <c r="E34" s="94"/>
      <c r="F34" s="1" t="s">
        <v>9</v>
      </c>
      <c r="G34" s="1">
        <f>SUM(G32:G33)</f>
        <v>2</v>
      </c>
      <c r="H34" s="1"/>
      <c r="I34" s="1">
        <f>SUM(I32:I33)</f>
        <v>640</v>
      </c>
      <c r="J34" s="67"/>
      <c r="K34" s="65"/>
    </row>
    <row r="35" spans="1:11" s="101" customFormat="1" ht="14.25">
      <c r="A35" s="67"/>
      <c r="B35" s="68"/>
      <c r="C35" s="68"/>
      <c r="D35" s="68"/>
      <c r="E35" s="66"/>
      <c r="F35" s="1"/>
      <c r="G35" s="1"/>
      <c r="H35" s="1"/>
      <c r="I35" s="1"/>
      <c r="J35" s="67"/>
      <c r="K35" s="65"/>
    </row>
    <row r="36" spans="1:11" s="101" customFormat="1" ht="14.25">
      <c r="A36" s="67" t="s">
        <v>158</v>
      </c>
      <c r="B36" s="68" t="s">
        <v>159</v>
      </c>
      <c r="C36" s="68"/>
      <c r="D36" s="68"/>
      <c r="E36" s="66"/>
      <c r="F36" s="67"/>
      <c r="G36" s="1"/>
      <c r="H36" s="103"/>
      <c r="I36" s="1"/>
      <c r="J36" s="67"/>
      <c r="K36" s="65"/>
    </row>
    <row r="37" spans="1:11" s="101" customFormat="1" ht="14.25">
      <c r="A37" s="67">
        <v>1</v>
      </c>
      <c r="B37" s="68" t="s">
        <v>34</v>
      </c>
      <c r="C37" s="68"/>
      <c r="D37" s="68" t="s">
        <v>160</v>
      </c>
      <c r="E37" s="66" t="s">
        <v>161</v>
      </c>
      <c r="F37" s="67" t="s">
        <v>4</v>
      </c>
      <c r="G37" s="1">
        <v>1</v>
      </c>
      <c r="H37" s="103">
        <v>50</v>
      </c>
      <c r="I37" s="1">
        <f>H37*G37</f>
        <v>50</v>
      </c>
      <c r="J37" s="67"/>
      <c r="K37" s="65"/>
    </row>
    <row r="38" spans="1:11" s="101" customFormat="1" ht="14.25">
      <c r="A38" s="67">
        <v>2</v>
      </c>
      <c r="B38" s="68" t="s">
        <v>34</v>
      </c>
      <c r="C38" s="68"/>
      <c r="D38" s="68" t="s">
        <v>162</v>
      </c>
      <c r="E38" s="66" t="s">
        <v>161</v>
      </c>
      <c r="F38" s="67" t="s">
        <v>4</v>
      </c>
      <c r="G38" s="1">
        <v>1</v>
      </c>
      <c r="H38" s="103">
        <v>35</v>
      </c>
      <c r="I38" s="1">
        <f>H38*G38</f>
        <v>35</v>
      </c>
      <c r="J38" s="67"/>
      <c r="K38" s="65"/>
    </row>
    <row r="39" spans="1:11" s="101" customFormat="1" ht="14.25">
      <c r="A39" s="67">
        <v>3</v>
      </c>
      <c r="B39" s="68" t="s">
        <v>163</v>
      </c>
      <c r="C39" s="68"/>
      <c r="D39" s="68" t="s">
        <v>164</v>
      </c>
      <c r="E39" s="66" t="s">
        <v>165</v>
      </c>
      <c r="F39" s="67" t="s">
        <v>4</v>
      </c>
      <c r="G39" s="1">
        <v>2</v>
      </c>
      <c r="H39" s="103">
        <v>40</v>
      </c>
      <c r="I39" s="1">
        <f>H39*G39</f>
        <v>80</v>
      </c>
      <c r="J39" s="67"/>
      <c r="K39" s="65"/>
    </row>
    <row r="40" spans="1:11" s="101" customFormat="1" ht="14.25">
      <c r="A40" s="67"/>
      <c r="B40" s="68" t="s">
        <v>131</v>
      </c>
      <c r="C40" s="68"/>
      <c r="D40" s="68"/>
      <c r="E40" s="66"/>
      <c r="F40" s="67" t="s">
        <v>4</v>
      </c>
      <c r="G40" s="1">
        <f>SUM(G37:G39)</f>
        <v>4</v>
      </c>
      <c r="H40" s="1"/>
      <c r="I40" s="1">
        <f>SUM(I37:I39)</f>
        <v>165</v>
      </c>
      <c r="J40" s="67"/>
      <c r="K40" s="65"/>
    </row>
    <row r="41" spans="1:11" s="101" customFormat="1" ht="14.25">
      <c r="A41" s="67"/>
      <c r="B41" s="79" t="s">
        <v>166</v>
      </c>
      <c r="C41" s="68"/>
      <c r="D41" s="68"/>
      <c r="E41" s="66"/>
      <c r="F41" s="67" t="s">
        <v>4</v>
      </c>
      <c r="G41" s="1">
        <f>G14+G22+G29+G34+G40</f>
        <v>28</v>
      </c>
      <c r="H41" s="1"/>
      <c r="I41" s="1">
        <f>I14+I22+I29+I34+I40</f>
        <v>12777</v>
      </c>
      <c r="J41" s="104">
        <f>J14+J22+J29+J34+J40</f>
        <v>528.3660130718954</v>
      </c>
      <c r="K41" s="65"/>
    </row>
    <row r="42" spans="1:11" s="101" customFormat="1" ht="14.25">
      <c r="A42" s="67"/>
      <c r="B42" s="68"/>
      <c r="C42" s="68"/>
      <c r="D42" s="68"/>
      <c r="E42" s="66"/>
      <c r="F42" s="67"/>
      <c r="G42" s="67"/>
      <c r="H42" s="67"/>
      <c r="I42" s="67"/>
      <c r="J42" s="67"/>
      <c r="K42" s="65"/>
    </row>
    <row r="43" spans="1:11" s="101" customFormat="1" ht="18.75">
      <c r="A43" s="12" t="s">
        <v>167</v>
      </c>
      <c r="B43" s="78" t="s">
        <v>168</v>
      </c>
      <c r="C43" s="68"/>
      <c r="D43" s="68"/>
      <c r="E43" s="66"/>
      <c r="F43" s="67"/>
      <c r="G43" s="67"/>
      <c r="H43" s="67"/>
      <c r="I43" s="67"/>
      <c r="J43" s="67"/>
      <c r="K43" s="65"/>
    </row>
    <row r="44" spans="1:11" s="101" customFormat="1" ht="14.25">
      <c r="A44" s="67" t="s">
        <v>119</v>
      </c>
      <c r="B44" s="68" t="s">
        <v>169</v>
      </c>
      <c r="C44" s="68"/>
      <c r="D44" s="68"/>
      <c r="E44" s="66"/>
      <c r="F44" s="67"/>
      <c r="G44" s="67"/>
      <c r="H44" s="67"/>
      <c r="I44" s="67"/>
      <c r="J44" s="67"/>
      <c r="K44" s="65"/>
    </row>
    <row r="45" spans="1:11" s="101" customFormat="1" ht="14.25">
      <c r="A45" s="67">
        <v>1</v>
      </c>
      <c r="B45" s="67" t="s">
        <v>6</v>
      </c>
      <c r="C45" s="67"/>
      <c r="D45" s="67" t="s">
        <v>170</v>
      </c>
      <c r="E45" s="66" t="s">
        <v>7</v>
      </c>
      <c r="F45" s="67" t="s">
        <v>4</v>
      </c>
      <c r="G45" s="67">
        <v>1</v>
      </c>
      <c r="H45" s="67">
        <v>1100</v>
      </c>
      <c r="I45" s="67">
        <f>H45*G45</f>
        <v>1100</v>
      </c>
      <c r="J45" s="67"/>
      <c r="K45" s="65"/>
    </row>
    <row r="46" spans="1:11" s="101" customFormat="1" ht="14.25">
      <c r="A46" s="67">
        <f>A45+1</f>
        <v>2</v>
      </c>
      <c r="B46" s="67" t="s">
        <v>6</v>
      </c>
      <c r="C46" s="68"/>
      <c r="D46" s="67" t="s">
        <v>171</v>
      </c>
      <c r="E46" s="66" t="s">
        <v>7</v>
      </c>
      <c r="F46" s="67" t="s">
        <v>4</v>
      </c>
      <c r="G46" s="67">
        <v>1</v>
      </c>
      <c r="H46" s="67">
        <v>900</v>
      </c>
      <c r="I46" s="67">
        <f>H46*G46</f>
        <v>900</v>
      </c>
      <c r="J46" s="67"/>
      <c r="K46" s="65"/>
    </row>
    <row r="47" spans="1:11" s="101" customFormat="1" ht="14.25">
      <c r="A47" s="67">
        <f>A46+1</f>
        <v>3</v>
      </c>
      <c r="B47" s="67" t="s">
        <v>30</v>
      </c>
      <c r="C47" s="68"/>
      <c r="D47" s="68" t="s">
        <v>172</v>
      </c>
      <c r="E47" s="66" t="s">
        <v>173</v>
      </c>
      <c r="F47" s="67" t="s">
        <v>4</v>
      </c>
      <c r="G47" s="67">
        <v>1</v>
      </c>
      <c r="H47" s="67">
        <v>400</v>
      </c>
      <c r="I47" s="67">
        <f>H47*G47</f>
        <v>400</v>
      </c>
      <c r="J47" s="67"/>
      <c r="K47" s="65"/>
    </row>
    <row r="48" spans="1:11" s="101" customFormat="1" ht="14.25">
      <c r="A48" s="67"/>
      <c r="B48" s="68" t="s">
        <v>131</v>
      </c>
      <c r="C48" s="68"/>
      <c r="D48" s="68"/>
      <c r="E48" s="66"/>
      <c r="F48" s="67" t="s">
        <v>4</v>
      </c>
      <c r="G48" s="67">
        <f>SUM(G45:G47)</f>
        <v>3</v>
      </c>
      <c r="H48" s="67"/>
      <c r="I48" s="67">
        <f>SUM(I45:I47)</f>
        <v>2400</v>
      </c>
      <c r="J48" s="67"/>
      <c r="K48" s="65"/>
    </row>
    <row r="49" spans="1:11" s="101" customFormat="1" ht="14.25">
      <c r="A49" s="67"/>
      <c r="B49" s="68"/>
      <c r="C49" s="68"/>
      <c r="D49" s="68"/>
      <c r="E49" s="66"/>
      <c r="F49" s="67"/>
      <c r="G49" s="67"/>
      <c r="H49" s="67"/>
      <c r="I49" s="67"/>
      <c r="J49" s="67"/>
      <c r="K49" s="65"/>
    </row>
    <row r="50" spans="1:11" s="101" customFormat="1" ht="14.25">
      <c r="A50" s="67" t="s">
        <v>132</v>
      </c>
      <c r="B50" s="67" t="s">
        <v>174</v>
      </c>
      <c r="C50" s="67"/>
      <c r="D50" s="67"/>
      <c r="E50" s="66"/>
      <c r="F50" s="67"/>
      <c r="G50" s="67"/>
      <c r="H50" s="67"/>
      <c r="I50" s="67"/>
      <c r="J50" s="67"/>
      <c r="K50" s="65"/>
    </row>
    <row r="51" spans="1:11" ht="15.75">
      <c r="A51" s="67">
        <v>1</v>
      </c>
      <c r="B51" s="66" t="s">
        <v>8</v>
      </c>
      <c r="C51" s="67" t="s">
        <v>25</v>
      </c>
      <c r="D51" s="67" t="s">
        <v>175</v>
      </c>
      <c r="E51" s="66" t="s">
        <v>176</v>
      </c>
      <c r="F51" s="67" t="s">
        <v>4</v>
      </c>
      <c r="G51" s="67">
        <v>2</v>
      </c>
      <c r="H51" s="67">
        <v>260</v>
      </c>
      <c r="I51" s="67">
        <f>H51*G51</f>
        <v>520</v>
      </c>
      <c r="J51" s="64"/>
      <c r="K51" s="1"/>
    </row>
    <row r="52" spans="1:11" ht="15.75">
      <c r="A52" s="67">
        <v>2</v>
      </c>
      <c r="B52" s="66" t="s">
        <v>177</v>
      </c>
      <c r="C52" s="66" t="s">
        <v>178</v>
      </c>
      <c r="D52" s="66" t="s">
        <v>179</v>
      </c>
      <c r="E52" s="66" t="s">
        <v>173</v>
      </c>
      <c r="F52" s="1" t="s">
        <v>9</v>
      </c>
      <c r="G52" s="1">
        <v>1</v>
      </c>
      <c r="H52" s="67">
        <v>500</v>
      </c>
      <c r="I52" s="1">
        <f>H52*G52</f>
        <v>500</v>
      </c>
      <c r="J52" s="1"/>
      <c r="K52" s="1"/>
    </row>
    <row r="53" spans="1:11" ht="15.75">
      <c r="A53" s="1"/>
      <c r="B53" s="68" t="s">
        <v>131</v>
      </c>
      <c r="C53" s="67"/>
      <c r="D53" s="67"/>
      <c r="E53" s="66"/>
      <c r="F53" s="67" t="s">
        <v>4</v>
      </c>
      <c r="G53" s="1">
        <f>SUM(G51:G52)</f>
        <v>3</v>
      </c>
      <c r="H53" s="103"/>
      <c r="I53" s="103">
        <f>SUM(I51:I52)</f>
        <v>1020</v>
      </c>
      <c r="J53" s="64"/>
      <c r="K53" s="1"/>
    </row>
    <row r="54" spans="1:11" ht="15.75">
      <c r="A54" s="1"/>
      <c r="B54" s="67"/>
      <c r="C54" s="67"/>
      <c r="D54" s="67"/>
      <c r="E54" s="66"/>
      <c r="F54" s="67"/>
      <c r="G54" s="1"/>
      <c r="H54" s="103"/>
      <c r="I54" s="103"/>
      <c r="J54" s="64"/>
      <c r="K54" s="1"/>
    </row>
    <row r="55" spans="1:11" ht="15.75">
      <c r="A55" s="1" t="s">
        <v>143</v>
      </c>
      <c r="B55" s="67" t="s">
        <v>180</v>
      </c>
      <c r="C55" s="67"/>
      <c r="D55" s="67"/>
      <c r="E55" s="66"/>
      <c r="F55" s="67"/>
      <c r="G55" s="1"/>
      <c r="H55" s="103"/>
      <c r="I55" s="103"/>
      <c r="J55" s="64"/>
      <c r="K55" s="1"/>
    </row>
    <row r="56" spans="1:11" s="101" customFormat="1" ht="14.25">
      <c r="A56" s="67">
        <v>1</v>
      </c>
      <c r="B56" s="67" t="s">
        <v>181</v>
      </c>
      <c r="C56" s="67"/>
      <c r="D56" s="67" t="s">
        <v>182</v>
      </c>
      <c r="E56" s="66" t="s">
        <v>173</v>
      </c>
      <c r="F56" s="1" t="s">
        <v>9</v>
      </c>
      <c r="G56" s="1">
        <v>2</v>
      </c>
      <c r="H56" s="67">
        <v>55</v>
      </c>
      <c r="I56" s="1">
        <f>H56*G56</f>
        <v>110</v>
      </c>
      <c r="J56" s="67"/>
      <c r="K56" s="65"/>
    </row>
    <row r="57" spans="1:11" s="101" customFormat="1" ht="14.25">
      <c r="A57" s="67">
        <v>2</v>
      </c>
      <c r="B57" s="67" t="s">
        <v>180</v>
      </c>
      <c r="C57" s="67"/>
      <c r="D57" s="67" t="s">
        <v>183</v>
      </c>
      <c r="E57" s="66" t="s">
        <v>173</v>
      </c>
      <c r="F57" s="1" t="s">
        <v>9</v>
      </c>
      <c r="G57" s="1">
        <v>2</v>
      </c>
      <c r="H57" s="67">
        <v>18</v>
      </c>
      <c r="I57" s="1">
        <f>H57*G57</f>
        <v>36</v>
      </c>
      <c r="J57" s="67"/>
      <c r="K57" s="65"/>
    </row>
    <row r="58" spans="1:11" ht="15.75">
      <c r="A58" s="1"/>
      <c r="B58" s="68" t="s">
        <v>131</v>
      </c>
      <c r="C58" s="67"/>
      <c r="D58" s="67"/>
      <c r="E58" s="66"/>
      <c r="F58" s="67" t="s">
        <v>4</v>
      </c>
      <c r="G58" s="1">
        <f>SUM(G56:G57)</f>
        <v>4</v>
      </c>
      <c r="H58" s="1"/>
      <c r="I58" s="1">
        <f>SUM(I56:I57)</f>
        <v>146</v>
      </c>
      <c r="J58" s="64"/>
      <c r="K58" s="1"/>
    </row>
    <row r="59" spans="1:11" ht="15.75">
      <c r="A59" s="1"/>
      <c r="B59" s="67"/>
      <c r="C59" s="67"/>
      <c r="D59" s="67"/>
      <c r="E59" s="66"/>
      <c r="F59" s="67"/>
      <c r="G59" s="1"/>
      <c r="H59" s="103"/>
      <c r="I59" s="1"/>
      <c r="J59" s="64"/>
      <c r="K59" s="1"/>
    </row>
    <row r="60" spans="1:11" ht="15.75">
      <c r="A60" s="1" t="s">
        <v>151</v>
      </c>
      <c r="B60" s="67" t="s">
        <v>159</v>
      </c>
      <c r="C60" s="67"/>
      <c r="D60" s="67"/>
      <c r="E60" s="66"/>
      <c r="F60" s="67"/>
      <c r="G60" s="1"/>
      <c r="H60" s="103"/>
      <c r="I60" s="1"/>
      <c r="J60" s="64"/>
      <c r="K60" s="90"/>
    </row>
    <row r="61" spans="1:11" s="101" customFormat="1" ht="14.25">
      <c r="A61" s="67">
        <v>1</v>
      </c>
      <c r="B61" s="67" t="s">
        <v>34</v>
      </c>
      <c r="C61" s="67"/>
      <c r="D61" s="67" t="s">
        <v>184</v>
      </c>
      <c r="E61" s="66" t="s">
        <v>161</v>
      </c>
      <c r="F61" s="67" t="s">
        <v>4</v>
      </c>
      <c r="G61" s="1">
        <v>1</v>
      </c>
      <c r="H61" s="103">
        <v>80</v>
      </c>
      <c r="I61" s="1">
        <f>H61*G61</f>
        <v>80</v>
      </c>
      <c r="J61" s="67"/>
      <c r="K61" s="65"/>
    </row>
    <row r="62" spans="1:11" s="101" customFormat="1" ht="14.25">
      <c r="A62" s="67">
        <v>2</v>
      </c>
      <c r="B62" s="67" t="s">
        <v>34</v>
      </c>
      <c r="C62" s="67"/>
      <c r="D62" s="67" t="s">
        <v>160</v>
      </c>
      <c r="E62" s="66" t="s">
        <v>161</v>
      </c>
      <c r="F62" s="67" t="s">
        <v>4</v>
      </c>
      <c r="G62" s="1">
        <v>1</v>
      </c>
      <c r="H62" s="103">
        <v>50</v>
      </c>
      <c r="I62" s="1">
        <f>H62*G62</f>
        <v>50</v>
      </c>
      <c r="J62" s="67"/>
      <c r="K62" s="65"/>
    </row>
    <row r="63" spans="1:11" s="101" customFormat="1" ht="14.25">
      <c r="A63" s="67">
        <v>3</v>
      </c>
      <c r="B63" s="67" t="s">
        <v>34</v>
      </c>
      <c r="C63" s="67"/>
      <c r="D63" s="67" t="s">
        <v>162</v>
      </c>
      <c r="E63" s="66" t="s">
        <v>161</v>
      </c>
      <c r="F63" s="67" t="s">
        <v>4</v>
      </c>
      <c r="G63" s="1">
        <v>1</v>
      </c>
      <c r="H63" s="103">
        <v>35</v>
      </c>
      <c r="I63" s="1">
        <f>H63*G63</f>
        <v>35</v>
      </c>
      <c r="J63" s="67"/>
      <c r="K63" s="65"/>
    </row>
    <row r="64" spans="1:11" s="101" customFormat="1" ht="14.25">
      <c r="A64" s="67">
        <v>4</v>
      </c>
      <c r="B64" s="67" t="s">
        <v>163</v>
      </c>
      <c r="C64" s="67"/>
      <c r="D64" s="67" t="s">
        <v>164</v>
      </c>
      <c r="E64" s="66" t="s">
        <v>165</v>
      </c>
      <c r="F64" s="67" t="s">
        <v>4</v>
      </c>
      <c r="G64" s="1">
        <v>1</v>
      </c>
      <c r="H64" s="103">
        <v>40</v>
      </c>
      <c r="I64" s="1">
        <f>H64*G64</f>
        <v>40</v>
      </c>
      <c r="J64" s="67"/>
      <c r="K64" s="65"/>
    </row>
    <row r="65" spans="1:11" ht="15.75">
      <c r="A65" s="1"/>
      <c r="B65" s="68" t="s">
        <v>131</v>
      </c>
      <c r="C65" s="67"/>
      <c r="D65" s="67"/>
      <c r="E65" s="66"/>
      <c r="F65" s="67" t="s">
        <v>4</v>
      </c>
      <c r="G65" s="1">
        <f>SUM(G61:G64)</f>
        <v>4</v>
      </c>
      <c r="H65" s="1"/>
      <c r="I65" s="1">
        <f>SUM(I61:I64)</f>
        <v>205</v>
      </c>
      <c r="J65" s="64"/>
      <c r="K65" s="1"/>
    </row>
    <row r="66" spans="1:11" ht="15.75">
      <c r="A66" s="1"/>
      <c r="B66" s="79" t="s">
        <v>166</v>
      </c>
      <c r="C66" s="67"/>
      <c r="D66" s="67"/>
      <c r="E66" s="66"/>
      <c r="F66" s="67" t="s">
        <v>4</v>
      </c>
      <c r="G66" s="1">
        <f>G48+G53+G58+G65</f>
        <v>14</v>
      </c>
      <c r="H66" s="1"/>
      <c r="I66" s="1">
        <f>I48+I53+I58+I65</f>
        <v>3771</v>
      </c>
      <c r="J66" s="64"/>
      <c r="K66" s="91"/>
    </row>
    <row r="67" spans="1:11" ht="15.75">
      <c r="A67" s="1"/>
      <c r="B67" s="67"/>
      <c r="C67" s="67"/>
      <c r="D67" s="67"/>
      <c r="E67" s="66"/>
      <c r="F67" s="67"/>
      <c r="G67" s="1"/>
      <c r="H67" s="1"/>
      <c r="I67" s="1"/>
      <c r="J67" s="64"/>
      <c r="K67" s="91"/>
    </row>
    <row r="68" spans="1:11" ht="15.75">
      <c r="A68" s="1" t="s">
        <v>36</v>
      </c>
      <c r="B68" s="105" t="s">
        <v>185</v>
      </c>
      <c r="C68" s="67"/>
      <c r="D68" s="67"/>
      <c r="E68" s="66"/>
      <c r="F68" s="67"/>
      <c r="G68" s="1"/>
      <c r="H68" s="103"/>
      <c r="I68" s="1"/>
      <c r="J68" s="64"/>
      <c r="K68" s="91"/>
    </row>
    <row r="69" spans="1:11" ht="15.75">
      <c r="A69" s="1">
        <v>1</v>
      </c>
      <c r="B69" s="67" t="s">
        <v>34</v>
      </c>
      <c r="C69" s="67"/>
      <c r="D69" s="67" t="s">
        <v>186</v>
      </c>
      <c r="E69" s="66" t="s">
        <v>161</v>
      </c>
      <c r="F69" s="67" t="s">
        <v>4</v>
      </c>
      <c r="G69" s="1">
        <v>1</v>
      </c>
      <c r="H69" s="103">
        <v>90</v>
      </c>
      <c r="I69" s="1">
        <f>H69*G69</f>
        <v>90</v>
      </c>
      <c r="J69" s="64"/>
      <c r="K69" s="91"/>
    </row>
    <row r="70" spans="1:11" ht="15.75">
      <c r="A70" s="1">
        <v>2</v>
      </c>
      <c r="B70" s="67" t="s">
        <v>34</v>
      </c>
      <c r="C70" s="67"/>
      <c r="D70" s="67" t="s">
        <v>187</v>
      </c>
      <c r="E70" s="66" t="s">
        <v>161</v>
      </c>
      <c r="F70" s="67" t="s">
        <v>4</v>
      </c>
      <c r="G70" s="1">
        <v>1</v>
      </c>
      <c r="H70" s="103">
        <v>120</v>
      </c>
      <c r="I70" s="1">
        <f>H70*G70</f>
        <v>120</v>
      </c>
      <c r="J70" s="64"/>
      <c r="K70" s="91"/>
    </row>
    <row r="71" spans="1:11" ht="15.75">
      <c r="A71" s="1">
        <v>3</v>
      </c>
      <c r="B71" s="67" t="s">
        <v>163</v>
      </c>
      <c r="C71" s="67"/>
      <c r="D71" s="67" t="s">
        <v>164</v>
      </c>
      <c r="E71" s="66" t="s">
        <v>165</v>
      </c>
      <c r="F71" s="67" t="s">
        <v>4</v>
      </c>
      <c r="G71" s="1">
        <v>1</v>
      </c>
      <c r="H71" s="103">
        <v>40</v>
      </c>
      <c r="I71" s="1">
        <f>H71*G71</f>
        <v>40</v>
      </c>
      <c r="J71" s="64"/>
      <c r="K71" s="91"/>
    </row>
    <row r="72" spans="1:11" ht="15.75">
      <c r="A72" s="1">
        <v>4</v>
      </c>
      <c r="B72" s="67" t="s">
        <v>188</v>
      </c>
      <c r="C72" s="67"/>
      <c r="D72" s="67" t="s">
        <v>189</v>
      </c>
      <c r="E72" s="66" t="s">
        <v>161</v>
      </c>
      <c r="F72" s="67" t="s">
        <v>4</v>
      </c>
      <c r="G72" s="1">
        <v>10</v>
      </c>
      <c r="H72" s="103">
        <v>18</v>
      </c>
      <c r="I72" s="1">
        <f>H72*G72</f>
        <v>180</v>
      </c>
      <c r="J72" s="64"/>
      <c r="K72" s="91"/>
    </row>
    <row r="73" spans="1:11" ht="15.75">
      <c r="A73" s="1"/>
      <c r="B73" s="79" t="s">
        <v>166</v>
      </c>
      <c r="C73" s="67"/>
      <c r="D73" s="67"/>
      <c r="E73" s="66"/>
      <c r="F73" s="67" t="s">
        <v>4</v>
      </c>
      <c r="G73" s="1">
        <f>SUM(G69:G72)</f>
        <v>13</v>
      </c>
      <c r="H73" s="1"/>
      <c r="I73" s="1">
        <f>SUM(I69:I72)</f>
        <v>430</v>
      </c>
      <c r="J73" s="64"/>
      <c r="K73" s="91"/>
    </row>
    <row r="74" spans="1:11" ht="15.75">
      <c r="A74" s="1"/>
      <c r="B74" s="67"/>
      <c r="C74" s="67"/>
      <c r="D74" s="67"/>
      <c r="E74" s="66"/>
      <c r="F74" s="67"/>
      <c r="G74" s="1"/>
      <c r="H74" s="1"/>
      <c r="I74" s="1"/>
      <c r="J74" s="64"/>
      <c r="K74" s="91"/>
    </row>
    <row r="75" spans="1:11" ht="15.75">
      <c r="A75" s="1" t="s">
        <v>190</v>
      </c>
      <c r="B75" s="105" t="s">
        <v>191</v>
      </c>
      <c r="C75" s="67"/>
      <c r="D75" s="67"/>
      <c r="E75" s="66"/>
      <c r="F75" s="67"/>
      <c r="G75" s="1"/>
      <c r="H75" s="1"/>
      <c r="I75" s="1"/>
      <c r="J75" s="64"/>
      <c r="K75" s="91"/>
    </row>
    <row r="76" spans="1:11" ht="15.75">
      <c r="A76" s="1">
        <v>1</v>
      </c>
      <c r="B76" s="67" t="s">
        <v>35</v>
      </c>
      <c r="C76" s="67"/>
      <c r="D76" s="67" t="s">
        <v>192</v>
      </c>
      <c r="E76" s="66" t="s">
        <v>193</v>
      </c>
      <c r="F76" s="67" t="s">
        <v>10</v>
      </c>
      <c r="G76" s="1">
        <v>2</v>
      </c>
      <c r="H76" s="103">
        <v>600</v>
      </c>
      <c r="I76" s="1">
        <f>H76*G76</f>
        <v>1200</v>
      </c>
      <c r="J76" s="104">
        <f>I76/7.65</f>
        <v>156.8627450980392</v>
      </c>
      <c r="K76" s="91"/>
    </row>
    <row r="77" spans="1:11" ht="15.75">
      <c r="A77" s="1">
        <v>2</v>
      </c>
      <c r="B77" s="67" t="s">
        <v>34</v>
      </c>
      <c r="C77" s="67"/>
      <c r="D77" s="67" t="s">
        <v>187</v>
      </c>
      <c r="E77" s="66" t="s">
        <v>161</v>
      </c>
      <c r="F77" s="67" t="s">
        <v>4</v>
      </c>
      <c r="G77" s="1">
        <v>1</v>
      </c>
      <c r="H77" s="103">
        <v>120</v>
      </c>
      <c r="I77" s="1">
        <f>H77*G77</f>
        <v>120</v>
      </c>
      <c r="J77" s="64"/>
      <c r="K77" s="91"/>
    </row>
    <row r="78" spans="1:11" s="101" customFormat="1" ht="14.25">
      <c r="A78" s="67">
        <v>3</v>
      </c>
      <c r="B78" s="67" t="s">
        <v>34</v>
      </c>
      <c r="C78" s="67"/>
      <c r="D78" s="67" t="s">
        <v>194</v>
      </c>
      <c r="E78" s="66" t="s">
        <v>161</v>
      </c>
      <c r="F78" s="67" t="s">
        <v>4</v>
      </c>
      <c r="G78" s="1">
        <v>1</v>
      </c>
      <c r="H78" s="103">
        <v>65</v>
      </c>
      <c r="I78" s="1">
        <f>H78*G78</f>
        <v>65</v>
      </c>
      <c r="J78" s="67"/>
      <c r="K78" s="65"/>
    </row>
    <row r="79" spans="1:11" ht="15.75">
      <c r="A79" s="1">
        <v>4</v>
      </c>
      <c r="B79" s="67" t="s">
        <v>195</v>
      </c>
      <c r="C79" s="67"/>
      <c r="D79" s="67"/>
      <c r="E79" s="66" t="s">
        <v>196</v>
      </c>
      <c r="F79" s="67" t="s">
        <v>10</v>
      </c>
      <c r="G79" s="1">
        <v>1</v>
      </c>
      <c r="H79" s="103">
        <v>50</v>
      </c>
      <c r="I79" s="1">
        <v>50</v>
      </c>
      <c r="J79" s="64"/>
      <c r="K79" s="91"/>
    </row>
    <row r="80" spans="1:11" ht="15.75">
      <c r="A80" s="1"/>
      <c r="B80" s="79" t="s">
        <v>166</v>
      </c>
      <c r="C80" s="67"/>
      <c r="D80" s="67"/>
      <c r="E80" s="66"/>
      <c r="F80" s="67" t="s">
        <v>10</v>
      </c>
      <c r="G80" s="1">
        <f>SUM(G76:G79)</f>
        <v>5</v>
      </c>
      <c r="H80" s="106"/>
      <c r="I80" s="1">
        <f>SUM(I76:I79)</f>
        <v>1435</v>
      </c>
      <c r="J80" s="104">
        <f>SUM(J68:J76)</f>
        <v>156.8627450980392</v>
      </c>
      <c r="K80" s="91"/>
    </row>
    <row r="81" spans="1:11" ht="15.75">
      <c r="A81" s="1"/>
      <c r="B81" s="67"/>
      <c r="C81" s="67"/>
      <c r="D81" s="67"/>
      <c r="E81" s="66"/>
      <c r="F81" s="67"/>
      <c r="G81" s="1"/>
      <c r="H81" s="106"/>
      <c r="I81" s="1"/>
      <c r="J81" s="1"/>
      <c r="K81" s="91"/>
    </row>
    <row r="82" spans="1:11" ht="15.75">
      <c r="A82" s="1" t="s">
        <v>197</v>
      </c>
      <c r="B82" s="105" t="s">
        <v>198</v>
      </c>
      <c r="C82" s="67"/>
      <c r="D82" s="67"/>
      <c r="E82" s="66"/>
      <c r="F82" s="67"/>
      <c r="G82" s="1"/>
      <c r="H82" s="103"/>
      <c r="I82" s="1"/>
      <c r="J82" s="64"/>
      <c r="K82" s="91"/>
    </row>
    <row r="83" spans="1:11" ht="15.75">
      <c r="A83" s="1">
        <v>1</v>
      </c>
      <c r="B83" s="67" t="s">
        <v>34</v>
      </c>
      <c r="C83" s="67"/>
      <c r="D83" s="67" t="s">
        <v>184</v>
      </c>
      <c r="E83" s="66" t="s">
        <v>161</v>
      </c>
      <c r="F83" s="67" t="s">
        <v>4</v>
      </c>
      <c r="G83" s="1">
        <v>1</v>
      </c>
      <c r="H83" s="103">
        <v>80</v>
      </c>
      <c r="I83" s="1">
        <f>H83*G83</f>
        <v>80</v>
      </c>
      <c r="J83" s="64"/>
      <c r="K83" s="91"/>
    </row>
    <row r="84" spans="1:11" ht="15.75">
      <c r="A84" s="1"/>
      <c r="B84" s="79" t="s">
        <v>166</v>
      </c>
      <c r="C84" s="67"/>
      <c r="D84" s="67"/>
      <c r="E84" s="66"/>
      <c r="F84" s="67" t="s">
        <v>4</v>
      </c>
      <c r="G84" s="1">
        <f>G83</f>
        <v>1</v>
      </c>
      <c r="H84" s="1"/>
      <c r="I84" s="1">
        <f>I83</f>
        <v>80</v>
      </c>
      <c r="J84" s="64"/>
      <c r="K84" s="91"/>
    </row>
    <row r="85" spans="1:11" ht="15.75">
      <c r="A85" s="1"/>
      <c r="B85" s="67"/>
      <c r="C85" s="67"/>
      <c r="D85" s="67"/>
      <c r="E85" s="66"/>
      <c r="F85" s="67"/>
      <c r="G85" s="1"/>
      <c r="H85" s="103"/>
      <c r="I85" s="1"/>
      <c r="J85" s="64"/>
      <c r="K85" s="91"/>
    </row>
    <row r="86" spans="1:11" ht="15.75">
      <c r="A86" s="1"/>
      <c r="B86" s="67" t="s">
        <v>199</v>
      </c>
      <c r="C86" s="93"/>
      <c r="D86" s="66"/>
      <c r="E86" s="66"/>
      <c r="F86" s="1" t="s">
        <v>9</v>
      </c>
      <c r="G86" s="1">
        <f>G41+G66+G73+G80+G84</f>
        <v>61</v>
      </c>
      <c r="H86" s="1"/>
      <c r="I86" s="1">
        <f>I41+I66+I73+I80+I84</f>
        <v>18493</v>
      </c>
      <c r="J86" s="104">
        <f>J41+J66+J73+J80+J84</f>
        <v>685.22875816993462</v>
      </c>
      <c r="K86" s="1"/>
    </row>
    <row r="87" spans="1:11" ht="15.75">
      <c r="A87" s="1"/>
      <c r="B87" s="67" t="s">
        <v>200</v>
      </c>
      <c r="C87" s="93"/>
      <c r="D87" s="66"/>
      <c r="E87" s="66"/>
      <c r="F87" s="1"/>
      <c r="G87" s="1"/>
      <c r="H87" s="1"/>
      <c r="I87" s="104">
        <f>I86*0.07</f>
        <v>1294.5100000000002</v>
      </c>
      <c r="J87" s="95"/>
      <c r="K87" s="1"/>
    </row>
    <row r="88" spans="1:11" ht="15" customHeight="1">
      <c r="A88" s="3"/>
      <c r="B88" s="3" t="s">
        <v>201</v>
      </c>
      <c r="C88" s="2"/>
      <c r="D88" s="2"/>
      <c r="E88" s="2"/>
      <c r="F88" s="3"/>
      <c r="G88" s="3"/>
      <c r="H88" s="3"/>
      <c r="I88" s="80">
        <f>SUM(I86:I87)</f>
        <v>19787.510000000002</v>
      </c>
      <c r="J88" s="3"/>
      <c r="K88" s="3"/>
    </row>
  </sheetData>
  <mergeCells count="14">
    <mergeCell ref="C20:C21"/>
    <mergeCell ref="C27:D27"/>
    <mergeCell ref="A1:B1"/>
    <mergeCell ref="A2:K2"/>
    <mergeCell ref="A3:K3"/>
    <mergeCell ref="A4:A5"/>
    <mergeCell ref="B4:B5"/>
    <mergeCell ref="C4:C5"/>
    <mergeCell ref="D4:D5"/>
    <mergeCell ref="K4:K5"/>
    <mergeCell ref="E4:E5"/>
    <mergeCell ref="F4:F5"/>
    <mergeCell ref="G4:G5"/>
    <mergeCell ref="H4:J4"/>
  </mergeCells>
  <phoneticPr fontId="2" type="noConversion"/>
  <pageMargins left="0.74803149606299213" right="0.32" top="0.57999999999999996" bottom="0.59" header="0.51181102362204722" footer="0.51181102362204722"/>
  <pageSetup paperSize="9" orientation="landscape" verticalDpi="300" r:id="rId1"/>
  <headerFooter alignWithMargins="0"/>
</worksheet>
</file>

<file path=xl/worksheets/sheet3.xml><?xml version="1.0" encoding="utf-8"?>
<worksheet xmlns="http://schemas.openxmlformats.org/spreadsheetml/2006/main" xmlns:r="http://schemas.openxmlformats.org/officeDocument/2006/relationships">
  <sheetPr codeName="Sheet1">
    <pageSetUpPr fitToPage="1"/>
  </sheetPr>
  <dimension ref="A1:Z83"/>
  <sheetViews>
    <sheetView showGridLines="0" showZeros="0" tabSelected="1" view="pageBreakPreview" zoomScale="80" zoomScaleNormal="100" zoomScaleSheetLayoutView="80" workbookViewId="0">
      <pane xSplit="4" ySplit="5" topLeftCell="E6" activePane="bottomRight" state="frozen"/>
      <selection activeCell="D12" sqref="D12"/>
      <selection pane="topRight" activeCell="D12" sqref="D12"/>
      <selection pane="bottomLeft" activeCell="D12" sqref="D12"/>
      <selection pane="bottomRight" activeCell="D4" sqref="D4:D5"/>
    </sheetView>
  </sheetViews>
  <sheetFormatPr defaultRowHeight="14.25"/>
  <cols>
    <col min="1" max="1" width="4.5" style="192" customWidth="1"/>
    <col min="2" max="2" width="5.75" style="192" customWidth="1"/>
    <col min="3" max="3" width="31.875" style="130" customWidth="1"/>
    <col min="4" max="4" width="10" style="127" customWidth="1"/>
    <col min="5" max="5" width="8.375" style="193" customWidth="1"/>
    <col min="6" max="11" width="7.75" style="193" customWidth="1"/>
    <col min="12" max="12" width="8.875" style="194" customWidth="1"/>
    <col min="13" max="13" width="7.75" style="193" customWidth="1"/>
    <col min="14" max="14" width="9" style="195" customWidth="1"/>
    <col min="15" max="15" width="8.75" style="194" customWidth="1"/>
    <col min="16" max="16" width="7.75" style="195" customWidth="1"/>
    <col min="17" max="17" width="9.625" style="193" bestFit="1" customWidth="1"/>
    <col min="18" max="18" width="9" style="193" customWidth="1"/>
    <col min="19" max="19" width="11.625" style="194" customWidth="1"/>
    <col min="20" max="21" width="9" style="193" customWidth="1"/>
    <col min="22" max="22" width="5.125" style="130" customWidth="1"/>
    <col min="23" max="23" width="10" style="130" bestFit="1" customWidth="1"/>
    <col min="24" max="256" width="9" style="130"/>
    <col min="257" max="257" width="4.5" style="130" customWidth="1"/>
    <col min="258" max="258" width="5.75" style="130" customWidth="1"/>
    <col min="259" max="259" width="31.875" style="130" customWidth="1"/>
    <col min="260" max="260" width="10" style="130" customWidth="1"/>
    <col min="261" max="261" width="8.375" style="130" customWidth="1"/>
    <col min="262" max="267" width="7.75" style="130" customWidth="1"/>
    <col min="268" max="268" width="8.875" style="130" customWidth="1"/>
    <col min="269" max="269" width="7.75" style="130" customWidth="1"/>
    <col min="270" max="270" width="9" style="130" customWidth="1"/>
    <col min="271" max="271" width="8.75" style="130" customWidth="1"/>
    <col min="272" max="272" width="7.75" style="130" customWidth="1"/>
    <col min="273" max="273" width="9.625" style="130" bestFit="1" customWidth="1"/>
    <col min="274" max="274" width="9" style="130" customWidth="1"/>
    <col min="275" max="275" width="11.625" style="130" customWidth="1"/>
    <col min="276" max="277" width="9" style="130" customWidth="1"/>
    <col min="278" max="278" width="5.125" style="130" customWidth="1"/>
    <col min="279" max="279" width="10" style="130" bestFit="1" customWidth="1"/>
    <col min="280" max="512" width="9" style="130"/>
    <col min="513" max="513" width="4.5" style="130" customWidth="1"/>
    <col min="514" max="514" width="5.75" style="130" customWidth="1"/>
    <col min="515" max="515" width="31.875" style="130" customWidth="1"/>
    <col min="516" max="516" width="10" style="130" customWidth="1"/>
    <col min="517" max="517" width="8.375" style="130" customWidth="1"/>
    <col min="518" max="523" width="7.75" style="130" customWidth="1"/>
    <col min="524" max="524" width="8.875" style="130" customWidth="1"/>
    <col min="525" max="525" width="7.75" style="130" customWidth="1"/>
    <col min="526" max="526" width="9" style="130" customWidth="1"/>
    <col min="527" max="527" width="8.75" style="130" customWidth="1"/>
    <col min="528" max="528" width="7.75" style="130" customWidth="1"/>
    <col min="529" max="529" width="9.625" style="130" bestFit="1" customWidth="1"/>
    <col min="530" max="530" width="9" style="130" customWidth="1"/>
    <col min="531" max="531" width="11.625" style="130" customWidth="1"/>
    <col min="532" max="533" width="9" style="130" customWidth="1"/>
    <col min="534" max="534" width="5.125" style="130" customWidth="1"/>
    <col min="535" max="535" width="10" style="130" bestFit="1" customWidth="1"/>
    <col min="536" max="768" width="9" style="130"/>
    <col min="769" max="769" width="4.5" style="130" customWidth="1"/>
    <col min="770" max="770" width="5.75" style="130" customWidth="1"/>
    <col min="771" max="771" width="31.875" style="130" customWidth="1"/>
    <col min="772" max="772" width="10" style="130" customWidth="1"/>
    <col min="773" max="773" width="8.375" style="130" customWidth="1"/>
    <col min="774" max="779" width="7.75" style="130" customWidth="1"/>
    <col min="780" max="780" width="8.875" style="130" customWidth="1"/>
    <col min="781" max="781" width="7.75" style="130" customWidth="1"/>
    <col min="782" max="782" width="9" style="130" customWidth="1"/>
    <col min="783" max="783" width="8.75" style="130" customWidth="1"/>
    <col min="784" max="784" width="7.75" style="130" customWidth="1"/>
    <col min="785" max="785" width="9.625" style="130" bestFit="1" customWidth="1"/>
    <col min="786" max="786" width="9" style="130" customWidth="1"/>
    <col min="787" max="787" width="11.625" style="130" customWidth="1"/>
    <col min="788" max="789" width="9" style="130" customWidth="1"/>
    <col min="790" max="790" width="5.125" style="130" customWidth="1"/>
    <col min="791" max="791" width="10" style="130" bestFit="1" customWidth="1"/>
    <col min="792" max="1024" width="9" style="130"/>
    <col min="1025" max="1025" width="4.5" style="130" customWidth="1"/>
    <col min="1026" max="1026" width="5.75" style="130" customWidth="1"/>
    <col min="1027" max="1027" width="31.875" style="130" customWidth="1"/>
    <col min="1028" max="1028" width="10" style="130" customWidth="1"/>
    <col min="1029" max="1029" width="8.375" style="130" customWidth="1"/>
    <col min="1030" max="1035" width="7.75" style="130" customWidth="1"/>
    <col min="1036" max="1036" width="8.875" style="130" customWidth="1"/>
    <col min="1037" max="1037" width="7.75" style="130" customWidth="1"/>
    <col min="1038" max="1038" width="9" style="130" customWidth="1"/>
    <col min="1039" max="1039" width="8.75" style="130" customWidth="1"/>
    <col min="1040" max="1040" width="7.75" style="130" customWidth="1"/>
    <col min="1041" max="1041" width="9.625" style="130" bestFit="1" customWidth="1"/>
    <col min="1042" max="1042" width="9" style="130" customWidth="1"/>
    <col min="1043" max="1043" width="11.625" style="130" customWidth="1"/>
    <col min="1044" max="1045" width="9" style="130" customWidth="1"/>
    <col min="1046" max="1046" width="5.125" style="130" customWidth="1"/>
    <col min="1047" max="1047" width="10" style="130" bestFit="1" customWidth="1"/>
    <col min="1048" max="1280" width="9" style="130"/>
    <col min="1281" max="1281" width="4.5" style="130" customWidth="1"/>
    <col min="1282" max="1282" width="5.75" style="130" customWidth="1"/>
    <col min="1283" max="1283" width="31.875" style="130" customWidth="1"/>
    <col min="1284" max="1284" width="10" style="130" customWidth="1"/>
    <col min="1285" max="1285" width="8.375" style="130" customWidth="1"/>
    <col min="1286" max="1291" width="7.75" style="130" customWidth="1"/>
    <col min="1292" max="1292" width="8.875" style="130" customWidth="1"/>
    <col min="1293" max="1293" width="7.75" style="130" customWidth="1"/>
    <col min="1294" max="1294" width="9" style="130" customWidth="1"/>
    <col min="1295" max="1295" width="8.75" style="130" customWidth="1"/>
    <col min="1296" max="1296" width="7.75" style="130" customWidth="1"/>
    <col min="1297" max="1297" width="9.625" style="130" bestFit="1" customWidth="1"/>
    <col min="1298" max="1298" width="9" style="130" customWidth="1"/>
    <col min="1299" max="1299" width="11.625" style="130" customWidth="1"/>
    <col min="1300" max="1301" width="9" style="130" customWidth="1"/>
    <col min="1302" max="1302" width="5.125" style="130" customWidth="1"/>
    <col min="1303" max="1303" width="10" style="130" bestFit="1" customWidth="1"/>
    <col min="1304" max="1536" width="9" style="130"/>
    <col min="1537" max="1537" width="4.5" style="130" customWidth="1"/>
    <col min="1538" max="1538" width="5.75" style="130" customWidth="1"/>
    <col min="1539" max="1539" width="31.875" style="130" customWidth="1"/>
    <col min="1540" max="1540" width="10" style="130" customWidth="1"/>
    <col min="1541" max="1541" width="8.375" style="130" customWidth="1"/>
    <col min="1542" max="1547" width="7.75" style="130" customWidth="1"/>
    <col min="1548" max="1548" width="8.875" style="130" customWidth="1"/>
    <col min="1549" max="1549" width="7.75" style="130" customWidth="1"/>
    <col min="1550" max="1550" width="9" style="130" customWidth="1"/>
    <col min="1551" max="1551" width="8.75" style="130" customWidth="1"/>
    <col min="1552" max="1552" width="7.75" style="130" customWidth="1"/>
    <col min="1553" max="1553" width="9.625" style="130" bestFit="1" customWidth="1"/>
    <col min="1554" max="1554" width="9" style="130" customWidth="1"/>
    <col min="1555" max="1555" width="11.625" style="130" customWidth="1"/>
    <col min="1556" max="1557" width="9" style="130" customWidth="1"/>
    <col min="1558" max="1558" width="5.125" style="130" customWidth="1"/>
    <col min="1559" max="1559" width="10" style="130" bestFit="1" customWidth="1"/>
    <col min="1560" max="1792" width="9" style="130"/>
    <col min="1793" max="1793" width="4.5" style="130" customWidth="1"/>
    <col min="1794" max="1794" width="5.75" style="130" customWidth="1"/>
    <col min="1795" max="1795" width="31.875" style="130" customWidth="1"/>
    <col min="1796" max="1796" width="10" style="130" customWidth="1"/>
    <col min="1797" max="1797" width="8.375" style="130" customWidth="1"/>
    <col min="1798" max="1803" width="7.75" style="130" customWidth="1"/>
    <col min="1804" max="1804" width="8.875" style="130" customWidth="1"/>
    <col min="1805" max="1805" width="7.75" style="130" customWidth="1"/>
    <col min="1806" max="1806" width="9" style="130" customWidth="1"/>
    <col min="1807" max="1807" width="8.75" style="130" customWidth="1"/>
    <col min="1808" max="1808" width="7.75" style="130" customWidth="1"/>
    <col min="1809" max="1809" width="9.625" style="130" bestFit="1" customWidth="1"/>
    <col min="1810" max="1810" width="9" style="130" customWidth="1"/>
    <col min="1811" max="1811" width="11.625" style="130" customWidth="1"/>
    <col min="1812" max="1813" width="9" style="130" customWidth="1"/>
    <col min="1814" max="1814" width="5.125" style="130" customWidth="1"/>
    <col min="1815" max="1815" width="10" style="130" bestFit="1" customWidth="1"/>
    <col min="1816" max="2048" width="9" style="130"/>
    <col min="2049" max="2049" width="4.5" style="130" customWidth="1"/>
    <col min="2050" max="2050" width="5.75" style="130" customWidth="1"/>
    <col min="2051" max="2051" width="31.875" style="130" customWidth="1"/>
    <col min="2052" max="2052" width="10" style="130" customWidth="1"/>
    <col min="2053" max="2053" width="8.375" style="130" customWidth="1"/>
    <col min="2054" max="2059" width="7.75" style="130" customWidth="1"/>
    <col min="2060" max="2060" width="8.875" style="130" customWidth="1"/>
    <col min="2061" max="2061" width="7.75" style="130" customWidth="1"/>
    <col min="2062" max="2062" width="9" style="130" customWidth="1"/>
    <col min="2063" max="2063" width="8.75" style="130" customWidth="1"/>
    <col min="2064" max="2064" width="7.75" style="130" customWidth="1"/>
    <col min="2065" max="2065" width="9.625" style="130" bestFit="1" customWidth="1"/>
    <col min="2066" max="2066" width="9" style="130" customWidth="1"/>
    <col min="2067" max="2067" width="11.625" style="130" customWidth="1"/>
    <col min="2068" max="2069" width="9" style="130" customWidth="1"/>
    <col min="2070" max="2070" width="5.125" style="130" customWidth="1"/>
    <col min="2071" max="2071" width="10" style="130" bestFit="1" customWidth="1"/>
    <col min="2072" max="2304" width="9" style="130"/>
    <col min="2305" max="2305" width="4.5" style="130" customWidth="1"/>
    <col min="2306" max="2306" width="5.75" style="130" customWidth="1"/>
    <col min="2307" max="2307" width="31.875" style="130" customWidth="1"/>
    <col min="2308" max="2308" width="10" style="130" customWidth="1"/>
    <col min="2309" max="2309" width="8.375" style="130" customWidth="1"/>
    <col min="2310" max="2315" width="7.75" style="130" customWidth="1"/>
    <col min="2316" max="2316" width="8.875" style="130" customWidth="1"/>
    <col min="2317" max="2317" width="7.75" style="130" customWidth="1"/>
    <col min="2318" max="2318" width="9" style="130" customWidth="1"/>
    <col min="2319" max="2319" width="8.75" style="130" customWidth="1"/>
    <col min="2320" max="2320" width="7.75" style="130" customWidth="1"/>
    <col min="2321" max="2321" width="9.625" style="130" bestFit="1" customWidth="1"/>
    <col min="2322" max="2322" width="9" style="130" customWidth="1"/>
    <col min="2323" max="2323" width="11.625" style="130" customWidth="1"/>
    <col min="2324" max="2325" width="9" style="130" customWidth="1"/>
    <col min="2326" max="2326" width="5.125" style="130" customWidth="1"/>
    <col min="2327" max="2327" width="10" style="130" bestFit="1" customWidth="1"/>
    <col min="2328" max="2560" width="9" style="130"/>
    <col min="2561" max="2561" width="4.5" style="130" customWidth="1"/>
    <col min="2562" max="2562" width="5.75" style="130" customWidth="1"/>
    <col min="2563" max="2563" width="31.875" style="130" customWidth="1"/>
    <col min="2564" max="2564" width="10" style="130" customWidth="1"/>
    <col min="2565" max="2565" width="8.375" style="130" customWidth="1"/>
    <col min="2566" max="2571" width="7.75" style="130" customWidth="1"/>
    <col min="2572" max="2572" width="8.875" style="130" customWidth="1"/>
    <col min="2573" max="2573" width="7.75" style="130" customWidth="1"/>
    <col min="2574" max="2574" width="9" style="130" customWidth="1"/>
    <col min="2575" max="2575" width="8.75" style="130" customWidth="1"/>
    <col min="2576" max="2576" width="7.75" style="130" customWidth="1"/>
    <col min="2577" max="2577" width="9.625" style="130" bestFit="1" customWidth="1"/>
    <col min="2578" max="2578" width="9" style="130" customWidth="1"/>
    <col min="2579" max="2579" width="11.625" style="130" customWidth="1"/>
    <col min="2580" max="2581" width="9" style="130" customWidth="1"/>
    <col min="2582" max="2582" width="5.125" style="130" customWidth="1"/>
    <col min="2583" max="2583" width="10" style="130" bestFit="1" customWidth="1"/>
    <col min="2584" max="2816" width="9" style="130"/>
    <col min="2817" max="2817" width="4.5" style="130" customWidth="1"/>
    <col min="2818" max="2818" width="5.75" style="130" customWidth="1"/>
    <col min="2819" max="2819" width="31.875" style="130" customWidth="1"/>
    <col min="2820" max="2820" width="10" style="130" customWidth="1"/>
    <col min="2821" max="2821" width="8.375" style="130" customWidth="1"/>
    <col min="2822" max="2827" width="7.75" style="130" customWidth="1"/>
    <col min="2828" max="2828" width="8.875" style="130" customWidth="1"/>
    <col min="2829" max="2829" width="7.75" style="130" customWidth="1"/>
    <col min="2830" max="2830" width="9" style="130" customWidth="1"/>
    <col min="2831" max="2831" width="8.75" style="130" customWidth="1"/>
    <col min="2832" max="2832" width="7.75" style="130" customWidth="1"/>
    <col min="2833" max="2833" width="9.625" style="130" bestFit="1" customWidth="1"/>
    <col min="2834" max="2834" width="9" style="130" customWidth="1"/>
    <col min="2835" max="2835" width="11.625" style="130" customWidth="1"/>
    <col min="2836" max="2837" width="9" style="130" customWidth="1"/>
    <col min="2838" max="2838" width="5.125" style="130" customWidth="1"/>
    <col min="2839" max="2839" width="10" style="130" bestFit="1" customWidth="1"/>
    <col min="2840" max="3072" width="9" style="130"/>
    <col min="3073" max="3073" width="4.5" style="130" customWidth="1"/>
    <col min="3074" max="3074" width="5.75" style="130" customWidth="1"/>
    <col min="3075" max="3075" width="31.875" style="130" customWidth="1"/>
    <col min="3076" max="3076" width="10" style="130" customWidth="1"/>
    <col min="3077" max="3077" width="8.375" style="130" customWidth="1"/>
    <col min="3078" max="3083" width="7.75" style="130" customWidth="1"/>
    <col min="3084" max="3084" width="8.875" style="130" customWidth="1"/>
    <col min="3085" max="3085" width="7.75" style="130" customWidth="1"/>
    <col min="3086" max="3086" width="9" style="130" customWidth="1"/>
    <col min="3087" max="3087" width="8.75" style="130" customWidth="1"/>
    <col min="3088" max="3088" width="7.75" style="130" customWidth="1"/>
    <col min="3089" max="3089" width="9.625" style="130" bestFit="1" customWidth="1"/>
    <col min="3090" max="3090" width="9" style="130" customWidth="1"/>
    <col min="3091" max="3091" width="11.625" style="130" customWidth="1"/>
    <col min="3092" max="3093" width="9" style="130" customWidth="1"/>
    <col min="3094" max="3094" width="5.125" style="130" customWidth="1"/>
    <col min="3095" max="3095" width="10" style="130" bestFit="1" customWidth="1"/>
    <col min="3096" max="3328" width="9" style="130"/>
    <col min="3329" max="3329" width="4.5" style="130" customWidth="1"/>
    <col min="3330" max="3330" width="5.75" style="130" customWidth="1"/>
    <col min="3331" max="3331" width="31.875" style="130" customWidth="1"/>
    <col min="3332" max="3332" width="10" style="130" customWidth="1"/>
    <col min="3333" max="3333" width="8.375" style="130" customWidth="1"/>
    <col min="3334" max="3339" width="7.75" style="130" customWidth="1"/>
    <col min="3340" max="3340" width="8.875" style="130" customWidth="1"/>
    <col min="3341" max="3341" width="7.75" style="130" customWidth="1"/>
    <col min="3342" max="3342" width="9" style="130" customWidth="1"/>
    <col min="3343" max="3343" width="8.75" style="130" customWidth="1"/>
    <col min="3344" max="3344" width="7.75" style="130" customWidth="1"/>
    <col min="3345" max="3345" width="9.625" style="130" bestFit="1" customWidth="1"/>
    <col min="3346" max="3346" width="9" style="130" customWidth="1"/>
    <col min="3347" max="3347" width="11.625" style="130" customWidth="1"/>
    <col min="3348" max="3349" width="9" style="130" customWidth="1"/>
    <col min="3350" max="3350" width="5.125" style="130" customWidth="1"/>
    <col min="3351" max="3351" width="10" style="130" bestFit="1" customWidth="1"/>
    <col min="3352" max="3584" width="9" style="130"/>
    <col min="3585" max="3585" width="4.5" style="130" customWidth="1"/>
    <col min="3586" max="3586" width="5.75" style="130" customWidth="1"/>
    <col min="3587" max="3587" width="31.875" style="130" customWidth="1"/>
    <col min="3588" max="3588" width="10" style="130" customWidth="1"/>
    <col min="3589" max="3589" width="8.375" style="130" customWidth="1"/>
    <col min="3590" max="3595" width="7.75" style="130" customWidth="1"/>
    <col min="3596" max="3596" width="8.875" style="130" customWidth="1"/>
    <col min="3597" max="3597" width="7.75" style="130" customWidth="1"/>
    <col min="3598" max="3598" width="9" style="130" customWidth="1"/>
    <col min="3599" max="3599" width="8.75" style="130" customWidth="1"/>
    <col min="3600" max="3600" width="7.75" style="130" customWidth="1"/>
    <col min="3601" max="3601" width="9.625" style="130" bestFit="1" customWidth="1"/>
    <col min="3602" max="3602" width="9" style="130" customWidth="1"/>
    <col min="3603" max="3603" width="11.625" style="130" customWidth="1"/>
    <col min="3604" max="3605" width="9" style="130" customWidth="1"/>
    <col min="3606" max="3606" width="5.125" style="130" customWidth="1"/>
    <col min="3607" max="3607" width="10" style="130" bestFit="1" customWidth="1"/>
    <col min="3608" max="3840" width="9" style="130"/>
    <col min="3841" max="3841" width="4.5" style="130" customWidth="1"/>
    <col min="3842" max="3842" width="5.75" style="130" customWidth="1"/>
    <col min="3843" max="3843" width="31.875" style="130" customWidth="1"/>
    <col min="3844" max="3844" width="10" style="130" customWidth="1"/>
    <col min="3845" max="3845" width="8.375" style="130" customWidth="1"/>
    <col min="3846" max="3851" width="7.75" style="130" customWidth="1"/>
    <col min="3852" max="3852" width="8.875" style="130" customWidth="1"/>
    <col min="3853" max="3853" width="7.75" style="130" customWidth="1"/>
    <col min="3854" max="3854" width="9" style="130" customWidth="1"/>
    <col min="3855" max="3855" width="8.75" style="130" customWidth="1"/>
    <col min="3856" max="3856" width="7.75" style="130" customWidth="1"/>
    <col min="3857" max="3857" width="9.625" style="130" bestFit="1" customWidth="1"/>
    <col min="3858" max="3858" width="9" style="130" customWidth="1"/>
    <col min="3859" max="3859" width="11.625" style="130" customWidth="1"/>
    <col min="3860" max="3861" width="9" style="130" customWidth="1"/>
    <col min="3862" max="3862" width="5.125" style="130" customWidth="1"/>
    <col min="3863" max="3863" width="10" style="130" bestFit="1" customWidth="1"/>
    <col min="3864" max="4096" width="9" style="130"/>
    <col min="4097" max="4097" width="4.5" style="130" customWidth="1"/>
    <col min="4098" max="4098" width="5.75" style="130" customWidth="1"/>
    <col min="4099" max="4099" width="31.875" style="130" customWidth="1"/>
    <col min="4100" max="4100" width="10" style="130" customWidth="1"/>
    <col min="4101" max="4101" width="8.375" style="130" customWidth="1"/>
    <col min="4102" max="4107" width="7.75" style="130" customWidth="1"/>
    <col min="4108" max="4108" width="8.875" style="130" customWidth="1"/>
    <col min="4109" max="4109" width="7.75" style="130" customWidth="1"/>
    <col min="4110" max="4110" width="9" style="130" customWidth="1"/>
    <col min="4111" max="4111" width="8.75" style="130" customWidth="1"/>
    <col min="4112" max="4112" width="7.75" style="130" customWidth="1"/>
    <col min="4113" max="4113" width="9.625" style="130" bestFit="1" customWidth="1"/>
    <col min="4114" max="4114" width="9" style="130" customWidth="1"/>
    <col min="4115" max="4115" width="11.625" style="130" customWidth="1"/>
    <col min="4116" max="4117" width="9" style="130" customWidth="1"/>
    <col min="4118" max="4118" width="5.125" style="130" customWidth="1"/>
    <col min="4119" max="4119" width="10" style="130" bestFit="1" customWidth="1"/>
    <col min="4120" max="4352" width="9" style="130"/>
    <col min="4353" max="4353" width="4.5" style="130" customWidth="1"/>
    <col min="4354" max="4354" width="5.75" style="130" customWidth="1"/>
    <col min="4355" max="4355" width="31.875" style="130" customWidth="1"/>
    <col min="4356" max="4356" width="10" style="130" customWidth="1"/>
    <col min="4357" max="4357" width="8.375" style="130" customWidth="1"/>
    <col min="4358" max="4363" width="7.75" style="130" customWidth="1"/>
    <col min="4364" max="4364" width="8.875" style="130" customWidth="1"/>
    <col min="4365" max="4365" width="7.75" style="130" customWidth="1"/>
    <col min="4366" max="4366" width="9" style="130" customWidth="1"/>
    <col min="4367" max="4367" width="8.75" style="130" customWidth="1"/>
    <col min="4368" max="4368" width="7.75" style="130" customWidth="1"/>
    <col min="4369" max="4369" width="9.625" style="130" bestFit="1" customWidth="1"/>
    <col min="4370" max="4370" width="9" style="130" customWidth="1"/>
    <col min="4371" max="4371" width="11.625" style="130" customWidth="1"/>
    <col min="4372" max="4373" width="9" style="130" customWidth="1"/>
    <col min="4374" max="4374" width="5.125" style="130" customWidth="1"/>
    <col min="4375" max="4375" width="10" style="130" bestFit="1" customWidth="1"/>
    <col min="4376" max="4608" width="9" style="130"/>
    <col min="4609" max="4609" width="4.5" style="130" customWidth="1"/>
    <col min="4610" max="4610" width="5.75" style="130" customWidth="1"/>
    <col min="4611" max="4611" width="31.875" style="130" customWidth="1"/>
    <col min="4612" max="4612" width="10" style="130" customWidth="1"/>
    <col min="4613" max="4613" width="8.375" style="130" customWidth="1"/>
    <col min="4614" max="4619" width="7.75" style="130" customWidth="1"/>
    <col min="4620" max="4620" width="8.875" style="130" customWidth="1"/>
    <col min="4621" max="4621" width="7.75" style="130" customWidth="1"/>
    <col min="4622" max="4622" width="9" style="130" customWidth="1"/>
    <col min="4623" max="4623" width="8.75" style="130" customWidth="1"/>
    <col min="4624" max="4624" width="7.75" style="130" customWidth="1"/>
    <col min="4625" max="4625" width="9.625" style="130" bestFit="1" customWidth="1"/>
    <col min="4626" max="4626" width="9" style="130" customWidth="1"/>
    <col min="4627" max="4627" width="11.625" style="130" customWidth="1"/>
    <col min="4628" max="4629" width="9" style="130" customWidth="1"/>
    <col min="4630" max="4630" width="5.125" style="130" customWidth="1"/>
    <col min="4631" max="4631" width="10" style="130" bestFit="1" customWidth="1"/>
    <col min="4632" max="4864" width="9" style="130"/>
    <col min="4865" max="4865" width="4.5" style="130" customWidth="1"/>
    <col min="4866" max="4866" width="5.75" style="130" customWidth="1"/>
    <col min="4867" max="4867" width="31.875" style="130" customWidth="1"/>
    <col min="4868" max="4868" width="10" style="130" customWidth="1"/>
    <col min="4869" max="4869" width="8.375" style="130" customWidth="1"/>
    <col min="4870" max="4875" width="7.75" style="130" customWidth="1"/>
    <col min="4876" max="4876" width="8.875" style="130" customWidth="1"/>
    <col min="4877" max="4877" width="7.75" style="130" customWidth="1"/>
    <col min="4878" max="4878" width="9" style="130" customWidth="1"/>
    <col min="4879" max="4879" width="8.75" style="130" customWidth="1"/>
    <col min="4880" max="4880" width="7.75" style="130" customWidth="1"/>
    <col min="4881" max="4881" width="9.625" style="130" bestFit="1" customWidth="1"/>
    <col min="4882" max="4882" width="9" style="130" customWidth="1"/>
    <col min="4883" max="4883" width="11.625" style="130" customWidth="1"/>
    <col min="4884" max="4885" width="9" style="130" customWidth="1"/>
    <col min="4886" max="4886" width="5.125" style="130" customWidth="1"/>
    <col min="4887" max="4887" width="10" style="130" bestFit="1" customWidth="1"/>
    <col min="4888" max="5120" width="9" style="130"/>
    <col min="5121" max="5121" width="4.5" style="130" customWidth="1"/>
    <col min="5122" max="5122" width="5.75" style="130" customWidth="1"/>
    <col min="5123" max="5123" width="31.875" style="130" customWidth="1"/>
    <col min="5124" max="5124" width="10" style="130" customWidth="1"/>
    <col min="5125" max="5125" width="8.375" style="130" customWidth="1"/>
    <col min="5126" max="5131" width="7.75" style="130" customWidth="1"/>
    <col min="5132" max="5132" width="8.875" style="130" customWidth="1"/>
    <col min="5133" max="5133" width="7.75" style="130" customWidth="1"/>
    <col min="5134" max="5134" width="9" style="130" customWidth="1"/>
    <col min="5135" max="5135" width="8.75" style="130" customWidth="1"/>
    <col min="5136" max="5136" width="7.75" style="130" customWidth="1"/>
    <col min="5137" max="5137" width="9.625" style="130" bestFit="1" customWidth="1"/>
    <col min="5138" max="5138" width="9" style="130" customWidth="1"/>
    <col min="5139" max="5139" width="11.625" style="130" customWidth="1"/>
    <col min="5140" max="5141" width="9" style="130" customWidth="1"/>
    <col min="5142" max="5142" width="5.125" style="130" customWidth="1"/>
    <col min="5143" max="5143" width="10" style="130" bestFit="1" customWidth="1"/>
    <col min="5144" max="5376" width="9" style="130"/>
    <col min="5377" max="5377" width="4.5" style="130" customWidth="1"/>
    <col min="5378" max="5378" width="5.75" style="130" customWidth="1"/>
    <col min="5379" max="5379" width="31.875" style="130" customWidth="1"/>
    <col min="5380" max="5380" width="10" style="130" customWidth="1"/>
    <col min="5381" max="5381" width="8.375" style="130" customWidth="1"/>
    <col min="5382" max="5387" width="7.75" style="130" customWidth="1"/>
    <col min="5388" max="5388" width="8.875" style="130" customWidth="1"/>
    <col min="5389" max="5389" width="7.75" style="130" customWidth="1"/>
    <col min="5390" max="5390" width="9" style="130" customWidth="1"/>
    <col min="5391" max="5391" width="8.75" style="130" customWidth="1"/>
    <col min="5392" max="5392" width="7.75" style="130" customWidth="1"/>
    <col min="5393" max="5393" width="9.625" style="130" bestFit="1" customWidth="1"/>
    <col min="5394" max="5394" width="9" style="130" customWidth="1"/>
    <col min="5395" max="5395" width="11.625" style="130" customWidth="1"/>
    <col min="5396" max="5397" width="9" style="130" customWidth="1"/>
    <col min="5398" max="5398" width="5.125" style="130" customWidth="1"/>
    <col min="5399" max="5399" width="10" style="130" bestFit="1" customWidth="1"/>
    <col min="5400" max="5632" width="9" style="130"/>
    <col min="5633" max="5633" width="4.5" style="130" customWidth="1"/>
    <col min="5634" max="5634" width="5.75" style="130" customWidth="1"/>
    <col min="5635" max="5635" width="31.875" style="130" customWidth="1"/>
    <col min="5636" max="5636" width="10" style="130" customWidth="1"/>
    <col min="5637" max="5637" width="8.375" style="130" customWidth="1"/>
    <col min="5638" max="5643" width="7.75" style="130" customWidth="1"/>
    <col min="5644" max="5644" width="8.875" style="130" customWidth="1"/>
    <col min="5645" max="5645" width="7.75" style="130" customWidth="1"/>
    <col min="5646" max="5646" width="9" style="130" customWidth="1"/>
    <col min="5647" max="5647" width="8.75" style="130" customWidth="1"/>
    <col min="5648" max="5648" width="7.75" style="130" customWidth="1"/>
    <col min="5649" max="5649" width="9.625" style="130" bestFit="1" customWidth="1"/>
    <col min="5650" max="5650" width="9" style="130" customWidth="1"/>
    <col min="5651" max="5651" width="11.625" style="130" customWidth="1"/>
    <col min="5652" max="5653" width="9" style="130" customWidth="1"/>
    <col min="5654" max="5654" width="5.125" style="130" customWidth="1"/>
    <col min="5655" max="5655" width="10" style="130" bestFit="1" customWidth="1"/>
    <col min="5656" max="5888" width="9" style="130"/>
    <col min="5889" max="5889" width="4.5" style="130" customWidth="1"/>
    <col min="5890" max="5890" width="5.75" style="130" customWidth="1"/>
    <col min="5891" max="5891" width="31.875" style="130" customWidth="1"/>
    <col min="5892" max="5892" width="10" style="130" customWidth="1"/>
    <col min="5893" max="5893" width="8.375" style="130" customWidth="1"/>
    <col min="5894" max="5899" width="7.75" style="130" customWidth="1"/>
    <col min="5900" max="5900" width="8.875" style="130" customWidth="1"/>
    <col min="5901" max="5901" width="7.75" style="130" customWidth="1"/>
    <col min="5902" max="5902" width="9" style="130" customWidth="1"/>
    <col min="5903" max="5903" width="8.75" style="130" customWidth="1"/>
    <col min="5904" max="5904" width="7.75" style="130" customWidth="1"/>
    <col min="5905" max="5905" width="9.625" style="130" bestFit="1" customWidth="1"/>
    <col min="5906" max="5906" width="9" style="130" customWidth="1"/>
    <col min="5907" max="5907" width="11.625" style="130" customWidth="1"/>
    <col min="5908" max="5909" width="9" style="130" customWidth="1"/>
    <col min="5910" max="5910" width="5.125" style="130" customWidth="1"/>
    <col min="5911" max="5911" width="10" style="130" bestFit="1" customWidth="1"/>
    <col min="5912" max="6144" width="9" style="130"/>
    <col min="6145" max="6145" width="4.5" style="130" customWidth="1"/>
    <col min="6146" max="6146" width="5.75" style="130" customWidth="1"/>
    <col min="6147" max="6147" width="31.875" style="130" customWidth="1"/>
    <col min="6148" max="6148" width="10" style="130" customWidth="1"/>
    <col min="6149" max="6149" width="8.375" style="130" customWidth="1"/>
    <col min="6150" max="6155" width="7.75" style="130" customWidth="1"/>
    <col min="6156" max="6156" width="8.875" style="130" customWidth="1"/>
    <col min="6157" max="6157" width="7.75" style="130" customWidth="1"/>
    <col min="6158" max="6158" width="9" style="130" customWidth="1"/>
    <col min="6159" max="6159" width="8.75" style="130" customWidth="1"/>
    <col min="6160" max="6160" width="7.75" style="130" customWidth="1"/>
    <col min="6161" max="6161" width="9.625" style="130" bestFit="1" customWidth="1"/>
    <col min="6162" max="6162" width="9" style="130" customWidth="1"/>
    <col min="6163" max="6163" width="11.625" style="130" customWidth="1"/>
    <col min="6164" max="6165" width="9" style="130" customWidth="1"/>
    <col min="6166" max="6166" width="5.125" style="130" customWidth="1"/>
    <col min="6167" max="6167" width="10" style="130" bestFit="1" customWidth="1"/>
    <col min="6168" max="6400" width="9" style="130"/>
    <col min="6401" max="6401" width="4.5" style="130" customWidth="1"/>
    <col min="6402" max="6402" width="5.75" style="130" customWidth="1"/>
    <col min="6403" max="6403" width="31.875" style="130" customWidth="1"/>
    <col min="6404" max="6404" width="10" style="130" customWidth="1"/>
    <col min="6405" max="6405" width="8.375" style="130" customWidth="1"/>
    <col min="6406" max="6411" width="7.75" style="130" customWidth="1"/>
    <col min="6412" max="6412" width="8.875" style="130" customWidth="1"/>
    <col min="6413" max="6413" width="7.75" style="130" customWidth="1"/>
    <col min="6414" max="6414" width="9" style="130" customWidth="1"/>
    <col min="6415" max="6415" width="8.75" style="130" customWidth="1"/>
    <col min="6416" max="6416" width="7.75" style="130" customWidth="1"/>
    <col min="6417" max="6417" width="9.625" style="130" bestFit="1" customWidth="1"/>
    <col min="6418" max="6418" width="9" style="130" customWidth="1"/>
    <col min="6419" max="6419" width="11.625" style="130" customWidth="1"/>
    <col min="6420" max="6421" width="9" style="130" customWidth="1"/>
    <col min="6422" max="6422" width="5.125" style="130" customWidth="1"/>
    <col min="6423" max="6423" width="10" style="130" bestFit="1" customWidth="1"/>
    <col min="6424" max="6656" width="9" style="130"/>
    <col min="6657" max="6657" width="4.5" style="130" customWidth="1"/>
    <col min="6658" max="6658" width="5.75" style="130" customWidth="1"/>
    <col min="6659" max="6659" width="31.875" style="130" customWidth="1"/>
    <col min="6660" max="6660" width="10" style="130" customWidth="1"/>
    <col min="6661" max="6661" width="8.375" style="130" customWidth="1"/>
    <col min="6662" max="6667" width="7.75" style="130" customWidth="1"/>
    <col min="6668" max="6668" width="8.875" style="130" customWidth="1"/>
    <col min="6669" max="6669" width="7.75" style="130" customWidth="1"/>
    <col min="6670" max="6670" width="9" style="130" customWidth="1"/>
    <col min="6671" max="6671" width="8.75" style="130" customWidth="1"/>
    <col min="6672" max="6672" width="7.75" style="130" customWidth="1"/>
    <col min="6673" max="6673" width="9.625" style="130" bestFit="1" customWidth="1"/>
    <col min="6674" max="6674" width="9" style="130" customWidth="1"/>
    <col min="6675" max="6675" width="11.625" style="130" customWidth="1"/>
    <col min="6676" max="6677" width="9" style="130" customWidth="1"/>
    <col min="6678" max="6678" width="5.125" style="130" customWidth="1"/>
    <col min="6679" max="6679" width="10" style="130" bestFit="1" customWidth="1"/>
    <col min="6680" max="6912" width="9" style="130"/>
    <col min="6913" max="6913" width="4.5" style="130" customWidth="1"/>
    <col min="6914" max="6914" width="5.75" style="130" customWidth="1"/>
    <col min="6915" max="6915" width="31.875" style="130" customWidth="1"/>
    <col min="6916" max="6916" width="10" style="130" customWidth="1"/>
    <col min="6917" max="6917" width="8.375" style="130" customWidth="1"/>
    <col min="6918" max="6923" width="7.75" style="130" customWidth="1"/>
    <col min="6924" max="6924" width="8.875" style="130" customWidth="1"/>
    <col min="6925" max="6925" width="7.75" style="130" customWidth="1"/>
    <col min="6926" max="6926" width="9" style="130" customWidth="1"/>
    <col min="6927" max="6927" width="8.75" style="130" customWidth="1"/>
    <col min="6928" max="6928" width="7.75" style="130" customWidth="1"/>
    <col min="6929" max="6929" width="9.625" style="130" bestFit="1" customWidth="1"/>
    <col min="6930" max="6930" width="9" style="130" customWidth="1"/>
    <col min="6931" max="6931" width="11.625" style="130" customWidth="1"/>
    <col min="6932" max="6933" width="9" style="130" customWidth="1"/>
    <col min="6934" max="6934" width="5.125" style="130" customWidth="1"/>
    <col min="6935" max="6935" width="10" style="130" bestFit="1" customWidth="1"/>
    <col min="6936" max="7168" width="9" style="130"/>
    <col min="7169" max="7169" width="4.5" style="130" customWidth="1"/>
    <col min="7170" max="7170" width="5.75" style="130" customWidth="1"/>
    <col min="7171" max="7171" width="31.875" style="130" customWidth="1"/>
    <col min="7172" max="7172" width="10" style="130" customWidth="1"/>
    <col min="7173" max="7173" width="8.375" style="130" customWidth="1"/>
    <col min="7174" max="7179" width="7.75" style="130" customWidth="1"/>
    <col min="7180" max="7180" width="8.875" style="130" customWidth="1"/>
    <col min="7181" max="7181" width="7.75" style="130" customWidth="1"/>
    <col min="7182" max="7182" width="9" style="130" customWidth="1"/>
    <col min="7183" max="7183" width="8.75" style="130" customWidth="1"/>
    <col min="7184" max="7184" width="7.75" style="130" customWidth="1"/>
    <col min="7185" max="7185" width="9.625" style="130" bestFit="1" customWidth="1"/>
    <col min="7186" max="7186" width="9" style="130" customWidth="1"/>
    <col min="7187" max="7187" width="11.625" style="130" customWidth="1"/>
    <col min="7188" max="7189" width="9" style="130" customWidth="1"/>
    <col min="7190" max="7190" width="5.125" style="130" customWidth="1"/>
    <col min="7191" max="7191" width="10" style="130" bestFit="1" customWidth="1"/>
    <col min="7192" max="7424" width="9" style="130"/>
    <col min="7425" max="7425" width="4.5" style="130" customWidth="1"/>
    <col min="7426" max="7426" width="5.75" style="130" customWidth="1"/>
    <col min="7427" max="7427" width="31.875" style="130" customWidth="1"/>
    <col min="7428" max="7428" width="10" style="130" customWidth="1"/>
    <col min="7429" max="7429" width="8.375" style="130" customWidth="1"/>
    <col min="7430" max="7435" width="7.75" style="130" customWidth="1"/>
    <col min="7436" max="7436" width="8.875" style="130" customWidth="1"/>
    <col min="7437" max="7437" width="7.75" style="130" customWidth="1"/>
    <col min="7438" max="7438" width="9" style="130" customWidth="1"/>
    <col min="7439" max="7439" width="8.75" style="130" customWidth="1"/>
    <col min="7440" max="7440" width="7.75" style="130" customWidth="1"/>
    <col min="7441" max="7441" width="9.625" style="130" bestFit="1" customWidth="1"/>
    <col min="7442" max="7442" width="9" style="130" customWidth="1"/>
    <col min="7443" max="7443" width="11.625" style="130" customWidth="1"/>
    <col min="7444" max="7445" width="9" style="130" customWidth="1"/>
    <col min="7446" max="7446" width="5.125" style="130" customWidth="1"/>
    <col min="7447" max="7447" width="10" style="130" bestFit="1" customWidth="1"/>
    <col min="7448" max="7680" width="9" style="130"/>
    <col min="7681" max="7681" width="4.5" style="130" customWidth="1"/>
    <col min="7682" max="7682" width="5.75" style="130" customWidth="1"/>
    <col min="7683" max="7683" width="31.875" style="130" customWidth="1"/>
    <col min="7684" max="7684" width="10" style="130" customWidth="1"/>
    <col min="7685" max="7685" width="8.375" style="130" customWidth="1"/>
    <col min="7686" max="7691" width="7.75" style="130" customWidth="1"/>
    <col min="7692" max="7692" width="8.875" style="130" customWidth="1"/>
    <col min="7693" max="7693" width="7.75" style="130" customWidth="1"/>
    <col min="7694" max="7694" width="9" style="130" customWidth="1"/>
    <col min="7695" max="7695" width="8.75" style="130" customWidth="1"/>
    <col min="7696" max="7696" width="7.75" style="130" customWidth="1"/>
    <col min="7697" max="7697" width="9.625" style="130" bestFit="1" customWidth="1"/>
    <col min="7698" max="7698" width="9" style="130" customWidth="1"/>
    <col min="7699" max="7699" width="11.625" style="130" customWidth="1"/>
    <col min="7700" max="7701" width="9" style="130" customWidth="1"/>
    <col min="7702" max="7702" width="5.125" style="130" customWidth="1"/>
    <col min="7703" max="7703" width="10" style="130" bestFit="1" customWidth="1"/>
    <col min="7704" max="7936" width="9" style="130"/>
    <col min="7937" max="7937" width="4.5" style="130" customWidth="1"/>
    <col min="7938" max="7938" width="5.75" style="130" customWidth="1"/>
    <col min="7939" max="7939" width="31.875" style="130" customWidth="1"/>
    <col min="7940" max="7940" width="10" style="130" customWidth="1"/>
    <col min="7941" max="7941" width="8.375" style="130" customWidth="1"/>
    <col min="7942" max="7947" width="7.75" style="130" customWidth="1"/>
    <col min="7948" max="7948" width="8.875" style="130" customWidth="1"/>
    <col min="7949" max="7949" width="7.75" style="130" customWidth="1"/>
    <col min="7950" max="7950" width="9" style="130" customWidth="1"/>
    <col min="7951" max="7951" width="8.75" style="130" customWidth="1"/>
    <col min="7952" max="7952" width="7.75" style="130" customWidth="1"/>
    <col min="7953" max="7953" width="9.625" style="130" bestFit="1" customWidth="1"/>
    <col min="7954" max="7954" width="9" style="130" customWidth="1"/>
    <col min="7955" max="7955" width="11.625" style="130" customWidth="1"/>
    <col min="7956" max="7957" width="9" style="130" customWidth="1"/>
    <col min="7958" max="7958" width="5.125" style="130" customWidth="1"/>
    <col min="7959" max="7959" width="10" style="130" bestFit="1" customWidth="1"/>
    <col min="7960" max="8192" width="9" style="130"/>
    <col min="8193" max="8193" width="4.5" style="130" customWidth="1"/>
    <col min="8194" max="8194" width="5.75" style="130" customWidth="1"/>
    <col min="8195" max="8195" width="31.875" style="130" customWidth="1"/>
    <col min="8196" max="8196" width="10" style="130" customWidth="1"/>
    <col min="8197" max="8197" width="8.375" style="130" customWidth="1"/>
    <col min="8198" max="8203" width="7.75" style="130" customWidth="1"/>
    <col min="8204" max="8204" width="8.875" style="130" customWidth="1"/>
    <col min="8205" max="8205" width="7.75" style="130" customWidth="1"/>
    <col min="8206" max="8206" width="9" style="130" customWidth="1"/>
    <col min="8207" max="8207" width="8.75" style="130" customWidth="1"/>
    <col min="8208" max="8208" width="7.75" style="130" customWidth="1"/>
    <col min="8209" max="8209" width="9.625" style="130" bestFit="1" customWidth="1"/>
    <col min="8210" max="8210" width="9" style="130" customWidth="1"/>
    <col min="8211" max="8211" width="11.625" style="130" customWidth="1"/>
    <col min="8212" max="8213" width="9" style="130" customWidth="1"/>
    <col min="8214" max="8214" width="5.125" style="130" customWidth="1"/>
    <col min="8215" max="8215" width="10" style="130" bestFit="1" customWidth="1"/>
    <col min="8216" max="8448" width="9" style="130"/>
    <col min="8449" max="8449" width="4.5" style="130" customWidth="1"/>
    <col min="8450" max="8450" width="5.75" style="130" customWidth="1"/>
    <col min="8451" max="8451" width="31.875" style="130" customWidth="1"/>
    <col min="8452" max="8452" width="10" style="130" customWidth="1"/>
    <col min="8453" max="8453" width="8.375" style="130" customWidth="1"/>
    <col min="8454" max="8459" width="7.75" style="130" customWidth="1"/>
    <col min="8460" max="8460" width="8.875" style="130" customWidth="1"/>
    <col min="8461" max="8461" width="7.75" style="130" customWidth="1"/>
    <col min="8462" max="8462" width="9" style="130" customWidth="1"/>
    <col min="8463" max="8463" width="8.75" style="130" customWidth="1"/>
    <col min="8464" max="8464" width="7.75" style="130" customWidth="1"/>
    <col min="8465" max="8465" width="9.625" style="130" bestFit="1" customWidth="1"/>
    <col min="8466" max="8466" width="9" style="130" customWidth="1"/>
    <col min="8467" max="8467" width="11.625" style="130" customWidth="1"/>
    <col min="8468" max="8469" width="9" style="130" customWidth="1"/>
    <col min="8470" max="8470" width="5.125" style="130" customWidth="1"/>
    <col min="8471" max="8471" width="10" style="130" bestFit="1" customWidth="1"/>
    <col min="8472" max="8704" width="9" style="130"/>
    <col min="8705" max="8705" width="4.5" style="130" customWidth="1"/>
    <col min="8706" max="8706" width="5.75" style="130" customWidth="1"/>
    <col min="8707" max="8707" width="31.875" style="130" customWidth="1"/>
    <col min="8708" max="8708" width="10" style="130" customWidth="1"/>
    <col min="8709" max="8709" width="8.375" style="130" customWidth="1"/>
    <col min="8710" max="8715" width="7.75" style="130" customWidth="1"/>
    <col min="8716" max="8716" width="8.875" style="130" customWidth="1"/>
    <col min="8717" max="8717" width="7.75" style="130" customWidth="1"/>
    <col min="8718" max="8718" width="9" style="130" customWidth="1"/>
    <col min="8719" max="8719" width="8.75" style="130" customWidth="1"/>
    <col min="8720" max="8720" width="7.75" style="130" customWidth="1"/>
    <col min="8721" max="8721" width="9.625" style="130" bestFit="1" customWidth="1"/>
    <col min="8722" max="8722" width="9" style="130" customWidth="1"/>
    <col min="8723" max="8723" width="11.625" style="130" customWidth="1"/>
    <col min="8724" max="8725" width="9" style="130" customWidth="1"/>
    <col min="8726" max="8726" width="5.125" style="130" customWidth="1"/>
    <col min="8727" max="8727" width="10" style="130" bestFit="1" customWidth="1"/>
    <col min="8728" max="8960" width="9" style="130"/>
    <col min="8961" max="8961" width="4.5" style="130" customWidth="1"/>
    <col min="8962" max="8962" width="5.75" style="130" customWidth="1"/>
    <col min="8963" max="8963" width="31.875" style="130" customWidth="1"/>
    <col min="8964" max="8964" width="10" style="130" customWidth="1"/>
    <col min="8965" max="8965" width="8.375" style="130" customWidth="1"/>
    <col min="8966" max="8971" width="7.75" style="130" customWidth="1"/>
    <col min="8972" max="8972" width="8.875" style="130" customWidth="1"/>
    <col min="8973" max="8973" width="7.75" style="130" customWidth="1"/>
    <col min="8974" max="8974" width="9" style="130" customWidth="1"/>
    <col min="8975" max="8975" width="8.75" style="130" customWidth="1"/>
    <col min="8976" max="8976" width="7.75" style="130" customWidth="1"/>
    <col min="8977" max="8977" width="9.625" style="130" bestFit="1" customWidth="1"/>
    <col min="8978" max="8978" width="9" style="130" customWidth="1"/>
    <col min="8979" max="8979" width="11.625" style="130" customWidth="1"/>
    <col min="8980" max="8981" width="9" style="130" customWidth="1"/>
    <col min="8982" max="8982" width="5.125" style="130" customWidth="1"/>
    <col min="8983" max="8983" width="10" style="130" bestFit="1" customWidth="1"/>
    <col min="8984" max="9216" width="9" style="130"/>
    <col min="9217" max="9217" width="4.5" style="130" customWidth="1"/>
    <col min="9218" max="9218" width="5.75" style="130" customWidth="1"/>
    <col min="9219" max="9219" width="31.875" style="130" customWidth="1"/>
    <col min="9220" max="9220" width="10" style="130" customWidth="1"/>
    <col min="9221" max="9221" width="8.375" style="130" customWidth="1"/>
    <col min="9222" max="9227" width="7.75" style="130" customWidth="1"/>
    <col min="9228" max="9228" width="8.875" style="130" customWidth="1"/>
    <col min="9229" max="9229" width="7.75" style="130" customWidth="1"/>
    <col min="9230" max="9230" width="9" style="130" customWidth="1"/>
    <col min="9231" max="9231" width="8.75" style="130" customWidth="1"/>
    <col min="9232" max="9232" width="7.75" style="130" customWidth="1"/>
    <col min="9233" max="9233" width="9.625" style="130" bestFit="1" customWidth="1"/>
    <col min="9234" max="9234" width="9" style="130" customWidth="1"/>
    <col min="9235" max="9235" width="11.625" style="130" customWidth="1"/>
    <col min="9236" max="9237" width="9" style="130" customWidth="1"/>
    <col min="9238" max="9238" width="5.125" style="130" customWidth="1"/>
    <col min="9239" max="9239" width="10" style="130" bestFit="1" customWidth="1"/>
    <col min="9240" max="9472" width="9" style="130"/>
    <col min="9473" max="9473" width="4.5" style="130" customWidth="1"/>
    <col min="9474" max="9474" width="5.75" style="130" customWidth="1"/>
    <col min="9475" max="9475" width="31.875" style="130" customWidth="1"/>
    <col min="9476" max="9476" width="10" style="130" customWidth="1"/>
    <col min="9477" max="9477" width="8.375" style="130" customWidth="1"/>
    <col min="9478" max="9483" width="7.75" style="130" customWidth="1"/>
    <col min="9484" max="9484" width="8.875" style="130" customWidth="1"/>
    <col min="9485" max="9485" width="7.75" style="130" customWidth="1"/>
    <col min="9486" max="9486" width="9" style="130" customWidth="1"/>
    <col min="9487" max="9487" width="8.75" style="130" customWidth="1"/>
    <col min="9488" max="9488" width="7.75" style="130" customWidth="1"/>
    <col min="9489" max="9489" width="9.625" style="130" bestFit="1" customWidth="1"/>
    <col min="9490" max="9490" width="9" style="130" customWidth="1"/>
    <col min="9491" max="9491" width="11.625" style="130" customWidth="1"/>
    <col min="9492" max="9493" width="9" style="130" customWidth="1"/>
    <col min="9494" max="9494" width="5.125" style="130" customWidth="1"/>
    <col min="9495" max="9495" width="10" style="130" bestFit="1" customWidth="1"/>
    <col min="9496" max="9728" width="9" style="130"/>
    <col min="9729" max="9729" width="4.5" style="130" customWidth="1"/>
    <col min="9730" max="9730" width="5.75" style="130" customWidth="1"/>
    <col min="9731" max="9731" width="31.875" style="130" customWidth="1"/>
    <col min="9732" max="9732" width="10" style="130" customWidth="1"/>
    <col min="9733" max="9733" width="8.375" style="130" customWidth="1"/>
    <col min="9734" max="9739" width="7.75" style="130" customWidth="1"/>
    <col min="9740" max="9740" width="8.875" style="130" customWidth="1"/>
    <col min="9741" max="9741" width="7.75" style="130" customWidth="1"/>
    <col min="9742" max="9742" width="9" style="130" customWidth="1"/>
    <col min="9743" max="9743" width="8.75" style="130" customWidth="1"/>
    <col min="9744" max="9744" width="7.75" style="130" customWidth="1"/>
    <col min="9745" max="9745" width="9.625" style="130" bestFit="1" customWidth="1"/>
    <col min="9746" max="9746" width="9" style="130" customWidth="1"/>
    <col min="9747" max="9747" width="11.625" style="130" customWidth="1"/>
    <col min="9748" max="9749" width="9" style="130" customWidth="1"/>
    <col min="9750" max="9750" width="5.125" style="130" customWidth="1"/>
    <col min="9751" max="9751" width="10" style="130" bestFit="1" customWidth="1"/>
    <col min="9752" max="9984" width="9" style="130"/>
    <col min="9985" max="9985" width="4.5" style="130" customWidth="1"/>
    <col min="9986" max="9986" width="5.75" style="130" customWidth="1"/>
    <col min="9987" max="9987" width="31.875" style="130" customWidth="1"/>
    <col min="9988" max="9988" width="10" style="130" customWidth="1"/>
    <col min="9989" max="9989" width="8.375" style="130" customWidth="1"/>
    <col min="9990" max="9995" width="7.75" style="130" customWidth="1"/>
    <col min="9996" max="9996" width="8.875" style="130" customWidth="1"/>
    <col min="9997" max="9997" width="7.75" style="130" customWidth="1"/>
    <col min="9998" max="9998" width="9" style="130" customWidth="1"/>
    <col min="9999" max="9999" width="8.75" style="130" customWidth="1"/>
    <col min="10000" max="10000" width="7.75" style="130" customWidth="1"/>
    <col min="10001" max="10001" width="9.625" style="130" bestFit="1" customWidth="1"/>
    <col min="10002" max="10002" width="9" style="130" customWidth="1"/>
    <col min="10003" max="10003" width="11.625" style="130" customWidth="1"/>
    <col min="10004" max="10005" width="9" style="130" customWidth="1"/>
    <col min="10006" max="10006" width="5.125" style="130" customWidth="1"/>
    <col min="10007" max="10007" width="10" style="130" bestFit="1" customWidth="1"/>
    <col min="10008" max="10240" width="9" style="130"/>
    <col min="10241" max="10241" width="4.5" style="130" customWidth="1"/>
    <col min="10242" max="10242" width="5.75" style="130" customWidth="1"/>
    <col min="10243" max="10243" width="31.875" style="130" customWidth="1"/>
    <col min="10244" max="10244" width="10" style="130" customWidth="1"/>
    <col min="10245" max="10245" width="8.375" style="130" customWidth="1"/>
    <col min="10246" max="10251" width="7.75" style="130" customWidth="1"/>
    <col min="10252" max="10252" width="8.875" style="130" customWidth="1"/>
    <col min="10253" max="10253" width="7.75" style="130" customWidth="1"/>
    <col min="10254" max="10254" width="9" style="130" customWidth="1"/>
    <col min="10255" max="10255" width="8.75" style="130" customWidth="1"/>
    <col min="10256" max="10256" width="7.75" style="130" customWidth="1"/>
    <col min="10257" max="10257" width="9.625" style="130" bestFit="1" customWidth="1"/>
    <col min="10258" max="10258" width="9" style="130" customWidth="1"/>
    <col min="10259" max="10259" width="11.625" style="130" customWidth="1"/>
    <col min="10260" max="10261" width="9" style="130" customWidth="1"/>
    <col min="10262" max="10262" width="5.125" style="130" customWidth="1"/>
    <col min="10263" max="10263" width="10" style="130" bestFit="1" customWidth="1"/>
    <col min="10264" max="10496" width="9" style="130"/>
    <col min="10497" max="10497" width="4.5" style="130" customWidth="1"/>
    <col min="10498" max="10498" width="5.75" style="130" customWidth="1"/>
    <col min="10499" max="10499" width="31.875" style="130" customWidth="1"/>
    <col min="10500" max="10500" width="10" style="130" customWidth="1"/>
    <col min="10501" max="10501" width="8.375" style="130" customWidth="1"/>
    <col min="10502" max="10507" width="7.75" style="130" customWidth="1"/>
    <col min="10508" max="10508" width="8.875" style="130" customWidth="1"/>
    <col min="10509" max="10509" width="7.75" style="130" customWidth="1"/>
    <col min="10510" max="10510" width="9" style="130" customWidth="1"/>
    <col min="10511" max="10511" width="8.75" style="130" customWidth="1"/>
    <col min="10512" max="10512" width="7.75" style="130" customWidth="1"/>
    <col min="10513" max="10513" width="9.625" style="130" bestFit="1" customWidth="1"/>
    <col min="10514" max="10514" width="9" style="130" customWidth="1"/>
    <col min="10515" max="10515" width="11.625" style="130" customWidth="1"/>
    <col min="10516" max="10517" width="9" style="130" customWidth="1"/>
    <col min="10518" max="10518" width="5.125" style="130" customWidth="1"/>
    <col min="10519" max="10519" width="10" style="130" bestFit="1" customWidth="1"/>
    <col min="10520" max="10752" width="9" style="130"/>
    <col min="10753" max="10753" width="4.5" style="130" customWidth="1"/>
    <col min="10754" max="10754" width="5.75" style="130" customWidth="1"/>
    <col min="10755" max="10755" width="31.875" style="130" customWidth="1"/>
    <col min="10756" max="10756" width="10" style="130" customWidth="1"/>
    <col min="10757" max="10757" width="8.375" style="130" customWidth="1"/>
    <col min="10758" max="10763" width="7.75" style="130" customWidth="1"/>
    <col min="10764" max="10764" width="8.875" style="130" customWidth="1"/>
    <col min="10765" max="10765" width="7.75" style="130" customWidth="1"/>
    <col min="10766" max="10766" width="9" style="130" customWidth="1"/>
    <col min="10767" max="10767" width="8.75" style="130" customWidth="1"/>
    <col min="10768" max="10768" width="7.75" style="130" customWidth="1"/>
    <col min="10769" max="10769" width="9.625" style="130" bestFit="1" customWidth="1"/>
    <col min="10770" max="10770" width="9" style="130" customWidth="1"/>
    <col min="10771" max="10771" width="11.625" style="130" customWidth="1"/>
    <col min="10772" max="10773" width="9" style="130" customWidth="1"/>
    <col min="10774" max="10774" width="5.125" style="130" customWidth="1"/>
    <col min="10775" max="10775" width="10" style="130" bestFit="1" customWidth="1"/>
    <col min="10776" max="11008" width="9" style="130"/>
    <col min="11009" max="11009" width="4.5" style="130" customWidth="1"/>
    <col min="11010" max="11010" width="5.75" style="130" customWidth="1"/>
    <col min="11011" max="11011" width="31.875" style="130" customWidth="1"/>
    <col min="11012" max="11012" width="10" style="130" customWidth="1"/>
    <col min="11013" max="11013" width="8.375" style="130" customWidth="1"/>
    <col min="11014" max="11019" width="7.75" style="130" customWidth="1"/>
    <col min="11020" max="11020" width="8.875" style="130" customWidth="1"/>
    <col min="11021" max="11021" width="7.75" style="130" customWidth="1"/>
    <col min="11022" max="11022" width="9" style="130" customWidth="1"/>
    <col min="11023" max="11023" width="8.75" style="130" customWidth="1"/>
    <col min="11024" max="11024" width="7.75" style="130" customWidth="1"/>
    <col min="11025" max="11025" width="9.625" style="130" bestFit="1" customWidth="1"/>
    <col min="11026" max="11026" width="9" style="130" customWidth="1"/>
    <col min="11027" max="11027" width="11.625" style="130" customWidth="1"/>
    <col min="11028" max="11029" width="9" style="130" customWidth="1"/>
    <col min="11030" max="11030" width="5.125" style="130" customWidth="1"/>
    <col min="11031" max="11031" width="10" style="130" bestFit="1" customWidth="1"/>
    <col min="11032" max="11264" width="9" style="130"/>
    <col min="11265" max="11265" width="4.5" style="130" customWidth="1"/>
    <col min="11266" max="11266" width="5.75" style="130" customWidth="1"/>
    <col min="11267" max="11267" width="31.875" style="130" customWidth="1"/>
    <col min="11268" max="11268" width="10" style="130" customWidth="1"/>
    <col min="11269" max="11269" width="8.375" style="130" customWidth="1"/>
    <col min="11270" max="11275" width="7.75" style="130" customWidth="1"/>
    <col min="11276" max="11276" width="8.875" style="130" customWidth="1"/>
    <col min="11277" max="11277" width="7.75" style="130" customWidth="1"/>
    <col min="11278" max="11278" width="9" style="130" customWidth="1"/>
    <col min="11279" max="11279" width="8.75" style="130" customWidth="1"/>
    <col min="11280" max="11280" width="7.75" style="130" customWidth="1"/>
    <col min="11281" max="11281" width="9.625" style="130" bestFit="1" customWidth="1"/>
    <col min="11282" max="11282" width="9" style="130" customWidth="1"/>
    <col min="11283" max="11283" width="11.625" style="130" customWidth="1"/>
    <col min="11284" max="11285" width="9" style="130" customWidth="1"/>
    <col min="11286" max="11286" width="5.125" style="130" customWidth="1"/>
    <col min="11287" max="11287" width="10" style="130" bestFit="1" customWidth="1"/>
    <col min="11288" max="11520" width="9" style="130"/>
    <col min="11521" max="11521" width="4.5" style="130" customWidth="1"/>
    <col min="11522" max="11522" width="5.75" style="130" customWidth="1"/>
    <col min="11523" max="11523" width="31.875" style="130" customWidth="1"/>
    <col min="11524" max="11524" width="10" style="130" customWidth="1"/>
    <col min="11525" max="11525" width="8.375" style="130" customWidth="1"/>
    <col min="11526" max="11531" width="7.75" style="130" customWidth="1"/>
    <col min="11532" max="11532" width="8.875" style="130" customWidth="1"/>
    <col min="11533" max="11533" width="7.75" style="130" customWidth="1"/>
    <col min="11534" max="11534" width="9" style="130" customWidth="1"/>
    <col min="11535" max="11535" width="8.75" style="130" customWidth="1"/>
    <col min="11536" max="11536" width="7.75" style="130" customWidth="1"/>
    <col min="11537" max="11537" width="9.625" style="130" bestFit="1" customWidth="1"/>
    <col min="11538" max="11538" width="9" style="130" customWidth="1"/>
    <col min="11539" max="11539" width="11.625" style="130" customWidth="1"/>
    <col min="11540" max="11541" width="9" style="130" customWidth="1"/>
    <col min="11542" max="11542" width="5.125" style="130" customWidth="1"/>
    <col min="11543" max="11543" width="10" style="130" bestFit="1" customWidth="1"/>
    <col min="11544" max="11776" width="9" style="130"/>
    <col min="11777" max="11777" width="4.5" style="130" customWidth="1"/>
    <col min="11778" max="11778" width="5.75" style="130" customWidth="1"/>
    <col min="11779" max="11779" width="31.875" style="130" customWidth="1"/>
    <col min="11780" max="11780" width="10" style="130" customWidth="1"/>
    <col min="11781" max="11781" width="8.375" style="130" customWidth="1"/>
    <col min="11782" max="11787" width="7.75" style="130" customWidth="1"/>
    <col min="11788" max="11788" width="8.875" style="130" customWidth="1"/>
    <col min="11789" max="11789" width="7.75" style="130" customWidth="1"/>
    <col min="11790" max="11790" width="9" style="130" customWidth="1"/>
    <col min="11791" max="11791" width="8.75" style="130" customWidth="1"/>
    <col min="11792" max="11792" width="7.75" style="130" customWidth="1"/>
    <col min="11793" max="11793" width="9.625" style="130" bestFit="1" customWidth="1"/>
    <col min="11794" max="11794" width="9" style="130" customWidth="1"/>
    <col min="11795" max="11795" width="11.625" style="130" customWidth="1"/>
    <col min="11796" max="11797" width="9" style="130" customWidth="1"/>
    <col min="11798" max="11798" width="5.125" style="130" customWidth="1"/>
    <col min="11799" max="11799" width="10" style="130" bestFit="1" customWidth="1"/>
    <col min="11800" max="12032" width="9" style="130"/>
    <col min="12033" max="12033" width="4.5" style="130" customWidth="1"/>
    <col min="12034" max="12034" width="5.75" style="130" customWidth="1"/>
    <col min="12035" max="12035" width="31.875" style="130" customWidth="1"/>
    <col min="12036" max="12036" width="10" style="130" customWidth="1"/>
    <col min="12037" max="12037" width="8.375" style="130" customWidth="1"/>
    <col min="12038" max="12043" width="7.75" style="130" customWidth="1"/>
    <col min="12044" max="12044" width="8.875" style="130" customWidth="1"/>
    <col min="12045" max="12045" width="7.75" style="130" customWidth="1"/>
    <col min="12046" max="12046" width="9" style="130" customWidth="1"/>
    <col min="12047" max="12047" width="8.75" style="130" customWidth="1"/>
    <col min="12048" max="12048" width="7.75" style="130" customWidth="1"/>
    <col min="12049" max="12049" width="9.625" style="130" bestFit="1" customWidth="1"/>
    <col min="12050" max="12050" width="9" style="130" customWidth="1"/>
    <col min="12051" max="12051" width="11.625" style="130" customWidth="1"/>
    <col min="12052" max="12053" width="9" style="130" customWidth="1"/>
    <col min="12054" max="12054" width="5.125" style="130" customWidth="1"/>
    <col min="12055" max="12055" width="10" style="130" bestFit="1" customWidth="1"/>
    <col min="12056" max="12288" width="9" style="130"/>
    <col min="12289" max="12289" width="4.5" style="130" customWidth="1"/>
    <col min="12290" max="12290" width="5.75" style="130" customWidth="1"/>
    <col min="12291" max="12291" width="31.875" style="130" customWidth="1"/>
    <col min="12292" max="12292" width="10" style="130" customWidth="1"/>
    <col min="12293" max="12293" width="8.375" style="130" customWidth="1"/>
    <col min="12294" max="12299" width="7.75" style="130" customWidth="1"/>
    <col min="12300" max="12300" width="8.875" style="130" customWidth="1"/>
    <col min="12301" max="12301" width="7.75" style="130" customWidth="1"/>
    <col min="12302" max="12302" width="9" style="130" customWidth="1"/>
    <col min="12303" max="12303" width="8.75" style="130" customWidth="1"/>
    <col min="12304" max="12304" width="7.75" style="130" customWidth="1"/>
    <col min="12305" max="12305" width="9.625" style="130" bestFit="1" customWidth="1"/>
    <col min="12306" max="12306" width="9" style="130" customWidth="1"/>
    <col min="12307" max="12307" width="11.625" style="130" customWidth="1"/>
    <col min="12308" max="12309" width="9" style="130" customWidth="1"/>
    <col min="12310" max="12310" width="5.125" style="130" customWidth="1"/>
    <col min="12311" max="12311" width="10" style="130" bestFit="1" customWidth="1"/>
    <col min="12312" max="12544" width="9" style="130"/>
    <col min="12545" max="12545" width="4.5" style="130" customWidth="1"/>
    <col min="12546" max="12546" width="5.75" style="130" customWidth="1"/>
    <col min="12547" max="12547" width="31.875" style="130" customWidth="1"/>
    <col min="12548" max="12548" width="10" style="130" customWidth="1"/>
    <col min="12549" max="12549" width="8.375" style="130" customWidth="1"/>
    <col min="12550" max="12555" width="7.75" style="130" customWidth="1"/>
    <col min="12556" max="12556" width="8.875" style="130" customWidth="1"/>
    <col min="12557" max="12557" width="7.75" style="130" customWidth="1"/>
    <col min="12558" max="12558" width="9" style="130" customWidth="1"/>
    <col min="12559" max="12559" width="8.75" style="130" customWidth="1"/>
    <col min="12560" max="12560" width="7.75" style="130" customWidth="1"/>
    <col min="12561" max="12561" width="9.625" style="130" bestFit="1" customWidth="1"/>
    <col min="12562" max="12562" width="9" style="130" customWidth="1"/>
    <col min="12563" max="12563" width="11.625" style="130" customWidth="1"/>
    <col min="12564" max="12565" width="9" style="130" customWidth="1"/>
    <col min="12566" max="12566" width="5.125" style="130" customWidth="1"/>
    <col min="12567" max="12567" width="10" style="130" bestFit="1" customWidth="1"/>
    <col min="12568" max="12800" width="9" style="130"/>
    <col min="12801" max="12801" width="4.5" style="130" customWidth="1"/>
    <col min="12802" max="12802" width="5.75" style="130" customWidth="1"/>
    <col min="12803" max="12803" width="31.875" style="130" customWidth="1"/>
    <col min="12804" max="12804" width="10" style="130" customWidth="1"/>
    <col min="12805" max="12805" width="8.375" style="130" customWidth="1"/>
    <col min="12806" max="12811" width="7.75" style="130" customWidth="1"/>
    <col min="12812" max="12812" width="8.875" style="130" customWidth="1"/>
    <col min="12813" max="12813" width="7.75" style="130" customWidth="1"/>
    <col min="12814" max="12814" width="9" style="130" customWidth="1"/>
    <col min="12815" max="12815" width="8.75" style="130" customWidth="1"/>
    <col min="12816" max="12816" width="7.75" style="130" customWidth="1"/>
    <col min="12817" max="12817" width="9.625" style="130" bestFit="1" customWidth="1"/>
    <col min="12818" max="12818" width="9" style="130" customWidth="1"/>
    <col min="12819" max="12819" width="11.625" style="130" customWidth="1"/>
    <col min="12820" max="12821" width="9" style="130" customWidth="1"/>
    <col min="12822" max="12822" width="5.125" style="130" customWidth="1"/>
    <col min="12823" max="12823" width="10" style="130" bestFit="1" customWidth="1"/>
    <col min="12824" max="13056" width="9" style="130"/>
    <col min="13057" max="13057" width="4.5" style="130" customWidth="1"/>
    <col min="13058" max="13058" width="5.75" style="130" customWidth="1"/>
    <col min="13059" max="13059" width="31.875" style="130" customWidth="1"/>
    <col min="13060" max="13060" width="10" style="130" customWidth="1"/>
    <col min="13061" max="13061" width="8.375" style="130" customWidth="1"/>
    <col min="13062" max="13067" width="7.75" style="130" customWidth="1"/>
    <col min="13068" max="13068" width="8.875" style="130" customWidth="1"/>
    <col min="13069" max="13069" width="7.75" style="130" customWidth="1"/>
    <col min="13070" max="13070" width="9" style="130" customWidth="1"/>
    <col min="13071" max="13071" width="8.75" style="130" customWidth="1"/>
    <col min="13072" max="13072" width="7.75" style="130" customWidth="1"/>
    <col min="13073" max="13073" width="9.625" style="130" bestFit="1" customWidth="1"/>
    <col min="13074" max="13074" width="9" style="130" customWidth="1"/>
    <col min="13075" max="13075" width="11.625" style="130" customWidth="1"/>
    <col min="13076" max="13077" width="9" style="130" customWidth="1"/>
    <col min="13078" max="13078" width="5.125" style="130" customWidth="1"/>
    <col min="13079" max="13079" width="10" style="130" bestFit="1" customWidth="1"/>
    <col min="13080" max="13312" width="9" style="130"/>
    <col min="13313" max="13313" width="4.5" style="130" customWidth="1"/>
    <col min="13314" max="13314" width="5.75" style="130" customWidth="1"/>
    <col min="13315" max="13315" width="31.875" style="130" customWidth="1"/>
    <col min="13316" max="13316" width="10" style="130" customWidth="1"/>
    <col min="13317" max="13317" width="8.375" style="130" customWidth="1"/>
    <col min="13318" max="13323" width="7.75" style="130" customWidth="1"/>
    <col min="13324" max="13324" width="8.875" style="130" customWidth="1"/>
    <col min="13325" max="13325" width="7.75" style="130" customWidth="1"/>
    <col min="13326" max="13326" width="9" style="130" customWidth="1"/>
    <col min="13327" max="13327" width="8.75" style="130" customWidth="1"/>
    <col min="13328" max="13328" width="7.75" style="130" customWidth="1"/>
    <col min="13329" max="13329" width="9.625" style="130" bestFit="1" customWidth="1"/>
    <col min="13330" max="13330" width="9" style="130" customWidth="1"/>
    <col min="13331" max="13331" width="11.625" style="130" customWidth="1"/>
    <col min="13332" max="13333" width="9" style="130" customWidth="1"/>
    <col min="13334" max="13334" width="5.125" style="130" customWidth="1"/>
    <col min="13335" max="13335" width="10" style="130" bestFit="1" customWidth="1"/>
    <col min="13336" max="13568" width="9" style="130"/>
    <col min="13569" max="13569" width="4.5" style="130" customWidth="1"/>
    <col min="13570" max="13570" width="5.75" style="130" customWidth="1"/>
    <col min="13571" max="13571" width="31.875" style="130" customWidth="1"/>
    <col min="13572" max="13572" width="10" style="130" customWidth="1"/>
    <col min="13573" max="13573" width="8.375" style="130" customWidth="1"/>
    <col min="13574" max="13579" width="7.75" style="130" customWidth="1"/>
    <col min="13580" max="13580" width="8.875" style="130" customWidth="1"/>
    <col min="13581" max="13581" width="7.75" style="130" customWidth="1"/>
    <col min="13582" max="13582" width="9" style="130" customWidth="1"/>
    <col min="13583" max="13583" width="8.75" style="130" customWidth="1"/>
    <col min="13584" max="13584" width="7.75" style="130" customWidth="1"/>
    <col min="13585" max="13585" width="9.625" style="130" bestFit="1" customWidth="1"/>
    <col min="13586" max="13586" width="9" style="130" customWidth="1"/>
    <col min="13587" max="13587" width="11.625" style="130" customWidth="1"/>
    <col min="13588" max="13589" width="9" style="130" customWidth="1"/>
    <col min="13590" max="13590" width="5.125" style="130" customWidth="1"/>
    <col min="13591" max="13591" width="10" style="130" bestFit="1" customWidth="1"/>
    <col min="13592" max="13824" width="9" style="130"/>
    <col min="13825" max="13825" width="4.5" style="130" customWidth="1"/>
    <col min="13826" max="13826" width="5.75" style="130" customWidth="1"/>
    <col min="13827" max="13827" width="31.875" style="130" customWidth="1"/>
    <col min="13828" max="13828" width="10" style="130" customWidth="1"/>
    <col min="13829" max="13829" width="8.375" style="130" customWidth="1"/>
    <col min="13830" max="13835" width="7.75" style="130" customWidth="1"/>
    <col min="13836" max="13836" width="8.875" style="130" customWidth="1"/>
    <col min="13837" max="13837" width="7.75" style="130" customWidth="1"/>
    <col min="13838" max="13838" width="9" style="130" customWidth="1"/>
    <col min="13839" max="13839" width="8.75" style="130" customWidth="1"/>
    <col min="13840" max="13840" width="7.75" style="130" customWidth="1"/>
    <col min="13841" max="13841" width="9.625" style="130" bestFit="1" customWidth="1"/>
    <col min="13842" max="13842" width="9" style="130" customWidth="1"/>
    <col min="13843" max="13843" width="11.625" style="130" customWidth="1"/>
    <col min="13844" max="13845" width="9" style="130" customWidth="1"/>
    <col min="13846" max="13846" width="5.125" style="130" customWidth="1"/>
    <col min="13847" max="13847" width="10" style="130" bestFit="1" customWidth="1"/>
    <col min="13848" max="14080" width="9" style="130"/>
    <col min="14081" max="14081" width="4.5" style="130" customWidth="1"/>
    <col min="14082" max="14082" width="5.75" style="130" customWidth="1"/>
    <col min="14083" max="14083" width="31.875" style="130" customWidth="1"/>
    <col min="14084" max="14084" width="10" style="130" customWidth="1"/>
    <col min="14085" max="14085" width="8.375" style="130" customWidth="1"/>
    <col min="14086" max="14091" width="7.75" style="130" customWidth="1"/>
    <col min="14092" max="14092" width="8.875" style="130" customWidth="1"/>
    <col min="14093" max="14093" width="7.75" style="130" customWidth="1"/>
    <col min="14094" max="14094" width="9" style="130" customWidth="1"/>
    <col min="14095" max="14095" width="8.75" style="130" customWidth="1"/>
    <col min="14096" max="14096" width="7.75" style="130" customWidth="1"/>
    <col min="14097" max="14097" width="9.625" style="130" bestFit="1" customWidth="1"/>
    <col min="14098" max="14098" width="9" style="130" customWidth="1"/>
    <col min="14099" max="14099" width="11.625" style="130" customWidth="1"/>
    <col min="14100" max="14101" width="9" style="130" customWidth="1"/>
    <col min="14102" max="14102" width="5.125" style="130" customWidth="1"/>
    <col min="14103" max="14103" width="10" style="130" bestFit="1" customWidth="1"/>
    <col min="14104" max="14336" width="9" style="130"/>
    <col min="14337" max="14337" width="4.5" style="130" customWidth="1"/>
    <col min="14338" max="14338" width="5.75" style="130" customWidth="1"/>
    <col min="14339" max="14339" width="31.875" style="130" customWidth="1"/>
    <col min="14340" max="14340" width="10" style="130" customWidth="1"/>
    <col min="14341" max="14341" width="8.375" style="130" customWidth="1"/>
    <col min="14342" max="14347" width="7.75" style="130" customWidth="1"/>
    <col min="14348" max="14348" width="8.875" style="130" customWidth="1"/>
    <col min="14349" max="14349" width="7.75" style="130" customWidth="1"/>
    <col min="14350" max="14350" width="9" style="130" customWidth="1"/>
    <col min="14351" max="14351" width="8.75" style="130" customWidth="1"/>
    <col min="14352" max="14352" width="7.75" style="130" customWidth="1"/>
    <col min="14353" max="14353" width="9.625" style="130" bestFit="1" customWidth="1"/>
    <col min="14354" max="14354" width="9" style="130" customWidth="1"/>
    <col min="14355" max="14355" width="11.625" style="130" customWidth="1"/>
    <col min="14356" max="14357" width="9" style="130" customWidth="1"/>
    <col min="14358" max="14358" width="5.125" style="130" customWidth="1"/>
    <col min="14359" max="14359" width="10" style="130" bestFit="1" customWidth="1"/>
    <col min="14360" max="14592" width="9" style="130"/>
    <col min="14593" max="14593" width="4.5" style="130" customWidth="1"/>
    <col min="14594" max="14594" width="5.75" style="130" customWidth="1"/>
    <col min="14595" max="14595" width="31.875" style="130" customWidth="1"/>
    <col min="14596" max="14596" width="10" style="130" customWidth="1"/>
    <col min="14597" max="14597" width="8.375" style="130" customWidth="1"/>
    <col min="14598" max="14603" width="7.75" style="130" customWidth="1"/>
    <col min="14604" max="14604" width="8.875" style="130" customWidth="1"/>
    <col min="14605" max="14605" width="7.75" style="130" customWidth="1"/>
    <col min="14606" max="14606" width="9" style="130" customWidth="1"/>
    <col min="14607" max="14607" width="8.75" style="130" customWidth="1"/>
    <col min="14608" max="14608" width="7.75" style="130" customWidth="1"/>
    <col min="14609" max="14609" width="9.625" style="130" bestFit="1" customWidth="1"/>
    <col min="14610" max="14610" width="9" style="130" customWidth="1"/>
    <col min="14611" max="14611" width="11.625" style="130" customWidth="1"/>
    <col min="14612" max="14613" width="9" style="130" customWidth="1"/>
    <col min="14614" max="14614" width="5.125" style="130" customWidth="1"/>
    <col min="14615" max="14615" width="10" style="130" bestFit="1" customWidth="1"/>
    <col min="14616" max="14848" width="9" style="130"/>
    <col min="14849" max="14849" width="4.5" style="130" customWidth="1"/>
    <col min="14850" max="14850" width="5.75" style="130" customWidth="1"/>
    <col min="14851" max="14851" width="31.875" style="130" customWidth="1"/>
    <col min="14852" max="14852" width="10" style="130" customWidth="1"/>
    <col min="14853" max="14853" width="8.375" style="130" customWidth="1"/>
    <col min="14854" max="14859" width="7.75" style="130" customWidth="1"/>
    <col min="14860" max="14860" width="8.875" style="130" customWidth="1"/>
    <col min="14861" max="14861" width="7.75" style="130" customWidth="1"/>
    <col min="14862" max="14862" width="9" style="130" customWidth="1"/>
    <col min="14863" max="14863" width="8.75" style="130" customWidth="1"/>
    <col min="14864" max="14864" width="7.75" style="130" customWidth="1"/>
    <col min="14865" max="14865" width="9.625" style="130" bestFit="1" customWidth="1"/>
    <col min="14866" max="14866" width="9" style="130" customWidth="1"/>
    <col min="14867" max="14867" width="11.625" style="130" customWidth="1"/>
    <col min="14868" max="14869" width="9" style="130" customWidth="1"/>
    <col min="14870" max="14870" width="5.125" style="130" customWidth="1"/>
    <col min="14871" max="14871" width="10" style="130" bestFit="1" customWidth="1"/>
    <col min="14872" max="15104" width="9" style="130"/>
    <col min="15105" max="15105" width="4.5" style="130" customWidth="1"/>
    <col min="15106" max="15106" width="5.75" style="130" customWidth="1"/>
    <col min="15107" max="15107" width="31.875" style="130" customWidth="1"/>
    <col min="15108" max="15108" width="10" style="130" customWidth="1"/>
    <col min="15109" max="15109" width="8.375" style="130" customWidth="1"/>
    <col min="15110" max="15115" width="7.75" style="130" customWidth="1"/>
    <col min="15116" max="15116" width="8.875" style="130" customWidth="1"/>
    <col min="15117" max="15117" width="7.75" style="130" customWidth="1"/>
    <col min="15118" max="15118" width="9" style="130" customWidth="1"/>
    <col min="15119" max="15119" width="8.75" style="130" customWidth="1"/>
    <col min="15120" max="15120" width="7.75" style="130" customWidth="1"/>
    <col min="15121" max="15121" width="9.625" style="130" bestFit="1" customWidth="1"/>
    <col min="15122" max="15122" width="9" style="130" customWidth="1"/>
    <col min="15123" max="15123" width="11.625" style="130" customWidth="1"/>
    <col min="15124" max="15125" width="9" style="130" customWidth="1"/>
    <col min="15126" max="15126" width="5.125" style="130" customWidth="1"/>
    <col min="15127" max="15127" width="10" style="130" bestFit="1" customWidth="1"/>
    <col min="15128" max="15360" width="9" style="130"/>
    <col min="15361" max="15361" width="4.5" style="130" customWidth="1"/>
    <col min="15362" max="15362" width="5.75" style="130" customWidth="1"/>
    <col min="15363" max="15363" width="31.875" style="130" customWidth="1"/>
    <col min="15364" max="15364" width="10" style="130" customWidth="1"/>
    <col min="15365" max="15365" width="8.375" style="130" customWidth="1"/>
    <col min="15366" max="15371" width="7.75" style="130" customWidth="1"/>
    <col min="15372" max="15372" width="8.875" style="130" customWidth="1"/>
    <col min="15373" max="15373" width="7.75" style="130" customWidth="1"/>
    <col min="15374" max="15374" width="9" style="130" customWidth="1"/>
    <col min="15375" max="15375" width="8.75" style="130" customWidth="1"/>
    <col min="15376" max="15376" width="7.75" style="130" customWidth="1"/>
    <col min="15377" max="15377" width="9.625" style="130" bestFit="1" customWidth="1"/>
    <col min="15378" max="15378" width="9" style="130" customWidth="1"/>
    <col min="15379" max="15379" width="11.625" style="130" customWidth="1"/>
    <col min="15380" max="15381" width="9" style="130" customWidth="1"/>
    <col min="15382" max="15382" width="5.125" style="130" customWidth="1"/>
    <col min="15383" max="15383" width="10" style="130" bestFit="1" customWidth="1"/>
    <col min="15384" max="15616" width="9" style="130"/>
    <col min="15617" max="15617" width="4.5" style="130" customWidth="1"/>
    <col min="15618" max="15618" width="5.75" style="130" customWidth="1"/>
    <col min="15619" max="15619" width="31.875" style="130" customWidth="1"/>
    <col min="15620" max="15620" width="10" style="130" customWidth="1"/>
    <col min="15621" max="15621" width="8.375" style="130" customWidth="1"/>
    <col min="15622" max="15627" width="7.75" style="130" customWidth="1"/>
    <col min="15628" max="15628" width="8.875" style="130" customWidth="1"/>
    <col min="15629" max="15629" width="7.75" style="130" customWidth="1"/>
    <col min="15630" max="15630" width="9" style="130" customWidth="1"/>
    <col min="15631" max="15631" width="8.75" style="130" customWidth="1"/>
    <col min="15632" max="15632" width="7.75" style="130" customWidth="1"/>
    <col min="15633" max="15633" width="9.625" style="130" bestFit="1" customWidth="1"/>
    <col min="15634" max="15634" width="9" style="130" customWidth="1"/>
    <col min="15635" max="15635" width="11.625" style="130" customWidth="1"/>
    <col min="15636" max="15637" width="9" style="130" customWidth="1"/>
    <col min="15638" max="15638" width="5.125" style="130" customWidth="1"/>
    <col min="15639" max="15639" width="10" style="130" bestFit="1" customWidth="1"/>
    <col min="15640" max="15872" width="9" style="130"/>
    <col min="15873" max="15873" width="4.5" style="130" customWidth="1"/>
    <col min="15874" max="15874" width="5.75" style="130" customWidth="1"/>
    <col min="15875" max="15875" width="31.875" style="130" customWidth="1"/>
    <col min="15876" max="15876" width="10" style="130" customWidth="1"/>
    <col min="15877" max="15877" width="8.375" style="130" customWidth="1"/>
    <col min="15878" max="15883" width="7.75" style="130" customWidth="1"/>
    <col min="15884" max="15884" width="8.875" style="130" customWidth="1"/>
    <col min="15885" max="15885" width="7.75" style="130" customWidth="1"/>
    <col min="15886" max="15886" width="9" style="130" customWidth="1"/>
    <col min="15887" max="15887" width="8.75" style="130" customWidth="1"/>
    <col min="15888" max="15888" width="7.75" style="130" customWidth="1"/>
    <col min="15889" max="15889" width="9.625" style="130" bestFit="1" customWidth="1"/>
    <col min="15890" max="15890" width="9" style="130" customWidth="1"/>
    <col min="15891" max="15891" width="11.625" style="130" customWidth="1"/>
    <col min="15892" max="15893" width="9" style="130" customWidth="1"/>
    <col min="15894" max="15894" width="5.125" style="130" customWidth="1"/>
    <col min="15895" max="15895" width="10" style="130" bestFit="1" customWidth="1"/>
    <col min="15896" max="16128" width="9" style="130"/>
    <col min="16129" max="16129" width="4.5" style="130" customWidth="1"/>
    <col min="16130" max="16130" width="5.75" style="130" customWidth="1"/>
    <col min="16131" max="16131" width="31.875" style="130" customWidth="1"/>
    <col min="16132" max="16132" width="10" style="130" customWidth="1"/>
    <col min="16133" max="16133" width="8.375" style="130" customWidth="1"/>
    <col min="16134" max="16139" width="7.75" style="130" customWidth="1"/>
    <col min="16140" max="16140" width="8.875" style="130" customWidth="1"/>
    <col min="16141" max="16141" width="7.75" style="130" customWidth="1"/>
    <col min="16142" max="16142" width="9" style="130" customWidth="1"/>
    <col min="16143" max="16143" width="8.75" style="130" customWidth="1"/>
    <col min="16144" max="16144" width="7.75" style="130" customWidth="1"/>
    <col min="16145" max="16145" width="9.625" style="130" bestFit="1" customWidth="1"/>
    <col min="16146" max="16146" width="9" style="130" customWidth="1"/>
    <col min="16147" max="16147" width="11.625" style="130" customWidth="1"/>
    <col min="16148" max="16149" width="9" style="130" customWidth="1"/>
    <col min="16150" max="16150" width="5.125" style="130" customWidth="1"/>
    <col min="16151" max="16151" width="10" style="130" bestFit="1" customWidth="1"/>
    <col min="16152" max="16384" width="9" style="130"/>
  </cols>
  <sheetData>
    <row r="1" spans="1:25">
      <c r="A1" s="398" t="s">
        <v>13</v>
      </c>
      <c r="B1" s="398"/>
      <c r="C1" s="398"/>
      <c r="E1" s="128"/>
      <c r="F1" s="128"/>
      <c r="G1" s="128"/>
      <c r="H1" s="128"/>
      <c r="I1" s="128"/>
      <c r="J1" s="128"/>
      <c r="K1" s="128"/>
      <c r="L1" s="129"/>
      <c r="M1" s="128"/>
      <c r="N1" s="128"/>
      <c r="O1" s="129"/>
      <c r="P1" s="128"/>
      <c r="Q1" s="128"/>
      <c r="R1" s="128"/>
      <c r="S1" s="129"/>
      <c r="T1" s="128"/>
      <c r="U1" s="128"/>
    </row>
    <row r="2" spans="1:25" ht="22.5">
      <c r="A2" s="399" t="s">
        <v>249</v>
      </c>
      <c r="B2" s="399"/>
      <c r="C2" s="399"/>
      <c r="D2" s="399"/>
      <c r="E2" s="399"/>
      <c r="F2" s="399"/>
      <c r="G2" s="399"/>
      <c r="H2" s="399"/>
      <c r="I2" s="399"/>
      <c r="J2" s="399"/>
      <c r="K2" s="399"/>
      <c r="L2" s="399"/>
      <c r="M2" s="399"/>
      <c r="N2" s="399"/>
      <c r="O2" s="399"/>
      <c r="P2" s="399"/>
      <c r="Q2" s="399"/>
      <c r="R2" s="399"/>
      <c r="S2" s="399"/>
      <c r="T2" s="399"/>
      <c r="U2" s="399"/>
    </row>
    <row r="3" spans="1:25" s="137" customFormat="1" ht="19.5" customHeight="1">
      <c r="A3" s="367" t="s">
        <v>735</v>
      </c>
      <c r="B3" s="192"/>
      <c r="C3" s="368"/>
      <c r="D3" s="368"/>
      <c r="E3" s="368"/>
      <c r="F3" s="131"/>
      <c r="G3" s="131"/>
      <c r="H3" s="131"/>
      <c r="I3" s="131"/>
      <c r="J3" s="132"/>
      <c r="K3" s="133" t="s">
        <v>250</v>
      </c>
      <c r="L3" s="134"/>
      <c r="M3" s="135"/>
      <c r="N3" s="135"/>
      <c r="O3" s="136"/>
      <c r="P3" s="136"/>
      <c r="Q3" s="136"/>
      <c r="R3" s="136"/>
      <c r="S3" s="136"/>
      <c r="T3" s="136"/>
      <c r="U3" s="136" t="s">
        <v>251</v>
      </c>
    </row>
    <row r="4" spans="1:25" s="137" customFormat="1" ht="18.75" customHeight="1">
      <c r="A4" s="400" t="s">
        <v>0</v>
      </c>
      <c r="B4" s="400" t="s">
        <v>252</v>
      </c>
      <c r="C4" s="401" t="s">
        <v>253</v>
      </c>
      <c r="D4" s="395" t="s">
        <v>254</v>
      </c>
      <c r="E4" s="403" t="s">
        <v>255</v>
      </c>
      <c r="F4" s="403"/>
      <c r="G4" s="403"/>
      <c r="H4" s="403"/>
      <c r="I4" s="403"/>
      <c r="J4" s="403"/>
      <c r="K4" s="403"/>
      <c r="L4" s="403"/>
      <c r="M4" s="403" t="s">
        <v>256</v>
      </c>
      <c r="N4" s="403"/>
      <c r="O4" s="403"/>
      <c r="P4" s="395" t="s">
        <v>257</v>
      </c>
      <c r="Q4" s="395" t="s">
        <v>258</v>
      </c>
      <c r="R4" s="395" t="s">
        <v>259</v>
      </c>
      <c r="S4" s="396" t="s">
        <v>247</v>
      </c>
      <c r="T4" s="395" t="s">
        <v>260</v>
      </c>
      <c r="U4" s="395" t="s">
        <v>19</v>
      </c>
    </row>
    <row r="5" spans="1:25" s="137" customFormat="1" ht="27.75" customHeight="1">
      <c r="A5" s="400"/>
      <c r="B5" s="400"/>
      <c r="C5" s="402"/>
      <c r="D5" s="395"/>
      <c r="E5" s="138" t="s">
        <v>261</v>
      </c>
      <c r="F5" s="138" t="s">
        <v>262</v>
      </c>
      <c r="G5" s="138" t="s">
        <v>263</v>
      </c>
      <c r="H5" s="138" t="s">
        <v>264</v>
      </c>
      <c r="I5" s="138" t="s">
        <v>265</v>
      </c>
      <c r="J5" s="138" t="s">
        <v>266</v>
      </c>
      <c r="K5" s="138" t="s">
        <v>267</v>
      </c>
      <c r="L5" s="138" t="s">
        <v>87</v>
      </c>
      <c r="M5" s="138" t="s">
        <v>76</v>
      </c>
      <c r="N5" s="138" t="s">
        <v>77</v>
      </c>
      <c r="O5" s="138" t="s">
        <v>87</v>
      </c>
      <c r="P5" s="395"/>
      <c r="Q5" s="395"/>
      <c r="R5" s="395"/>
      <c r="S5" s="397"/>
      <c r="T5" s="395"/>
      <c r="U5" s="395"/>
    </row>
    <row r="6" spans="1:25" s="137" customFormat="1" ht="12.75">
      <c r="A6" s="139"/>
      <c r="B6" s="140"/>
      <c r="C6" s="141" t="s">
        <v>268</v>
      </c>
      <c r="D6" s="142"/>
      <c r="E6" s="142"/>
      <c r="F6" s="142"/>
      <c r="G6" s="142"/>
      <c r="H6" s="142"/>
      <c r="I6" s="142"/>
      <c r="J6" s="142"/>
      <c r="K6" s="142"/>
      <c r="L6" s="143"/>
      <c r="M6" s="142"/>
      <c r="N6" s="142"/>
      <c r="O6" s="143"/>
      <c r="P6" s="142"/>
      <c r="Q6" s="142"/>
      <c r="R6" s="142"/>
      <c r="S6" s="143"/>
      <c r="T6" s="144"/>
      <c r="U6" s="145"/>
    </row>
    <row r="7" spans="1:25" s="137" customFormat="1" ht="12.75">
      <c r="A7" s="139"/>
      <c r="B7" s="146"/>
      <c r="C7" s="139" t="s">
        <v>269</v>
      </c>
      <c r="D7" s="147"/>
      <c r="E7" s="148"/>
      <c r="F7" s="142"/>
      <c r="G7" s="142"/>
      <c r="H7" s="142"/>
      <c r="I7" s="142"/>
      <c r="J7" s="142"/>
      <c r="K7" s="142"/>
      <c r="L7" s="142"/>
      <c r="M7" s="142"/>
      <c r="N7" s="142"/>
      <c r="O7" s="142"/>
      <c r="P7" s="142"/>
      <c r="Q7" s="142"/>
      <c r="R7" s="142"/>
      <c r="S7" s="142"/>
      <c r="T7" s="142"/>
      <c r="U7" s="145"/>
      <c r="W7" s="187"/>
      <c r="X7" s="187"/>
      <c r="Y7" s="187"/>
    </row>
    <row r="8" spans="1:25" s="137" customFormat="1" ht="12.75">
      <c r="A8" s="149"/>
      <c r="B8" s="149"/>
      <c r="C8" s="150" t="s">
        <v>270</v>
      </c>
      <c r="D8" s="151"/>
      <c r="E8" s="152"/>
      <c r="F8" s="152"/>
      <c r="G8" s="138"/>
      <c r="H8" s="153"/>
      <c r="I8" s="153"/>
      <c r="J8" s="152"/>
      <c r="K8" s="152"/>
      <c r="L8" s="152">
        <f>SUM(E8:K8)</f>
        <v>0</v>
      </c>
      <c r="M8" s="152"/>
      <c r="N8" s="152"/>
      <c r="O8" s="152">
        <f>SUM(M8:N8)</f>
        <v>0</v>
      </c>
      <c r="P8" s="152"/>
      <c r="Q8" s="154"/>
      <c r="R8" s="152"/>
      <c r="S8" s="152">
        <f>SUM(L8,O8,P8)</f>
        <v>0</v>
      </c>
      <c r="T8" s="155"/>
      <c r="U8" s="156"/>
      <c r="W8" s="187"/>
      <c r="X8" s="187"/>
      <c r="Y8" s="187"/>
    </row>
    <row r="9" spans="1:25" s="137" customFormat="1" ht="12.75">
      <c r="A9" s="150">
        <v>1</v>
      </c>
      <c r="B9" s="149">
        <v>401</v>
      </c>
      <c r="C9" s="157" t="s">
        <v>271</v>
      </c>
      <c r="D9" s="151"/>
      <c r="E9" s="152"/>
      <c r="F9" s="152">
        <f>[4]码头概算厂提!I45/10000</f>
        <v>4708.81752596557</v>
      </c>
      <c r="G9" s="138">
        <v>156</v>
      </c>
      <c r="H9" s="153">
        <f>[4]汇总表1!C6/10000</f>
        <v>10.520541999999999</v>
      </c>
      <c r="I9" s="153">
        <f>[4]汇总表!I8/10000</f>
        <v>0</v>
      </c>
      <c r="J9" s="153">
        <f>[4]汇总表1!C8/10000</f>
        <v>14.081857000000001</v>
      </c>
      <c r="K9" s="153">
        <f>[4]汇总表1!C9/10000</f>
        <v>582.98652600000003</v>
      </c>
      <c r="L9" s="152">
        <f>SUM(E9:K9)</f>
        <v>5472.40645096557</v>
      </c>
      <c r="M9" s="152">
        <f>[4]汇总表1!D10/10000</f>
        <v>78.400000000000006</v>
      </c>
      <c r="N9" s="158"/>
      <c r="O9" s="152">
        <f>SUM(M9:N9)</f>
        <v>78.400000000000006</v>
      </c>
      <c r="P9" s="152"/>
      <c r="Q9" s="154"/>
      <c r="R9" s="152"/>
      <c r="S9" s="152">
        <f>SUM(L9,O9,P9)</f>
        <v>5550.8064509655696</v>
      </c>
      <c r="T9" s="155"/>
      <c r="U9" s="156"/>
      <c r="V9" s="159"/>
      <c r="W9" s="187"/>
      <c r="X9" s="187"/>
      <c r="Y9" s="187"/>
    </row>
    <row r="10" spans="1:25" s="137" customFormat="1" ht="12.75">
      <c r="A10" s="150">
        <v>2</v>
      </c>
      <c r="B10" s="149"/>
      <c r="C10" s="157" t="s">
        <v>272</v>
      </c>
      <c r="D10" s="151"/>
      <c r="E10" s="152"/>
      <c r="F10" s="152">
        <f>[4]护岸概算厂提!I29/10000</f>
        <v>744.27650000000006</v>
      </c>
      <c r="G10" s="138"/>
      <c r="H10" s="153">
        <f>[4]汇总表!H9/10000</f>
        <v>0</v>
      </c>
      <c r="I10" s="153">
        <f>[4]汇总表!I9/10000</f>
        <v>0</v>
      </c>
      <c r="J10" s="153">
        <f>[4]汇总表!J9/10000</f>
        <v>0</v>
      </c>
      <c r="K10" s="153">
        <f>[4]汇总表!K9/10000</f>
        <v>0</v>
      </c>
      <c r="L10" s="152">
        <f t="shared" ref="L10:L37" si="0">SUM(E10:K10)</f>
        <v>744.27650000000006</v>
      </c>
      <c r="M10" s="152">
        <f>[4]汇总表!Q9/10000</f>
        <v>0</v>
      </c>
      <c r="N10" s="152"/>
      <c r="O10" s="152">
        <f>SUM(M10:N10)</f>
        <v>0</v>
      </c>
      <c r="P10" s="152"/>
      <c r="Q10" s="152"/>
      <c r="R10" s="152"/>
      <c r="S10" s="152">
        <f t="shared" ref="S10:S37" si="1">SUM(L10,O10,P10)</f>
        <v>744.27650000000006</v>
      </c>
      <c r="T10" s="155"/>
      <c r="U10" s="156"/>
      <c r="W10" s="187"/>
      <c r="X10" s="187"/>
      <c r="Y10" s="187"/>
    </row>
    <row r="11" spans="1:25" s="163" customFormat="1" ht="12">
      <c r="A11" s="150">
        <v>3</v>
      </c>
      <c r="B11" s="150">
        <v>110</v>
      </c>
      <c r="C11" s="157" t="str">
        <f>[4]汇总表!C21</f>
        <v>周转场地</v>
      </c>
      <c r="D11" s="161" t="s">
        <v>285</v>
      </c>
      <c r="E11" s="152"/>
      <c r="F11" s="152">
        <f>38500*0.03</f>
        <v>1155</v>
      </c>
      <c r="G11" s="162"/>
      <c r="H11" s="152">
        <f>[4]汇总表!H21/10000</f>
        <v>0</v>
      </c>
      <c r="I11" s="152">
        <f>[4]汇总表!I21/10000</f>
        <v>0</v>
      </c>
      <c r="J11" s="152">
        <f>[4]汇总表!J21/10000</f>
        <v>0</v>
      </c>
      <c r="K11" s="152">
        <f>[4]汇总表!K21/10000</f>
        <v>0</v>
      </c>
      <c r="L11" s="152">
        <f>SUM(E11:K11)</f>
        <v>1155</v>
      </c>
      <c r="M11" s="152">
        <f>[4]汇总表!Q21/10000</f>
        <v>0</v>
      </c>
      <c r="N11" s="152"/>
      <c r="O11" s="152">
        <f>SUM(M11:N11)</f>
        <v>0</v>
      </c>
      <c r="P11" s="152"/>
      <c r="Q11" s="152"/>
      <c r="R11" s="152"/>
      <c r="S11" s="152">
        <f t="shared" si="1"/>
        <v>1155</v>
      </c>
      <c r="T11" s="152"/>
      <c r="U11" s="156"/>
      <c r="W11" s="187"/>
      <c r="X11" s="187"/>
      <c r="Y11" s="187"/>
    </row>
    <row r="12" spans="1:25" s="163" customFormat="1" ht="12.75">
      <c r="A12" s="149"/>
      <c r="B12" s="149"/>
      <c r="C12" s="150" t="s">
        <v>286</v>
      </c>
      <c r="D12" s="151"/>
      <c r="E12" s="152"/>
      <c r="F12" s="152"/>
      <c r="G12" s="164"/>
      <c r="H12" s="153"/>
      <c r="I12" s="153"/>
      <c r="J12" s="152"/>
      <c r="K12" s="152"/>
      <c r="L12" s="152">
        <f t="shared" si="0"/>
        <v>0</v>
      </c>
      <c r="M12" s="152"/>
      <c r="N12" s="152"/>
      <c r="O12" s="152"/>
      <c r="P12" s="152"/>
      <c r="Q12" s="152"/>
      <c r="R12" s="152"/>
      <c r="S12" s="152">
        <f t="shared" si="1"/>
        <v>0</v>
      </c>
      <c r="T12" s="152"/>
      <c r="U12" s="156"/>
      <c r="W12" s="187"/>
      <c r="X12" s="187"/>
      <c r="Y12" s="187"/>
    </row>
    <row r="13" spans="1:25" s="163" customFormat="1" ht="12">
      <c r="A13" s="150">
        <v>1</v>
      </c>
      <c r="B13" s="150">
        <v>101</v>
      </c>
      <c r="C13" s="157" t="s">
        <v>287</v>
      </c>
      <c r="D13" s="151"/>
      <c r="E13" s="152">
        <f>[4]汇总表!E33/10000</f>
        <v>0</v>
      </c>
      <c r="F13" s="152">
        <f>[4]汇总表!F33/10000</f>
        <v>0</v>
      </c>
      <c r="G13" s="152">
        <f>[4]汇总表!G33/10000</f>
        <v>0</v>
      </c>
      <c r="H13" s="152">
        <f>[4]汇总表!H33/10000</f>
        <v>0</v>
      </c>
      <c r="I13" s="152">
        <f>[4]汇总表!I33/10000</f>
        <v>0</v>
      </c>
      <c r="J13" s="152">
        <f>[4]汇总表!J33/10000</f>
        <v>0</v>
      </c>
      <c r="K13" s="152">
        <f>[4]汇总表!K33/10000</f>
        <v>0</v>
      </c>
      <c r="L13" s="152">
        <f t="shared" si="0"/>
        <v>0</v>
      </c>
      <c r="M13" s="152">
        <f>[4]汇总表!Q33/10000</f>
        <v>0</v>
      </c>
      <c r="N13" s="152">
        <f>[4]工艺概算!I112-N21-N22</f>
        <v>5175.8850000000002</v>
      </c>
      <c r="O13" s="152">
        <f>SUM(M13:N13)</f>
        <v>5175.8850000000002</v>
      </c>
      <c r="P13" s="152">
        <f>[4]工艺概算!O112-P21-P22</f>
        <v>303.29669999999999</v>
      </c>
      <c r="Q13" s="152"/>
      <c r="R13" s="152"/>
      <c r="S13" s="152">
        <f t="shared" si="1"/>
        <v>5479.1817000000001</v>
      </c>
      <c r="T13" s="152"/>
      <c r="U13" s="156"/>
      <c r="W13" s="187"/>
      <c r="X13" s="187"/>
      <c r="Y13" s="187"/>
    </row>
    <row r="14" spans="1:25" s="163" customFormat="1" ht="12">
      <c r="A14" s="150">
        <v>1.1000000000000001</v>
      </c>
      <c r="B14" s="150"/>
      <c r="C14" s="157" t="s">
        <v>288</v>
      </c>
      <c r="D14" s="151"/>
      <c r="E14" s="166">
        <f>[4]汇总表4!C5/10000</f>
        <v>4500</v>
      </c>
      <c r="F14" s="152"/>
      <c r="G14" s="152"/>
      <c r="H14" s="152"/>
      <c r="I14" s="152"/>
      <c r="J14" s="152"/>
      <c r="K14" s="152"/>
      <c r="L14" s="152">
        <f t="shared" si="0"/>
        <v>4500</v>
      </c>
      <c r="M14" s="152"/>
      <c r="N14" s="167"/>
      <c r="O14" s="152"/>
      <c r="P14" s="152"/>
      <c r="Q14" s="152"/>
      <c r="R14" s="152"/>
      <c r="S14" s="152">
        <f t="shared" si="1"/>
        <v>4500</v>
      </c>
      <c r="T14" s="152"/>
      <c r="U14" s="156"/>
      <c r="W14" s="187"/>
      <c r="X14" s="187"/>
      <c r="Y14" s="187"/>
    </row>
    <row r="15" spans="1:25" s="163" customFormat="1" ht="12">
      <c r="A15" s="150">
        <v>2</v>
      </c>
      <c r="B15" s="150">
        <f>[4]汇总表!B16</f>
        <v>102</v>
      </c>
      <c r="C15" s="157" t="str">
        <f>[4]汇总表!C16</f>
        <v>锅压厂房</v>
      </c>
      <c r="D15" s="168">
        <v>11785</v>
      </c>
      <c r="E15" s="152">
        <f>[4]汇总表5g!C5/10000+[4]汇总表5g!C6/10000</f>
        <v>4107.0817120000002</v>
      </c>
      <c r="F15" s="152"/>
      <c r="G15" s="152"/>
      <c r="H15" s="152">
        <f>[4]汇总表5g!C7/10000</f>
        <v>71.726798000000002</v>
      </c>
      <c r="I15" s="152">
        <f>[4]汇总表5g!C8/10000</f>
        <v>32.746395999999997</v>
      </c>
      <c r="J15" s="152">
        <f>[4]汇总表5g!C9/10000</f>
        <v>56.035958999999998</v>
      </c>
      <c r="K15" s="152">
        <f>[4]汇总表5g!C10/10000</f>
        <v>86.942808999999983</v>
      </c>
      <c r="L15" s="152">
        <f t="shared" si="0"/>
        <v>4354.5336739999993</v>
      </c>
      <c r="M15" s="152">
        <f>[4]汇总表5g!D11/10000</f>
        <v>446.36</v>
      </c>
      <c r="N15" s="166">
        <f>[4]工艺概算!I181</f>
        <v>4938.9937</v>
      </c>
      <c r="O15" s="152">
        <f>SUM(M15:N15)</f>
        <v>5385.3536999999997</v>
      </c>
      <c r="P15" s="152">
        <f>[4]工艺概算!O181</f>
        <v>61.331325999999997</v>
      </c>
      <c r="Q15" s="152"/>
      <c r="R15" s="152"/>
      <c r="S15" s="152">
        <f t="shared" si="1"/>
        <v>9801.2186999999976</v>
      </c>
      <c r="T15" s="152"/>
      <c r="U15" s="156"/>
    </row>
    <row r="16" spans="1:25" s="163" customFormat="1" ht="12">
      <c r="A16" s="150">
        <v>3</v>
      </c>
      <c r="B16" s="150">
        <v>104</v>
      </c>
      <c r="C16" s="157" t="s">
        <v>736</v>
      </c>
      <c r="D16" s="170">
        <v>37201</v>
      </c>
      <c r="E16" s="152">
        <f>([4]汇总表6j!C5+[4]汇总表6j!C6)/10000</f>
        <v>9452.0695430000014</v>
      </c>
      <c r="F16" s="169"/>
      <c r="G16" s="152">
        <v>255.8</v>
      </c>
      <c r="H16" s="152">
        <f>[4]汇总表6j!C7/10000</f>
        <v>331.04326300000008</v>
      </c>
      <c r="I16" s="152">
        <f>[4]汇总表6j!C8/10000</f>
        <v>1131.3384629999998</v>
      </c>
      <c r="J16" s="152">
        <f>[4]汇总表6j!C9/10000</f>
        <v>103.713775</v>
      </c>
      <c r="K16" s="152">
        <f>[4]汇总表6j!C10/10000</f>
        <v>1233.565666</v>
      </c>
      <c r="L16" s="152">
        <f t="shared" si="0"/>
        <v>12507.530710000001</v>
      </c>
      <c r="M16" s="152">
        <f>[4]汇总表6j!D11/10000</f>
        <v>4042</v>
      </c>
      <c r="N16" s="152">
        <f>[4]工艺概算!M186</f>
        <v>24</v>
      </c>
      <c r="O16" s="152">
        <f>SUM(M16:N16)</f>
        <v>4066</v>
      </c>
      <c r="P16" s="152">
        <f>[4]工艺概算!O186</f>
        <v>2.4</v>
      </c>
      <c r="Q16" s="152"/>
      <c r="R16" s="152"/>
      <c r="S16" s="152">
        <f t="shared" si="1"/>
        <v>16575.930710000001</v>
      </c>
      <c r="T16" s="152"/>
      <c r="U16" s="156"/>
    </row>
    <row r="17" spans="1:26" s="163" customFormat="1" ht="12">
      <c r="A17" s="150">
        <v>4</v>
      </c>
      <c r="B17" s="150">
        <v>105</v>
      </c>
      <c r="C17" s="157" t="s">
        <v>699</v>
      </c>
      <c r="D17" s="170">
        <v>6644</v>
      </c>
      <c r="E17" s="152">
        <f>1485.502069+0.04*D17</f>
        <v>1751.2620689999999</v>
      </c>
      <c r="F17" s="152"/>
      <c r="G17" s="152">
        <v>124.90199999999999</v>
      </c>
      <c r="H17" s="152">
        <v>65.518094999999988</v>
      </c>
      <c r="I17" s="152">
        <v>197.87981900000003</v>
      </c>
      <c r="J17" s="152">
        <f>[4]汇总表7!C9/10000</f>
        <v>15.901847</v>
      </c>
      <c r="K17" s="152">
        <v>101.92092199999999</v>
      </c>
      <c r="L17" s="152">
        <f t="shared" si="0"/>
        <v>2257.3847519999999</v>
      </c>
      <c r="M17" s="152">
        <f>[4]汇总表7!D11/10000</f>
        <v>559.79999999999995</v>
      </c>
      <c r="N17" s="171"/>
      <c r="O17" s="152">
        <f>SUM(M17:N17)</f>
        <v>559.79999999999995</v>
      </c>
      <c r="P17" s="152"/>
      <c r="Q17" s="152"/>
      <c r="R17" s="152"/>
      <c r="S17" s="152">
        <f t="shared" si="1"/>
        <v>2817.1847520000001</v>
      </c>
      <c r="T17" s="152"/>
      <c r="U17" s="156"/>
    </row>
    <row r="18" spans="1:26" s="163" customFormat="1" ht="12">
      <c r="A18" s="150">
        <v>5</v>
      </c>
      <c r="B18" s="150">
        <v>108</v>
      </c>
      <c r="C18" s="157" t="str">
        <f>[4]汇总表!C20</f>
        <v>2#总装场地</v>
      </c>
      <c r="D18" s="161" t="s">
        <v>274</v>
      </c>
      <c r="E18" s="152">
        <f>'[4]汇总表8-2'!C5/10000</f>
        <v>406.32925499999999</v>
      </c>
      <c r="F18" s="152">
        <f>[4]汇总表!F20/10000</f>
        <v>0</v>
      </c>
      <c r="G18" s="152">
        <f>[4]汇总表!G20/10000</f>
        <v>0</v>
      </c>
      <c r="H18" s="152">
        <f>'[4]汇总表8-2'!C6/10000</f>
        <v>15.499282000000001</v>
      </c>
      <c r="I18" s="152">
        <f>[4]汇总表!I20/10000</f>
        <v>0</v>
      </c>
      <c r="J18" s="152">
        <f>'[4]汇总表8-2'!C8/10000</f>
        <v>15.788784999999997</v>
      </c>
      <c r="K18" s="152">
        <f>'[4]汇总表8-2'!C9/10000</f>
        <v>378.21539299999995</v>
      </c>
      <c r="L18" s="152">
        <f t="shared" si="0"/>
        <v>815.83271500000001</v>
      </c>
      <c r="M18" s="152">
        <f>'[4]汇总表8-2'!D10/10000</f>
        <v>344</v>
      </c>
      <c r="N18" s="152"/>
      <c r="O18" s="152">
        <f>SUM(M18:N18)</f>
        <v>344</v>
      </c>
      <c r="P18" s="152"/>
      <c r="Q18" s="152"/>
      <c r="R18" s="152"/>
      <c r="S18" s="152">
        <f t="shared" si="1"/>
        <v>1159.832715</v>
      </c>
      <c r="T18" s="152"/>
      <c r="U18" s="156"/>
    </row>
    <row r="19" spans="1:26" s="163" customFormat="1" ht="12">
      <c r="A19" s="150">
        <v>6</v>
      </c>
      <c r="B19" s="150">
        <f>[4]汇总表!B34</f>
        <v>0</v>
      </c>
      <c r="C19" s="157" t="str">
        <f>[4]汇总表!C34</f>
        <v>工厂信息化工程</v>
      </c>
      <c r="D19" s="151"/>
      <c r="E19" s="152">
        <f>[4]汇总表!E34/10000</f>
        <v>0</v>
      </c>
      <c r="F19" s="152">
        <f>[4]汇总表!F34/10000</f>
        <v>0</v>
      </c>
      <c r="G19" s="152">
        <f>[4]汇总表!G34/10000</f>
        <v>0</v>
      </c>
      <c r="H19" s="152">
        <f>[4]汇总表!H34/10000</f>
        <v>0</v>
      </c>
      <c r="I19" s="152">
        <f>[4]汇总表!I34/10000</f>
        <v>0</v>
      </c>
      <c r="J19" s="152">
        <f>[4]汇总表!J34/10000</f>
        <v>0</v>
      </c>
      <c r="K19" s="152">
        <f>[4]汇总表!K34/10000</f>
        <v>0</v>
      </c>
      <c r="L19" s="152">
        <f t="shared" si="0"/>
        <v>0</v>
      </c>
      <c r="M19" s="152">
        <f>[4]汇总表!Q34/10000</f>
        <v>0</v>
      </c>
      <c r="N19" s="152">
        <f>[4]工艺概算!I227</f>
        <v>607.02</v>
      </c>
      <c r="O19" s="152">
        <f>SUM(M19:N19)</f>
        <v>607.02</v>
      </c>
      <c r="P19" s="152"/>
      <c r="Q19" s="152"/>
      <c r="R19" s="152"/>
      <c r="S19" s="152">
        <f t="shared" si="1"/>
        <v>607.02</v>
      </c>
      <c r="T19" s="152"/>
      <c r="U19" s="156"/>
      <c r="X19" s="165"/>
    </row>
    <row r="20" spans="1:26" s="163" customFormat="1" ht="12.75">
      <c r="A20" s="149"/>
      <c r="B20" s="149"/>
      <c r="C20" s="150" t="s">
        <v>275</v>
      </c>
      <c r="D20" s="151"/>
      <c r="F20" s="152"/>
      <c r="G20" s="164"/>
      <c r="H20" s="153"/>
      <c r="I20" s="153"/>
      <c r="J20" s="152"/>
      <c r="K20" s="152"/>
      <c r="L20" s="152">
        <f t="shared" si="0"/>
        <v>0</v>
      </c>
      <c r="M20" s="152"/>
      <c r="O20" s="152"/>
      <c r="P20" s="152"/>
      <c r="Q20" s="152"/>
      <c r="R20" s="152"/>
      <c r="S20" s="152">
        <f t="shared" si="1"/>
        <v>0</v>
      </c>
      <c r="T20" s="152"/>
      <c r="U20" s="156"/>
    </row>
    <row r="21" spans="1:26" s="163" customFormat="1" ht="12">
      <c r="A21" s="150">
        <v>1</v>
      </c>
      <c r="B21" s="150" t="s">
        <v>276</v>
      </c>
      <c r="C21" s="157" t="s">
        <v>277</v>
      </c>
      <c r="D21" s="172">
        <f>3091-D22</f>
        <v>1372</v>
      </c>
      <c r="E21" s="152">
        <f>'[4]汇总表9-3'!C5/10000</f>
        <v>246.36953599999998</v>
      </c>
      <c r="F21" s="152">
        <f>[4]汇总表!F14/10000</f>
        <v>0</v>
      </c>
      <c r="G21" s="152">
        <f>[4]汇总表!G14/10000</f>
        <v>0</v>
      </c>
      <c r="H21" s="152">
        <f>'[4]汇总表9-3'!C6/10000</f>
        <v>19.625682999999999</v>
      </c>
      <c r="I21" s="152">
        <f>'[4]汇总表9-3'!C7/10000</f>
        <v>61.818733999999999</v>
      </c>
      <c r="J21" s="152">
        <f>[4]汇总表!J14/10000</f>
        <v>0</v>
      </c>
      <c r="K21" s="152">
        <f>'[4]汇总表9-3'!C9/10000</f>
        <v>15.367595999999997</v>
      </c>
      <c r="L21" s="152">
        <f t="shared" si="0"/>
        <v>343.18154899999996</v>
      </c>
      <c r="M21" s="152">
        <f>'[4]汇总表9-3'!D10/10000</f>
        <v>148.1</v>
      </c>
      <c r="N21" s="152">
        <f>[4]工艺概算!M92</f>
        <v>68.959999999999994</v>
      </c>
      <c r="O21" s="152">
        <f>SUM(M21:N21)</f>
        <v>217.06</v>
      </c>
      <c r="P21" s="152">
        <f>[4]工艺概算!O92</f>
        <v>1.45</v>
      </c>
      <c r="Q21" s="152"/>
      <c r="R21" s="152"/>
      <c r="S21" s="152">
        <f t="shared" si="1"/>
        <v>561.69154900000001</v>
      </c>
      <c r="T21" s="152"/>
      <c r="U21" s="156"/>
    </row>
    <row r="22" spans="1:26" s="163" customFormat="1" ht="12">
      <c r="A22" s="150">
        <v>2</v>
      </c>
      <c r="B22" s="150" t="s">
        <v>278</v>
      </c>
      <c r="C22" s="157" t="s">
        <v>279</v>
      </c>
      <c r="D22" s="172">
        <f>573*3</f>
        <v>1719</v>
      </c>
      <c r="E22" s="152">
        <f>'[4]汇总表9-4'!C5/10000</f>
        <v>290.45309900000001</v>
      </c>
      <c r="F22" s="152">
        <f>[4]汇总表!F15/10000</f>
        <v>0</v>
      </c>
      <c r="G22" s="152">
        <f>[4]汇总表!G15/10000</f>
        <v>0</v>
      </c>
      <c r="H22" s="152">
        <f>H21</f>
        <v>19.625682999999999</v>
      </c>
      <c r="I22" s="152">
        <f>I21</f>
        <v>61.818733999999999</v>
      </c>
      <c r="J22" s="152">
        <f>[4]汇总表!J15/10000</f>
        <v>0</v>
      </c>
      <c r="K22" s="152">
        <f>K21</f>
        <v>15.367595999999997</v>
      </c>
      <c r="L22" s="152">
        <f t="shared" si="0"/>
        <v>387.26511199999999</v>
      </c>
      <c r="M22" s="152">
        <f>M21</f>
        <v>148.1</v>
      </c>
      <c r="N22" s="152">
        <f>[4]工艺概算!M110</f>
        <v>164.70999999999998</v>
      </c>
      <c r="O22" s="152">
        <f>SUM(M22:N22)</f>
        <v>312.80999999999995</v>
      </c>
      <c r="P22" s="152">
        <f>[4]工艺概算!O110</f>
        <v>2.2584</v>
      </c>
      <c r="Q22" s="152"/>
      <c r="R22" s="152"/>
      <c r="S22" s="152">
        <f t="shared" si="1"/>
        <v>702.33351200000004</v>
      </c>
      <c r="T22" s="152"/>
      <c r="U22" s="156"/>
    </row>
    <row r="23" spans="1:26" s="163" customFormat="1" ht="12">
      <c r="A23" s="150">
        <v>3</v>
      </c>
      <c r="B23" s="150">
        <f>[4]汇总表!B22</f>
        <v>301</v>
      </c>
      <c r="C23" s="157" t="str">
        <f>[4]汇总表!C22</f>
        <v>66KV总降压站</v>
      </c>
      <c r="D23" s="173">
        <v>2800</v>
      </c>
      <c r="E23" s="152">
        <f>[4]汇总表!E22/10000</f>
        <v>0</v>
      </c>
      <c r="F23" s="152">
        <f>[4]汇总表!F22/10000</f>
        <v>0</v>
      </c>
      <c r="G23" s="152">
        <f>[4]汇总表!G22/10000</f>
        <v>0</v>
      </c>
      <c r="H23" s="152">
        <f>[4]汇总表!H22/10000</f>
        <v>0</v>
      </c>
      <c r="I23" s="152">
        <f>[4]汇总表!I22/10000</f>
        <v>0</v>
      </c>
      <c r="J23" s="152">
        <f>[4]汇总表!J22/10000</f>
        <v>0</v>
      </c>
      <c r="K23" s="152">
        <f>[4]汇总表!K22/10000</f>
        <v>0</v>
      </c>
      <c r="L23" s="152">
        <f t="shared" si="0"/>
        <v>0</v>
      </c>
      <c r="M23" s="152">
        <v>2500</v>
      </c>
      <c r="N23" s="152"/>
      <c r="O23" s="152">
        <f>SUM(M23:N23)</f>
        <v>2500</v>
      </c>
      <c r="P23" s="152"/>
      <c r="Q23" s="152"/>
      <c r="R23" s="152"/>
      <c r="S23" s="152">
        <f t="shared" si="1"/>
        <v>2500</v>
      </c>
      <c r="T23" s="152"/>
      <c r="U23" s="156"/>
    </row>
    <row r="24" spans="1:26" s="163" customFormat="1" ht="12">
      <c r="A24" s="150">
        <v>4</v>
      </c>
      <c r="B24" s="150">
        <f>[4]汇总表!B24</f>
        <v>303</v>
      </c>
      <c r="C24" s="157" t="str">
        <f>[4]汇总表!C24</f>
        <v>1#空压站</v>
      </c>
      <c r="D24" s="172"/>
      <c r="E24" s="152">
        <f>[4]汇总表!E24/10000</f>
        <v>0</v>
      </c>
      <c r="F24" s="152">
        <f>[4]汇总表!F24/10000</f>
        <v>0</v>
      </c>
      <c r="G24" s="152">
        <f>[4]汇总表!G24/10000</f>
        <v>0</v>
      </c>
      <c r="H24" s="152">
        <f>'[4]汇总表10-k1'!C6/10000</f>
        <v>28.428925</v>
      </c>
      <c r="I24" s="152">
        <f>'[4]汇总表10-k1'!C7/10000</f>
        <v>3.999288</v>
      </c>
      <c r="J24" s="152">
        <f>'[4]汇总表10-k1'!C8/10000</f>
        <v>27.291056999999984</v>
      </c>
      <c r="K24" s="152">
        <f>'[4]汇总表10-k1'!C9/10000</f>
        <v>15.367595999999997</v>
      </c>
      <c r="L24" s="152">
        <f t="shared" si="0"/>
        <v>75.086865999999972</v>
      </c>
      <c r="M24" s="152">
        <f>'[4]汇总表10-k1'!D10/10000</f>
        <v>451.95</v>
      </c>
      <c r="N24" s="152"/>
      <c r="O24" s="152">
        <f>SUM(M24:N24)</f>
        <v>451.95</v>
      </c>
      <c r="P24" s="152"/>
      <c r="Q24" s="152"/>
      <c r="R24" s="152"/>
      <c r="S24" s="152">
        <f t="shared" si="1"/>
        <v>527.03686599999992</v>
      </c>
      <c r="T24" s="152"/>
      <c r="U24" s="156"/>
    </row>
    <row r="25" spans="1:26" s="163" customFormat="1" ht="12">
      <c r="A25" s="150">
        <v>5</v>
      </c>
      <c r="B25" s="150">
        <f>[4]汇总表!B25</f>
        <v>304</v>
      </c>
      <c r="C25" s="157" t="str">
        <f>[4]汇总表!C25</f>
        <v>2#空压站</v>
      </c>
      <c r="D25" s="172">
        <v>640</v>
      </c>
      <c r="E25" s="152">
        <v>119.5</v>
      </c>
      <c r="F25" s="152"/>
      <c r="G25" s="152"/>
      <c r="H25" s="152">
        <f>H24</f>
        <v>28.428925</v>
      </c>
      <c r="I25" s="152">
        <f>I24</f>
        <v>3.999288</v>
      </c>
      <c r="J25" s="152">
        <f>J24</f>
        <v>27.291056999999984</v>
      </c>
      <c r="K25" s="152">
        <f>K24</f>
        <v>15.367595999999997</v>
      </c>
      <c r="L25" s="152">
        <f t="shared" si="0"/>
        <v>194.58686599999999</v>
      </c>
      <c r="M25" s="152">
        <f>M24</f>
        <v>451.95</v>
      </c>
      <c r="N25" s="152"/>
      <c r="O25" s="152">
        <f>SUM(M25:N25)</f>
        <v>451.95</v>
      </c>
      <c r="P25" s="152"/>
      <c r="Q25" s="152"/>
      <c r="R25" s="152"/>
      <c r="S25" s="152">
        <f>SUM(L25,O25,P25)</f>
        <v>646.53686599999992</v>
      </c>
      <c r="T25" s="152"/>
      <c r="U25" s="156"/>
    </row>
    <row r="26" spans="1:26" s="163" customFormat="1" ht="12">
      <c r="A26" s="150"/>
      <c r="B26" s="150"/>
      <c r="C26" s="150" t="s">
        <v>280</v>
      </c>
      <c r="D26" s="150"/>
      <c r="E26" s="152"/>
      <c r="F26" s="152"/>
      <c r="G26" s="152"/>
      <c r="H26" s="152"/>
      <c r="I26" s="152"/>
      <c r="J26" s="152"/>
      <c r="K26" s="152"/>
      <c r="L26" s="169"/>
      <c r="M26" s="152"/>
      <c r="N26" s="152"/>
      <c r="O26" s="152"/>
      <c r="P26" s="152"/>
      <c r="Q26" s="152"/>
      <c r="R26" s="152"/>
      <c r="S26" s="152">
        <f t="shared" si="1"/>
        <v>0</v>
      </c>
      <c r="T26" s="152"/>
      <c r="U26" s="156"/>
      <c r="X26" s="165"/>
      <c r="Z26" s="174"/>
    </row>
    <row r="27" spans="1:26" s="163" customFormat="1" ht="12.75">
      <c r="A27" s="150">
        <v>1</v>
      </c>
      <c r="B27" s="150">
        <f>[4]汇总表!B30</f>
        <v>301</v>
      </c>
      <c r="C27" s="157" t="str">
        <f>[4]汇总表!C30</f>
        <v>办公楼</v>
      </c>
      <c r="D27" s="175">
        <v>13990.9</v>
      </c>
      <c r="E27" s="152">
        <f>'[4]汇总表13-b'!C5/10000</f>
        <v>2801.9434329999999</v>
      </c>
      <c r="F27" s="169"/>
      <c r="G27" s="152">
        <f>[4]汇总表!G30/10000</f>
        <v>0</v>
      </c>
      <c r="H27" s="152">
        <f>'[4]汇总表13-b'!C6/10000</f>
        <v>171.446427</v>
      </c>
      <c r="I27" s="152">
        <f>'[4]汇总表13-b'!C7/10000</f>
        <v>68.666508999999991</v>
      </c>
      <c r="J27" s="152">
        <f>[4]汇总表!J30/10000</f>
        <v>0</v>
      </c>
      <c r="K27" s="152">
        <f>'[4]汇总表13-b'!C9/10000</f>
        <v>99.965002999999982</v>
      </c>
      <c r="L27" s="152">
        <f t="shared" si="0"/>
        <v>3142.0213719999997</v>
      </c>
      <c r="M27" s="152">
        <f>'[4]汇总表13-b'!D10/10000</f>
        <v>716.03750000000002</v>
      </c>
      <c r="N27" s="152"/>
      <c r="O27" s="152">
        <f>SUM(M27:N27)</f>
        <v>716.03750000000002</v>
      </c>
      <c r="P27" s="152"/>
      <c r="Q27" s="152"/>
      <c r="R27" s="152"/>
      <c r="S27" s="152">
        <f t="shared" si="1"/>
        <v>3858.0588719999996</v>
      </c>
      <c r="T27" s="155"/>
      <c r="U27" s="156"/>
      <c r="W27" s="176"/>
      <c r="X27" s="160"/>
    </row>
    <row r="28" spans="1:26" s="163" customFormat="1" ht="12">
      <c r="A28" s="150">
        <v>2</v>
      </c>
      <c r="B28" s="150">
        <v>202</v>
      </c>
      <c r="C28" s="157" t="str">
        <f>[4]汇总表!C31</f>
        <v>门卫房二</v>
      </c>
      <c r="D28" s="151">
        <v>63.6</v>
      </c>
      <c r="E28" s="152">
        <f>D28*0.15</f>
        <v>9.5399999999999991</v>
      </c>
      <c r="F28" s="152">
        <f>[4]汇总表!F31/10000</f>
        <v>0</v>
      </c>
      <c r="G28" s="152">
        <f>[4]汇总表!G31/10000</f>
        <v>0</v>
      </c>
      <c r="H28" s="152"/>
      <c r="I28" s="152">
        <f>'[4]汇总表12-m'!C7/10000</f>
        <v>3.8192629999999999</v>
      </c>
      <c r="J28" s="152">
        <f>[4]汇总表!J31/10000</f>
        <v>0</v>
      </c>
      <c r="K28" s="152">
        <f>'[4]汇总表12-m'!C9/10000</f>
        <v>1.055836</v>
      </c>
      <c r="L28" s="152">
        <f t="shared" si="0"/>
        <v>14.415098999999998</v>
      </c>
      <c r="M28" s="152">
        <f>'[4]汇总表12-m'!D10/10000</f>
        <v>2.2000000000000002</v>
      </c>
      <c r="N28" s="151"/>
      <c r="O28" s="152">
        <f>SUM(M28:N28)</f>
        <v>2.2000000000000002</v>
      </c>
      <c r="P28" s="151"/>
      <c r="Q28" s="151"/>
      <c r="R28" s="151"/>
      <c r="S28" s="152">
        <f t="shared" si="1"/>
        <v>16.615098999999997</v>
      </c>
      <c r="T28" s="152"/>
      <c r="U28" s="156"/>
      <c r="W28" s="187"/>
      <c r="X28" s="187"/>
      <c r="Y28" s="187"/>
    </row>
    <row r="29" spans="1:26" s="163" customFormat="1" ht="12">
      <c r="A29" s="150">
        <v>3</v>
      </c>
      <c r="B29" s="150">
        <v>203</v>
      </c>
      <c r="C29" s="157" t="str">
        <f>[4]汇总表!C32</f>
        <v>门卫房三</v>
      </c>
      <c r="D29" s="151">
        <v>63.6</v>
      </c>
      <c r="E29" s="152">
        <f>E28</f>
        <v>9.5399999999999991</v>
      </c>
      <c r="F29" s="152">
        <f t="shared" ref="F29:R29" si="2">F28</f>
        <v>0</v>
      </c>
      <c r="G29" s="152">
        <f t="shared" si="2"/>
        <v>0</v>
      </c>
      <c r="H29" s="152">
        <f t="shared" si="2"/>
        <v>0</v>
      </c>
      <c r="I29" s="152">
        <f t="shared" si="2"/>
        <v>3.8192629999999999</v>
      </c>
      <c r="J29" s="152">
        <f t="shared" si="2"/>
        <v>0</v>
      </c>
      <c r="K29" s="152">
        <f t="shared" si="2"/>
        <v>1.055836</v>
      </c>
      <c r="L29" s="152">
        <f t="shared" si="2"/>
        <v>14.415098999999998</v>
      </c>
      <c r="M29" s="152">
        <f t="shared" si="2"/>
        <v>2.2000000000000002</v>
      </c>
      <c r="N29" s="152">
        <f t="shared" si="2"/>
        <v>0</v>
      </c>
      <c r="O29" s="152">
        <f t="shared" si="2"/>
        <v>2.2000000000000002</v>
      </c>
      <c r="P29" s="152">
        <f t="shared" si="2"/>
        <v>0</v>
      </c>
      <c r="Q29" s="152">
        <f t="shared" si="2"/>
        <v>0</v>
      </c>
      <c r="R29" s="152">
        <f t="shared" si="2"/>
        <v>0</v>
      </c>
      <c r="S29" s="152">
        <f t="shared" si="1"/>
        <v>16.615098999999997</v>
      </c>
      <c r="T29" s="152"/>
      <c r="U29" s="156"/>
      <c r="W29" s="187"/>
      <c r="X29" s="187"/>
      <c r="Y29" s="187"/>
    </row>
    <row r="30" spans="1:26" s="163" customFormat="1" ht="12">
      <c r="A30" s="177"/>
      <c r="B30" s="139"/>
      <c r="C30" s="139" t="s">
        <v>289</v>
      </c>
      <c r="D30" s="151"/>
      <c r="E30" s="151"/>
      <c r="F30" s="151"/>
      <c r="G30" s="151"/>
      <c r="H30" s="151"/>
      <c r="I30" s="151"/>
      <c r="J30" s="151"/>
      <c r="K30" s="151"/>
      <c r="L30" s="152">
        <f t="shared" si="0"/>
        <v>0</v>
      </c>
      <c r="M30" s="151"/>
      <c r="N30" s="151"/>
      <c r="O30" s="151"/>
      <c r="P30" s="151"/>
      <c r="Q30" s="151"/>
      <c r="R30" s="151"/>
      <c r="S30" s="152">
        <f t="shared" si="1"/>
        <v>0</v>
      </c>
      <c r="T30" s="151"/>
      <c r="U30" s="156"/>
      <c r="W30" s="187"/>
      <c r="X30" s="187"/>
      <c r="Y30" s="187"/>
    </row>
    <row r="31" spans="1:26" s="163" customFormat="1" ht="12.75">
      <c r="A31" s="150">
        <v>1</v>
      </c>
      <c r="B31" s="149"/>
      <c r="C31" s="178" t="s">
        <v>281</v>
      </c>
      <c r="D31" s="151"/>
      <c r="E31" s="151"/>
      <c r="F31" s="151"/>
      <c r="G31" s="151"/>
      <c r="H31" s="151">
        <f>[4]汇总表!H38/10000</f>
        <v>1288.2248</v>
      </c>
      <c r="I31" s="151">
        <f>[4]汇总表!I38/10000</f>
        <v>0</v>
      </c>
      <c r="J31" s="151">
        <f>[4]汇总表!J38/10000</f>
        <v>0</v>
      </c>
      <c r="K31" s="151">
        <f>[4]汇总表!K38/10000</f>
        <v>0</v>
      </c>
      <c r="L31" s="152">
        <f t="shared" si="0"/>
        <v>1288.2248</v>
      </c>
      <c r="M31" s="151"/>
      <c r="N31" s="151"/>
      <c r="O31" s="151"/>
      <c r="P31" s="151"/>
      <c r="Q31" s="151"/>
      <c r="R31" s="151"/>
      <c r="S31" s="152">
        <f t="shared" si="1"/>
        <v>1288.2248</v>
      </c>
      <c r="T31" s="151"/>
      <c r="U31" s="156"/>
      <c r="W31" s="187"/>
      <c r="X31" s="187"/>
      <c r="Y31" s="187"/>
    </row>
    <row r="32" spans="1:26" s="163" customFormat="1" ht="12.75">
      <c r="A32" s="150">
        <v>2</v>
      </c>
      <c r="B32" s="149"/>
      <c r="C32" s="157" t="s">
        <v>282</v>
      </c>
      <c r="D32" s="151"/>
      <c r="E32" s="151"/>
      <c r="F32" s="151"/>
      <c r="G32" s="151"/>
      <c r="H32" s="151">
        <f>[4]汇总表!H39/10000</f>
        <v>0</v>
      </c>
      <c r="I32" s="151">
        <f>[4]汇总表!I39/10000</f>
        <v>0</v>
      </c>
      <c r="J32" s="151">
        <f>[4]汇总表14!C7/10000</f>
        <v>293.43565599999999</v>
      </c>
      <c r="K32" s="151">
        <f>[4]汇总表!K39/10000</f>
        <v>0</v>
      </c>
      <c r="L32" s="152">
        <f t="shared" si="0"/>
        <v>293.43565599999999</v>
      </c>
      <c r="M32" s="151"/>
      <c r="N32" s="151"/>
      <c r="O32" s="151"/>
      <c r="P32" s="151"/>
      <c r="Q32" s="151"/>
      <c r="R32" s="151"/>
      <c r="S32" s="152">
        <f t="shared" si="1"/>
        <v>293.43565599999999</v>
      </c>
      <c r="T32" s="151"/>
      <c r="U32" s="156"/>
      <c r="W32" s="187"/>
      <c r="X32" s="187"/>
      <c r="Y32" s="187"/>
    </row>
    <row r="33" spans="1:25" s="163" customFormat="1" ht="12.75">
      <c r="A33" s="150">
        <v>3</v>
      </c>
      <c r="B33" s="149"/>
      <c r="C33" s="157" t="s">
        <v>283</v>
      </c>
      <c r="D33" s="151"/>
      <c r="E33" s="151"/>
      <c r="F33" s="151"/>
      <c r="G33" s="151"/>
      <c r="H33" s="151">
        <f>[4]汇总表!H40/10000</f>
        <v>0</v>
      </c>
      <c r="I33" s="151">
        <f>[4]汇总表14!C6/10000</f>
        <v>156.472396</v>
      </c>
      <c r="J33" s="151">
        <f>[4]汇总表!J40/10000</f>
        <v>0</v>
      </c>
      <c r="K33" s="151">
        <f>[4]汇总表!K40/10000</f>
        <v>0</v>
      </c>
      <c r="L33" s="152">
        <f t="shared" si="0"/>
        <v>156.472396</v>
      </c>
      <c r="M33" s="151"/>
      <c r="N33" s="151"/>
      <c r="O33" s="151"/>
      <c r="P33" s="151"/>
      <c r="Q33" s="151"/>
      <c r="R33" s="151"/>
      <c r="S33" s="152">
        <f t="shared" si="1"/>
        <v>156.472396</v>
      </c>
      <c r="T33" s="151"/>
      <c r="U33" s="156"/>
      <c r="W33" s="187"/>
      <c r="X33" s="187"/>
      <c r="Y33" s="187"/>
    </row>
    <row r="34" spans="1:25" s="163" customFormat="1" ht="12.75">
      <c r="A34" s="150">
        <v>4</v>
      </c>
      <c r="B34" s="149"/>
      <c r="C34" s="157" t="s">
        <v>284</v>
      </c>
      <c r="D34" s="151"/>
      <c r="E34" s="151"/>
      <c r="F34" s="151"/>
      <c r="G34" s="151"/>
      <c r="H34" s="151">
        <f>[4]汇总表!H41/10000</f>
        <v>0</v>
      </c>
      <c r="I34" s="151">
        <f>[4]汇总表!I41/10000</f>
        <v>0</v>
      </c>
      <c r="J34" s="151">
        <f>[4]汇总表!J41/10000</f>
        <v>0</v>
      </c>
      <c r="K34" s="151">
        <f>[4]汇总表14!C8/10000</f>
        <v>467.29472199999998</v>
      </c>
      <c r="L34" s="152">
        <f t="shared" si="0"/>
        <v>467.29472199999998</v>
      </c>
      <c r="M34" s="151"/>
      <c r="N34" s="151"/>
      <c r="O34" s="151"/>
      <c r="P34" s="151"/>
      <c r="Q34" s="151"/>
      <c r="R34" s="151"/>
      <c r="S34" s="152">
        <f t="shared" si="1"/>
        <v>467.29472199999998</v>
      </c>
      <c r="T34" s="151"/>
      <c r="U34" s="156"/>
      <c r="W34" s="187"/>
      <c r="X34" s="187"/>
      <c r="Y34" s="187"/>
    </row>
    <row r="35" spans="1:25" s="163" customFormat="1" ht="12.75">
      <c r="A35" s="150">
        <v>5</v>
      </c>
      <c r="B35" s="149"/>
      <c r="C35" s="157" t="s">
        <v>290</v>
      </c>
      <c r="D35" s="151"/>
      <c r="E35" s="151">
        <f>[4]汇总表14!C9/10000</f>
        <v>242.5</v>
      </c>
      <c r="F35" s="151"/>
      <c r="G35" s="151"/>
      <c r="H35" s="151"/>
      <c r="I35" s="151"/>
      <c r="J35" s="151"/>
      <c r="K35" s="151"/>
      <c r="L35" s="152">
        <f t="shared" si="0"/>
        <v>242.5</v>
      </c>
      <c r="M35" s="151"/>
      <c r="N35" s="151"/>
      <c r="O35" s="151"/>
      <c r="P35" s="151"/>
      <c r="Q35" s="151"/>
      <c r="R35" s="151"/>
      <c r="S35" s="152">
        <f t="shared" si="1"/>
        <v>242.5</v>
      </c>
      <c r="T35" s="151"/>
      <c r="U35" s="156"/>
      <c r="W35" s="187"/>
      <c r="X35" s="187"/>
      <c r="Y35" s="187"/>
    </row>
    <row r="36" spans="1:25" s="163" customFormat="1" ht="12.75">
      <c r="A36" s="150">
        <v>6</v>
      </c>
      <c r="B36" s="149"/>
      <c r="C36" s="157" t="s">
        <v>291</v>
      </c>
      <c r="D36" s="151"/>
      <c r="E36" s="151">
        <f>[4]汇总表14!C10/10000</f>
        <v>975</v>
      </c>
      <c r="F36" s="151"/>
      <c r="G36" s="151"/>
      <c r="H36" s="151"/>
      <c r="I36" s="151"/>
      <c r="J36" s="151"/>
      <c r="K36" s="151"/>
      <c r="L36" s="152">
        <f t="shared" si="0"/>
        <v>975</v>
      </c>
      <c r="M36" s="151"/>
      <c r="N36" s="151"/>
      <c r="O36" s="151"/>
      <c r="P36" s="151"/>
      <c r="Q36" s="151"/>
      <c r="R36" s="151"/>
      <c r="S36" s="152">
        <f t="shared" si="1"/>
        <v>975</v>
      </c>
      <c r="T36" s="151"/>
      <c r="U36" s="156"/>
      <c r="W36" s="187"/>
      <c r="X36" s="187"/>
      <c r="Y36" s="187"/>
    </row>
    <row r="37" spans="1:25" s="163" customFormat="1" ht="12.75">
      <c r="A37" s="150">
        <v>7</v>
      </c>
      <c r="B37" s="149"/>
      <c r="C37" s="157" t="s">
        <v>292</v>
      </c>
      <c r="D37" s="151"/>
      <c r="E37" s="151">
        <f>[4]汇总表14!C11/10000</f>
        <v>98</v>
      </c>
      <c r="F37" s="151"/>
      <c r="G37" s="151"/>
      <c r="H37" s="151"/>
      <c r="I37" s="151"/>
      <c r="J37" s="151"/>
      <c r="K37" s="151"/>
      <c r="L37" s="152">
        <f t="shared" si="0"/>
        <v>98</v>
      </c>
      <c r="M37" s="151"/>
      <c r="N37" s="151"/>
      <c r="O37" s="151"/>
      <c r="P37" s="151"/>
      <c r="Q37" s="151"/>
      <c r="R37" s="151"/>
      <c r="S37" s="152">
        <f t="shared" si="1"/>
        <v>98</v>
      </c>
      <c r="T37" s="151"/>
      <c r="U37" s="156"/>
      <c r="W37" s="187"/>
      <c r="X37" s="187"/>
      <c r="Y37" s="187"/>
    </row>
    <row r="38" spans="1:25" s="163" customFormat="1" ht="12">
      <c r="A38" s="177"/>
      <c r="B38" s="139"/>
      <c r="C38" s="150" t="s">
        <v>293</v>
      </c>
      <c r="D38" s="151">
        <f t="shared" ref="D38:S38" si="3">SUM(D9:D37)</f>
        <v>76279.100000000006</v>
      </c>
      <c r="E38" s="151">
        <f t="shared" si="3"/>
        <v>25009.588647</v>
      </c>
      <c r="F38" s="151">
        <f t="shared" si="3"/>
        <v>6608.0940259655699</v>
      </c>
      <c r="G38" s="151">
        <f t="shared" si="3"/>
        <v>536.702</v>
      </c>
      <c r="H38" s="151">
        <f t="shared" si="3"/>
        <v>2050.0884230000001</v>
      </c>
      <c r="I38" s="151">
        <f t="shared" si="3"/>
        <v>1726.3781529999997</v>
      </c>
      <c r="J38" s="151">
        <f t="shared" si="3"/>
        <v>553.53999299999998</v>
      </c>
      <c r="K38" s="151">
        <f t="shared" si="3"/>
        <v>3014.4730970000001</v>
      </c>
      <c r="L38" s="151">
        <f t="shared" si="3"/>
        <v>39498.86433896557</v>
      </c>
      <c r="M38" s="151">
        <f t="shared" si="3"/>
        <v>9891.0975000000053</v>
      </c>
      <c r="N38" s="151">
        <f t="shared" si="3"/>
        <v>10979.5687</v>
      </c>
      <c r="O38" s="151">
        <f t="shared" si="3"/>
        <v>20870.666200000003</v>
      </c>
      <c r="P38" s="151">
        <f t="shared" si="3"/>
        <v>370.73642599999994</v>
      </c>
      <c r="Q38" s="151">
        <f t="shared" si="3"/>
        <v>0</v>
      </c>
      <c r="R38" s="151">
        <f t="shared" si="3"/>
        <v>0</v>
      </c>
      <c r="S38" s="151">
        <f t="shared" si="3"/>
        <v>60740.266964965565</v>
      </c>
      <c r="T38" s="151"/>
      <c r="U38" s="156"/>
      <c r="W38" s="187"/>
      <c r="X38" s="187"/>
      <c r="Y38" s="187"/>
    </row>
    <row r="39" spans="1:25" s="137" customFormat="1" ht="12">
      <c r="A39" s="139"/>
      <c r="B39" s="146"/>
      <c r="C39" s="139"/>
      <c r="D39" s="179"/>
      <c r="E39" s="152"/>
      <c r="F39" s="152"/>
      <c r="G39" s="152"/>
      <c r="H39" s="152"/>
      <c r="I39" s="154"/>
      <c r="J39" s="152"/>
      <c r="K39" s="152"/>
      <c r="L39" s="152"/>
      <c r="M39" s="152"/>
      <c r="N39" s="152"/>
      <c r="O39" s="152"/>
      <c r="P39" s="152"/>
      <c r="Q39" s="152"/>
      <c r="R39" s="152"/>
      <c r="S39" s="152">
        <f>L39+O39+P39+Q39+R39</f>
        <v>0</v>
      </c>
      <c r="T39" s="152"/>
      <c r="U39" s="156"/>
    </row>
    <row r="40" spans="1:25" s="181" customFormat="1" ht="12">
      <c r="A40" s="141"/>
      <c r="B40" s="180"/>
      <c r="C40" s="141" t="s">
        <v>294</v>
      </c>
      <c r="D40" s="152">
        <f>D38</f>
        <v>76279.100000000006</v>
      </c>
      <c r="E40" s="152">
        <f t="shared" ref="E40:R40" si="4">E38</f>
        <v>25009.588647</v>
      </c>
      <c r="F40" s="152">
        <f t="shared" si="4"/>
        <v>6608.0940259655699</v>
      </c>
      <c r="G40" s="152">
        <f t="shared" si="4"/>
        <v>536.702</v>
      </c>
      <c r="H40" s="152">
        <f t="shared" si="4"/>
        <v>2050.0884230000001</v>
      </c>
      <c r="I40" s="152">
        <f t="shared" si="4"/>
        <v>1726.3781529999997</v>
      </c>
      <c r="J40" s="152">
        <f t="shared" si="4"/>
        <v>553.53999299999998</v>
      </c>
      <c r="K40" s="152">
        <f t="shared" si="4"/>
        <v>3014.4730970000001</v>
      </c>
      <c r="L40" s="152">
        <f>L38</f>
        <v>39498.86433896557</v>
      </c>
      <c r="M40" s="152">
        <f t="shared" si="4"/>
        <v>9891.0975000000053</v>
      </c>
      <c r="N40" s="152">
        <f t="shared" si="4"/>
        <v>10979.5687</v>
      </c>
      <c r="O40" s="152">
        <f t="shared" si="4"/>
        <v>20870.666200000003</v>
      </c>
      <c r="P40" s="152">
        <f t="shared" si="4"/>
        <v>370.73642599999994</v>
      </c>
      <c r="Q40" s="152">
        <f t="shared" si="4"/>
        <v>0</v>
      </c>
      <c r="R40" s="152">
        <f t="shared" si="4"/>
        <v>0</v>
      </c>
      <c r="S40" s="152">
        <f>S38</f>
        <v>60740.266964965565</v>
      </c>
      <c r="T40" s="152"/>
      <c r="U40" s="156"/>
      <c r="W40" s="182"/>
    </row>
    <row r="41" spans="1:25" s="181" customFormat="1" ht="12.75">
      <c r="A41" s="141"/>
      <c r="B41" s="180"/>
      <c r="C41" s="141"/>
      <c r="D41" s="152"/>
      <c r="E41" s="152"/>
      <c r="F41" s="152"/>
      <c r="G41" s="152"/>
      <c r="H41" s="152"/>
      <c r="I41" s="183"/>
      <c r="J41" s="152"/>
      <c r="K41" s="152"/>
      <c r="L41" s="152"/>
      <c r="M41" s="152"/>
      <c r="N41" s="152"/>
      <c r="O41" s="152"/>
      <c r="P41" s="152"/>
      <c r="Q41" s="152"/>
      <c r="R41" s="152"/>
      <c r="S41" s="152"/>
      <c r="T41" s="152"/>
      <c r="U41" s="184"/>
      <c r="W41" s="182"/>
    </row>
    <row r="42" spans="1:25" s="181" customFormat="1" ht="12.75">
      <c r="A42" s="139"/>
      <c r="B42" s="139"/>
      <c r="C42" s="141" t="s">
        <v>295</v>
      </c>
      <c r="D42" s="142"/>
      <c r="E42" s="152"/>
      <c r="F42" s="152"/>
      <c r="G42" s="152"/>
      <c r="H42" s="152"/>
      <c r="I42" s="183"/>
      <c r="J42" s="152"/>
      <c r="K42" s="152"/>
      <c r="L42" s="152"/>
      <c r="M42" s="152"/>
      <c r="N42" s="152"/>
      <c r="O42" s="152"/>
      <c r="P42" s="152"/>
      <c r="Q42" s="152"/>
      <c r="R42" s="152"/>
      <c r="S42" s="152"/>
      <c r="T42" s="152"/>
      <c r="U42" s="184"/>
    </row>
    <row r="43" spans="1:25" s="181" customFormat="1" ht="12.75">
      <c r="A43" s="139">
        <v>1</v>
      </c>
      <c r="B43" s="139"/>
      <c r="C43" s="185" t="str">
        <f>[4]其他!B7</f>
        <v>建设单位管理费</v>
      </c>
      <c r="D43" s="142"/>
      <c r="E43" s="152"/>
      <c r="F43" s="152"/>
      <c r="G43" s="152"/>
      <c r="H43" s="152"/>
      <c r="I43" s="183"/>
      <c r="J43" s="152"/>
      <c r="K43" s="152"/>
      <c r="L43" s="152"/>
      <c r="M43" s="152"/>
      <c r="N43" s="152"/>
      <c r="O43" s="152"/>
      <c r="P43" s="152"/>
      <c r="Q43" s="152">
        <f>[4]其他!F7</f>
        <v>563</v>
      </c>
      <c r="R43" s="152"/>
      <c r="S43" s="152">
        <f>Q43</f>
        <v>563</v>
      </c>
      <c r="T43" s="152"/>
      <c r="U43" s="184"/>
    </row>
    <row r="44" spans="1:25" s="137" customFormat="1" ht="12.75">
      <c r="A44" s="139">
        <v>2</v>
      </c>
      <c r="B44" s="139"/>
      <c r="C44" s="185" t="str">
        <f>[4]其他!B8</f>
        <v>前期工作费</v>
      </c>
      <c r="D44" s="142"/>
      <c r="E44" s="152"/>
      <c r="F44" s="152"/>
      <c r="G44" s="152"/>
      <c r="H44" s="152"/>
      <c r="I44" s="154"/>
      <c r="J44" s="152"/>
      <c r="K44" s="152"/>
      <c r="L44" s="152"/>
      <c r="M44" s="152"/>
      <c r="N44" s="152"/>
      <c r="O44" s="152"/>
      <c r="P44" s="152"/>
      <c r="Q44" s="152">
        <f>[4]其他!F8</f>
        <v>170.72</v>
      </c>
      <c r="R44" s="152"/>
      <c r="S44" s="152">
        <f t="shared" ref="S44:S58" si="5">Q44</f>
        <v>170.72</v>
      </c>
      <c r="T44" s="152"/>
      <c r="U44" s="184"/>
    </row>
    <row r="45" spans="1:25" s="137" customFormat="1" ht="12.75">
      <c r="A45" s="139">
        <v>3</v>
      </c>
      <c r="B45" s="139"/>
      <c r="C45" s="185" t="str">
        <f>[4]其他!B9</f>
        <v>勘察费</v>
      </c>
      <c r="D45" s="142"/>
      <c r="E45" s="152"/>
      <c r="F45" s="152"/>
      <c r="G45" s="152"/>
      <c r="H45" s="152"/>
      <c r="I45" s="152"/>
      <c r="J45" s="152"/>
      <c r="K45" s="152"/>
      <c r="L45" s="152"/>
      <c r="M45" s="152"/>
      <c r="N45" s="152"/>
      <c r="O45" s="152"/>
      <c r="P45" s="152"/>
      <c r="Q45" s="152">
        <f>[4]其他!F9</f>
        <v>91.53492</v>
      </c>
      <c r="R45" s="152"/>
      <c r="S45" s="152">
        <f t="shared" si="5"/>
        <v>91.53492</v>
      </c>
      <c r="T45" s="152"/>
      <c r="U45" s="184"/>
    </row>
    <row r="46" spans="1:25" s="137" customFormat="1" ht="12.75">
      <c r="A46" s="139">
        <v>4</v>
      </c>
      <c r="B46" s="139"/>
      <c r="C46" s="185" t="str">
        <f>[4]其他!B10</f>
        <v>工程设计费</v>
      </c>
      <c r="D46" s="142"/>
      <c r="E46" s="152"/>
      <c r="F46" s="152"/>
      <c r="G46" s="152"/>
      <c r="H46" s="152"/>
      <c r="I46" s="152"/>
      <c r="J46" s="152"/>
      <c r="K46" s="152"/>
      <c r="L46" s="152"/>
      <c r="M46" s="152"/>
      <c r="N46" s="152"/>
      <c r="O46" s="152"/>
      <c r="P46" s="152"/>
      <c r="Q46" s="171">
        <f>[4]其他!H7</f>
        <v>1501.4216425306556</v>
      </c>
      <c r="R46" s="152"/>
      <c r="S46" s="152">
        <f t="shared" si="5"/>
        <v>1501.4216425306556</v>
      </c>
      <c r="T46" s="152"/>
      <c r="U46" s="184"/>
      <c r="W46" s="187"/>
      <c r="X46" s="187"/>
      <c r="Y46" s="187"/>
    </row>
    <row r="47" spans="1:25" s="137" customFormat="1" ht="12.75">
      <c r="A47" s="139">
        <v>5</v>
      </c>
      <c r="B47" s="139"/>
      <c r="C47" s="185" t="str">
        <f>[4]其他!B11</f>
        <v>工程建设监理费</v>
      </c>
      <c r="D47" s="142"/>
      <c r="E47" s="152"/>
      <c r="F47" s="152"/>
      <c r="G47" s="152"/>
      <c r="H47" s="152"/>
      <c r="I47" s="152"/>
      <c r="J47" s="152"/>
      <c r="K47" s="152"/>
      <c r="L47" s="152"/>
      <c r="M47" s="152"/>
      <c r="N47" s="152"/>
      <c r="O47" s="152"/>
      <c r="P47" s="152"/>
      <c r="Q47" s="152">
        <f>[4]其他!F11</f>
        <v>677.12918994553002</v>
      </c>
      <c r="R47" s="152"/>
      <c r="S47" s="152">
        <f t="shared" si="5"/>
        <v>677.12918994553002</v>
      </c>
      <c r="T47" s="152"/>
      <c r="U47" s="145"/>
      <c r="W47" s="187"/>
      <c r="X47" s="187"/>
      <c r="Y47" s="187"/>
    </row>
    <row r="48" spans="1:25" s="137" customFormat="1" ht="12.75">
      <c r="A48" s="139">
        <v>6</v>
      </c>
      <c r="B48" s="139"/>
      <c r="C48" s="185" t="str">
        <f>[4]其他!B12</f>
        <v>招标代理服务费</v>
      </c>
      <c r="D48" s="142"/>
      <c r="E48" s="152"/>
      <c r="F48" s="152"/>
      <c r="G48" s="152"/>
      <c r="H48" s="152"/>
      <c r="I48" s="152"/>
      <c r="J48" s="152"/>
      <c r="K48" s="152"/>
      <c r="L48" s="152"/>
      <c r="M48" s="152"/>
      <c r="N48" s="152"/>
      <c r="O48" s="152"/>
      <c r="P48" s="152"/>
      <c r="Q48" s="152">
        <f>[4]其他!F12</f>
        <v>87.427175919482792</v>
      </c>
      <c r="R48" s="152"/>
      <c r="S48" s="152">
        <f t="shared" si="5"/>
        <v>87.427175919482792</v>
      </c>
      <c r="T48" s="152"/>
      <c r="U48" s="145"/>
      <c r="W48" s="187"/>
      <c r="X48" s="187"/>
      <c r="Y48" s="187"/>
    </row>
    <row r="49" spans="1:25" s="137" customFormat="1" ht="12.75">
      <c r="A49" s="139">
        <v>7</v>
      </c>
      <c r="B49" s="139"/>
      <c r="C49" s="185" t="str">
        <f>[4]其他!B13</f>
        <v>施工图审查费</v>
      </c>
      <c r="D49" s="142"/>
      <c r="E49" s="152"/>
      <c r="F49" s="152"/>
      <c r="G49" s="152"/>
      <c r="H49" s="152"/>
      <c r="I49" s="152"/>
      <c r="J49" s="152"/>
      <c r="K49" s="152"/>
      <c r="L49" s="152"/>
      <c r="M49" s="152"/>
      <c r="N49" s="152"/>
      <c r="O49" s="152"/>
      <c r="P49" s="152"/>
      <c r="Q49" s="152">
        <f>[4]其他!F13</f>
        <v>75.071082126532787</v>
      </c>
      <c r="R49" s="152"/>
      <c r="S49" s="152">
        <f t="shared" si="5"/>
        <v>75.071082126532787</v>
      </c>
      <c r="T49" s="152"/>
      <c r="U49" s="145"/>
      <c r="W49" s="187"/>
      <c r="X49" s="187"/>
      <c r="Y49" s="187"/>
    </row>
    <row r="50" spans="1:25" s="137" customFormat="1" ht="12.75">
      <c r="A50" s="139">
        <v>8</v>
      </c>
      <c r="B50" s="139"/>
      <c r="C50" s="185" t="str">
        <f>[4]其他!B14</f>
        <v>劳动卫生安全评价费</v>
      </c>
      <c r="D50" s="142"/>
      <c r="E50" s="152"/>
      <c r="F50" s="152"/>
      <c r="G50" s="152"/>
      <c r="H50" s="152"/>
      <c r="I50" s="152"/>
      <c r="J50" s="152"/>
      <c r="K50" s="152"/>
      <c r="L50" s="152"/>
      <c r="M50" s="152"/>
      <c r="N50" s="152"/>
      <c r="O50" s="152"/>
      <c r="P50" s="152"/>
      <c r="Q50" s="152">
        <f>[4]其他!F14</f>
        <v>60</v>
      </c>
      <c r="R50" s="152"/>
      <c r="S50" s="152">
        <f t="shared" si="5"/>
        <v>60</v>
      </c>
      <c r="T50" s="152"/>
      <c r="U50" s="145"/>
      <c r="W50" s="187"/>
      <c r="X50" s="187"/>
      <c r="Y50" s="187"/>
    </row>
    <row r="51" spans="1:25" s="137" customFormat="1" ht="12.75">
      <c r="A51" s="139">
        <v>9</v>
      </c>
      <c r="B51" s="139"/>
      <c r="C51" s="185" t="str">
        <f>[4]其他!B15</f>
        <v>环境影响咨询费</v>
      </c>
      <c r="D51" s="152"/>
      <c r="E51" s="152"/>
      <c r="F51" s="152"/>
      <c r="G51" s="152"/>
      <c r="H51" s="152"/>
      <c r="I51" s="152"/>
      <c r="J51" s="152"/>
      <c r="K51" s="152"/>
      <c r="L51" s="152"/>
      <c r="M51" s="152"/>
      <c r="N51" s="152"/>
      <c r="O51" s="152"/>
      <c r="P51" s="152"/>
      <c r="Q51" s="152">
        <f>[4]其他!F15</f>
        <v>104.8</v>
      </c>
      <c r="R51" s="152"/>
      <c r="S51" s="152">
        <f t="shared" si="5"/>
        <v>104.8</v>
      </c>
      <c r="T51" s="152"/>
      <c r="U51" s="145"/>
      <c r="W51" s="187"/>
      <c r="X51" s="187"/>
      <c r="Y51" s="187"/>
    </row>
    <row r="52" spans="1:25" s="187" customFormat="1" ht="12.75">
      <c r="A52" s="139">
        <v>10</v>
      </c>
      <c r="B52" s="139"/>
      <c r="C52" s="185" t="str">
        <f>[4]其他!B16</f>
        <v>设备搬迁费</v>
      </c>
      <c r="D52" s="152"/>
      <c r="E52" s="152"/>
      <c r="F52" s="152"/>
      <c r="G52" s="171"/>
      <c r="H52" s="171"/>
      <c r="I52" s="171"/>
      <c r="J52" s="171"/>
      <c r="K52" s="171"/>
      <c r="L52" s="171"/>
      <c r="M52" s="171"/>
      <c r="N52" s="171"/>
      <c r="O52" s="171"/>
      <c r="P52" s="171"/>
      <c r="Q52" s="152">
        <f>[4]其他!F16</f>
        <v>600</v>
      </c>
      <c r="R52" s="152"/>
      <c r="S52" s="152">
        <f t="shared" si="5"/>
        <v>600</v>
      </c>
      <c r="T52" s="171"/>
      <c r="U52" s="186"/>
    </row>
    <row r="53" spans="1:25" s="137" customFormat="1" ht="12.75">
      <c r="A53" s="139">
        <v>11</v>
      </c>
      <c r="B53" s="139"/>
      <c r="C53" s="185" t="str">
        <f>[4]其他!B17</f>
        <v>二期土地购置费</v>
      </c>
      <c r="D53" s="152"/>
      <c r="E53" s="152"/>
      <c r="F53" s="152"/>
      <c r="G53" s="152"/>
      <c r="H53" s="152"/>
      <c r="I53" s="152"/>
      <c r="J53" s="152"/>
      <c r="K53" s="152"/>
      <c r="L53" s="152"/>
      <c r="M53" s="152"/>
      <c r="N53" s="152"/>
      <c r="O53" s="152"/>
      <c r="P53" s="152"/>
      <c r="Q53" s="152">
        <f>[4]其他!F17</f>
        <v>11931.772000000001</v>
      </c>
      <c r="R53" s="152"/>
      <c r="S53" s="152">
        <f t="shared" si="5"/>
        <v>11931.772000000001</v>
      </c>
      <c r="T53" s="152"/>
      <c r="U53" s="145"/>
    </row>
    <row r="54" spans="1:25" s="137" customFormat="1" ht="12.75">
      <c r="A54" s="139">
        <v>12</v>
      </c>
      <c r="B54" s="139"/>
      <c r="C54" s="185" t="str">
        <f>[4]其他!B18</f>
        <v>一期土地购置费</v>
      </c>
      <c r="D54" s="152"/>
      <c r="E54" s="152"/>
      <c r="F54" s="152"/>
      <c r="G54" s="152"/>
      <c r="H54" s="152"/>
      <c r="I54" s="152"/>
      <c r="J54" s="152"/>
      <c r="K54" s="152"/>
      <c r="L54" s="152"/>
      <c r="M54" s="152"/>
      <c r="N54" s="152"/>
      <c r="O54" s="152"/>
      <c r="P54" s="152"/>
      <c r="Q54" s="152">
        <f>[4]其他!F18</f>
        <v>7620.3680000000004</v>
      </c>
      <c r="R54" s="152"/>
      <c r="S54" s="152">
        <f t="shared" si="5"/>
        <v>7620.3680000000004</v>
      </c>
      <c r="T54" s="152"/>
      <c r="U54" s="145"/>
    </row>
    <row r="55" spans="1:25" s="137" customFormat="1" ht="12.75">
      <c r="A55" s="139">
        <v>13</v>
      </c>
      <c r="B55" s="139"/>
      <c r="C55" s="185" t="str">
        <f>[4]其他!B19</f>
        <v>二期土地购置税金</v>
      </c>
      <c r="D55" s="152"/>
      <c r="E55" s="152"/>
      <c r="F55" s="152"/>
      <c r="G55" s="152"/>
      <c r="H55" s="152"/>
      <c r="I55" s="152"/>
      <c r="J55" s="152"/>
      <c r="K55" s="152"/>
      <c r="L55" s="152"/>
      <c r="M55" s="152"/>
      <c r="N55" s="152"/>
      <c r="O55" s="152"/>
      <c r="P55" s="152"/>
      <c r="Q55" s="152">
        <f>[4]其他!F19</f>
        <v>536.92973999999992</v>
      </c>
      <c r="R55" s="152"/>
      <c r="S55" s="152">
        <f t="shared" si="5"/>
        <v>536.92973999999992</v>
      </c>
      <c r="T55" s="152"/>
      <c r="U55" s="145"/>
    </row>
    <row r="56" spans="1:25" s="137" customFormat="1" ht="12.75">
      <c r="A56" s="139">
        <v>14</v>
      </c>
      <c r="B56" s="139"/>
      <c r="C56" s="185" t="str">
        <f>[4]其他!B20</f>
        <v>一期土地购置税金</v>
      </c>
      <c r="D56" s="152"/>
      <c r="E56" s="152"/>
      <c r="F56" s="152"/>
      <c r="G56" s="152"/>
      <c r="H56" s="152"/>
      <c r="I56" s="152"/>
      <c r="J56" s="152"/>
      <c r="K56" s="152"/>
      <c r="L56" s="152"/>
      <c r="M56" s="152"/>
      <c r="N56" s="152"/>
      <c r="O56" s="152"/>
      <c r="P56" s="152"/>
      <c r="Q56" s="152">
        <f>[4]其他!F20</f>
        <v>342.91656</v>
      </c>
      <c r="R56" s="152"/>
      <c r="S56" s="152">
        <f t="shared" si="5"/>
        <v>342.91656</v>
      </c>
      <c r="T56" s="152"/>
      <c r="U56" s="145"/>
    </row>
    <row r="57" spans="1:25" s="137" customFormat="1" ht="12.75">
      <c r="A57" s="139">
        <v>15</v>
      </c>
      <c r="B57" s="139"/>
      <c r="C57" s="185" t="str">
        <f>[4]其他!B21</f>
        <v>其他</v>
      </c>
      <c r="D57" s="152"/>
      <c r="E57" s="152"/>
      <c r="F57" s="152"/>
      <c r="G57" s="152"/>
      <c r="H57" s="152"/>
      <c r="I57" s="152"/>
      <c r="J57" s="152"/>
      <c r="K57" s="152"/>
      <c r="L57" s="152"/>
      <c r="M57" s="152"/>
      <c r="N57" s="152"/>
      <c r="O57" s="152"/>
      <c r="P57" s="152"/>
      <c r="Q57" s="152">
        <f>-514530*(380-69)/10000</f>
        <v>-16001.883</v>
      </c>
      <c r="R57" s="152"/>
      <c r="S57" s="152">
        <f t="shared" si="5"/>
        <v>-16001.883</v>
      </c>
      <c r="T57" s="152"/>
      <c r="U57" s="145"/>
    </row>
    <row r="58" spans="1:25" s="137" customFormat="1" ht="12.75">
      <c r="A58" s="139">
        <v>16</v>
      </c>
      <c r="B58" s="139"/>
      <c r="C58" s="185" t="str">
        <f>[4]其他!B22</f>
        <v>项目管理费</v>
      </c>
      <c r="D58" s="152"/>
      <c r="E58" s="152"/>
      <c r="F58" s="152"/>
      <c r="G58" s="152"/>
      <c r="H58" s="152"/>
      <c r="I58" s="152"/>
      <c r="J58" s="152"/>
      <c r="K58" s="152"/>
      <c r="L58" s="152"/>
      <c r="M58" s="152"/>
      <c r="N58" s="152"/>
      <c r="O58" s="152"/>
      <c r="P58" s="152"/>
      <c r="Q58" s="152">
        <f>[4]其他!F22</f>
        <v>300</v>
      </c>
      <c r="R58" s="152"/>
      <c r="S58" s="152">
        <f t="shared" si="5"/>
        <v>300</v>
      </c>
      <c r="T58" s="152"/>
      <c r="U58" s="145"/>
    </row>
    <row r="59" spans="1:25" s="137" customFormat="1" ht="12.75">
      <c r="A59" s="139"/>
      <c r="B59" s="141"/>
      <c r="C59" s="141" t="s">
        <v>296</v>
      </c>
      <c r="D59" s="142"/>
      <c r="E59" s="152"/>
      <c r="F59" s="152"/>
      <c r="G59" s="152"/>
      <c r="H59" s="152"/>
      <c r="I59" s="152"/>
      <c r="J59" s="152"/>
      <c r="K59" s="152"/>
      <c r="L59" s="152"/>
      <c r="M59" s="152"/>
      <c r="N59" s="152"/>
      <c r="O59" s="152"/>
      <c r="P59" s="152"/>
      <c r="Q59" s="152">
        <f>SUM(Q43:Q58)</f>
        <v>8661.2073105222062</v>
      </c>
      <c r="R59" s="152">
        <f>SUM(R43:R51)</f>
        <v>0</v>
      </c>
      <c r="S59" s="152">
        <f>SUM(S43:S58)</f>
        <v>8661.2073105222062</v>
      </c>
      <c r="T59" s="152"/>
      <c r="U59" s="145"/>
    </row>
    <row r="60" spans="1:25" s="137" customFormat="1" ht="12.75">
      <c r="A60" s="141"/>
      <c r="B60" s="141"/>
      <c r="C60" s="141"/>
      <c r="D60" s="142"/>
      <c r="E60" s="152"/>
      <c r="F60" s="152"/>
      <c r="G60" s="152"/>
      <c r="H60" s="152"/>
      <c r="I60" s="152"/>
      <c r="J60" s="152"/>
      <c r="K60" s="152"/>
      <c r="L60" s="152"/>
      <c r="M60" s="152"/>
      <c r="N60" s="152"/>
      <c r="O60" s="152"/>
      <c r="P60" s="152"/>
      <c r="Q60" s="152"/>
      <c r="R60" s="152"/>
      <c r="S60" s="152"/>
      <c r="T60" s="152"/>
      <c r="U60" s="145"/>
    </row>
    <row r="61" spans="1:25" s="137" customFormat="1" ht="17.25" customHeight="1">
      <c r="A61" s="141"/>
      <c r="B61" s="141"/>
      <c r="C61" s="188" t="s">
        <v>297</v>
      </c>
      <c r="D61" s="152"/>
      <c r="E61" s="152"/>
      <c r="F61" s="152"/>
      <c r="G61" s="152"/>
      <c r="H61" s="152"/>
      <c r="I61" s="152"/>
      <c r="J61" s="152"/>
      <c r="K61" s="152"/>
      <c r="L61" s="152"/>
      <c r="M61" s="152"/>
      <c r="N61" s="152"/>
      <c r="O61" s="152"/>
      <c r="P61" s="152"/>
      <c r="R61" s="152">
        <v>800</v>
      </c>
      <c r="S61" s="152">
        <f>R61</f>
        <v>800</v>
      </c>
      <c r="T61" s="152"/>
      <c r="U61" s="145"/>
    </row>
    <row r="62" spans="1:25" s="137" customFormat="1" ht="12.75">
      <c r="A62" s="141"/>
      <c r="B62" s="141"/>
      <c r="C62" s="141"/>
      <c r="D62" s="142"/>
      <c r="E62" s="152"/>
      <c r="F62" s="152"/>
      <c r="G62" s="152"/>
      <c r="H62" s="152"/>
      <c r="I62" s="152"/>
      <c r="J62" s="152"/>
      <c r="K62" s="152"/>
      <c r="L62" s="152"/>
      <c r="M62" s="152"/>
      <c r="N62" s="152"/>
      <c r="O62" s="152"/>
      <c r="P62" s="152"/>
      <c r="Q62" s="152"/>
      <c r="R62" s="152"/>
      <c r="S62" s="152"/>
      <c r="T62" s="152"/>
      <c r="U62" s="145"/>
    </row>
    <row r="63" spans="1:25" s="137" customFormat="1" ht="12.75">
      <c r="A63" s="141"/>
      <c r="B63" s="141"/>
      <c r="C63" s="188" t="s">
        <v>298</v>
      </c>
      <c r="D63" s="152"/>
      <c r="E63" s="152"/>
      <c r="F63" s="152"/>
      <c r="G63" s="152"/>
      <c r="H63" s="152"/>
      <c r="I63" s="152"/>
      <c r="J63" s="152"/>
      <c r="K63" s="152"/>
      <c r="L63" s="152"/>
      <c r="M63" s="152"/>
      <c r="N63" s="152"/>
      <c r="O63" s="152"/>
      <c r="P63" s="152"/>
      <c r="Q63" s="152">
        <v>5000</v>
      </c>
      <c r="R63" s="152"/>
      <c r="S63" s="152">
        <f>L63+O63+P63+Q63+R63</f>
        <v>5000</v>
      </c>
      <c r="T63" s="152"/>
      <c r="U63" s="189"/>
    </row>
    <row r="64" spans="1:25" s="137" customFormat="1" ht="12.75">
      <c r="A64" s="141"/>
      <c r="B64" s="141"/>
      <c r="C64" s="188"/>
      <c r="D64" s="152"/>
      <c r="E64" s="152"/>
      <c r="F64" s="152"/>
      <c r="G64" s="152"/>
      <c r="H64" s="152"/>
      <c r="I64" s="152"/>
      <c r="J64" s="152"/>
      <c r="K64" s="152"/>
      <c r="L64" s="152"/>
      <c r="M64" s="152"/>
      <c r="N64" s="152"/>
      <c r="O64" s="152"/>
      <c r="P64" s="152"/>
      <c r="Q64" s="152"/>
      <c r="R64" s="152"/>
      <c r="S64" s="152"/>
      <c r="T64" s="152"/>
      <c r="U64" s="145"/>
    </row>
    <row r="65" spans="1:21" s="137" customFormat="1" ht="12.75">
      <c r="A65" s="141"/>
      <c r="B65" s="141"/>
      <c r="C65" s="141" t="s">
        <v>299</v>
      </c>
      <c r="D65" s="152">
        <f t="shared" ref="D65:R65" si="6">SUM(D40,D59,D61,D63)</f>
        <v>76279.100000000006</v>
      </c>
      <c r="E65" s="152">
        <f t="shared" si="6"/>
        <v>25009.588647</v>
      </c>
      <c r="F65" s="152">
        <f t="shared" si="6"/>
        <v>6608.0940259655699</v>
      </c>
      <c r="G65" s="152">
        <f t="shared" si="6"/>
        <v>536.702</v>
      </c>
      <c r="H65" s="152">
        <f t="shared" si="6"/>
        <v>2050.0884230000001</v>
      </c>
      <c r="I65" s="152">
        <f t="shared" si="6"/>
        <v>1726.3781529999997</v>
      </c>
      <c r="J65" s="152">
        <f t="shared" si="6"/>
        <v>553.53999299999998</v>
      </c>
      <c r="K65" s="152">
        <f t="shared" si="6"/>
        <v>3014.4730970000001</v>
      </c>
      <c r="L65" s="152">
        <f t="shared" si="6"/>
        <v>39498.86433896557</v>
      </c>
      <c r="M65" s="152">
        <f t="shared" si="6"/>
        <v>9891.0975000000053</v>
      </c>
      <c r="N65" s="152">
        <f t="shared" si="6"/>
        <v>10979.5687</v>
      </c>
      <c r="O65" s="152">
        <f t="shared" si="6"/>
        <v>20870.666200000003</v>
      </c>
      <c r="P65" s="152">
        <f t="shared" si="6"/>
        <v>370.73642599999994</v>
      </c>
      <c r="Q65" s="152">
        <f>SUM(Q40,Q59,Q61,Q63)</f>
        <v>13661.207310522206</v>
      </c>
      <c r="R65" s="152">
        <f t="shared" si="6"/>
        <v>800</v>
      </c>
      <c r="S65" s="152">
        <f>SUM(S40,S59,S61,S63)</f>
        <v>75201.474275487766</v>
      </c>
      <c r="T65" s="152"/>
      <c r="U65" s="145"/>
    </row>
    <row r="66" spans="1:21" s="137" customFormat="1" ht="12.75">
      <c r="A66" s="141"/>
      <c r="B66" s="141"/>
      <c r="C66" s="141"/>
      <c r="D66" s="152"/>
      <c r="E66" s="152"/>
      <c r="F66" s="152"/>
      <c r="G66" s="152"/>
      <c r="H66" s="152"/>
      <c r="I66" s="152"/>
      <c r="J66" s="152"/>
      <c r="K66" s="152"/>
      <c r="L66" s="152"/>
      <c r="M66" s="152"/>
      <c r="N66" s="152"/>
      <c r="O66" s="152"/>
      <c r="P66" s="152"/>
      <c r="Q66" s="152"/>
      <c r="R66" s="152"/>
      <c r="S66" s="152"/>
      <c r="T66" s="152"/>
      <c r="U66" s="145"/>
    </row>
    <row r="67" spans="1:21" s="137" customFormat="1" ht="12.75">
      <c r="A67" s="141"/>
      <c r="B67" s="141"/>
      <c r="C67" s="141" t="s">
        <v>300</v>
      </c>
      <c r="D67" s="152"/>
      <c r="E67" s="152"/>
      <c r="F67" s="152"/>
      <c r="G67" s="152"/>
      <c r="H67" s="152"/>
      <c r="I67" s="152"/>
      <c r="J67" s="152"/>
      <c r="K67" s="152"/>
      <c r="L67" s="152"/>
      <c r="M67" s="152"/>
      <c r="N67" s="152"/>
      <c r="O67" s="152"/>
      <c r="P67" s="152"/>
      <c r="Q67" s="152"/>
      <c r="R67" s="152"/>
      <c r="S67" s="152"/>
      <c r="T67" s="152"/>
      <c r="U67" s="145"/>
    </row>
    <row r="68" spans="1:21" s="137" customFormat="1" ht="12.75">
      <c r="A68" s="139"/>
      <c r="B68" s="139"/>
      <c r="C68" s="139" t="s">
        <v>301</v>
      </c>
      <c r="D68" s="152"/>
      <c r="E68" s="152"/>
      <c r="F68" s="152"/>
      <c r="G68" s="152"/>
      <c r="H68" s="152"/>
      <c r="I68" s="152"/>
      <c r="J68" s="152">
        <f>I68</f>
        <v>0</v>
      </c>
      <c r="K68" s="152"/>
      <c r="L68" s="152"/>
      <c r="M68" s="152"/>
      <c r="N68" s="152"/>
      <c r="O68" s="152"/>
      <c r="P68" s="152"/>
      <c r="Q68" s="152">
        <v>798.8</v>
      </c>
      <c r="R68" s="152"/>
      <c r="S68" s="152">
        <f>Q68</f>
        <v>798.8</v>
      </c>
      <c r="T68" s="152"/>
      <c r="U68" s="145"/>
    </row>
    <row r="69" spans="1:21" s="137" customFormat="1" ht="12.75">
      <c r="A69" s="140"/>
      <c r="B69" s="139"/>
      <c r="C69" s="190" t="s">
        <v>302</v>
      </c>
      <c r="D69" s="152"/>
      <c r="E69" s="152"/>
      <c r="F69" s="152"/>
      <c r="G69" s="152"/>
      <c r="H69" s="152"/>
      <c r="I69" s="152"/>
      <c r="J69" s="152"/>
      <c r="K69" s="152"/>
      <c r="L69" s="152"/>
      <c r="M69" s="152"/>
      <c r="N69" s="152"/>
      <c r="O69" s="152"/>
      <c r="P69" s="152"/>
      <c r="Q69" s="152">
        <f>Q68</f>
        <v>798.8</v>
      </c>
      <c r="R69" s="152"/>
      <c r="S69" s="152">
        <f>S68</f>
        <v>798.8</v>
      </c>
      <c r="T69" s="152"/>
      <c r="U69" s="145"/>
    </row>
    <row r="70" spans="1:21" s="137" customFormat="1" ht="12.75">
      <c r="A70" s="140"/>
      <c r="B70" s="139"/>
      <c r="C70" s="190"/>
      <c r="D70" s="152"/>
      <c r="E70" s="152"/>
      <c r="F70" s="152"/>
      <c r="G70" s="152"/>
      <c r="H70" s="152"/>
      <c r="I70" s="152"/>
      <c r="J70" s="152"/>
      <c r="K70" s="152"/>
      <c r="L70" s="152"/>
      <c r="M70" s="152"/>
      <c r="N70" s="152"/>
      <c r="O70" s="152"/>
      <c r="P70" s="152"/>
      <c r="Q70" s="152"/>
      <c r="R70" s="152"/>
      <c r="S70" s="152"/>
      <c r="T70" s="152"/>
      <c r="U70" s="145"/>
    </row>
    <row r="71" spans="1:21" s="137" customFormat="1" ht="12.75">
      <c r="A71" s="140"/>
      <c r="B71" s="139"/>
      <c r="C71" s="141" t="s">
        <v>303</v>
      </c>
      <c r="D71" s="191">
        <f>D69+D65</f>
        <v>76279.100000000006</v>
      </c>
      <c r="E71" s="191">
        <f>E69+E65</f>
        <v>25009.588647</v>
      </c>
      <c r="F71" s="191">
        <f>F69+F65</f>
        <v>6608.0940259655699</v>
      </c>
      <c r="G71" s="191">
        <f t="shared" ref="G71:R71" si="7">G69+G65</f>
        <v>536.702</v>
      </c>
      <c r="H71" s="191">
        <f t="shared" si="7"/>
        <v>2050.0884230000001</v>
      </c>
      <c r="I71" s="191">
        <f t="shared" si="7"/>
        <v>1726.3781529999997</v>
      </c>
      <c r="J71" s="191">
        <f t="shared" si="7"/>
        <v>553.53999299999998</v>
      </c>
      <c r="K71" s="191">
        <f t="shared" si="7"/>
        <v>3014.4730970000001</v>
      </c>
      <c r="L71" s="191">
        <f t="shared" si="7"/>
        <v>39498.86433896557</v>
      </c>
      <c r="M71" s="191">
        <f t="shared" si="7"/>
        <v>9891.0975000000053</v>
      </c>
      <c r="N71" s="191">
        <f t="shared" si="7"/>
        <v>10979.5687</v>
      </c>
      <c r="O71" s="191">
        <f t="shared" si="7"/>
        <v>20870.666200000003</v>
      </c>
      <c r="P71" s="191">
        <f t="shared" si="7"/>
        <v>370.73642599999994</v>
      </c>
      <c r="Q71" s="191">
        <f t="shared" si="7"/>
        <v>14460.007310522205</v>
      </c>
      <c r="R71" s="191">
        <f t="shared" si="7"/>
        <v>800</v>
      </c>
      <c r="S71" s="191">
        <f>S69+S65</f>
        <v>76000.274275487769</v>
      </c>
      <c r="T71" s="152"/>
      <c r="U71" s="145"/>
    </row>
    <row r="72" spans="1:21">
      <c r="S72" s="196"/>
      <c r="T72" s="197"/>
    </row>
    <row r="73" spans="1:21" s="211" customFormat="1" ht="16.5" customHeight="1">
      <c r="A73" s="198"/>
      <c r="B73" s="199"/>
      <c r="C73" s="200"/>
      <c r="D73" s="201"/>
      <c r="E73" s="202"/>
      <c r="F73" s="202"/>
      <c r="G73" s="202"/>
      <c r="H73" s="203"/>
      <c r="I73" s="203"/>
      <c r="J73" s="203"/>
      <c r="K73" s="204"/>
      <c r="L73" s="205">
        <f>K74</f>
        <v>0</v>
      </c>
      <c r="M73" s="206">
        <f>L73+L74</f>
        <v>0</v>
      </c>
      <c r="N73" s="207"/>
      <c r="O73" s="208"/>
      <c r="P73" s="209"/>
      <c r="Q73" s="210"/>
      <c r="R73" s="210"/>
      <c r="T73" s="212"/>
      <c r="U73" s="210"/>
    </row>
    <row r="74" spans="1:21" s="211" customFormat="1" ht="21" customHeight="1">
      <c r="A74" s="198"/>
      <c r="B74" s="213"/>
      <c r="C74" s="213"/>
      <c r="D74" s="214"/>
      <c r="E74" s="215"/>
      <c r="F74" s="202"/>
      <c r="G74" s="202"/>
      <c r="H74" s="203"/>
      <c r="I74" s="203"/>
      <c r="J74" s="216"/>
      <c r="K74" s="217"/>
      <c r="L74" s="205"/>
      <c r="M74" s="217"/>
      <c r="N74" s="207"/>
      <c r="O74" s="208"/>
      <c r="P74" s="209"/>
      <c r="Q74" s="218"/>
      <c r="R74" s="219"/>
      <c r="T74" s="210"/>
      <c r="U74" s="210"/>
    </row>
    <row r="75" spans="1:21" s="211" customFormat="1" ht="15.75">
      <c r="A75" s="198"/>
      <c r="B75" s="213"/>
      <c r="C75" s="220"/>
      <c r="D75" s="221"/>
      <c r="E75" s="222"/>
      <c r="F75" s="202"/>
      <c r="G75" s="202"/>
      <c r="H75" s="203"/>
      <c r="I75" s="203"/>
      <c r="J75" s="203"/>
      <c r="K75" s="204"/>
      <c r="L75" s="223"/>
      <c r="M75" s="223"/>
      <c r="N75" s="207"/>
      <c r="O75" s="208"/>
      <c r="P75" s="209"/>
      <c r="Q75" s="224"/>
      <c r="R75" s="225"/>
      <c r="S75" s="226"/>
      <c r="T75" s="210"/>
      <c r="U75" s="210"/>
    </row>
    <row r="76" spans="1:21" s="211" customFormat="1" ht="15.75">
      <c r="A76" s="198"/>
      <c r="B76" s="213"/>
      <c r="C76" s="220"/>
      <c r="D76" s="221"/>
      <c r="E76" s="222"/>
      <c r="F76" s="202"/>
      <c r="G76" s="202"/>
      <c r="H76" s="203"/>
      <c r="I76" s="203"/>
      <c r="J76" s="203"/>
      <c r="K76" s="203"/>
      <c r="L76" s="227"/>
      <c r="M76" s="228"/>
      <c r="N76" s="229"/>
      <c r="O76" s="208"/>
      <c r="P76" s="209"/>
      <c r="Q76" s="230"/>
      <c r="S76" s="231"/>
      <c r="T76" s="232"/>
      <c r="U76" s="210"/>
    </row>
    <row r="77" spans="1:21" s="211" customFormat="1" ht="15.75">
      <c r="A77" s="198"/>
      <c r="B77" s="213"/>
      <c r="C77" s="220"/>
      <c r="D77" s="221"/>
      <c r="E77" s="222"/>
      <c r="F77" s="202"/>
      <c r="G77" s="202"/>
      <c r="H77" s="203"/>
      <c r="I77" s="203"/>
      <c r="J77" s="203"/>
      <c r="K77" s="203"/>
      <c r="L77" s="227"/>
      <c r="M77" s="228"/>
      <c r="N77" s="229"/>
      <c r="O77" s="208"/>
      <c r="P77" s="209"/>
      <c r="Q77" s="233"/>
      <c r="R77" s="234"/>
      <c r="S77" s="235"/>
      <c r="T77" s="210"/>
      <c r="U77" s="210"/>
    </row>
    <row r="78" spans="1:21" s="211" customFormat="1" ht="15.75">
      <c r="A78" s="198"/>
      <c r="B78" s="213"/>
      <c r="C78" s="220"/>
      <c r="D78" s="221"/>
      <c r="E78" s="222"/>
      <c r="F78" s="202"/>
      <c r="G78" s="202"/>
      <c r="H78" s="203"/>
      <c r="I78" s="203"/>
      <c r="J78" s="203"/>
      <c r="K78" s="203"/>
      <c r="L78" s="236"/>
      <c r="M78" s="203"/>
      <c r="N78" s="207"/>
      <c r="O78" s="208"/>
      <c r="P78" s="209"/>
      <c r="Q78" s="237"/>
      <c r="T78" s="210"/>
      <c r="U78" s="210"/>
    </row>
    <row r="79" spans="1:21" s="211" customFormat="1" ht="15.75">
      <c r="A79" s="198"/>
      <c r="B79" s="213"/>
      <c r="C79" s="220"/>
      <c r="D79" s="221"/>
      <c r="E79" s="222"/>
      <c r="F79" s="202"/>
      <c r="G79" s="202"/>
      <c r="H79" s="203"/>
      <c r="I79" s="203"/>
      <c r="J79" s="203"/>
      <c r="K79" s="203"/>
      <c r="L79" s="236"/>
      <c r="M79" s="203"/>
      <c r="N79" s="207"/>
      <c r="O79" s="208"/>
      <c r="P79" s="209"/>
      <c r="Q79" s="237"/>
      <c r="T79" s="210"/>
      <c r="U79" s="210"/>
    </row>
    <row r="80" spans="1:21" s="211" customFormat="1" ht="15.75">
      <c r="A80" s="198"/>
      <c r="B80" s="213"/>
      <c r="C80" s="220"/>
      <c r="D80" s="221"/>
      <c r="E80" s="222"/>
      <c r="F80" s="202"/>
      <c r="G80" s="202"/>
      <c r="H80" s="203"/>
      <c r="I80" s="203"/>
      <c r="J80" s="203"/>
      <c r="K80" s="203"/>
      <c r="L80" s="236"/>
      <c r="M80" s="203"/>
      <c r="N80" s="207"/>
      <c r="O80" s="208"/>
      <c r="P80" s="209"/>
      <c r="Q80" s="233"/>
      <c r="T80" s="210"/>
      <c r="U80" s="238"/>
    </row>
    <row r="81" spans="1:24" s="211" customFormat="1" ht="15.75">
      <c r="A81" s="198"/>
      <c r="B81" s="213"/>
      <c r="D81" s="239"/>
      <c r="E81" s="222"/>
      <c r="F81" s="202"/>
      <c r="G81" s="202"/>
      <c r="H81" s="203"/>
      <c r="I81" s="203"/>
      <c r="J81" s="203"/>
      <c r="K81" s="203"/>
      <c r="L81" s="236"/>
      <c r="M81" s="203"/>
      <c r="N81" s="207"/>
      <c r="O81" s="208"/>
      <c r="P81" s="209"/>
      <c r="Q81" s="210"/>
      <c r="T81" s="210"/>
      <c r="U81" s="210"/>
      <c r="X81" s="235"/>
    </row>
    <row r="82" spans="1:24" s="211" customFormat="1" ht="15.75">
      <c r="A82" s="240"/>
      <c r="B82" s="241"/>
      <c r="C82" s="242"/>
      <c r="D82" s="221"/>
      <c r="E82" s="243"/>
      <c r="F82" s="202"/>
      <c r="G82" s="202"/>
      <c r="H82" s="210"/>
      <c r="I82" s="210"/>
      <c r="J82" s="210"/>
      <c r="K82" s="210"/>
      <c r="L82" s="208"/>
      <c r="M82" s="210"/>
      <c r="N82" s="209"/>
      <c r="O82" s="208"/>
      <c r="P82" s="209"/>
      <c r="Q82" s="210"/>
      <c r="R82" s="210"/>
      <c r="U82" s="210"/>
    </row>
    <row r="83" spans="1:24">
      <c r="B83" s="244"/>
      <c r="C83" s="245"/>
      <c r="D83" s="246"/>
      <c r="E83" s="247"/>
      <c r="F83" s="247"/>
      <c r="G83" s="247"/>
    </row>
  </sheetData>
  <mergeCells count="14">
    <mergeCell ref="R4:R5"/>
    <mergeCell ref="S4:S5"/>
    <mergeCell ref="T4:T5"/>
    <mergeCell ref="U4:U5"/>
    <mergeCell ref="A1:C1"/>
    <mergeCell ref="A2:U2"/>
    <mergeCell ref="A4:A5"/>
    <mergeCell ref="B4:B5"/>
    <mergeCell ref="C4:C5"/>
    <mergeCell ref="D4:D5"/>
    <mergeCell ref="E4:L4"/>
    <mergeCell ref="M4:O4"/>
    <mergeCell ref="P4:P5"/>
    <mergeCell ref="Q4:Q5"/>
  </mergeCells>
  <phoneticPr fontId="2" type="noConversion"/>
  <pageMargins left="0.55118110236220474" right="0.27559055118110237" top="1.0236220472440944" bottom="0.55118110236220474" header="1.2598425196850394" footer="0.31496062992125984"/>
  <pageSetup paperSize="8" scale="65" firstPageNumber="5" fitToHeight="0" orientation="landscape" blackAndWhite="1" horizontalDpi="180" verticalDpi="180" r:id="rId1"/>
  <headerFooter alignWithMargins="0">
    <oddFooter>第 &amp;P 页，共 &amp;N 页</oddFooter>
  </headerFooter>
  <legacyDrawing r:id="rId2"/>
</worksheet>
</file>

<file path=xl/worksheets/sheet4.xml><?xml version="1.0" encoding="utf-8"?>
<worksheet xmlns="http://schemas.openxmlformats.org/spreadsheetml/2006/main" xmlns:r="http://schemas.openxmlformats.org/officeDocument/2006/relationships">
  <sheetPr codeName="Sheet6"/>
  <dimension ref="A1:BJ213"/>
  <sheetViews>
    <sheetView showZeros="0" showOutlineSymbols="0" zoomScale="80" zoomScaleNormal="80" zoomScaleSheetLayoutView="90" workbookViewId="0">
      <pane xSplit="2" ySplit="5" topLeftCell="C6" activePane="bottomRight" state="frozen"/>
      <selection activeCell="B18" sqref="B18"/>
      <selection pane="topRight" activeCell="B18" sqref="B18"/>
      <selection pane="bottomLeft" activeCell="B18" sqref="B18"/>
      <selection pane="bottomRight" activeCell="J218" sqref="J218"/>
    </sheetView>
  </sheetViews>
  <sheetFormatPr defaultRowHeight="14.25"/>
  <cols>
    <col min="1" max="1" width="6.125" style="270" customWidth="1"/>
    <col min="2" max="2" width="27.875" style="270" customWidth="1"/>
    <col min="3" max="3" width="42.25" style="342" customWidth="1"/>
    <col min="4" max="4" width="7.75" style="291" customWidth="1"/>
    <col min="5" max="5" width="6.875" style="291" customWidth="1"/>
    <col min="6" max="6" width="6.375" style="291" customWidth="1"/>
    <col min="7" max="8" width="7.25" style="291" customWidth="1"/>
    <col min="9" max="9" width="9.875" style="291" customWidth="1"/>
    <col min="10" max="10" width="11" style="291" customWidth="1"/>
    <col min="11" max="11" width="11.25" style="269" customWidth="1"/>
    <col min="12" max="12" width="13.75" style="269" customWidth="1"/>
    <col min="13" max="13" width="9.25" style="269" customWidth="1"/>
    <col min="14" max="62" width="9" style="269"/>
    <col min="63" max="256" width="9" style="270"/>
    <col min="257" max="257" width="6.125" style="270" customWidth="1"/>
    <col min="258" max="258" width="27.875" style="270" customWidth="1"/>
    <col min="259" max="259" width="42.25" style="270" customWidth="1"/>
    <col min="260" max="260" width="7.75" style="270" customWidth="1"/>
    <col min="261" max="261" width="6.875" style="270" customWidth="1"/>
    <col min="262" max="262" width="6.375" style="270" customWidth="1"/>
    <col min="263" max="264" width="7.25" style="270" customWidth="1"/>
    <col min="265" max="265" width="9.875" style="270" customWidth="1"/>
    <col min="266" max="266" width="9.75" style="270" customWidth="1"/>
    <col min="267" max="267" width="11.25" style="270" customWidth="1"/>
    <col min="268" max="268" width="13.75" style="270" customWidth="1"/>
    <col min="269" max="269" width="9.25" style="270" customWidth="1"/>
    <col min="270" max="512" width="9" style="270"/>
    <col min="513" max="513" width="6.125" style="270" customWidth="1"/>
    <col min="514" max="514" width="27.875" style="270" customWidth="1"/>
    <col min="515" max="515" width="42.25" style="270" customWidth="1"/>
    <col min="516" max="516" width="7.75" style="270" customWidth="1"/>
    <col min="517" max="517" width="6.875" style="270" customWidth="1"/>
    <col min="518" max="518" width="6.375" style="270" customWidth="1"/>
    <col min="519" max="520" width="7.25" style="270" customWidth="1"/>
    <col min="521" max="521" width="9.875" style="270" customWidth="1"/>
    <col min="522" max="522" width="9.75" style="270" customWidth="1"/>
    <col min="523" max="523" width="11.25" style="270" customWidth="1"/>
    <col min="524" max="524" width="13.75" style="270" customWidth="1"/>
    <col min="525" max="525" width="9.25" style="270" customWidth="1"/>
    <col min="526" max="768" width="9" style="270"/>
    <col min="769" max="769" width="6.125" style="270" customWidth="1"/>
    <col min="770" max="770" width="27.875" style="270" customWidth="1"/>
    <col min="771" max="771" width="42.25" style="270" customWidth="1"/>
    <col min="772" max="772" width="7.75" style="270" customWidth="1"/>
    <col min="773" max="773" width="6.875" style="270" customWidth="1"/>
    <col min="774" max="774" width="6.375" style="270" customWidth="1"/>
    <col min="775" max="776" width="7.25" style="270" customWidth="1"/>
    <col min="777" max="777" width="9.875" style="270" customWidth="1"/>
    <col min="778" max="778" width="9.75" style="270" customWidth="1"/>
    <col min="779" max="779" width="11.25" style="270" customWidth="1"/>
    <col min="780" max="780" width="13.75" style="270" customWidth="1"/>
    <col min="781" max="781" width="9.25" style="270" customWidth="1"/>
    <col min="782" max="1024" width="9" style="270"/>
    <col min="1025" max="1025" width="6.125" style="270" customWidth="1"/>
    <col min="1026" max="1026" width="27.875" style="270" customWidth="1"/>
    <col min="1027" max="1027" width="42.25" style="270" customWidth="1"/>
    <col min="1028" max="1028" width="7.75" style="270" customWidth="1"/>
    <col min="1029" max="1029" width="6.875" style="270" customWidth="1"/>
    <col min="1030" max="1030" width="6.375" style="270" customWidth="1"/>
    <col min="1031" max="1032" width="7.25" style="270" customWidth="1"/>
    <col min="1033" max="1033" width="9.875" style="270" customWidth="1"/>
    <col min="1034" max="1034" width="9.75" style="270" customWidth="1"/>
    <col min="1035" max="1035" width="11.25" style="270" customWidth="1"/>
    <col min="1036" max="1036" width="13.75" style="270" customWidth="1"/>
    <col min="1037" max="1037" width="9.25" style="270" customWidth="1"/>
    <col min="1038" max="1280" width="9" style="270"/>
    <col min="1281" max="1281" width="6.125" style="270" customWidth="1"/>
    <col min="1282" max="1282" width="27.875" style="270" customWidth="1"/>
    <col min="1283" max="1283" width="42.25" style="270" customWidth="1"/>
    <col min="1284" max="1284" width="7.75" style="270" customWidth="1"/>
    <col min="1285" max="1285" width="6.875" style="270" customWidth="1"/>
    <col min="1286" max="1286" width="6.375" style="270" customWidth="1"/>
    <col min="1287" max="1288" width="7.25" style="270" customWidth="1"/>
    <col min="1289" max="1289" width="9.875" style="270" customWidth="1"/>
    <col min="1290" max="1290" width="9.75" style="270" customWidth="1"/>
    <col min="1291" max="1291" width="11.25" style="270" customWidth="1"/>
    <col min="1292" max="1292" width="13.75" style="270" customWidth="1"/>
    <col min="1293" max="1293" width="9.25" style="270" customWidth="1"/>
    <col min="1294" max="1536" width="9" style="270"/>
    <col min="1537" max="1537" width="6.125" style="270" customWidth="1"/>
    <col min="1538" max="1538" width="27.875" style="270" customWidth="1"/>
    <col min="1539" max="1539" width="42.25" style="270" customWidth="1"/>
    <col min="1540" max="1540" width="7.75" style="270" customWidth="1"/>
    <col min="1541" max="1541" width="6.875" style="270" customWidth="1"/>
    <col min="1542" max="1542" width="6.375" style="270" customWidth="1"/>
    <col min="1543" max="1544" width="7.25" style="270" customWidth="1"/>
    <col min="1545" max="1545" width="9.875" style="270" customWidth="1"/>
    <col min="1546" max="1546" width="9.75" style="270" customWidth="1"/>
    <col min="1547" max="1547" width="11.25" style="270" customWidth="1"/>
    <col min="1548" max="1548" width="13.75" style="270" customWidth="1"/>
    <col min="1549" max="1549" width="9.25" style="270" customWidth="1"/>
    <col min="1550" max="1792" width="9" style="270"/>
    <col min="1793" max="1793" width="6.125" style="270" customWidth="1"/>
    <col min="1794" max="1794" width="27.875" style="270" customWidth="1"/>
    <col min="1795" max="1795" width="42.25" style="270" customWidth="1"/>
    <col min="1796" max="1796" width="7.75" style="270" customWidth="1"/>
    <col min="1797" max="1797" width="6.875" style="270" customWidth="1"/>
    <col min="1798" max="1798" width="6.375" style="270" customWidth="1"/>
    <col min="1799" max="1800" width="7.25" style="270" customWidth="1"/>
    <col min="1801" max="1801" width="9.875" style="270" customWidth="1"/>
    <col min="1802" max="1802" width="9.75" style="270" customWidth="1"/>
    <col min="1803" max="1803" width="11.25" style="270" customWidth="1"/>
    <col min="1804" max="1804" width="13.75" style="270" customWidth="1"/>
    <col min="1805" max="1805" width="9.25" style="270" customWidth="1"/>
    <col min="1806" max="2048" width="9" style="270"/>
    <col min="2049" max="2049" width="6.125" style="270" customWidth="1"/>
    <col min="2050" max="2050" width="27.875" style="270" customWidth="1"/>
    <col min="2051" max="2051" width="42.25" style="270" customWidth="1"/>
    <col min="2052" max="2052" width="7.75" style="270" customWidth="1"/>
    <col min="2053" max="2053" width="6.875" style="270" customWidth="1"/>
    <col min="2054" max="2054" width="6.375" style="270" customWidth="1"/>
    <col min="2055" max="2056" width="7.25" style="270" customWidth="1"/>
    <col min="2057" max="2057" width="9.875" style="270" customWidth="1"/>
    <col min="2058" max="2058" width="9.75" style="270" customWidth="1"/>
    <col min="2059" max="2059" width="11.25" style="270" customWidth="1"/>
    <col min="2060" max="2060" width="13.75" style="270" customWidth="1"/>
    <col min="2061" max="2061" width="9.25" style="270" customWidth="1"/>
    <col min="2062" max="2304" width="9" style="270"/>
    <col min="2305" max="2305" width="6.125" style="270" customWidth="1"/>
    <col min="2306" max="2306" width="27.875" style="270" customWidth="1"/>
    <col min="2307" max="2307" width="42.25" style="270" customWidth="1"/>
    <col min="2308" max="2308" width="7.75" style="270" customWidth="1"/>
    <col min="2309" max="2309" width="6.875" style="270" customWidth="1"/>
    <col min="2310" max="2310" width="6.375" style="270" customWidth="1"/>
    <col min="2311" max="2312" width="7.25" style="270" customWidth="1"/>
    <col min="2313" max="2313" width="9.875" style="270" customWidth="1"/>
    <col min="2314" max="2314" width="9.75" style="270" customWidth="1"/>
    <col min="2315" max="2315" width="11.25" style="270" customWidth="1"/>
    <col min="2316" max="2316" width="13.75" style="270" customWidth="1"/>
    <col min="2317" max="2317" width="9.25" style="270" customWidth="1"/>
    <col min="2318" max="2560" width="9" style="270"/>
    <col min="2561" max="2561" width="6.125" style="270" customWidth="1"/>
    <col min="2562" max="2562" width="27.875" style="270" customWidth="1"/>
    <col min="2563" max="2563" width="42.25" style="270" customWidth="1"/>
    <col min="2564" max="2564" width="7.75" style="270" customWidth="1"/>
    <col min="2565" max="2565" width="6.875" style="270" customWidth="1"/>
    <col min="2566" max="2566" width="6.375" style="270" customWidth="1"/>
    <col min="2567" max="2568" width="7.25" style="270" customWidth="1"/>
    <col min="2569" max="2569" width="9.875" style="270" customWidth="1"/>
    <col min="2570" max="2570" width="9.75" style="270" customWidth="1"/>
    <col min="2571" max="2571" width="11.25" style="270" customWidth="1"/>
    <col min="2572" max="2572" width="13.75" style="270" customWidth="1"/>
    <col min="2573" max="2573" width="9.25" style="270" customWidth="1"/>
    <col min="2574" max="2816" width="9" style="270"/>
    <col min="2817" max="2817" width="6.125" style="270" customWidth="1"/>
    <col min="2818" max="2818" width="27.875" style="270" customWidth="1"/>
    <col min="2819" max="2819" width="42.25" style="270" customWidth="1"/>
    <col min="2820" max="2820" width="7.75" style="270" customWidth="1"/>
    <col min="2821" max="2821" width="6.875" style="270" customWidth="1"/>
    <col min="2822" max="2822" width="6.375" style="270" customWidth="1"/>
    <col min="2823" max="2824" width="7.25" style="270" customWidth="1"/>
    <col min="2825" max="2825" width="9.875" style="270" customWidth="1"/>
    <col min="2826" max="2826" width="9.75" style="270" customWidth="1"/>
    <col min="2827" max="2827" width="11.25" style="270" customWidth="1"/>
    <col min="2828" max="2828" width="13.75" style="270" customWidth="1"/>
    <col min="2829" max="2829" width="9.25" style="270" customWidth="1"/>
    <col min="2830" max="3072" width="9" style="270"/>
    <col min="3073" max="3073" width="6.125" style="270" customWidth="1"/>
    <col min="3074" max="3074" width="27.875" style="270" customWidth="1"/>
    <col min="3075" max="3075" width="42.25" style="270" customWidth="1"/>
    <col min="3076" max="3076" width="7.75" style="270" customWidth="1"/>
    <col min="3077" max="3077" width="6.875" style="270" customWidth="1"/>
    <col min="3078" max="3078" width="6.375" style="270" customWidth="1"/>
    <col min="3079" max="3080" width="7.25" style="270" customWidth="1"/>
    <col min="3081" max="3081" width="9.875" style="270" customWidth="1"/>
    <col min="3082" max="3082" width="9.75" style="270" customWidth="1"/>
    <col min="3083" max="3083" width="11.25" style="270" customWidth="1"/>
    <col min="3084" max="3084" width="13.75" style="270" customWidth="1"/>
    <col min="3085" max="3085" width="9.25" style="270" customWidth="1"/>
    <col min="3086" max="3328" width="9" style="270"/>
    <col min="3329" max="3329" width="6.125" style="270" customWidth="1"/>
    <col min="3330" max="3330" width="27.875" style="270" customWidth="1"/>
    <col min="3331" max="3331" width="42.25" style="270" customWidth="1"/>
    <col min="3332" max="3332" width="7.75" style="270" customWidth="1"/>
    <col min="3333" max="3333" width="6.875" style="270" customWidth="1"/>
    <col min="3334" max="3334" width="6.375" style="270" customWidth="1"/>
    <col min="3335" max="3336" width="7.25" style="270" customWidth="1"/>
    <col min="3337" max="3337" width="9.875" style="270" customWidth="1"/>
    <col min="3338" max="3338" width="9.75" style="270" customWidth="1"/>
    <col min="3339" max="3339" width="11.25" style="270" customWidth="1"/>
    <col min="3340" max="3340" width="13.75" style="270" customWidth="1"/>
    <col min="3341" max="3341" width="9.25" style="270" customWidth="1"/>
    <col min="3342" max="3584" width="9" style="270"/>
    <col min="3585" max="3585" width="6.125" style="270" customWidth="1"/>
    <col min="3586" max="3586" width="27.875" style="270" customWidth="1"/>
    <col min="3587" max="3587" width="42.25" style="270" customWidth="1"/>
    <col min="3588" max="3588" width="7.75" style="270" customWidth="1"/>
    <col min="3589" max="3589" width="6.875" style="270" customWidth="1"/>
    <col min="3590" max="3590" width="6.375" style="270" customWidth="1"/>
    <col min="3591" max="3592" width="7.25" style="270" customWidth="1"/>
    <col min="3593" max="3593" width="9.875" style="270" customWidth="1"/>
    <col min="3594" max="3594" width="9.75" style="270" customWidth="1"/>
    <col min="3595" max="3595" width="11.25" style="270" customWidth="1"/>
    <col min="3596" max="3596" width="13.75" style="270" customWidth="1"/>
    <col min="3597" max="3597" width="9.25" style="270" customWidth="1"/>
    <col min="3598" max="3840" width="9" style="270"/>
    <col min="3841" max="3841" width="6.125" style="270" customWidth="1"/>
    <col min="3842" max="3842" width="27.875" style="270" customWidth="1"/>
    <col min="3843" max="3843" width="42.25" style="270" customWidth="1"/>
    <col min="3844" max="3844" width="7.75" style="270" customWidth="1"/>
    <col min="3845" max="3845" width="6.875" style="270" customWidth="1"/>
    <col min="3846" max="3846" width="6.375" style="270" customWidth="1"/>
    <col min="3847" max="3848" width="7.25" style="270" customWidth="1"/>
    <col min="3849" max="3849" width="9.875" style="270" customWidth="1"/>
    <col min="3850" max="3850" width="9.75" style="270" customWidth="1"/>
    <col min="3851" max="3851" width="11.25" style="270" customWidth="1"/>
    <col min="3852" max="3852" width="13.75" style="270" customWidth="1"/>
    <col min="3853" max="3853" width="9.25" style="270" customWidth="1"/>
    <col min="3854" max="4096" width="9" style="270"/>
    <col min="4097" max="4097" width="6.125" style="270" customWidth="1"/>
    <col min="4098" max="4098" width="27.875" style="270" customWidth="1"/>
    <col min="4099" max="4099" width="42.25" style="270" customWidth="1"/>
    <col min="4100" max="4100" width="7.75" style="270" customWidth="1"/>
    <col min="4101" max="4101" width="6.875" style="270" customWidth="1"/>
    <col min="4102" max="4102" width="6.375" style="270" customWidth="1"/>
    <col min="4103" max="4104" width="7.25" style="270" customWidth="1"/>
    <col min="4105" max="4105" width="9.875" style="270" customWidth="1"/>
    <col min="4106" max="4106" width="9.75" style="270" customWidth="1"/>
    <col min="4107" max="4107" width="11.25" style="270" customWidth="1"/>
    <col min="4108" max="4108" width="13.75" style="270" customWidth="1"/>
    <col min="4109" max="4109" width="9.25" style="270" customWidth="1"/>
    <col min="4110" max="4352" width="9" style="270"/>
    <col min="4353" max="4353" width="6.125" style="270" customWidth="1"/>
    <col min="4354" max="4354" width="27.875" style="270" customWidth="1"/>
    <col min="4355" max="4355" width="42.25" style="270" customWidth="1"/>
    <col min="4356" max="4356" width="7.75" style="270" customWidth="1"/>
    <col min="4357" max="4357" width="6.875" style="270" customWidth="1"/>
    <col min="4358" max="4358" width="6.375" style="270" customWidth="1"/>
    <col min="4359" max="4360" width="7.25" style="270" customWidth="1"/>
    <col min="4361" max="4361" width="9.875" style="270" customWidth="1"/>
    <col min="4362" max="4362" width="9.75" style="270" customWidth="1"/>
    <col min="4363" max="4363" width="11.25" style="270" customWidth="1"/>
    <col min="4364" max="4364" width="13.75" style="270" customWidth="1"/>
    <col min="4365" max="4365" width="9.25" style="270" customWidth="1"/>
    <col min="4366" max="4608" width="9" style="270"/>
    <col min="4609" max="4609" width="6.125" style="270" customWidth="1"/>
    <col min="4610" max="4610" width="27.875" style="270" customWidth="1"/>
    <col min="4611" max="4611" width="42.25" style="270" customWidth="1"/>
    <col min="4612" max="4612" width="7.75" style="270" customWidth="1"/>
    <col min="4613" max="4613" width="6.875" style="270" customWidth="1"/>
    <col min="4614" max="4614" width="6.375" style="270" customWidth="1"/>
    <col min="4615" max="4616" width="7.25" style="270" customWidth="1"/>
    <col min="4617" max="4617" width="9.875" style="270" customWidth="1"/>
    <col min="4618" max="4618" width="9.75" style="270" customWidth="1"/>
    <col min="4619" max="4619" width="11.25" style="270" customWidth="1"/>
    <col min="4620" max="4620" width="13.75" style="270" customWidth="1"/>
    <col min="4621" max="4621" width="9.25" style="270" customWidth="1"/>
    <col min="4622" max="4864" width="9" style="270"/>
    <col min="4865" max="4865" width="6.125" style="270" customWidth="1"/>
    <col min="4866" max="4866" width="27.875" style="270" customWidth="1"/>
    <col min="4867" max="4867" width="42.25" style="270" customWidth="1"/>
    <col min="4868" max="4868" width="7.75" style="270" customWidth="1"/>
    <col min="4869" max="4869" width="6.875" style="270" customWidth="1"/>
    <col min="4870" max="4870" width="6.375" style="270" customWidth="1"/>
    <col min="4871" max="4872" width="7.25" style="270" customWidth="1"/>
    <col min="4873" max="4873" width="9.875" style="270" customWidth="1"/>
    <col min="4874" max="4874" width="9.75" style="270" customWidth="1"/>
    <col min="4875" max="4875" width="11.25" style="270" customWidth="1"/>
    <col min="4876" max="4876" width="13.75" style="270" customWidth="1"/>
    <col min="4877" max="4877" width="9.25" style="270" customWidth="1"/>
    <col min="4878" max="5120" width="9" style="270"/>
    <col min="5121" max="5121" width="6.125" style="270" customWidth="1"/>
    <col min="5122" max="5122" width="27.875" style="270" customWidth="1"/>
    <col min="5123" max="5123" width="42.25" style="270" customWidth="1"/>
    <col min="5124" max="5124" width="7.75" style="270" customWidth="1"/>
    <col min="5125" max="5125" width="6.875" style="270" customWidth="1"/>
    <col min="5126" max="5126" width="6.375" style="270" customWidth="1"/>
    <col min="5127" max="5128" width="7.25" style="270" customWidth="1"/>
    <col min="5129" max="5129" width="9.875" style="270" customWidth="1"/>
    <col min="5130" max="5130" width="9.75" style="270" customWidth="1"/>
    <col min="5131" max="5131" width="11.25" style="270" customWidth="1"/>
    <col min="5132" max="5132" width="13.75" style="270" customWidth="1"/>
    <col min="5133" max="5133" width="9.25" style="270" customWidth="1"/>
    <col min="5134" max="5376" width="9" style="270"/>
    <col min="5377" max="5377" width="6.125" style="270" customWidth="1"/>
    <col min="5378" max="5378" width="27.875" style="270" customWidth="1"/>
    <col min="5379" max="5379" width="42.25" style="270" customWidth="1"/>
    <col min="5380" max="5380" width="7.75" style="270" customWidth="1"/>
    <col min="5381" max="5381" width="6.875" style="270" customWidth="1"/>
    <col min="5382" max="5382" width="6.375" style="270" customWidth="1"/>
    <col min="5383" max="5384" width="7.25" style="270" customWidth="1"/>
    <col min="5385" max="5385" width="9.875" style="270" customWidth="1"/>
    <col min="5386" max="5386" width="9.75" style="270" customWidth="1"/>
    <col min="5387" max="5387" width="11.25" style="270" customWidth="1"/>
    <col min="5388" max="5388" width="13.75" style="270" customWidth="1"/>
    <col min="5389" max="5389" width="9.25" style="270" customWidth="1"/>
    <col min="5390" max="5632" width="9" style="270"/>
    <col min="5633" max="5633" width="6.125" style="270" customWidth="1"/>
    <col min="5634" max="5634" width="27.875" style="270" customWidth="1"/>
    <col min="5635" max="5635" width="42.25" style="270" customWidth="1"/>
    <col min="5636" max="5636" width="7.75" style="270" customWidth="1"/>
    <col min="5637" max="5637" width="6.875" style="270" customWidth="1"/>
    <col min="5638" max="5638" width="6.375" style="270" customWidth="1"/>
    <col min="5639" max="5640" width="7.25" style="270" customWidth="1"/>
    <col min="5641" max="5641" width="9.875" style="270" customWidth="1"/>
    <col min="5642" max="5642" width="9.75" style="270" customWidth="1"/>
    <col min="5643" max="5643" width="11.25" style="270" customWidth="1"/>
    <col min="5644" max="5644" width="13.75" style="270" customWidth="1"/>
    <col min="5645" max="5645" width="9.25" style="270" customWidth="1"/>
    <col min="5646" max="5888" width="9" style="270"/>
    <col min="5889" max="5889" width="6.125" style="270" customWidth="1"/>
    <col min="5890" max="5890" width="27.875" style="270" customWidth="1"/>
    <col min="5891" max="5891" width="42.25" style="270" customWidth="1"/>
    <col min="5892" max="5892" width="7.75" style="270" customWidth="1"/>
    <col min="5893" max="5893" width="6.875" style="270" customWidth="1"/>
    <col min="5894" max="5894" width="6.375" style="270" customWidth="1"/>
    <col min="5895" max="5896" width="7.25" style="270" customWidth="1"/>
    <col min="5897" max="5897" width="9.875" style="270" customWidth="1"/>
    <col min="5898" max="5898" width="9.75" style="270" customWidth="1"/>
    <col min="5899" max="5899" width="11.25" style="270" customWidth="1"/>
    <col min="5900" max="5900" width="13.75" style="270" customWidth="1"/>
    <col min="5901" max="5901" width="9.25" style="270" customWidth="1"/>
    <col min="5902" max="6144" width="9" style="270"/>
    <col min="6145" max="6145" width="6.125" style="270" customWidth="1"/>
    <col min="6146" max="6146" width="27.875" style="270" customWidth="1"/>
    <col min="6147" max="6147" width="42.25" style="270" customWidth="1"/>
    <col min="6148" max="6148" width="7.75" style="270" customWidth="1"/>
    <col min="6149" max="6149" width="6.875" style="270" customWidth="1"/>
    <col min="6150" max="6150" width="6.375" style="270" customWidth="1"/>
    <col min="6151" max="6152" width="7.25" style="270" customWidth="1"/>
    <col min="6153" max="6153" width="9.875" style="270" customWidth="1"/>
    <col min="6154" max="6154" width="9.75" style="270" customWidth="1"/>
    <col min="6155" max="6155" width="11.25" style="270" customWidth="1"/>
    <col min="6156" max="6156" width="13.75" style="270" customWidth="1"/>
    <col min="6157" max="6157" width="9.25" style="270" customWidth="1"/>
    <col min="6158" max="6400" width="9" style="270"/>
    <col min="6401" max="6401" width="6.125" style="270" customWidth="1"/>
    <col min="6402" max="6402" width="27.875" style="270" customWidth="1"/>
    <col min="6403" max="6403" width="42.25" style="270" customWidth="1"/>
    <col min="6404" max="6404" width="7.75" style="270" customWidth="1"/>
    <col min="6405" max="6405" width="6.875" style="270" customWidth="1"/>
    <col min="6406" max="6406" width="6.375" style="270" customWidth="1"/>
    <col min="6407" max="6408" width="7.25" style="270" customWidth="1"/>
    <col min="6409" max="6409" width="9.875" style="270" customWidth="1"/>
    <col min="6410" max="6410" width="9.75" style="270" customWidth="1"/>
    <col min="6411" max="6411" width="11.25" style="270" customWidth="1"/>
    <col min="6412" max="6412" width="13.75" style="270" customWidth="1"/>
    <col min="6413" max="6413" width="9.25" style="270" customWidth="1"/>
    <col min="6414" max="6656" width="9" style="270"/>
    <col min="6657" max="6657" width="6.125" style="270" customWidth="1"/>
    <col min="6658" max="6658" width="27.875" style="270" customWidth="1"/>
    <col min="6659" max="6659" width="42.25" style="270" customWidth="1"/>
    <col min="6660" max="6660" width="7.75" style="270" customWidth="1"/>
    <col min="6661" max="6661" width="6.875" style="270" customWidth="1"/>
    <col min="6662" max="6662" width="6.375" style="270" customWidth="1"/>
    <col min="6663" max="6664" width="7.25" style="270" customWidth="1"/>
    <col min="6665" max="6665" width="9.875" style="270" customWidth="1"/>
    <col min="6666" max="6666" width="9.75" style="270" customWidth="1"/>
    <col min="6667" max="6667" width="11.25" style="270" customWidth="1"/>
    <col min="6668" max="6668" width="13.75" style="270" customWidth="1"/>
    <col min="6669" max="6669" width="9.25" style="270" customWidth="1"/>
    <col min="6670" max="6912" width="9" style="270"/>
    <col min="6913" max="6913" width="6.125" style="270" customWidth="1"/>
    <col min="6914" max="6914" width="27.875" style="270" customWidth="1"/>
    <col min="6915" max="6915" width="42.25" style="270" customWidth="1"/>
    <col min="6916" max="6916" width="7.75" style="270" customWidth="1"/>
    <col min="6917" max="6917" width="6.875" style="270" customWidth="1"/>
    <col min="6918" max="6918" width="6.375" style="270" customWidth="1"/>
    <col min="6919" max="6920" width="7.25" style="270" customWidth="1"/>
    <col min="6921" max="6921" width="9.875" style="270" customWidth="1"/>
    <col min="6922" max="6922" width="9.75" style="270" customWidth="1"/>
    <col min="6923" max="6923" width="11.25" style="270" customWidth="1"/>
    <col min="6924" max="6924" width="13.75" style="270" customWidth="1"/>
    <col min="6925" max="6925" width="9.25" style="270" customWidth="1"/>
    <col min="6926" max="7168" width="9" style="270"/>
    <col min="7169" max="7169" width="6.125" style="270" customWidth="1"/>
    <col min="7170" max="7170" width="27.875" style="270" customWidth="1"/>
    <col min="7171" max="7171" width="42.25" style="270" customWidth="1"/>
    <col min="7172" max="7172" width="7.75" style="270" customWidth="1"/>
    <col min="7173" max="7173" width="6.875" style="270" customWidth="1"/>
    <col min="7174" max="7174" width="6.375" style="270" customWidth="1"/>
    <col min="7175" max="7176" width="7.25" style="270" customWidth="1"/>
    <col min="7177" max="7177" width="9.875" style="270" customWidth="1"/>
    <col min="7178" max="7178" width="9.75" style="270" customWidth="1"/>
    <col min="7179" max="7179" width="11.25" style="270" customWidth="1"/>
    <col min="7180" max="7180" width="13.75" style="270" customWidth="1"/>
    <col min="7181" max="7181" width="9.25" style="270" customWidth="1"/>
    <col min="7182" max="7424" width="9" style="270"/>
    <col min="7425" max="7425" width="6.125" style="270" customWidth="1"/>
    <col min="7426" max="7426" width="27.875" style="270" customWidth="1"/>
    <col min="7427" max="7427" width="42.25" style="270" customWidth="1"/>
    <col min="7428" max="7428" width="7.75" style="270" customWidth="1"/>
    <col min="7429" max="7429" width="6.875" style="270" customWidth="1"/>
    <col min="7430" max="7430" width="6.375" style="270" customWidth="1"/>
    <col min="7431" max="7432" width="7.25" style="270" customWidth="1"/>
    <col min="7433" max="7433" width="9.875" style="270" customWidth="1"/>
    <col min="7434" max="7434" width="9.75" style="270" customWidth="1"/>
    <col min="7435" max="7435" width="11.25" style="270" customWidth="1"/>
    <col min="7436" max="7436" width="13.75" style="270" customWidth="1"/>
    <col min="7437" max="7437" width="9.25" style="270" customWidth="1"/>
    <col min="7438" max="7680" width="9" style="270"/>
    <col min="7681" max="7681" width="6.125" style="270" customWidth="1"/>
    <col min="7682" max="7682" width="27.875" style="270" customWidth="1"/>
    <col min="7683" max="7683" width="42.25" style="270" customWidth="1"/>
    <col min="7684" max="7684" width="7.75" style="270" customWidth="1"/>
    <col min="7685" max="7685" width="6.875" style="270" customWidth="1"/>
    <col min="7686" max="7686" width="6.375" style="270" customWidth="1"/>
    <col min="7687" max="7688" width="7.25" style="270" customWidth="1"/>
    <col min="7689" max="7689" width="9.875" style="270" customWidth="1"/>
    <col min="7690" max="7690" width="9.75" style="270" customWidth="1"/>
    <col min="7691" max="7691" width="11.25" style="270" customWidth="1"/>
    <col min="7692" max="7692" width="13.75" style="270" customWidth="1"/>
    <col min="7693" max="7693" width="9.25" style="270" customWidth="1"/>
    <col min="7694" max="7936" width="9" style="270"/>
    <col min="7937" max="7937" width="6.125" style="270" customWidth="1"/>
    <col min="7938" max="7938" width="27.875" style="270" customWidth="1"/>
    <col min="7939" max="7939" width="42.25" style="270" customWidth="1"/>
    <col min="7940" max="7940" width="7.75" style="270" customWidth="1"/>
    <col min="7941" max="7941" width="6.875" style="270" customWidth="1"/>
    <col min="7942" max="7942" width="6.375" style="270" customWidth="1"/>
    <col min="7943" max="7944" width="7.25" style="270" customWidth="1"/>
    <col min="7945" max="7945" width="9.875" style="270" customWidth="1"/>
    <col min="7946" max="7946" width="9.75" style="270" customWidth="1"/>
    <col min="7947" max="7947" width="11.25" style="270" customWidth="1"/>
    <col min="7948" max="7948" width="13.75" style="270" customWidth="1"/>
    <col min="7949" max="7949" width="9.25" style="270" customWidth="1"/>
    <col min="7950" max="8192" width="9" style="270"/>
    <col min="8193" max="8193" width="6.125" style="270" customWidth="1"/>
    <col min="8194" max="8194" width="27.875" style="270" customWidth="1"/>
    <col min="8195" max="8195" width="42.25" style="270" customWidth="1"/>
    <col min="8196" max="8196" width="7.75" style="270" customWidth="1"/>
    <col min="8197" max="8197" width="6.875" style="270" customWidth="1"/>
    <col min="8198" max="8198" width="6.375" style="270" customWidth="1"/>
    <col min="8199" max="8200" width="7.25" style="270" customWidth="1"/>
    <col min="8201" max="8201" width="9.875" style="270" customWidth="1"/>
    <col min="8202" max="8202" width="9.75" style="270" customWidth="1"/>
    <col min="8203" max="8203" width="11.25" style="270" customWidth="1"/>
    <col min="8204" max="8204" width="13.75" style="270" customWidth="1"/>
    <col min="8205" max="8205" width="9.25" style="270" customWidth="1"/>
    <col min="8206" max="8448" width="9" style="270"/>
    <col min="8449" max="8449" width="6.125" style="270" customWidth="1"/>
    <col min="8450" max="8450" width="27.875" style="270" customWidth="1"/>
    <col min="8451" max="8451" width="42.25" style="270" customWidth="1"/>
    <col min="8452" max="8452" width="7.75" style="270" customWidth="1"/>
    <col min="8453" max="8453" width="6.875" style="270" customWidth="1"/>
    <col min="8454" max="8454" width="6.375" style="270" customWidth="1"/>
    <col min="8455" max="8456" width="7.25" style="270" customWidth="1"/>
    <col min="8457" max="8457" width="9.875" style="270" customWidth="1"/>
    <col min="8458" max="8458" width="9.75" style="270" customWidth="1"/>
    <col min="8459" max="8459" width="11.25" style="270" customWidth="1"/>
    <col min="8460" max="8460" width="13.75" style="270" customWidth="1"/>
    <col min="8461" max="8461" width="9.25" style="270" customWidth="1"/>
    <col min="8462" max="8704" width="9" style="270"/>
    <col min="8705" max="8705" width="6.125" style="270" customWidth="1"/>
    <col min="8706" max="8706" width="27.875" style="270" customWidth="1"/>
    <col min="8707" max="8707" width="42.25" style="270" customWidth="1"/>
    <col min="8708" max="8708" width="7.75" style="270" customWidth="1"/>
    <col min="8709" max="8709" width="6.875" style="270" customWidth="1"/>
    <col min="8710" max="8710" width="6.375" style="270" customWidth="1"/>
    <col min="8711" max="8712" width="7.25" style="270" customWidth="1"/>
    <col min="8713" max="8713" width="9.875" style="270" customWidth="1"/>
    <col min="8714" max="8714" width="9.75" style="270" customWidth="1"/>
    <col min="8715" max="8715" width="11.25" style="270" customWidth="1"/>
    <col min="8716" max="8716" width="13.75" style="270" customWidth="1"/>
    <col min="8717" max="8717" width="9.25" style="270" customWidth="1"/>
    <col min="8718" max="8960" width="9" style="270"/>
    <col min="8961" max="8961" width="6.125" style="270" customWidth="1"/>
    <col min="8962" max="8962" width="27.875" style="270" customWidth="1"/>
    <col min="8963" max="8963" width="42.25" style="270" customWidth="1"/>
    <col min="8964" max="8964" width="7.75" style="270" customWidth="1"/>
    <col min="8965" max="8965" width="6.875" style="270" customWidth="1"/>
    <col min="8966" max="8966" width="6.375" style="270" customWidth="1"/>
    <col min="8967" max="8968" width="7.25" style="270" customWidth="1"/>
    <col min="8969" max="8969" width="9.875" style="270" customWidth="1"/>
    <col min="8970" max="8970" width="9.75" style="270" customWidth="1"/>
    <col min="8971" max="8971" width="11.25" style="270" customWidth="1"/>
    <col min="8972" max="8972" width="13.75" style="270" customWidth="1"/>
    <col min="8973" max="8973" width="9.25" style="270" customWidth="1"/>
    <col min="8974" max="9216" width="9" style="270"/>
    <col min="9217" max="9217" width="6.125" style="270" customWidth="1"/>
    <col min="9218" max="9218" width="27.875" style="270" customWidth="1"/>
    <col min="9219" max="9219" width="42.25" style="270" customWidth="1"/>
    <col min="9220" max="9220" width="7.75" style="270" customWidth="1"/>
    <col min="9221" max="9221" width="6.875" style="270" customWidth="1"/>
    <col min="9222" max="9222" width="6.375" style="270" customWidth="1"/>
    <col min="9223" max="9224" width="7.25" style="270" customWidth="1"/>
    <col min="9225" max="9225" width="9.875" style="270" customWidth="1"/>
    <col min="9226" max="9226" width="9.75" style="270" customWidth="1"/>
    <col min="9227" max="9227" width="11.25" style="270" customWidth="1"/>
    <col min="9228" max="9228" width="13.75" style="270" customWidth="1"/>
    <col min="9229" max="9229" width="9.25" style="270" customWidth="1"/>
    <col min="9230" max="9472" width="9" style="270"/>
    <col min="9473" max="9473" width="6.125" style="270" customWidth="1"/>
    <col min="9474" max="9474" width="27.875" style="270" customWidth="1"/>
    <col min="9475" max="9475" width="42.25" style="270" customWidth="1"/>
    <col min="9476" max="9476" width="7.75" style="270" customWidth="1"/>
    <col min="9477" max="9477" width="6.875" style="270" customWidth="1"/>
    <col min="9478" max="9478" width="6.375" style="270" customWidth="1"/>
    <col min="9479" max="9480" width="7.25" style="270" customWidth="1"/>
    <col min="9481" max="9481" width="9.875" style="270" customWidth="1"/>
    <col min="9482" max="9482" width="9.75" style="270" customWidth="1"/>
    <col min="9483" max="9483" width="11.25" style="270" customWidth="1"/>
    <col min="9484" max="9484" width="13.75" style="270" customWidth="1"/>
    <col min="9485" max="9485" width="9.25" style="270" customWidth="1"/>
    <col min="9486" max="9728" width="9" style="270"/>
    <col min="9729" max="9729" width="6.125" style="270" customWidth="1"/>
    <col min="9730" max="9730" width="27.875" style="270" customWidth="1"/>
    <col min="9731" max="9731" width="42.25" style="270" customWidth="1"/>
    <col min="9732" max="9732" width="7.75" style="270" customWidth="1"/>
    <col min="9733" max="9733" width="6.875" style="270" customWidth="1"/>
    <col min="9734" max="9734" width="6.375" style="270" customWidth="1"/>
    <col min="9735" max="9736" width="7.25" style="270" customWidth="1"/>
    <col min="9737" max="9737" width="9.875" style="270" customWidth="1"/>
    <col min="9738" max="9738" width="9.75" style="270" customWidth="1"/>
    <col min="9739" max="9739" width="11.25" style="270" customWidth="1"/>
    <col min="9740" max="9740" width="13.75" style="270" customWidth="1"/>
    <col min="9741" max="9741" width="9.25" style="270" customWidth="1"/>
    <col min="9742" max="9984" width="9" style="270"/>
    <col min="9985" max="9985" width="6.125" style="270" customWidth="1"/>
    <col min="9986" max="9986" width="27.875" style="270" customWidth="1"/>
    <col min="9987" max="9987" width="42.25" style="270" customWidth="1"/>
    <col min="9988" max="9988" width="7.75" style="270" customWidth="1"/>
    <col min="9989" max="9989" width="6.875" style="270" customWidth="1"/>
    <col min="9990" max="9990" width="6.375" style="270" customWidth="1"/>
    <col min="9991" max="9992" width="7.25" style="270" customWidth="1"/>
    <col min="9993" max="9993" width="9.875" style="270" customWidth="1"/>
    <col min="9994" max="9994" width="9.75" style="270" customWidth="1"/>
    <col min="9995" max="9995" width="11.25" style="270" customWidth="1"/>
    <col min="9996" max="9996" width="13.75" style="270" customWidth="1"/>
    <col min="9997" max="9997" width="9.25" style="270" customWidth="1"/>
    <col min="9998" max="10240" width="9" style="270"/>
    <col min="10241" max="10241" width="6.125" style="270" customWidth="1"/>
    <col min="10242" max="10242" width="27.875" style="270" customWidth="1"/>
    <col min="10243" max="10243" width="42.25" style="270" customWidth="1"/>
    <col min="10244" max="10244" width="7.75" style="270" customWidth="1"/>
    <col min="10245" max="10245" width="6.875" style="270" customWidth="1"/>
    <col min="10246" max="10246" width="6.375" style="270" customWidth="1"/>
    <col min="10247" max="10248" width="7.25" style="270" customWidth="1"/>
    <col min="10249" max="10249" width="9.875" style="270" customWidth="1"/>
    <col min="10250" max="10250" width="9.75" style="270" customWidth="1"/>
    <col min="10251" max="10251" width="11.25" style="270" customWidth="1"/>
    <col min="10252" max="10252" width="13.75" style="270" customWidth="1"/>
    <col min="10253" max="10253" width="9.25" style="270" customWidth="1"/>
    <col min="10254" max="10496" width="9" style="270"/>
    <col min="10497" max="10497" width="6.125" style="270" customWidth="1"/>
    <col min="10498" max="10498" width="27.875" style="270" customWidth="1"/>
    <col min="10499" max="10499" width="42.25" style="270" customWidth="1"/>
    <col min="10500" max="10500" width="7.75" style="270" customWidth="1"/>
    <col min="10501" max="10501" width="6.875" style="270" customWidth="1"/>
    <col min="10502" max="10502" width="6.375" style="270" customWidth="1"/>
    <col min="10503" max="10504" width="7.25" style="270" customWidth="1"/>
    <col min="10505" max="10505" width="9.875" style="270" customWidth="1"/>
    <col min="10506" max="10506" width="9.75" style="270" customWidth="1"/>
    <col min="10507" max="10507" width="11.25" style="270" customWidth="1"/>
    <col min="10508" max="10508" width="13.75" style="270" customWidth="1"/>
    <col min="10509" max="10509" width="9.25" style="270" customWidth="1"/>
    <col min="10510" max="10752" width="9" style="270"/>
    <col min="10753" max="10753" width="6.125" style="270" customWidth="1"/>
    <col min="10754" max="10754" width="27.875" style="270" customWidth="1"/>
    <col min="10755" max="10755" width="42.25" style="270" customWidth="1"/>
    <col min="10756" max="10756" width="7.75" style="270" customWidth="1"/>
    <col min="10757" max="10757" width="6.875" style="270" customWidth="1"/>
    <col min="10758" max="10758" width="6.375" style="270" customWidth="1"/>
    <col min="10759" max="10760" width="7.25" style="270" customWidth="1"/>
    <col min="10761" max="10761" width="9.875" style="270" customWidth="1"/>
    <col min="10762" max="10762" width="9.75" style="270" customWidth="1"/>
    <col min="10763" max="10763" width="11.25" style="270" customWidth="1"/>
    <col min="10764" max="10764" width="13.75" style="270" customWidth="1"/>
    <col min="10765" max="10765" width="9.25" style="270" customWidth="1"/>
    <col min="10766" max="11008" width="9" style="270"/>
    <col min="11009" max="11009" width="6.125" style="270" customWidth="1"/>
    <col min="11010" max="11010" width="27.875" style="270" customWidth="1"/>
    <col min="11011" max="11011" width="42.25" style="270" customWidth="1"/>
    <col min="11012" max="11012" width="7.75" style="270" customWidth="1"/>
    <col min="11013" max="11013" width="6.875" style="270" customWidth="1"/>
    <col min="11014" max="11014" width="6.375" style="270" customWidth="1"/>
    <col min="11015" max="11016" width="7.25" style="270" customWidth="1"/>
    <col min="11017" max="11017" width="9.875" style="270" customWidth="1"/>
    <col min="11018" max="11018" width="9.75" style="270" customWidth="1"/>
    <col min="11019" max="11019" width="11.25" style="270" customWidth="1"/>
    <col min="11020" max="11020" width="13.75" style="270" customWidth="1"/>
    <col min="11021" max="11021" width="9.25" style="270" customWidth="1"/>
    <col min="11022" max="11264" width="9" style="270"/>
    <col min="11265" max="11265" width="6.125" style="270" customWidth="1"/>
    <col min="11266" max="11266" width="27.875" style="270" customWidth="1"/>
    <col min="11267" max="11267" width="42.25" style="270" customWidth="1"/>
    <col min="11268" max="11268" width="7.75" style="270" customWidth="1"/>
    <col min="11269" max="11269" width="6.875" style="270" customWidth="1"/>
    <col min="11270" max="11270" width="6.375" style="270" customWidth="1"/>
    <col min="11271" max="11272" width="7.25" style="270" customWidth="1"/>
    <col min="11273" max="11273" width="9.875" style="270" customWidth="1"/>
    <col min="11274" max="11274" width="9.75" style="270" customWidth="1"/>
    <col min="11275" max="11275" width="11.25" style="270" customWidth="1"/>
    <col min="11276" max="11276" width="13.75" style="270" customWidth="1"/>
    <col min="11277" max="11277" width="9.25" style="270" customWidth="1"/>
    <col min="11278" max="11520" width="9" style="270"/>
    <col min="11521" max="11521" width="6.125" style="270" customWidth="1"/>
    <col min="11522" max="11522" width="27.875" style="270" customWidth="1"/>
    <col min="11523" max="11523" width="42.25" style="270" customWidth="1"/>
    <col min="11524" max="11524" width="7.75" style="270" customWidth="1"/>
    <col min="11525" max="11525" width="6.875" style="270" customWidth="1"/>
    <col min="11526" max="11526" width="6.375" style="270" customWidth="1"/>
    <col min="11527" max="11528" width="7.25" style="270" customWidth="1"/>
    <col min="11529" max="11529" width="9.875" style="270" customWidth="1"/>
    <col min="11530" max="11530" width="9.75" style="270" customWidth="1"/>
    <col min="11531" max="11531" width="11.25" style="270" customWidth="1"/>
    <col min="11532" max="11532" width="13.75" style="270" customWidth="1"/>
    <col min="11533" max="11533" width="9.25" style="270" customWidth="1"/>
    <col min="11534" max="11776" width="9" style="270"/>
    <col min="11777" max="11777" width="6.125" style="270" customWidth="1"/>
    <col min="11778" max="11778" width="27.875" style="270" customWidth="1"/>
    <col min="11779" max="11779" width="42.25" style="270" customWidth="1"/>
    <col min="11780" max="11780" width="7.75" style="270" customWidth="1"/>
    <col min="11781" max="11781" width="6.875" style="270" customWidth="1"/>
    <col min="11782" max="11782" width="6.375" style="270" customWidth="1"/>
    <col min="11783" max="11784" width="7.25" style="270" customWidth="1"/>
    <col min="11785" max="11785" width="9.875" style="270" customWidth="1"/>
    <col min="11786" max="11786" width="9.75" style="270" customWidth="1"/>
    <col min="11787" max="11787" width="11.25" style="270" customWidth="1"/>
    <col min="11788" max="11788" width="13.75" style="270" customWidth="1"/>
    <col min="11789" max="11789" width="9.25" style="270" customWidth="1"/>
    <col min="11790" max="12032" width="9" style="270"/>
    <col min="12033" max="12033" width="6.125" style="270" customWidth="1"/>
    <col min="12034" max="12034" width="27.875" style="270" customWidth="1"/>
    <col min="12035" max="12035" width="42.25" style="270" customWidth="1"/>
    <col min="12036" max="12036" width="7.75" style="270" customWidth="1"/>
    <col min="12037" max="12037" width="6.875" style="270" customWidth="1"/>
    <col min="12038" max="12038" width="6.375" style="270" customWidth="1"/>
    <col min="12039" max="12040" width="7.25" style="270" customWidth="1"/>
    <col min="12041" max="12041" width="9.875" style="270" customWidth="1"/>
    <col min="12042" max="12042" width="9.75" style="270" customWidth="1"/>
    <col min="12043" max="12043" width="11.25" style="270" customWidth="1"/>
    <col min="12044" max="12044" width="13.75" style="270" customWidth="1"/>
    <col min="12045" max="12045" width="9.25" style="270" customWidth="1"/>
    <col min="12046" max="12288" width="9" style="270"/>
    <col min="12289" max="12289" width="6.125" style="270" customWidth="1"/>
    <col min="12290" max="12290" width="27.875" style="270" customWidth="1"/>
    <col min="12291" max="12291" width="42.25" style="270" customWidth="1"/>
    <col min="12292" max="12292" width="7.75" style="270" customWidth="1"/>
    <col min="12293" max="12293" width="6.875" style="270" customWidth="1"/>
    <col min="12294" max="12294" width="6.375" style="270" customWidth="1"/>
    <col min="12295" max="12296" width="7.25" style="270" customWidth="1"/>
    <col min="12297" max="12297" width="9.875" style="270" customWidth="1"/>
    <col min="12298" max="12298" width="9.75" style="270" customWidth="1"/>
    <col min="12299" max="12299" width="11.25" style="270" customWidth="1"/>
    <col min="12300" max="12300" width="13.75" style="270" customWidth="1"/>
    <col min="12301" max="12301" width="9.25" style="270" customWidth="1"/>
    <col min="12302" max="12544" width="9" style="270"/>
    <col min="12545" max="12545" width="6.125" style="270" customWidth="1"/>
    <col min="12546" max="12546" width="27.875" style="270" customWidth="1"/>
    <col min="12547" max="12547" width="42.25" style="270" customWidth="1"/>
    <col min="12548" max="12548" width="7.75" style="270" customWidth="1"/>
    <col min="12549" max="12549" width="6.875" style="270" customWidth="1"/>
    <col min="12550" max="12550" width="6.375" style="270" customWidth="1"/>
    <col min="12551" max="12552" width="7.25" style="270" customWidth="1"/>
    <col min="12553" max="12553" width="9.875" style="270" customWidth="1"/>
    <col min="12554" max="12554" width="9.75" style="270" customWidth="1"/>
    <col min="12555" max="12555" width="11.25" style="270" customWidth="1"/>
    <col min="12556" max="12556" width="13.75" style="270" customWidth="1"/>
    <col min="12557" max="12557" width="9.25" style="270" customWidth="1"/>
    <col min="12558" max="12800" width="9" style="270"/>
    <col min="12801" max="12801" width="6.125" style="270" customWidth="1"/>
    <col min="12802" max="12802" width="27.875" style="270" customWidth="1"/>
    <col min="12803" max="12803" width="42.25" style="270" customWidth="1"/>
    <col min="12804" max="12804" width="7.75" style="270" customWidth="1"/>
    <col min="12805" max="12805" width="6.875" style="270" customWidth="1"/>
    <col min="12806" max="12806" width="6.375" style="270" customWidth="1"/>
    <col min="12807" max="12808" width="7.25" style="270" customWidth="1"/>
    <col min="12809" max="12809" width="9.875" style="270" customWidth="1"/>
    <col min="12810" max="12810" width="9.75" style="270" customWidth="1"/>
    <col min="12811" max="12811" width="11.25" style="270" customWidth="1"/>
    <col min="12812" max="12812" width="13.75" style="270" customWidth="1"/>
    <col min="12813" max="12813" width="9.25" style="270" customWidth="1"/>
    <col min="12814" max="13056" width="9" style="270"/>
    <col min="13057" max="13057" width="6.125" style="270" customWidth="1"/>
    <col min="13058" max="13058" width="27.875" style="270" customWidth="1"/>
    <col min="13059" max="13059" width="42.25" style="270" customWidth="1"/>
    <col min="13060" max="13060" width="7.75" style="270" customWidth="1"/>
    <col min="13061" max="13061" width="6.875" style="270" customWidth="1"/>
    <col min="13062" max="13062" width="6.375" style="270" customWidth="1"/>
    <col min="13063" max="13064" width="7.25" style="270" customWidth="1"/>
    <col min="13065" max="13065" width="9.875" style="270" customWidth="1"/>
    <col min="13066" max="13066" width="9.75" style="270" customWidth="1"/>
    <col min="13067" max="13067" width="11.25" style="270" customWidth="1"/>
    <col min="13068" max="13068" width="13.75" style="270" customWidth="1"/>
    <col min="13069" max="13069" width="9.25" style="270" customWidth="1"/>
    <col min="13070" max="13312" width="9" style="270"/>
    <col min="13313" max="13313" width="6.125" style="270" customWidth="1"/>
    <col min="13314" max="13314" width="27.875" style="270" customWidth="1"/>
    <col min="13315" max="13315" width="42.25" style="270" customWidth="1"/>
    <col min="13316" max="13316" width="7.75" style="270" customWidth="1"/>
    <col min="13317" max="13317" width="6.875" style="270" customWidth="1"/>
    <col min="13318" max="13318" width="6.375" style="270" customWidth="1"/>
    <col min="13319" max="13320" width="7.25" style="270" customWidth="1"/>
    <col min="13321" max="13321" width="9.875" style="270" customWidth="1"/>
    <col min="13322" max="13322" width="9.75" style="270" customWidth="1"/>
    <col min="13323" max="13323" width="11.25" style="270" customWidth="1"/>
    <col min="13324" max="13324" width="13.75" style="270" customWidth="1"/>
    <col min="13325" max="13325" width="9.25" style="270" customWidth="1"/>
    <col min="13326" max="13568" width="9" style="270"/>
    <col min="13569" max="13569" width="6.125" style="270" customWidth="1"/>
    <col min="13570" max="13570" width="27.875" style="270" customWidth="1"/>
    <col min="13571" max="13571" width="42.25" style="270" customWidth="1"/>
    <col min="13572" max="13572" width="7.75" style="270" customWidth="1"/>
    <col min="13573" max="13573" width="6.875" style="270" customWidth="1"/>
    <col min="13574" max="13574" width="6.375" style="270" customWidth="1"/>
    <col min="13575" max="13576" width="7.25" style="270" customWidth="1"/>
    <col min="13577" max="13577" width="9.875" style="270" customWidth="1"/>
    <col min="13578" max="13578" width="9.75" style="270" customWidth="1"/>
    <col min="13579" max="13579" width="11.25" style="270" customWidth="1"/>
    <col min="13580" max="13580" width="13.75" style="270" customWidth="1"/>
    <col min="13581" max="13581" width="9.25" style="270" customWidth="1"/>
    <col min="13582" max="13824" width="9" style="270"/>
    <col min="13825" max="13825" width="6.125" style="270" customWidth="1"/>
    <col min="13826" max="13826" width="27.875" style="270" customWidth="1"/>
    <col min="13827" max="13827" width="42.25" style="270" customWidth="1"/>
    <col min="13828" max="13828" width="7.75" style="270" customWidth="1"/>
    <col min="13829" max="13829" width="6.875" style="270" customWidth="1"/>
    <col min="13830" max="13830" width="6.375" style="270" customWidth="1"/>
    <col min="13831" max="13832" width="7.25" style="270" customWidth="1"/>
    <col min="13833" max="13833" width="9.875" style="270" customWidth="1"/>
    <col min="13834" max="13834" width="9.75" style="270" customWidth="1"/>
    <col min="13835" max="13835" width="11.25" style="270" customWidth="1"/>
    <col min="13836" max="13836" width="13.75" style="270" customWidth="1"/>
    <col min="13837" max="13837" width="9.25" style="270" customWidth="1"/>
    <col min="13838" max="14080" width="9" style="270"/>
    <col min="14081" max="14081" width="6.125" style="270" customWidth="1"/>
    <col min="14082" max="14082" width="27.875" style="270" customWidth="1"/>
    <col min="14083" max="14083" width="42.25" style="270" customWidth="1"/>
    <col min="14084" max="14084" width="7.75" style="270" customWidth="1"/>
    <col min="14085" max="14085" width="6.875" style="270" customWidth="1"/>
    <col min="14086" max="14086" width="6.375" style="270" customWidth="1"/>
    <col min="14087" max="14088" width="7.25" style="270" customWidth="1"/>
    <col min="14089" max="14089" width="9.875" style="270" customWidth="1"/>
    <col min="14090" max="14090" width="9.75" style="270" customWidth="1"/>
    <col min="14091" max="14091" width="11.25" style="270" customWidth="1"/>
    <col min="14092" max="14092" width="13.75" style="270" customWidth="1"/>
    <col min="14093" max="14093" width="9.25" style="270" customWidth="1"/>
    <col min="14094" max="14336" width="9" style="270"/>
    <col min="14337" max="14337" width="6.125" style="270" customWidth="1"/>
    <col min="14338" max="14338" width="27.875" style="270" customWidth="1"/>
    <col min="14339" max="14339" width="42.25" style="270" customWidth="1"/>
    <col min="14340" max="14340" width="7.75" style="270" customWidth="1"/>
    <col min="14341" max="14341" width="6.875" style="270" customWidth="1"/>
    <col min="14342" max="14342" width="6.375" style="270" customWidth="1"/>
    <col min="14343" max="14344" width="7.25" style="270" customWidth="1"/>
    <col min="14345" max="14345" width="9.875" style="270" customWidth="1"/>
    <col min="14346" max="14346" width="9.75" style="270" customWidth="1"/>
    <col min="14347" max="14347" width="11.25" style="270" customWidth="1"/>
    <col min="14348" max="14348" width="13.75" style="270" customWidth="1"/>
    <col min="14349" max="14349" width="9.25" style="270" customWidth="1"/>
    <col min="14350" max="14592" width="9" style="270"/>
    <col min="14593" max="14593" width="6.125" style="270" customWidth="1"/>
    <col min="14594" max="14594" width="27.875" style="270" customWidth="1"/>
    <col min="14595" max="14595" width="42.25" style="270" customWidth="1"/>
    <col min="14596" max="14596" width="7.75" style="270" customWidth="1"/>
    <col min="14597" max="14597" width="6.875" style="270" customWidth="1"/>
    <col min="14598" max="14598" width="6.375" style="270" customWidth="1"/>
    <col min="14599" max="14600" width="7.25" style="270" customWidth="1"/>
    <col min="14601" max="14601" width="9.875" style="270" customWidth="1"/>
    <col min="14602" max="14602" width="9.75" style="270" customWidth="1"/>
    <col min="14603" max="14603" width="11.25" style="270" customWidth="1"/>
    <col min="14604" max="14604" width="13.75" style="270" customWidth="1"/>
    <col min="14605" max="14605" width="9.25" style="270" customWidth="1"/>
    <col min="14606" max="14848" width="9" style="270"/>
    <col min="14849" max="14849" width="6.125" style="270" customWidth="1"/>
    <col min="14850" max="14850" width="27.875" style="270" customWidth="1"/>
    <col min="14851" max="14851" width="42.25" style="270" customWidth="1"/>
    <col min="14852" max="14852" width="7.75" style="270" customWidth="1"/>
    <col min="14853" max="14853" width="6.875" style="270" customWidth="1"/>
    <col min="14854" max="14854" width="6.375" style="270" customWidth="1"/>
    <col min="14855" max="14856" width="7.25" style="270" customWidth="1"/>
    <col min="14857" max="14857" width="9.875" style="270" customWidth="1"/>
    <col min="14858" max="14858" width="9.75" style="270" customWidth="1"/>
    <col min="14859" max="14859" width="11.25" style="270" customWidth="1"/>
    <col min="14860" max="14860" width="13.75" style="270" customWidth="1"/>
    <col min="14861" max="14861" width="9.25" style="270" customWidth="1"/>
    <col min="14862" max="15104" width="9" style="270"/>
    <col min="15105" max="15105" width="6.125" style="270" customWidth="1"/>
    <col min="15106" max="15106" width="27.875" style="270" customWidth="1"/>
    <col min="15107" max="15107" width="42.25" style="270" customWidth="1"/>
    <col min="15108" max="15108" width="7.75" style="270" customWidth="1"/>
    <col min="15109" max="15109" width="6.875" style="270" customWidth="1"/>
    <col min="15110" max="15110" width="6.375" style="270" customWidth="1"/>
    <col min="15111" max="15112" width="7.25" style="270" customWidth="1"/>
    <col min="15113" max="15113" width="9.875" style="270" customWidth="1"/>
    <col min="15114" max="15114" width="9.75" style="270" customWidth="1"/>
    <col min="15115" max="15115" width="11.25" style="270" customWidth="1"/>
    <col min="15116" max="15116" width="13.75" style="270" customWidth="1"/>
    <col min="15117" max="15117" width="9.25" style="270" customWidth="1"/>
    <col min="15118" max="15360" width="9" style="270"/>
    <col min="15361" max="15361" width="6.125" style="270" customWidth="1"/>
    <col min="15362" max="15362" width="27.875" style="270" customWidth="1"/>
    <col min="15363" max="15363" width="42.25" style="270" customWidth="1"/>
    <col min="15364" max="15364" width="7.75" style="270" customWidth="1"/>
    <col min="15365" max="15365" width="6.875" style="270" customWidth="1"/>
    <col min="15366" max="15366" width="6.375" style="270" customWidth="1"/>
    <col min="15367" max="15368" width="7.25" style="270" customWidth="1"/>
    <col min="15369" max="15369" width="9.875" style="270" customWidth="1"/>
    <col min="15370" max="15370" width="9.75" style="270" customWidth="1"/>
    <col min="15371" max="15371" width="11.25" style="270" customWidth="1"/>
    <col min="15372" max="15372" width="13.75" style="270" customWidth="1"/>
    <col min="15373" max="15373" width="9.25" style="270" customWidth="1"/>
    <col min="15374" max="15616" width="9" style="270"/>
    <col min="15617" max="15617" width="6.125" style="270" customWidth="1"/>
    <col min="15618" max="15618" width="27.875" style="270" customWidth="1"/>
    <col min="15619" max="15619" width="42.25" style="270" customWidth="1"/>
    <col min="15620" max="15620" width="7.75" style="270" customWidth="1"/>
    <col min="15621" max="15621" width="6.875" style="270" customWidth="1"/>
    <col min="15622" max="15622" width="6.375" style="270" customWidth="1"/>
    <col min="15623" max="15624" width="7.25" style="270" customWidth="1"/>
    <col min="15625" max="15625" width="9.875" style="270" customWidth="1"/>
    <col min="15626" max="15626" width="9.75" style="270" customWidth="1"/>
    <col min="15627" max="15627" width="11.25" style="270" customWidth="1"/>
    <col min="15628" max="15628" width="13.75" style="270" customWidth="1"/>
    <col min="15629" max="15629" width="9.25" style="270" customWidth="1"/>
    <col min="15630" max="15872" width="9" style="270"/>
    <col min="15873" max="15873" width="6.125" style="270" customWidth="1"/>
    <col min="15874" max="15874" width="27.875" style="270" customWidth="1"/>
    <col min="15875" max="15875" width="42.25" style="270" customWidth="1"/>
    <col min="15876" max="15876" width="7.75" style="270" customWidth="1"/>
    <col min="15877" max="15877" width="6.875" style="270" customWidth="1"/>
    <col min="15878" max="15878" width="6.375" style="270" customWidth="1"/>
    <col min="15879" max="15880" width="7.25" style="270" customWidth="1"/>
    <col min="15881" max="15881" width="9.875" style="270" customWidth="1"/>
    <col min="15882" max="15882" width="9.75" style="270" customWidth="1"/>
    <col min="15883" max="15883" width="11.25" style="270" customWidth="1"/>
    <col min="15884" max="15884" width="13.75" style="270" customWidth="1"/>
    <col min="15885" max="15885" width="9.25" style="270" customWidth="1"/>
    <col min="15886" max="16128" width="9" style="270"/>
    <col min="16129" max="16129" width="6.125" style="270" customWidth="1"/>
    <col min="16130" max="16130" width="27.875" style="270" customWidth="1"/>
    <col min="16131" max="16131" width="42.25" style="270" customWidth="1"/>
    <col min="16132" max="16132" width="7.75" style="270" customWidth="1"/>
    <col min="16133" max="16133" width="6.875" style="270" customWidth="1"/>
    <col min="16134" max="16134" width="6.375" style="270" customWidth="1"/>
    <col min="16135" max="16136" width="7.25" style="270" customWidth="1"/>
    <col min="16137" max="16137" width="9.875" style="270" customWidth="1"/>
    <col min="16138" max="16138" width="9.75" style="270" customWidth="1"/>
    <col min="16139" max="16139" width="11.25" style="270" customWidth="1"/>
    <col min="16140" max="16140" width="13.75" style="270" customWidth="1"/>
    <col min="16141" max="16141" width="9.25" style="270" customWidth="1"/>
    <col min="16142" max="16384" width="9" style="270"/>
  </cols>
  <sheetData>
    <row r="1" spans="1:62">
      <c r="A1" s="270" t="s">
        <v>375</v>
      </c>
    </row>
    <row r="2" spans="1:62" ht="24.75" customHeight="1">
      <c r="A2" s="408" t="s">
        <v>357</v>
      </c>
      <c r="B2" s="408"/>
      <c r="C2" s="408"/>
      <c r="D2" s="408"/>
      <c r="E2" s="408"/>
      <c r="F2" s="408"/>
      <c r="G2" s="408"/>
      <c r="H2" s="408"/>
      <c r="I2" s="408"/>
      <c r="J2" s="408"/>
      <c r="K2" s="408"/>
      <c r="L2" s="408"/>
    </row>
    <row r="3" spans="1:62" ht="24.75" customHeight="1">
      <c r="A3" s="407" t="str">
        <f>总概!A3:E3</f>
        <v>项目名称：大连船舶重工集团装备制造有限公司装备制造基地建设项目（二期）</v>
      </c>
      <c r="B3" s="407"/>
      <c r="C3" s="407"/>
      <c r="D3" s="407"/>
      <c r="E3" s="343"/>
      <c r="F3" s="343"/>
      <c r="G3" s="343"/>
      <c r="H3" s="343"/>
      <c r="I3" s="343"/>
      <c r="J3" s="343"/>
      <c r="K3" s="344"/>
      <c r="L3" s="344"/>
    </row>
    <row r="4" spans="1:62" s="269" customFormat="1" ht="14.25" customHeight="1">
      <c r="A4" s="409" t="s">
        <v>358</v>
      </c>
      <c r="B4" s="410" t="s">
        <v>15</v>
      </c>
      <c r="C4" s="410" t="s">
        <v>359</v>
      </c>
      <c r="D4" s="410" t="s">
        <v>360</v>
      </c>
      <c r="E4" s="410" t="s">
        <v>11</v>
      </c>
      <c r="F4" s="410" t="s">
        <v>17</v>
      </c>
      <c r="G4" s="410"/>
      <c r="H4" s="410"/>
      <c r="I4" s="411" t="s">
        <v>361</v>
      </c>
      <c r="J4" s="412"/>
      <c r="K4" s="410" t="s">
        <v>246</v>
      </c>
      <c r="L4" s="410" t="s">
        <v>19</v>
      </c>
    </row>
    <row r="5" spans="1:62">
      <c r="A5" s="409"/>
      <c r="B5" s="410"/>
      <c r="C5" s="410"/>
      <c r="D5" s="410"/>
      <c r="E5" s="410"/>
      <c r="F5" s="268" t="s">
        <v>362</v>
      </c>
      <c r="G5" s="268" t="s">
        <v>363</v>
      </c>
      <c r="H5" s="268" t="s">
        <v>364</v>
      </c>
      <c r="I5" s="268" t="s">
        <v>20</v>
      </c>
      <c r="J5" s="268" t="s">
        <v>21</v>
      </c>
      <c r="K5" s="410"/>
      <c r="L5" s="410"/>
      <c r="AZ5" s="270"/>
      <c r="BA5" s="270"/>
      <c r="BB5" s="270"/>
      <c r="BC5" s="270"/>
      <c r="BD5" s="270"/>
      <c r="BE5" s="270"/>
      <c r="BF5" s="270"/>
      <c r="BG5" s="270"/>
      <c r="BH5" s="270"/>
      <c r="BI5" s="270"/>
      <c r="BJ5" s="270"/>
    </row>
    <row r="6" spans="1:62">
      <c r="A6" s="345"/>
      <c r="B6" s="249" t="s">
        <v>273</v>
      </c>
      <c r="C6" s="249"/>
      <c r="D6" s="249"/>
      <c r="E6" s="268"/>
      <c r="F6" s="268"/>
      <c r="G6" s="268"/>
      <c r="H6" s="268"/>
      <c r="I6" s="268"/>
      <c r="J6" s="268"/>
      <c r="K6" s="268"/>
      <c r="L6" s="268"/>
      <c r="AZ6" s="270"/>
      <c r="BA6" s="270"/>
      <c r="BB6" s="270"/>
      <c r="BC6" s="270"/>
      <c r="BD6" s="270"/>
      <c r="BE6" s="270"/>
      <c r="BF6" s="270"/>
      <c r="BG6" s="270"/>
      <c r="BH6" s="270"/>
      <c r="BI6" s="270"/>
      <c r="BJ6" s="270"/>
    </row>
    <row r="7" spans="1:62">
      <c r="A7" s="248"/>
      <c r="B7" s="358" t="s">
        <v>304</v>
      </c>
      <c r="C7" s="250"/>
      <c r="D7" s="251"/>
      <c r="E7" s="252"/>
      <c r="F7" s="252"/>
      <c r="G7" s="253"/>
      <c r="H7" s="253"/>
      <c r="I7" s="254"/>
      <c r="J7" s="254"/>
      <c r="K7" s="255"/>
      <c r="L7" s="255"/>
      <c r="AZ7" s="270"/>
      <c r="BA7" s="270"/>
      <c r="BB7" s="270"/>
      <c r="BC7" s="270"/>
      <c r="BD7" s="270"/>
      <c r="BE7" s="270"/>
      <c r="BF7" s="270"/>
      <c r="BG7" s="270"/>
      <c r="BH7" s="270"/>
      <c r="BI7" s="270"/>
      <c r="BJ7" s="270"/>
    </row>
    <row r="8" spans="1:62" ht="36.75" customHeight="1">
      <c r="A8" s="256" t="s">
        <v>305</v>
      </c>
      <c r="B8" s="250" t="s">
        <v>306</v>
      </c>
      <c r="C8" s="250" t="s">
        <v>307</v>
      </c>
      <c r="D8" s="251" t="s">
        <v>308</v>
      </c>
      <c r="E8" s="251" t="s">
        <v>10</v>
      </c>
      <c r="F8" s="252"/>
      <c r="G8" s="125">
        <v>1</v>
      </c>
      <c r="H8" s="125">
        <f t="shared" ref="H8:H14" si="0">G8</f>
        <v>1</v>
      </c>
      <c r="I8" s="254">
        <v>159</v>
      </c>
      <c r="J8" s="254">
        <f t="shared" ref="J8:J14" si="1">I8*H8</f>
        <v>159</v>
      </c>
      <c r="K8" s="254" t="s">
        <v>309</v>
      </c>
      <c r="L8" s="255"/>
      <c r="AZ8" s="270"/>
      <c r="BA8" s="270"/>
      <c r="BB8" s="270"/>
      <c r="BC8" s="270"/>
      <c r="BD8" s="270"/>
      <c r="BE8" s="270"/>
      <c r="BF8" s="270"/>
      <c r="BG8" s="270"/>
      <c r="BH8" s="270"/>
      <c r="BI8" s="270"/>
      <c r="BJ8" s="270"/>
    </row>
    <row r="9" spans="1:62" ht="15" customHeight="1">
      <c r="A9" s="256" t="s">
        <v>310</v>
      </c>
      <c r="B9" s="250" t="s">
        <v>311</v>
      </c>
      <c r="C9" s="250" t="s">
        <v>312</v>
      </c>
      <c r="D9" s="251" t="s">
        <v>308</v>
      </c>
      <c r="E9" s="251" t="s">
        <v>9</v>
      </c>
      <c r="F9" s="252"/>
      <c r="G9" s="125">
        <v>1</v>
      </c>
      <c r="H9" s="125">
        <f t="shared" si="0"/>
        <v>1</v>
      </c>
      <c r="I9" s="254">
        <v>250</v>
      </c>
      <c r="J9" s="254">
        <f t="shared" si="1"/>
        <v>250</v>
      </c>
      <c r="K9" s="254" t="s">
        <v>309</v>
      </c>
      <c r="L9" s="255"/>
      <c r="AZ9" s="270"/>
      <c r="BA9" s="270"/>
      <c r="BB9" s="270"/>
      <c r="BC9" s="270"/>
      <c r="BD9" s="270"/>
      <c r="BE9" s="270"/>
      <c r="BF9" s="270"/>
      <c r="BG9" s="270"/>
      <c r="BH9" s="270"/>
      <c r="BI9" s="270"/>
      <c r="BJ9" s="270"/>
    </row>
    <row r="10" spans="1:62">
      <c r="A10" s="256" t="s">
        <v>313</v>
      </c>
      <c r="B10" s="250" t="s">
        <v>314</v>
      </c>
      <c r="C10" s="250" t="s">
        <v>315</v>
      </c>
      <c r="D10" s="251" t="s">
        <v>308</v>
      </c>
      <c r="E10" s="251" t="s">
        <v>9</v>
      </c>
      <c r="F10" s="252"/>
      <c r="G10" s="125">
        <v>1</v>
      </c>
      <c r="H10" s="125">
        <f t="shared" si="0"/>
        <v>1</v>
      </c>
      <c r="I10" s="254">
        <v>140</v>
      </c>
      <c r="J10" s="254">
        <f t="shared" si="1"/>
        <v>140</v>
      </c>
      <c r="K10" s="254" t="s">
        <v>309</v>
      </c>
      <c r="L10" s="255"/>
      <c r="AZ10" s="270"/>
      <c r="BA10" s="270"/>
      <c r="BB10" s="270"/>
      <c r="BC10" s="270"/>
      <c r="BD10" s="270"/>
      <c r="BE10" s="270"/>
      <c r="BF10" s="270"/>
      <c r="BG10" s="270"/>
      <c r="BH10" s="270"/>
      <c r="BI10" s="270"/>
      <c r="BJ10" s="270"/>
    </row>
    <row r="11" spans="1:62" ht="42.75" customHeight="1">
      <c r="A11" s="256" t="s">
        <v>316</v>
      </c>
      <c r="B11" s="250" t="s">
        <v>317</v>
      </c>
      <c r="C11" s="250" t="s">
        <v>318</v>
      </c>
      <c r="D11" s="251" t="s">
        <v>308</v>
      </c>
      <c r="E11" s="251" t="s">
        <v>9</v>
      </c>
      <c r="F11" s="252"/>
      <c r="G11" s="125">
        <v>1</v>
      </c>
      <c r="H11" s="125">
        <f t="shared" si="0"/>
        <v>1</v>
      </c>
      <c r="I11" s="254">
        <v>485.54</v>
      </c>
      <c r="J11" s="254">
        <f t="shared" si="1"/>
        <v>485.54</v>
      </c>
      <c r="K11" s="254" t="s">
        <v>309</v>
      </c>
      <c r="L11" s="255"/>
      <c r="AZ11" s="270"/>
      <c r="BA11" s="270"/>
      <c r="BB11" s="270"/>
      <c r="BC11" s="270"/>
      <c r="BD11" s="270"/>
      <c r="BE11" s="270"/>
      <c r="BF11" s="270"/>
      <c r="BG11" s="270"/>
      <c r="BH11" s="270"/>
      <c r="BI11" s="270"/>
      <c r="BJ11" s="270"/>
    </row>
    <row r="12" spans="1:62" ht="17.25" customHeight="1">
      <c r="A12" s="256" t="s">
        <v>319</v>
      </c>
      <c r="B12" s="250" t="s">
        <v>320</v>
      </c>
      <c r="C12" s="250" t="s">
        <v>321</v>
      </c>
      <c r="D12" s="251" t="s">
        <v>308</v>
      </c>
      <c r="E12" s="251" t="s">
        <v>9</v>
      </c>
      <c r="F12" s="252"/>
      <c r="G12" s="125">
        <v>1</v>
      </c>
      <c r="H12" s="125">
        <f t="shared" si="0"/>
        <v>1</v>
      </c>
      <c r="I12" s="254">
        <v>36.5</v>
      </c>
      <c r="J12" s="254">
        <f t="shared" si="1"/>
        <v>36.5</v>
      </c>
      <c r="K12" s="255"/>
      <c r="L12" s="255"/>
      <c r="AZ12" s="270"/>
      <c r="BA12" s="270"/>
      <c r="BB12" s="270"/>
      <c r="BC12" s="270"/>
      <c r="BD12" s="270"/>
      <c r="BE12" s="270"/>
      <c r="BF12" s="270"/>
      <c r="BG12" s="270"/>
      <c r="BH12" s="270"/>
      <c r="BI12" s="270"/>
      <c r="BJ12" s="270"/>
    </row>
    <row r="13" spans="1:62" s="272" customFormat="1" ht="17.25" customHeight="1">
      <c r="A13" s="256" t="s">
        <v>322</v>
      </c>
      <c r="B13" s="250" t="s">
        <v>323</v>
      </c>
      <c r="C13" s="250"/>
      <c r="D13" s="251" t="s">
        <v>308</v>
      </c>
      <c r="E13" s="251" t="s">
        <v>9</v>
      </c>
      <c r="F13" s="252"/>
      <c r="G13" s="125">
        <v>1</v>
      </c>
      <c r="H13" s="125">
        <v>1</v>
      </c>
      <c r="I13" s="254">
        <v>150</v>
      </c>
      <c r="J13" s="254">
        <f t="shared" si="1"/>
        <v>150</v>
      </c>
      <c r="K13" s="255" t="s">
        <v>248</v>
      </c>
      <c r="L13" s="255" t="s">
        <v>324</v>
      </c>
      <c r="M13" s="271"/>
      <c r="N13" s="271"/>
      <c r="O13" s="271"/>
      <c r="P13" s="271"/>
      <c r="Q13" s="271"/>
      <c r="R13" s="271"/>
      <c r="S13" s="271"/>
      <c r="T13" s="271"/>
      <c r="U13" s="271"/>
      <c r="V13" s="271"/>
      <c r="W13" s="271"/>
      <c r="X13" s="271"/>
      <c r="Y13" s="271"/>
      <c r="Z13" s="271"/>
      <c r="AA13" s="271"/>
      <c r="AB13" s="271"/>
      <c r="AC13" s="271"/>
      <c r="AD13" s="271"/>
      <c r="AE13" s="271"/>
      <c r="AF13" s="271"/>
      <c r="AG13" s="271"/>
      <c r="AH13" s="271"/>
      <c r="AI13" s="271"/>
      <c r="AJ13" s="271"/>
      <c r="AK13" s="271"/>
      <c r="AL13" s="271"/>
      <c r="AM13" s="271"/>
      <c r="AN13" s="271"/>
      <c r="AO13" s="271"/>
      <c r="AP13" s="271"/>
      <c r="AQ13" s="271"/>
      <c r="AR13" s="271"/>
      <c r="AS13" s="271"/>
      <c r="AT13" s="271"/>
      <c r="AU13" s="271"/>
      <c r="AV13" s="271"/>
      <c r="AW13" s="271"/>
      <c r="AX13" s="271"/>
      <c r="AY13" s="271"/>
    </row>
    <row r="14" spans="1:62" ht="36" customHeight="1">
      <c r="A14" s="256" t="s">
        <v>325</v>
      </c>
      <c r="B14" s="250" t="s">
        <v>326</v>
      </c>
      <c r="C14" s="250" t="s">
        <v>327</v>
      </c>
      <c r="D14" s="251" t="s">
        <v>308</v>
      </c>
      <c r="E14" s="251" t="s">
        <v>9</v>
      </c>
      <c r="F14" s="252"/>
      <c r="G14" s="125">
        <v>2</v>
      </c>
      <c r="H14" s="253">
        <f t="shared" si="0"/>
        <v>2</v>
      </c>
      <c r="I14" s="254">
        <v>24.8</v>
      </c>
      <c r="J14" s="254">
        <f t="shared" si="1"/>
        <v>49.6</v>
      </c>
      <c r="K14" s="255"/>
      <c r="L14" s="255"/>
      <c r="AZ14" s="270"/>
      <c r="BA14" s="270"/>
      <c r="BB14" s="270"/>
      <c r="BC14" s="270"/>
      <c r="BD14" s="270"/>
      <c r="BE14" s="270"/>
      <c r="BF14" s="270"/>
      <c r="BG14" s="270"/>
      <c r="BH14" s="270"/>
      <c r="BI14" s="270"/>
      <c r="BJ14" s="270"/>
    </row>
    <row r="15" spans="1:62">
      <c r="A15" s="250"/>
      <c r="B15" s="251" t="s">
        <v>87</v>
      </c>
      <c r="C15" s="250"/>
      <c r="D15" s="250"/>
      <c r="E15" s="250"/>
      <c r="F15" s="250"/>
      <c r="G15" s="125">
        <f>SUM(G8:G14)</f>
        <v>8</v>
      </c>
      <c r="H15" s="125">
        <f>SUM(H8:H14)</f>
        <v>8</v>
      </c>
      <c r="I15" s="125"/>
      <c r="J15" s="125">
        <f>SUM(J8:J14)</f>
        <v>1270.6399999999999</v>
      </c>
      <c r="K15" s="250"/>
      <c r="L15" s="250"/>
    </row>
    <row r="16" spans="1:62">
      <c r="A16" s="248"/>
      <c r="B16" s="358" t="s">
        <v>328</v>
      </c>
      <c r="C16" s="250"/>
      <c r="D16" s="251"/>
      <c r="E16" s="252"/>
      <c r="F16" s="252"/>
      <c r="G16" s="253"/>
      <c r="H16" s="253"/>
      <c r="I16" s="254"/>
      <c r="J16" s="254"/>
      <c r="K16" s="255"/>
      <c r="L16" s="255"/>
      <c r="AZ16" s="270"/>
      <c r="BA16" s="270"/>
      <c r="BB16" s="270"/>
      <c r="BC16" s="270"/>
      <c r="BD16" s="270"/>
      <c r="BE16" s="270"/>
      <c r="BF16" s="270"/>
      <c r="BG16" s="270"/>
      <c r="BH16" s="270"/>
      <c r="BI16" s="270"/>
      <c r="BJ16" s="270"/>
    </row>
    <row r="17" spans="1:62">
      <c r="A17" s="256" t="s">
        <v>305</v>
      </c>
      <c r="B17" s="250" t="s">
        <v>329</v>
      </c>
      <c r="C17" s="250"/>
      <c r="D17" s="251" t="s">
        <v>330</v>
      </c>
      <c r="E17" s="251" t="s">
        <v>331</v>
      </c>
      <c r="F17" s="252"/>
      <c r="G17" s="125">
        <v>1</v>
      </c>
      <c r="H17" s="253">
        <v>1</v>
      </c>
      <c r="I17" s="254">
        <v>199.8</v>
      </c>
      <c r="J17" s="254">
        <f>H17*I17</f>
        <v>199.8</v>
      </c>
      <c r="K17" s="255" t="s">
        <v>309</v>
      </c>
      <c r="L17" s="255"/>
      <c r="AZ17" s="270"/>
      <c r="BA17" s="270"/>
      <c r="BB17" s="270"/>
      <c r="BC17" s="270"/>
      <c r="BD17" s="270"/>
      <c r="BE17" s="270"/>
      <c r="BF17" s="270"/>
      <c r="BG17" s="270"/>
      <c r="BH17" s="270"/>
      <c r="BI17" s="270"/>
      <c r="BJ17" s="270"/>
    </row>
    <row r="18" spans="1:62">
      <c r="A18" s="256" t="s">
        <v>332</v>
      </c>
      <c r="B18" s="250" t="s">
        <v>333</v>
      </c>
      <c r="C18" s="250" t="s">
        <v>334</v>
      </c>
      <c r="D18" s="251" t="s">
        <v>308</v>
      </c>
      <c r="E18" s="251" t="s">
        <v>10</v>
      </c>
      <c r="F18" s="252"/>
      <c r="G18" s="257" t="s">
        <v>332</v>
      </c>
      <c r="H18" s="257" t="s">
        <v>332</v>
      </c>
      <c r="I18" s="257" t="s">
        <v>335</v>
      </c>
      <c r="J18" s="257" t="s">
        <v>335</v>
      </c>
      <c r="K18" s="255"/>
      <c r="L18" s="255"/>
      <c r="AZ18" s="270"/>
      <c r="BA18" s="270"/>
      <c r="BB18" s="270"/>
      <c r="BC18" s="270"/>
      <c r="BD18" s="270"/>
      <c r="BE18" s="270"/>
      <c r="BF18" s="270"/>
      <c r="BG18" s="270"/>
      <c r="BH18" s="270"/>
      <c r="BI18" s="270"/>
      <c r="BJ18" s="270"/>
    </row>
    <row r="19" spans="1:62">
      <c r="A19" s="256" t="s">
        <v>336</v>
      </c>
      <c r="B19" s="250" t="s">
        <v>337</v>
      </c>
      <c r="C19" s="250" t="s">
        <v>338</v>
      </c>
      <c r="D19" s="251" t="s">
        <v>308</v>
      </c>
      <c r="E19" s="251" t="s">
        <v>9</v>
      </c>
      <c r="F19" s="252"/>
      <c r="G19" s="257" t="s">
        <v>332</v>
      </c>
      <c r="H19" s="257" t="s">
        <v>332</v>
      </c>
      <c r="I19" s="257" t="s">
        <v>339</v>
      </c>
      <c r="J19" s="257" t="s">
        <v>339</v>
      </c>
      <c r="K19" s="255"/>
      <c r="L19" s="255"/>
      <c r="AZ19" s="270"/>
      <c r="BA19" s="270"/>
      <c r="BB19" s="270"/>
      <c r="BC19" s="270"/>
      <c r="BD19" s="270"/>
      <c r="BE19" s="270"/>
      <c r="BF19" s="270"/>
      <c r="BG19" s="270"/>
      <c r="BH19" s="270"/>
      <c r="BI19" s="270"/>
      <c r="BJ19" s="270"/>
    </row>
    <row r="20" spans="1:62">
      <c r="A20" s="256" t="s">
        <v>340</v>
      </c>
      <c r="B20" s="250" t="s">
        <v>421</v>
      </c>
      <c r="C20" s="250" t="s">
        <v>422</v>
      </c>
      <c r="D20" s="251" t="s">
        <v>423</v>
      </c>
      <c r="E20" s="251" t="s">
        <v>424</v>
      </c>
      <c r="F20" s="252"/>
      <c r="G20" s="257" t="s">
        <v>425</v>
      </c>
      <c r="H20" s="257" t="s">
        <v>425</v>
      </c>
      <c r="I20" s="257" t="s">
        <v>426</v>
      </c>
      <c r="J20" s="257" t="s">
        <v>426</v>
      </c>
      <c r="K20" s="255"/>
      <c r="L20" s="255"/>
      <c r="AZ20" s="270"/>
      <c r="BA20" s="270"/>
      <c r="BB20" s="270"/>
      <c r="BC20" s="270"/>
      <c r="BD20" s="270"/>
      <c r="BE20" s="270"/>
      <c r="BF20" s="270"/>
      <c r="BG20" s="270"/>
      <c r="BH20" s="270"/>
      <c r="BI20" s="270"/>
      <c r="BJ20" s="270"/>
    </row>
    <row r="21" spans="1:62">
      <c r="A21" s="256" t="s">
        <v>427</v>
      </c>
      <c r="B21" s="250" t="s">
        <v>428</v>
      </c>
      <c r="C21" s="250"/>
      <c r="D21" s="255" t="s">
        <v>423</v>
      </c>
      <c r="E21" s="251" t="s">
        <v>429</v>
      </c>
      <c r="F21" s="252"/>
      <c r="G21" s="258">
        <v>1</v>
      </c>
      <c r="H21" s="259">
        <f>SUM(F21:G21)</f>
        <v>1</v>
      </c>
      <c r="I21" s="260">
        <v>115</v>
      </c>
      <c r="J21" s="260">
        <f>H21*I21</f>
        <v>115</v>
      </c>
      <c r="K21" s="255" t="s">
        <v>430</v>
      </c>
      <c r="L21" s="255"/>
      <c r="AZ21" s="270"/>
      <c r="BA21" s="270"/>
      <c r="BB21" s="270"/>
      <c r="BC21" s="270"/>
      <c r="BD21" s="270"/>
      <c r="BE21" s="270"/>
      <c r="BF21" s="270"/>
      <c r="BG21" s="270"/>
      <c r="BH21" s="270"/>
      <c r="BI21" s="270"/>
      <c r="BJ21" s="270"/>
    </row>
    <row r="22" spans="1:62">
      <c r="A22" s="256" t="s">
        <v>431</v>
      </c>
      <c r="B22" s="250" t="s">
        <v>432</v>
      </c>
      <c r="C22" s="250" t="s">
        <v>433</v>
      </c>
      <c r="D22" s="251" t="s">
        <v>434</v>
      </c>
      <c r="E22" s="251" t="s">
        <v>424</v>
      </c>
      <c r="F22" s="252"/>
      <c r="G22" s="257" t="s">
        <v>425</v>
      </c>
      <c r="H22" s="257" t="s">
        <v>425</v>
      </c>
      <c r="I22" s="257" t="s">
        <v>435</v>
      </c>
      <c r="J22" s="257" t="s">
        <v>435</v>
      </c>
      <c r="K22" s="255"/>
      <c r="L22" s="255"/>
      <c r="AZ22" s="270"/>
      <c r="BA22" s="270"/>
      <c r="BB22" s="270"/>
      <c r="BC22" s="270"/>
      <c r="BD22" s="270"/>
      <c r="BE22" s="270"/>
      <c r="BF22" s="270"/>
      <c r="BG22" s="270"/>
      <c r="BH22" s="270"/>
      <c r="BI22" s="270"/>
      <c r="BJ22" s="270"/>
    </row>
    <row r="23" spans="1:62">
      <c r="A23" s="256" t="s">
        <v>203</v>
      </c>
      <c r="B23" s="250" t="s">
        <v>436</v>
      </c>
      <c r="C23" s="250" t="s">
        <v>437</v>
      </c>
      <c r="D23" s="251" t="s">
        <v>378</v>
      </c>
      <c r="E23" s="251" t="s">
        <v>438</v>
      </c>
      <c r="F23" s="252"/>
      <c r="G23" s="257" t="s">
        <v>439</v>
      </c>
      <c r="H23" s="257" t="s">
        <v>439</v>
      </c>
      <c r="I23" s="257" t="s">
        <v>440</v>
      </c>
      <c r="J23" s="257" t="s">
        <v>440</v>
      </c>
      <c r="K23" s="255"/>
      <c r="L23" s="255"/>
      <c r="AZ23" s="270"/>
      <c r="BA23" s="270"/>
      <c r="BB23" s="270"/>
      <c r="BC23" s="270"/>
      <c r="BD23" s="270"/>
      <c r="BE23" s="270"/>
      <c r="BF23" s="270"/>
      <c r="BG23" s="270"/>
      <c r="BH23" s="270"/>
      <c r="BI23" s="270"/>
      <c r="BJ23" s="270"/>
    </row>
    <row r="24" spans="1:62">
      <c r="A24" s="256" t="s">
        <v>441</v>
      </c>
      <c r="B24" s="250" t="s">
        <v>442</v>
      </c>
      <c r="C24" s="250" t="s">
        <v>443</v>
      </c>
      <c r="D24" s="251" t="s">
        <v>378</v>
      </c>
      <c r="E24" s="251" t="s">
        <v>381</v>
      </c>
      <c r="F24" s="252"/>
      <c r="G24" s="257" t="s">
        <v>444</v>
      </c>
      <c r="H24" s="257" t="s">
        <v>444</v>
      </c>
      <c r="I24" s="257" t="s">
        <v>445</v>
      </c>
      <c r="J24" s="257" t="s">
        <v>446</v>
      </c>
      <c r="K24" s="255"/>
      <c r="L24" s="255"/>
      <c r="AZ24" s="270"/>
      <c r="BA24" s="270"/>
      <c r="BB24" s="270"/>
      <c r="BC24" s="270"/>
      <c r="BD24" s="270"/>
      <c r="BE24" s="270"/>
      <c r="BF24" s="270"/>
      <c r="BG24" s="270"/>
      <c r="BH24" s="270"/>
      <c r="BI24" s="270"/>
      <c r="BJ24" s="270"/>
    </row>
    <row r="25" spans="1:62">
      <c r="A25" s="256" t="s">
        <v>447</v>
      </c>
      <c r="B25" s="250" t="s">
        <v>448</v>
      </c>
      <c r="C25" s="250" t="s">
        <v>449</v>
      </c>
      <c r="D25" s="251" t="s">
        <v>378</v>
      </c>
      <c r="E25" s="251" t="s">
        <v>438</v>
      </c>
      <c r="F25" s="252"/>
      <c r="G25" s="257" t="s">
        <v>439</v>
      </c>
      <c r="H25" s="257" t="s">
        <v>439</v>
      </c>
      <c r="I25" s="257" t="s">
        <v>450</v>
      </c>
      <c r="J25" s="257" t="s">
        <v>450</v>
      </c>
      <c r="K25" s="254"/>
      <c r="L25" s="255"/>
      <c r="AZ25" s="270"/>
      <c r="BA25" s="270"/>
      <c r="BB25" s="270"/>
      <c r="BC25" s="270"/>
      <c r="BD25" s="270"/>
      <c r="BE25" s="270"/>
      <c r="BF25" s="270"/>
      <c r="BG25" s="270"/>
      <c r="BH25" s="270"/>
      <c r="BI25" s="270"/>
      <c r="BJ25" s="270"/>
    </row>
    <row r="26" spans="1:62">
      <c r="A26" s="256" t="s">
        <v>451</v>
      </c>
      <c r="B26" s="250" t="s">
        <v>452</v>
      </c>
      <c r="C26" s="250"/>
      <c r="D26" s="251" t="s">
        <v>453</v>
      </c>
      <c r="E26" s="251" t="s">
        <v>454</v>
      </c>
      <c r="F26" s="252"/>
      <c r="G26" s="259">
        <v>1</v>
      </c>
      <c r="H26" s="259">
        <f>SUM(F26:G26)</f>
        <v>1</v>
      </c>
      <c r="I26" s="260">
        <v>47.625</v>
      </c>
      <c r="J26" s="260">
        <f>I26*H26</f>
        <v>47.625</v>
      </c>
      <c r="K26" s="254"/>
      <c r="L26" s="255"/>
      <c r="AZ26" s="270"/>
      <c r="BA26" s="270"/>
      <c r="BB26" s="270"/>
      <c r="BC26" s="270"/>
      <c r="BD26" s="270"/>
      <c r="BE26" s="270"/>
      <c r="BF26" s="270"/>
      <c r="BG26" s="270"/>
      <c r="BH26" s="270"/>
      <c r="BI26" s="270"/>
      <c r="BJ26" s="270"/>
    </row>
    <row r="27" spans="1:62">
      <c r="A27" s="256" t="s">
        <v>439</v>
      </c>
      <c r="B27" s="250" t="s">
        <v>455</v>
      </c>
      <c r="C27" s="250" t="s">
        <v>456</v>
      </c>
      <c r="D27" s="251" t="s">
        <v>378</v>
      </c>
      <c r="E27" s="251" t="s">
        <v>438</v>
      </c>
      <c r="F27" s="252"/>
      <c r="G27" s="257" t="s">
        <v>439</v>
      </c>
      <c r="H27" s="257" t="s">
        <v>439</v>
      </c>
      <c r="I27" s="257" t="s">
        <v>457</v>
      </c>
      <c r="J27" s="257" t="s">
        <v>457</v>
      </c>
      <c r="K27" s="255"/>
      <c r="L27" s="255"/>
      <c r="AZ27" s="270"/>
      <c r="BA27" s="270"/>
      <c r="BB27" s="270"/>
      <c r="BC27" s="270"/>
      <c r="BD27" s="270"/>
      <c r="BE27" s="270"/>
      <c r="BF27" s="270"/>
      <c r="BG27" s="270"/>
      <c r="BH27" s="270"/>
      <c r="BI27" s="270"/>
      <c r="BJ27" s="270"/>
    </row>
    <row r="28" spans="1:62">
      <c r="A28" s="256" t="s">
        <v>444</v>
      </c>
      <c r="B28" s="250" t="s">
        <v>458</v>
      </c>
      <c r="C28" s="250" t="s">
        <v>459</v>
      </c>
      <c r="D28" s="251" t="s">
        <v>378</v>
      </c>
      <c r="E28" s="251" t="s">
        <v>381</v>
      </c>
      <c r="F28" s="252"/>
      <c r="G28" s="257" t="s">
        <v>439</v>
      </c>
      <c r="H28" s="257" t="s">
        <v>439</v>
      </c>
      <c r="I28" s="257" t="s">
        <v>460</v>
      </c>
      <c r="J28" s="257" t="s">
        <v>460</v>
      </c>
      <c r="K28" s="255"/>
      <c r="L28" s="255"/>
      <c r="AZ28" s="270"/>
      <c r="BA28" s="270"/>
      <c r="BB28" s="270"/>
      <c r="BC28" s="270"/>
      <c r="BD28" s="270"/>
      <c r="BE28" s="270"/>
      <c r="BF28" s="270"/>
      <c r="BG28" s="270"/>
      <c r="BH28" s="270"/>
      <c r="BI28" s="270"/>
      <c r="BJ28" s="270"/>
    </row>
    <row r="29" spans="1:62">
      <c r="A29" s="256" t="s">
        <v>340</v>
      </c>
      <c r="B29" s="250" t="s">
        <v>461</v>
      </c>
      <c r="C29" s="250" t="s">
        <v>462</v>
      </c>
      <c r="D29" s="251" t="s">
        <v>434</v>
      </c>
      <c r="E29" s="251" t="s">
        <v>424</v>
      </c>
      <c r="F29" s="252"/>
      <c r="G29" s="257" t="s">
        <v>425</v>
      </c>
      <c r="H29" s="257" t="s">
        <v>425</v>
      </c>
      <c r="I29" s="257" t="s">
        <v>463</v>
      </c>
      <c r="J29" s="257" t="s">
        <v>463</v>
      </c>
      <c r="K29" s="255"/>
      <c r="L29" s="255"/>
      <c r="AZ29" s="270"/>
      <c r="BA29" s="270"/>
      <c r="BB29" s="270"/>
      <c r="BC29" s="270"/>
      <c r="BD29" s="270"/>
      <c r="BE29" s="270"/>
      <c r="BF29" s="270"/>
      <c r="BG29" s="270"/>
      <c r="BH29" s="270"/>
      <c r="BI29" s="270"/>
      <c r="BJ29" s="270"/>
    </row>
    <row r="30" spans="1:62">
      <c r="A30" s="256" t="s">
        <v>464</v>
      </c>
      <c r="B30" s="250" t="s">
        <v>465</v>
      </c>
      <c r="C30" s="250"/>
      <c r="D30" s="251" t="s">
        <v>434</v>
      </c>
      <c r="E30" s="251" t="s">
        <v>429</v>
      </c>
      <c r="F30" s="252"/>
      <c r="G30" s="125">
        <v>1</v>
      </c>
      <c r="H30" s="259">
        <f>SUM(F30:G30)</f>
        <v>1</v>
      </c>
      <c r="I30" s="254">
        <v>67.275000000000006</v>
      </c>
      <c r="J30" s="254">
        <f>I30*H30</f>
        <v>67.275000000000006</v>
      </c>
      <c r="K30" s="255" t="s">
        <v>466</v>
      </c>
      <c r="L30" s="404" t="s">
        <v>467</v>
      </c>
      <c r="AZ30" s="270"/>
      <c r="BA30" s="270"/>
      <c r="BB30" s="270"/>
      <c r="BC30" s="270"/>
      <c r="BD30" s="270"/>
      <c r="BE30" s="270"/>
      <c r="BF30" s="270"/>
      <c r="BG30" s="270"/>
      <c r="BH30" s="270"/>
      <c r="BI30" s="270"/>
      <c r="BJ30" s="270"/>
    </row>
    <row r="31" spans="1:62">
      <c r="A31" s="256" t="s">
        <v>425</v>
      </c>
      <c r="B31" s="250" t="s">
        <v>468</v>
      </c>
      <c r="C31" s="250" t="s">
        <v>469</v>
      </c>
      <c r="D31" s="251" t="s">
        <v>434</v>
      </c>
      <c r="E31" s="251" t="s">
        <v>470</v>
      </c>
      <c r="F31" s="252"/>
      <c r="G31" s="257" t="s">
        <v>425</v>
      </c>
      <c r="H31" s="257" t="s">
        <v>425</v>
      </c>
      <c r="I31" s="257" t="s">
        <v>471</v>
      </c>
      <c r="J31" s="257" t="s">
        <v>471</v>
      </c>
      <c r="K31" s="255"/>
      <c r="L31" s="405"/>
      <c r="AZ31" s="270"/>
      <c r="BA31" s="270"/>
      <c r="BB31" s="270"/>
      <c r="BC31" s="270"/>
      <c r="BD31" s="270"/>
      <c r="BE31" s="270"/>
      <c r="BF31" s="270"/>
      <c r="BG31" s="270"/>
      <c r="BH31" s="270"/>
      <c r="BI31" s="270"/>
      <c r="BJ31" s="270"/>
    </row>
    <row r="32" spans="1:62">
      <c r="A32" s="256" t="s">
        <v>472</v>
      </c>
      <c r="B32" s="250" t="s">
        <v>473</v>
      </c>
      <c r="C32" s="250" t="s">
        <v>474</v>
      </c>
      <c r="D32" s="251" t="s">
        <v>434</v>
      </c>
      <c r="E32" s="251" t="s">
        <v>424</v>
      </c>
      <c r="F32" s="252"/>
      <c r="G32" s="257" t="s">
        <v>425</v>
      </c>
      <c r="H32" s="257" t="s">
        <v>425</v>
      </c>
      <c r="I32" s="261" t="s">
        <v>475</v>
      </c>
      <c r="J32" s="261" t="s">
        <v>475</v>
      </c>
      <c r="K32" s="255"/>
      <c r="L32" s="405"/>
      <c r="AZ32" s="270"/>
      <c r="BA32" s="270"/>
      <c r="BB32" s="270"/>
      <c r="BC32" s="270"/>
      <c r="BD32" s="270"/>
      <c r="BE32" s="270"/>
      <c r="BF32" s="270"/>
      <c r="BG32" s="270"/>
      <c r="BH32" s="270"/>
      <c r="BI32" s="270"/>
      <c r="BJ32" s="270"/>
    </row>
    <row r="33" spans="1:62">
      <c r="A33" s="256" t="s">
        <v>340</v>
      </c>
      <c r="B33" s="250" t="s">
        <v>461</v>
      </c>
      <c r="C33" s="250" t="s">
        <v>462</v>
      </c>
      <c r="D33" s="251" t="s">
        <v>434</v>
      </c>
      <c r="E33" s="251" t="s">
        <v>424</v>
      </c>
      <c r="F33" s="252"/>
      <c r="G33" s="257" t="s">
        <v>425</v>
      </c>
      <c r="H33" s="257" t="s">
        <v>425</v>
      </c>
      <c r="I33" s="257" t="s">
        <v>463</v>
      </c>
      <c r="J33" s="257" t="s">
        <v>463</v>
      </c>
      <c r="K33" s="255"/>
      <c r="L33" s="406"/>
      <c r="AZ33" s="270"/>
      <c r="BA33" s="270"/>
      <c r="BB33" s="270"/>
      <c r="BC33" s="270"/>
      <c r="BD33" s="270"/>
      <c r="BE33" s="270"/>
      <c r="BF33" s="270"/>
      <c r="BG33" s="270"/>
      <c r="BH33" s="270"/>
      <c r="BI33" s="270"/>
      <c r="BJ33" s="270"/>
    </row>
    <row r="34" spans="1:62">
      <c r="A34" s="256" t="s">
        <v>476</v>
      </c>
      <c r="B34" s="250" t="s">
        <v>465</v>
      </c>
      <c r="C34" s="250"/>
      <c r="D34" s="251" t="s">
        <v>434</v>
      </c>
      <c r="E34" s="251" t="s">
        <v>429</v>
      </c>
      <c r="F34" s="252"/>
      <c r="G34" s="125">
        <v>2</v>
      </c>
      <c r="H34" s="259">
        <f>SUM(F34:G34)</f>
        <v>2</v>
      </c>
      <c r="I34" s="254">
        <v>62.875</v>
      </c>
      <c r="J34" s="254">
        <f>I34*H34</f>
        <v>125.75</v>
      </c>
      <c r="K34" s="255" t="s">
        <v>477</v>
      </c>
      <c r="L34" s="255"/>
      <c r="AZ34" s="270"/>
      <c r="BA34" s="270"/>
      <c r="BB34" s="270"/>
      <c r="BC34" s="270"/>
      <c r="BD34" s="270"/>
      <c r="BE34" s="270"/>
      <c r="BF34" s="270"/>
      <c r="BG34" s="270"/>
      <c r="BH34" s="270"/>
      <c r="BI34" s="270"/>
      <c r="BJ34" s="270"/>
    </row>
    <row r="35" spans="1:62">
      <c r="A35" s="256" t="s">
        <v>425</v>
      </c>
      <c r="B35" s="250" t="s">
        <v>468</v>
      </c>
      <c r="C35" s="250" t="s">
        <v>469</v>
      </c>
      <c r="D35" s="251" t="s">
        <v>434</v>
      </c>
      <c r="E35" s="251" t="s">
        <v>470</v>
      </c>
      <c r="F35" s="252"/>
      <c r="G35" s="257" t="s">
        <v>472</v>
      </c>
      <c r="H35" s="257" t="s">
        <v>472</v>
      </c>
      <c r="I35" s="257" t="s">
        <v>471</v>
      </c>
      <c r="J35" s="257" t="s">
        <v>478</v>
      </c>
      <c r="K35" s="255"/>
      <c r="L35" s="255"/>
      <c r="AZ35" s="270"/>
      <c r="BA35" s="270"/>
      <c r="BB35" s="270"/>
      <c r="BC35" s="270"/>
      <c r="BD35" s="270"/>
      <c r="BE35" s="270"/>
      <c r="BF35" s="270"/>
      <c r="BG35" s="270"/>
      <c r="BH35" s="270"/>
      <c r="BI35" s="270"/>
      <c r="BJ35" s="270"/>
    </row>
    <row r="36" spans="1:62">
      <c r="A36" s="256" t="s">
        <v>472</v>
      </c>
      <c r="B36" s="250" t="s">
        <v>479</v>
      </c>
      <c r="C36" s="250" t="s">
        <v>480</v>
      </c>
      <c r="D36" s="251" t="s">
        <v>434</v>
      </c>
      <c r="E36" s="251" t="s">
        <v>424</v>
      </c>
      <c r="F36" s="252"/>
      <c r="G36" s="257" t="s">
        <v>472</v>
      </c>
      <c r="H36" s="257" t="s">
        <v>472</v>
      </c>
      <c r="I36" s="257" t="s">
        <v>481</v>
      </c>
      <c r="J36" s="257" t="s">
        <v>482</v>
      </c>
      <c r="K36" s="254"/>
      <c r="L36" s="255"/>
      <c r="AZ36" s="270"/>
      <c r="BA36" s="270"/>
      <c r="BB36" s="270"/>
      <c r="BC36" s="270"/>
      <c r="BD36" s="270"/>
      <c r="BE36" s="270"/>
      <c r="BF36" s="270"/>
      <c r="BG36" s="270"/>
      <c r="BH36" s="270"/>
      <c r="BI36" s="270"/>
      <c r="BJ36" s="270"/>
    </row>
    <row r="37" spans="1:62">
      <c r="A37" s="256" t="s">
        <v>340</v>
      </c>
      <c r="B37" s="250" t="s">
        <v>461</v>
      </c>
      <c r="C37" s="250" t="s">
        <v>462</v>
      </c>
      <c r="D37" s="251" t="s">
        <v>434</v>
      </c>
      <c r="E37" s="251" t="s">
        <v>424</v>
      </c>
      <c r="F37" s="252"/>
      <c r="G37" s="257" t="s">
        <v>472</v>
      </c>
      <c r="H37" s="257" t="s">
        <v>472</v>
      </c>
      <c r="I37" s="257" t="s">
        <v>463</v>
      </c>
      <c r="J37" s="257" t="s">
        <v>483</v>
      </c>
      <c r="K37" s="255"/>
      <c r="L37" s="255"/>
      <c r="AZ37" s="270"/>
      <c r="BA37" s="270"/>
      <c r="BB37" s="270"/>
      <c r="BC37" s="270"/>
      <c r="BD37" s="270"/>
      <c r="BE37" s="270"/>
      <c r="BF37" s="270"/>
      <c r="BG37" s="270"/>
      <c r="BH37" s="270"/>
      <c r="BI37" s="270"/>
      <c r="BJ37" s="270"/>
    </row>
    <row r="38" spans="1:62">
      <c r="A38" s="256" t="s">
        <v>484</v>
      </c>
      <c r="B38" s="250" t="s">
        <v>485</v>
      </c>
      <c r="C38" s="250" t="s">
        <v>486</v>
      </c>
      <c r="D38" s="251" t="s">
        <v>434</v>
      </c>
      <c r="E38" s="251" t="s">
        <v>424</v>
      </c>
      <c r="F38" s="252"/>
      <c r="G38" s="125">
        <v>1</v>
      </c>
      <c r="H38" s="125">
        <f t="shared" ref="H38:H45" si="2">G38</f>
        <v>1</v>
      </c>
      <c r="I38" s="254">
        <v>11.6</v>
      </c>
      <c r="J38" s="254">
        <f t="shared" ref="J38:J45" si="3">I38*H38</f>
        <v>11.6</v>
      </c>
      <c r="K38" s="255"/>
      <c r="L38" s="255"/>
      <c r="AZ38" s="270"/>
      <c r="BA38" s="270"/>
      <c r="BB38" s="270"/>
      <c r="BC38" s="270"/>
      <c r="BD38" s="270"/>
      <c r="BE38" s="270"/>
      <c r="BF38" s="270"/>
      <c r="BG38" s="270"/>
      <c r="BH38" s="270"/>
      <c r="BI38" s="270"/>
      <c r="BJ38" s="270"/>
    </row>
    <row r="39" spans="1:62">
      <c r="A39" s="256" t="s">
        <v>325</v>
      </c>
      <c r="B39" s="250" t="s">
        <v>487</v>
      </c>
      <c r="C39" s="250" t="s">
        <v>341</v>
      </c>
      <c r="D39" s="251" t="s">
        <v>434</v>
      </c>
      <c r="E39" s="251" t="s">
        <v>424</v>
      </c>
      <c r="F39" s="252"/>
      <c r="G39" s="125">
        <v>2</v>
      </c>
      <c r="H39" s="125">
        <f t="shared" si="2"/>
        <v>2</v>
      </c>
      <c r="I39" s="254">
        <v>42</v>
      </c>
      <c r="J39" s="254">
        <f t="shared" si="3"/>
        <v>84</v>
      </c>
      <c r="K39" s="255"/>
      <c r="L39" s="255"/>
      <c r="AZ39" s="270"/>
      <c r="BA39" s="270"/>
      <c r="BB39" s="270"/>
      <c r="BC39" s="270"/>
      <c r="BD39" s="270"/>
      <c r="BE39" s="270"/>
      <c r="BF39" s="270"/>
      <c r="BG39" s="270"/>
      <c r="BH39" s="270"/>
      <c r="BI39" s="270"/>
      <c r="BJ39" s="270"/>
    </row>
    <row r="40" spans="1:62">
      <c r="A40" s="256" t="s">
        <v>342</v>
      </c>
      <c r="B40" s="250" t="s">
        <v>487</v>
      </c>
      <c r="C40" s="250" t="s">
        <v>462</v>
      </c>
      <c r="D40" s="251" t="s">
        <v>434</v>
      </c>
      <c r="E40" s="251" t="s">
        <v>424</v>
      </c>
      <c r="F40" s="252"/>
      <c r="G40" s="125">
        <v>6</v>
      </c>
      <c r="H40" s="125">
        <f t="shared" si="2"/>
        <v>6</v>
      </c>
      <c r="I40" s="254">
        <v>9.3333333333333339</v>
      </c>
      <c r="J40" s="254">
        <f t="shared" si="3"/>
        <v>56</v>
      </c>
      <c r="K40" s="255"/>
      <c r="L40" s="255"/>
      <c r="AZ40" s="270"/>
      <c r="BA40" s="270"/>
      <c r="BB40" s="270"/>
      <c r="BC40" s="270"/>
      <c r="BD40" s="270"/>
      <c r="BE40" s="270"/>
      <c r="BF40" s="270"/>
      <c r="BG40" s="270"/>
      <c r="BH40" s="270"/>
      <c r="BI40" s="270"/>
      <c r="BJ40" s="270"/>
    </row>
    <row r="41" spans="1:62">
      <c r="A41" s="256" t="s">
        <v>343</v>
      </c>
      <c r="B41" s="250" t="s">
        <v>487</v>
      </c>
      <c r="C41" s="250" t="s">
        <v>488</v>
      </c>
      <c r="D41" s="251" t="s">
        <v>434</v>
      </c>
      <c r="E41" s="251" t="s">
        <v>424</v>
      </c>
      <c r="F41" s="252"/>
      <c r="G41" s="125">
        <v>2</v>
      </c>
      <c r="H41" s="125">
        <f t="shared" si="2"/>
        <v>2</v>
      </c>
      <c r="I41" s="254">
        <v>43.8</v>
      </c>
      <c r="J41" s="254">
        <f t="shared" si="3"/>
        <v>87.6</v>
      </c>
      <c r="K41" s="255"/>
      <c r="L41" s="255"/>
      <c r="AZ41" s="270"/>
      <c r="BA41" s="270"/>
      <c r="BB41" s="270"/>
      <c r="BC41" s="270"/>
      <c r="BD41" s="270"/>
      <c r="BE41" s="270"/>
      <c r="BF41" s="270"/>
      <c r="BG41" s="270"/>
      <c r="BH41" s="270"/>
      <c r="BI41" s="270"/>
      <c r="BJ41" s="270"/>
    </row>
    <row r="42" spans="1:62">
      <c r="A42" s="256" t="s">
        <v>344</v>
      </c>
      <c r="B42" s="250" t="s">
        <v>461</v>
      </c>
      <c r="C42" s="250" t="s">
        <v>489</v>
      </c>
      <c r="D42" s="251" t="s">
        <v>434</v>
      </c>
      <c r="E42" s="251" t="s">
        <v>424</v>
      </c>
      <c r="F42" s="252"/>
      <c r="G42" s="125">
        <v>4</v>
      </c>
      <c r="H42" s="125">
        <f t="shared" si="2"/>
        <v>4</v>
      </c>
      <c r="I42" s="254">
        <v>35</v>
      </c>
      <c r="J42" s="254">
        <f t="shared" si="3"/>
        <v>140</v>
      </c>
      <c r="K42" s="255"/>
      <c r="L42" s="255"/>
      <c r="AZ42" s="270"/>
      <c r="BA42" s="270"/>
      <c r="BB42" s="270"/>
      <c r="BC42" s="270"/>
      <c r="BD42" s="270"/>
      <c r="BE42" s="270"/>
      <c r="BF42" s="270"/>
      <c r="BG42" s="270"/>
      <c r="BH42" s="270"/>
      <c r="BI42" s="270"/>
      <c r="BJ42" s="270"/>
    </row>
    <row r="43" spans="1:62">
      <c r="A43" s="256" t="s">
        <v>345</v>
      </c>
      <c r="B43" s="250" t="s">
        <v>490</v>
      </c>
      <c r="C43" s="250" t="s">
        <v>491</v>
      </c>
      <c r="D43" s="251" t="s">
        <v>434</v>
      </c>
      <c r="E43" s="251" t="s">
        <v>424</v>
      </c>
      <c r="F43" s="252"/>
      <c r="G43" s="125">
        <v>1</v>
      </c>
      <c r="H43" s="125">
        <f t="shared" si="2"/>
        <v>1</v>
      </c>
      <c r="I43" s="254">
        <v>5</v>
      </c>
      <c r="J43" s="254">
        <f t="shared" si="3"/>
        <v>5</v>
      </c>
      <c r="K43" s="255"/>
      <c r="L43" s="255"/>
      <c r="AZ43" s="270"/>
      <c r="BA43" s="270"/>
      <c r="BB43" s="270"/>
      <c r="BC43" s="270"/>
      <c r="BD43" s="270"/>
      <c r="BE43" s="270"/>
      <c r="BF43" s="270"/>
      <c r="BG43" s="270"/>
      <c r="BH43" s="270"/>
      <c r="BI43" s="270"/>
      <c r="BJ43" s="270"/>
    </row>
    <row r="44" spans="1:62">
      <c r="A44" s="256" t="s">
        <v>346</v>
      </c>
      <c r="B44" s="250" t="s">
        <v>492</v>
      </c>
      <c r="C44" s="250" t="s">
        <v>493</v>
      </c>
      <c r="D44" s="251" t="s">
        <v>434</v>
      </c>
      <c r="E44" s="251" t="s">
        <v>470</v>
      </c>
      <c r="F44" s="252"/>
      <c r="G44" s="125">
        <v>1</v>
      </c>
      <c r="H44" s="125">
        <f t="shared" si="2"/>
        <v>1</v>
      </c>
      <c r="I44" s="254">
        <v>240.8</v>
      </c>
      <c r="J44" s="254">
        <f t="shared" si="3"/>
        <v>240.8</v>
      </c>
      <c r="K44" s="255" t="s">
        <v>494</v>
      </c>
      <c r="L44" s="254" t="s">
        <v>495</v>
      </c>
      <c r="AZ44" s="270"/>
      <c r="BA44" s="270"/>
      <c r="BB44" s="270"/>
      <c r="BC44" s="270"/>
      <c r="BD44" s="270"/>
      <c r="BE44" s="270"/>
      <c r="BF44" s="270"/>
      <c r="BG44" s="270"/>
      <c r="BH44" s="270"/>
      <c r="BI44" s="270"/>
      <c r="BJ44" s="270"/>
    </row>
    <row r="45" spans="1:62" ht="27.75" customHeight="1">
      <c r="A45" s="256" t="s">
        <v>347</v>
      </c>
      <c r="B45" s="250" t="s">
        <v>496</v>
      </c>
      <c r="C45" s="250" t="s">
        <v>497</v>
      </c>
      <c r="D45" s="251" t="s">
        <v>434</v>
      </c>
      <c r="E45" s="251" t="s">
        <v>424</v>
      </c>
      <c r="F45" s="252"/>
      <c r="G45" s="125">
        <v>1</v>
      </c>
      <c r="H45" s="125">
        <f t="shared" si="2"/>
        <v>1</v>
      </c>
      <c r="I45" s="254">
        <v>75</v>
      </c>
      <c r="J45" s="254">
        <f t="shared" si="3"/>
        <v>75</v>
      </c>
      <c r="K45" s="254" t="s">
        <v>430</v>
      </c>
      <c r="L45" s="255"/>
      <c r="AZ45" s="270"/>
      <c r="BA45" s="270"/>
      <c r="BB45" s="270"/>
      <c r="BC45" s="270"/>
      <c r="BD45" s="270"/>
      <c r="BE45" s="270"/>
      <c r="BF45" s="270"/>
      <c r="BG45" s="270"/>
      <c r="BH45" s="270"/>
      <c r="BI45" s="270"/>
      <c r="BJ45" s="270"/>
    </row>
    <row r="46" spans="1:62">
      <c r="A46" s="256" t="s">
        <v>348</v>
      </c>
      <c r="B46" s="262" t="s">
        <v>498</v>
      </c>
      <c r="C46" s="263" t="s">
        <v>499</v>
      </c>
      <c r="D46" s="251" t="s">
        <v>423</v>
      </c>
      <c r="E46" s="252" t="s">
        <v>429</v>
      </c>
      <c r="F46" s="252"/>
      <c r="G46" s="125">
        <v>2</v>
      </c>
      <c r="H46" s="253">
        <f>F46+G46</f>
        <v>2</v>
      </c>
      <c r="I46" s="254">
        <v>20</v>
      </c>
      <c r="J46" s="254">
        <f>G46*I46</f>
        <v>40</v>
      </c>
      <c r="K46" s="255" t="str">
        <f>IF(J46&gt;=50,"委托公开"," ")</f>
        <v xml:space="preserve"> </v>
      </c>
      <c r="L46" s="255"/>
      <c r="AZ46" s="270"/>
      <c r="BA46" s="270"/>
      <c r="BB46" s="270"/>
      <c r="BC46" s="270"/>
      <c r="BD46" s="270"/>
      <c r="BE46" s="270"/>
      <c r="BF46" s="270"/>
      <c r="BG46" s="270"/>
      <c r="BH46" s="270"/>
      <c r="BI46" s="270"/>
      <c r="BJ46" s="270"/>
    </row>
    <row r="47" spans="1:62">
      <c r="A47" s="256" t="s">
        <v>349</v>
      </c>
      <c r="B47" s="250" t="s">
        <v>500</v>
      </c>
      <c r="C47" s="250" t="s">
        <v>501</v>
      </c>
      <c r="D47" s="251" t="s">
        <v>434</v>
      </c>
      <c r="E47" s="251" t="s">
        <v>470</v>
      </c>
      <c r="F47" s="252"/>
      <c r="G47" s="125">
        <v>2</v>
      </c>
      <c r="H47" s="253">
        <f t="shared" ref="H47:H52" si="4">G47</f>
        <v>2</v>
      </c>
      <c r="I47" s="254">
        <v>20</v>
      </c>
      <c r="J47" s="254">
        <f t="shared" ref="J47:J52" si="5">I47*H47</f>
        <v>40</v>
      </c>
      <c r="K47" s="255"/>
      <c r="L47" s="255"/>
      <c r="AZ47" s="270"/>
      <c r="BA47" s="270"/>
      <c r="BB47" s="270"/>
      <c r="BC47" s="270"/>
      <c r="BD47" s="270"/>
      <c r="BE47" s="270"/>
      <c r="BF47" s="270"/>
      <c r="BG47" s="270"/>
      <c r="BH47" s="270"/>
      <c r="BI47" s="270"/>
      <c r="BJ47" s="270"/>
    </row>
    <row r="48" spans="1:62">
      <c r="A48" s="256" t="s">
        <v>350</v>
      </c>
      <c r="B48" s="250" t="s">
        <v>502</v>
      </c>
      <c r="C48" s="250" t="s">
        <v>503</v>
      </c>
      <c r="D48" s="251" t="s">
        <v>434</v>
      </c>
      <c r="E48" s="251" t="s">
        <v>424</v>
      </c>
      <c r="F48" s="252"/>
      <c r="G48" s="125">
        <v>1</v>
      </c>
      <c r="H48" s="125">
        <f t="shared" si="4"/>
        <v>1</v>
      </c>
      <c r="I48" s="254">
        <v>28.614999999999998</v>
      </c>
      <c r="J48" s="254">
        <f t="shared" si="5"/>
        <v>28.614999999999998</v>
      </c>
      <c r="K48" s="255"/>
      <c r="L48" s="255"/>
      <c r="AZ48" s="270"/>
      <c r="BA48" s="270"/>
      <c r="BB48" s="270"/>
      <c r="BC48" s="270"/>
      <c r="BD48" s="270"/>
      <c r="BE48" s="270"/>
      <c r="BF48" s="270"/>
      <c r="BG48" s="270"/>
      <c r="BH48" s="270"/>
      <c r="BI48" s="270"/>
      <c r="BJ48" s="270"/>
    </row>
    <row r="49" spans="1:62">
      <c r="A49" s="256" t="s">
        <v>351</v>
      </c>
      <c r="B49" s="250" t="s">
        <v>504</v>
      </c>
      <c r="C49" s="250" t="s">
        <v>505</v>
      </c>
      <c r="D49" s="251" t="s">
        <v>434</v>
      </c>
      <c r="E49" s="251" t="s">
        <v>470</v>
      </c>
      <c r="F49" s="252"/>
      <c r="G49" s="125">
        <v>1</v>
      </c>
      <c r="H49" s="125">
        <f t="shared" si="4"/>
        <v>1</v>
      </c>
      <c r="I49" s="254">
        <v>44</v>
      </c>
      <c r="J49" s="254">
        <f t="shared" si="5"/>
        <v>44</v>
      </c>
      <c r="K49" s="255"/>
      <c r="L49" s="255"/>
      <c r="AZ49" s="270"/>
      <c r="BA49" s="270"/>
      <c r="BB49" s="270"/>
      <c r="BC49" s="270"/>
      <c r="BD49" s="270"/>
      <c r="BE49" s="270"/>
      <c r="BF49" s="270"/>
      <c r="BG49" s="270"/>
      <c r="BH49" s="270"/>
      <c r="BI49" s="270"/>
      <c r="BJ49" s="270"/>
    </row>
    <row r="50" spans="1:62">
      <c r="A50" s="256" t="s">
        <v>352</v>
      </c>
      <c r="B50" s="250" t="s">
        <v>506</v>
      </c>
      <c r="C50" s="250" t="s">
        <v>507</v>
      </c>
      <c r="D50" s="251" t="s">
        <v>434</v>
      </c>
      <c r="E50" s="251" t="s">
        <v>470</v>
      </c>
      <c r="F50" s="252"/>
      <c r="G50" s="125">
        <v>6</v>
      </c>
      <c r="H50" s="125">
        <f t="shared" si="4"/>
        <v>6</v>
      </c>
      <c r="I50" s="254">
        <v>0.53</v>
      </c>
      <c r="J50" s="254">
        <f t="shared" si="5"/>
        <v>3.18</v>
      </c>
      <c r="K50" s="255"/>
      <c r="L50" s="255"/>
      <c r="AZ50" s="270"/>
      <c r="BA50" s="270"/>
      <c r="BB50" s="270"/>
      <c r="BC50" s="270"/>
      <c r="BD50" s="270"/>
      <c r="BE50" s="270"/>
      <c r="BF50" s="270"/>
      <c r="BG50" s="270"/>
      <c r="BH50" s="270"/>
      <c r="BI50" s="270"/>
      <c r="BJ50" s="270"/>
    </row>
    <row r="51" spans="1:62">
      <c r="A51" s="256" t="s">
        <v>353</v>
      </c>
      <c r="B51" s="250" t="s">
        <v>508</v>
      </c>
      <c r="C51" s="250" t="s">
        <v>507</v>
      </c>
      <c r="D51" s="251" t="s">
        <v>434</v>
      </c>
      <c r="E51" s="251" t="s">
        <v>470</v>
      </c>
      <c r="F51" s="252"/>
      <c r="G51" s="125">
        <v>5</v>
      </c>
      <c r="H51" s="125">
        <f t="shared" si="4"/>
        <v>5</v>
      </c>
      <c r="I51" s="254">
        <v>1</v>
      </c>
      <c r="J51" s="254">
        <f t="shared" si="5"/>
        <v>5</v>
      </c>
      <c r="K51" s="255"/>
      <c r="L51" s="255"/>
      <c r="AZ51" s="270"/>
      <c r="BA51" s="270"/>
      <c r="BB51" s="270"/>
      <c r="BC51" s="270"/>
      <c r="BD51" s="270"/>
      <c r="BE51" s="270"/>
      <c r="BF51" s="270"/>
      <c r="BG51" s="270"/>
      <c r="BH51" s="270"/>
      <c r="BI51" s="270"/>
      <c r="BJ51" s="270"/>
    </row>
    <row r="52" spans="1:62">
      <c r="A52" s="256" t="s">
        <v>354</v>
      </c>
      <c r="B52" s="250" t="s">
        <v>509</v>
      </c>
      <c r="C52" s="250" t="s">
        <v>469</v>
      </c>
      <c r="D52" s="251" t="s">
        <v>434</v>
      </c>
      <c r="E52" s="251" t="s">
        <v>424</v>
      </c>
      <c r="F52" s="252"/>
      <c r="G52" s="125">
        <v>4</v>
      </c>
      <c r="H52" s="125">
        <f t="shared" si="4"/>
        <v>4</v>
      </c>
      <c r="I52" s="254">
        <v>2.875</v>
      </c>
      <c r="J52" s="254">
        <f t="shared" si="5"/>
        <v>11.5</v>
      </c>
      <c r="K52" s="255"/>
      <c r="L52" s="255"/>
      <c r="AZ52" s="270"/>
      <c r="BA52" s="270"/>
      <c r="BB52" s="270"/>
      <c r="BC52" s="270"/>
      <c r="BD52" s="270"/>
      <c r="BE52" s="270"/>
      <c r="BF52" s="270"/>
      <c r="BG52" s="270"/>
      <c r="BH52" s="270"/>
      <c r="BI52" s="270"/>
      <c r="BJ52" s="270"/>
    </row>
    <row r="53" spans="1:62">
      <c r="A53" s="248"/>
      <c r="B53" s="251" t="s">
        <v>510</v>
      </c>
      <c r="C53" s="250"/>
      <c r="D53" s="251"/>
      <c r="E53" s="252"/>
      <c r="F53" s="252"/>
      <c r="G53" s="253"/>
      <c r="H53" s="253">
        <f>SUM(H26,H30,H34,H38:H52,H17:H17,H21)</f>
        <v>45</v>
      </c>
      <c r="I53" s="264"/>
      <c r="J53" s="264">
        <f>SUM(J26,J30,J34,J38:J52,J17:J17,J21)</f>
        <v>1427.7450000000001</v>
      </c>
      <c r="K53" s="255"/>
      <c r="L53" s="255"/>
      <c r="AZ53" s="270"/>
      <c r="BA53" s="270"/>
      <c r="BB53" s="270"/>
      <c r="BC53" s="270"/>
      <c r="BD53" s="270"/>
      <c r="BE53" s="270"/>
      <c r="BF53" s="270"/>
      <c r="BG53" s="270"/>
      <c r="BH53" s="270"/>
      <c r="BI53" s="270"/>
      <c r="BJ53" s="270"/>
    </row>
    <row r="54" spans="1:62">
      <c r="A54" s="248"/>
      <c r="B54" s="358" t="s">
        <v>511</v>
      </c>
      <c r="C54" s="250"/>
      <c r="D54" s="251"/>
      <c r="E54" s="252"/>
      <c r="F54" s="252"/>
      <c r="G54" s="253"/>
      <c r="H54" s="253"/>
      <c r="I54" s="254"/>
      <c r="J54" s="254"/>
      <c r="K54" s="255"/>
      <c r="L54" s="255"/>
      <c r="AZ54" s="270"/>
      <c r="BA54" s="270"/>
      <c r="BB54" s="270"/>
      <c r="BC54" s="270"/>
      <c r="BD54" s="270"/>
      <c r="BE54" s="270"/>
      <c r="BF54" s="270"/>
      <c r="BG54" s="270"/>
      <c r="BH54" s="270"/>
      <c r="BI54" s="270"/>
      <c r="BJ54" s="270"/>
    </row>
    <row r="55" spans="1:62">
      <c r="A55" s="256" t="s">
        <v>512</v>
      </c>
      <c r="B55" s="250" t="s">
        <v>513</v>
      </c>
      <c r="C55" s="250" t="s">
        <v>514</v>
      </c>
      <c r="D55" s="251" t="s">
        <v>434</v>
      </c>
      <c r="E55" s="251" t="s">
        <v>470</v>
      </c>
      <c r="F55" s="252"/>
      <c r="G55" s="125">
        <v>4</v>
      </c>
      <c r="H55" s="125">
        <f t="shared" ref="H55:H61" si="6">G55</f>
        <v>4</v>
      </c>
      <c r="I55" s="254">
        <v>2.56</v>
      </c>
      <c r="J55" s="254">
        <f t="shared" ref="J55:J61" si="7">I55*H55</f>
        <v>10.24</v>
      </c>
      <c r="K55" s="255"/>
      <c r="L55" s="255"/>
      <c r="AZ55" s="270"/>
      <c r="BA55" s="270"/>
      <c r="BB55" s="270"/>
      <c r="BC55" s="270"/>
      <c r="BD55" s="270"/>
      <c r="BE55" s="270"/>
      <c r="BF55" s="270"/>
      <c r="BG55" s="270"/>
      <c r="BH55" s="270"/>
      <c r="BI55" s="270"/>
      <c r="BJ55" s="270"/>
    </row>
    <row r="56" spans="1:62">
      <c r="A56" s="256" t="s">
        <v>427</v>
      </c>
      <c r="B56" s="250" t="s">
        <v>515</v>
      </c>
      <c r="C56" s="250" t="s">
        <v>516</v>
      </c>
      <c r="D56" s="251" t="s">
        <v>434</v>
      </c>
      <c r="E56" s="251" t="s">
        <v>470</v>
      </c>
      <c r="F56" s="252"/>
      <c r="G56" s="125">
        <v>5</v>
      </c>
      <c r="H56" s="125">
        <f t="shared" si="6"/>
        <v>5</v>
      </c>
      <c r="I56" s="254">
        <v>1.92</v>
      </c>
      <c r="J56" s="254">
        <f t="shared" si="7"/>
        <v>9.6</v>
      </c>
      <c r="K56" s="255"/>
      <c r="L56" s="255"/>
      <c r="AZ56" s="270"/>
      <c r="BA56" s="270"/>
      <c r="BB56" s="270"/>
      <c r="BC56" s="270"/>
      <c r="BD56" s="270"/>
      <c r="BE56" s="270"/>
      <c r="BF56" s="270"/>
      <c r="BG56" s="270"/>
      <c r="BH56" s="270"/>
      <c r="BI56" s="270"/>
      <c r="BJ56" s="270"/>
    </row>
    <row r="57" spans="1:62" ht="33.75" customHeight="1">
      <c r="A57" s="256" t="s">
        <v>355</v>
      </c>
      <c r="B57" s="250" t="s">
        <v>517</v>
      </c>
      <c r="C57" s="250" t="s">
        <v>518</v>
      </c>
      <c r="D57" s="251" t="s">
        <v>434</v>
      </c>
      <c r="E57" s="251" t="s">
        <v>470</v>
      </c>
      <c r="F57" s="252"/>
      <c r="G57" s="125">
        <v>1</v>
      </c>
      <c r="H57" s="125">
        <f t="shared" si="6"/>
        <v>1</v>
      </c>
      <c r="I57" s="254">
        <v>38</v>
      </c>
      <c r="J57" s="254">
        <f t="shared" si="7"/>
        <v>38</v>
      </c>
      <c r="K57" s="255"/>
      <c r="L57" s="255"/>
      <c r="AZ57" s="270"/>
      <c r="BA57" s="270"/>
      <c r="BB57" s="270"/>
      <c r="BC57" s="270"/>
      <c r="BD57" s="270"/>
      <c r="BE57" s="270"/>
      <c r="BF57" s="270"/>
      <c r="BG57" s="270"/>
      <c r="BH57" s="270"/>
      <c r="BI57" s="270"/>
      <c r="BJ57" s="270"/>
    </row>
    <row r="58" spans="1:62" ht="49.5" customHeight="1">
      <c r="A58" s="256" t="s">
        <v>316</v>
      </c>
      <c r="B58" s="250" t="s">
        <v>519</v>
      </c>
      <c r="C58" s="250" t="s">
        <v>520</v>
      </c>
      <c r="D58" s="251" t="s">
        <v>434</v>
      </c>
      <c r="E58" s="251" t="s">
        <v>470</v>
      </c>
      <c r="F58" s="252"/>
      <c r="G58" s="125">
        <v>1</v>
      </c>
      <c r="H58" s="125">
        <f t="shared" si="6"/>
        <v>1</v>
      </c>
      <c r="I58" s="254">
        <v>5.86</v>
      </c>
      <c r="J58" s="254">
        <f t="shared" si="7"/>
        <v>5.86</v>
      </c>
      <c r="K58" s="255"/>
      <c r="L58" s="255"/>
      <c r="AZ58" s="270"/>
      <c r="BA58" s="270"/>
      <c r="BB58" s="270"/>
      <c r="BC58" s="270"/>
      <c r="BD58" s="270"/>
      <c r="BE58" s="270"/>
      <c r="BF58" s="270"/>
      <c r="BG58" s="270"/>
      <c r="BH58" s="270"/>
      <c r="BI58" s="270"/>
      <c r="BJ58" s="270"/>
    </row>
    <row r="59" spans="1:62">
      <c r="A59" s="256" t="s">
        <v>319</v>
      </c>
      <c r="B59" s="250" t="s">
        <v>521</v>
      </c>
      <c r="C59" s="250" t="s">
        <v>522</v>
      </c>
      <c r="D59" s="251" t="s">
        <v>434</v>
      </c>
      <c r="E59" s="251" t="s">
        <v>470</v>
      </c>
      <c r="F59" s="252"/>
      <c r="G59" s="125">
        <v>1</v>
      </c>
      <c r="H59" s="125">
        <f t="shared" si="6"/>
        <v>1</v>
      </c>
      <c r="I59" s="254">
        <v>8</v>
      </c>
      <c r="J59" s="254">
        <f t="shared" si="7"/>
        <v>8</v>
      </c>
      <c r="K59" s="255"/>
      <c r="L59" s="255"/>
      <c r="AZ59" s="270"/>
      <c r="BA59" s="270"/>
      <c r="BB59" s="270"/>
      <c r="BC59" s="270"/>
      <c r="BD59" s="270"/>
      <c r="BE59" s="270"/>
      <c r="BF59" s="270"/>
      <c r="BG59" s="270"/>
      <c r="BH59" s="270"/>
      <c r="BI59" s="270"/>
      <c r="BJ59" s="270"/>
    </row>
    <row r="60" spans="1:62">
      <c r="A60" s="256" t="s">
        <v>322</v>
      </c>
      <c r="B60" s="250" t="s">
        <v>523</v>
      </c>
      <c r="C60" s="250" t="s">
        <v>524</v>
      </c>
      <c r="D60" s="251" t="s">
        <v>434</v>
      </c>
      <c r="E60" s="251" t="s">
        <v>470</v>
      </c>
      <c r="F60" s="252"/>
      <c r="G60" s="125">
        <v>1</v>
      </c>
      <c r="H60" s="125">
        <f t="shared" si="6"/>
        <v>1</v>
      </c>
      <c r="I60" s="254">
        <v>4.2</v>
      </c>
      <c r="J60" s="254">
        <f t="shared" si="7"/>
        <v>4.2</v>
      </c>
      <c r="K60" s="255"/>
      <c r="L60" s="255"/>
      <c r="AZ60" s="270"/>
      <c r="BA60" s="270"/>
      <c r="BB60" s="270"/>
      <c r="BC60" s="270"/>
      <c r="BD60" s="270"/>
      <c r="BE60" s="270"/>
      <c r="BF60" s="270"/>
      <c r="BG60" s="270"/>
      <c r="BH60" s="270"/>
      <c r="BI60" s="270"/>
      <c r="BJ60" s="270"/>
    </row>
    <row r="61" spans="1:62" ht="51" customHeight="1">
      <c r="A61" s="256" t="s">
        <v>325</v>
      </c>
      <c r="B61" s="250" t="s">
        <v>525</v>
      </c>
      <c r="C61" s="250" t="s">
        <v>526</v>
      </c>
      <c r="D61" s="251" t="s">
        <v>434</v>
      </c>
      <c r="E61" s="251" t="s">
        <v>470</v>
      </c>
      <c r="F61" s="252"/>
      <c r="G61" s="125">
        <v>1</v>
      </c>
      <c r="H61" s="125">
        <f t="shared" si="6"/>
        <v>1</v>
      </c>
      <c r="I61" s="254">
        <v>43.7</v>
      </c>
      <c r="J61" s="254">
        <f t="shared" si="7"/>
        <v>43.7</v>
      </c>
      <c r="K61" s="255"/>
      <c r="L61" s="255"/>
      <c r="AZ61" s="270"/>
      <c r="BA61" s="270"/>
      <c r="BB61" s="270"/>
      <c r="BC61" s="270"/>
      <c r="BD61" s="270"/>
      <c r="BE61" s="270"/>
      <c r="BF61" s="270"/>
      <c r="BG61" s="270"/>
      <c r="BH61" s="270"/>
      <c r="BI61" s="270"/>
      <c r="BJ61" s="270"/>
    </row>
    <row r="62" spans="1:62" ht="19.5" customHeight="1">
      <c r="A62" s="256" t="s">
        <v>342</v>
      </c>
      <c r="B62" s="263" t="s">
        <v>527</v>
      </c>
      <c r="C62" s="262" t="s">
        <v>528</v>
      </c>
      <c r="D62" s="251" t="s">
        <v>423</v>
      </c>
      <c r="E62" s="252" t="s">
        <v>429</v>
      </c>
      <c r="F62" s="252"/>
      <c r="G62" s="125">
        <v>6</v>
      </c>
      <c r="H62" s="253">
        <f>F62+G62</f>
        <v>6</v>
      </c>
      <c r="I62" s="265">
        <v>1</v>
      </c>
      <c r="J62" s="266">
        <f>G62*I62</f>
        <v>6</v>
      </c>
      <c r="K62" s="255" t="str">
        <f>IF(J62&gt;=50,"委托公开"," ")</f>
        <v xml:space="preserve"> </v>
      </c>
      <c r="L62" s="255"/>
      <c r="AZ62" s="270"/>
      <c r="BA62" s="270"/>
      <c r="BB62" s="270"/>
      <c r="BC62" s="270"/>
      <c r="BD62" s="270"/>
      <c r="BE62" s="270"/>
      <c r="BF62" s="270"/>
      <c r="BG62" s="270"/>
      <c r="BH62" s="270"/>
      <c r="BI62" s="270"/>
      <c r="BJ62" s="270"/>
    </row>
    <row r="63" spans="1:62">
      <c r="A63" s="256" t="s">
        <v>343</v>
      </c>
      <c r="B63" s="250" t="s">
        <v>529</v>
      </c>
      <c r="C63" s="250" t="s">
        <v>530</v>
      </c>
      <c r="D63" s="251" t="s">
        <v>434</v>
      </c>
      <c r="E63" s="251" t="s">
        <v>470</v>
      </c>
      <c r="F63" s="252"/>
      <c r="G63" s="125">
        <v>1</v>
      </c>
      <c r="H63" s="125">
        <f>G63</f>
        <v>1</v>
      </c>
      <c r="I63" s="254">
        <v>4.8</v>
      </c>
      <c r="J63" s="254">
        <f>I63*H63</f>
        <v>4.8</v>
      </c>
      <c r="K63" s="255"/>
      <c r="L63" s="255"/>
      <c r="AZ63" s="270"/>
      <c r="BA63" s="270"/>
      <c r="BB63" s="270"/>
      <c r="BC63" s="270"/>
      <c r="BD63" s="270"/>
      <c r="BE63" s="270"/>
      <c r="BF63" s="270"/>
      <c r="BG63" s="270"/>
      <c r="BH63" s="270"/>
      <c r="BI63" s="270"/>
      <c r="BJ63" s="270"/>
    </row>
    <row r="64" spans="1:62">
      <c r="A64" s="256" t="s">
        <v>344</v>
      </c>
      <c r="B64" s="250" t="s">
        <v>531</v>
      </c>
      <c r="C64" s="250"/>
      <c r="D64" s="251" t="s">
        <v>434</v>
      </c>
      <c r="E64" s="251" t="s">
        <v>470</v>
      </c>
      <c r="F64" s="252"/>
      <c r="G64" s="125">
        <v>1</v>
      </c>
      <c r="H64" s="125">
        <f>G64</f>
        <v>1</v>
      </c>
      <c r="I64" s="254">
        <v>0.3</v>
      </c>
      <c r="J64" s="254">
        <f>I64*H64</f>
        <v>0.3</v>
      </c>
      <c r="K64" s="255"/>
      <c r="L64" s="255"/>
      <c r="AZ64" s="270"/>
      <c r="BA64" s="270"/>
      <c r="BB64" s="270"/>
      <c r="BC64" s="270"/>
      <c r="BD64" s="270"/>
      <c r="BE64" s="270"/>
      <c r="BF64" s="270"/>
      <c r="BG64" s="270"/>
      <c r="BH64" s="270"/>
      <c r="BI64" s="270"/>
      <c r="BJ64" s="270"/>
    </row>
    <row r="65" spans="1:62">
      <c r="A65" s="256" t="s">
        <v>345</v>
      </c>
      <c r="B65" s="250" t="s">
        <v>532</v>
      </c>
      <c r="C65" s="250" t="s">
        <v>533</v>
      </c>
      <c r="D65" s="251" t="s">
        <v>434</v>
      </c>
      <c r="E65" s="251" t="s">
        <v>470</v>
      </c>
      <c r="F65" s="252"/>
      <c r="G65" s="125">
        <v>1</v>
      </c>
      <c r="H65" s="125">
        <f>G65</f>
        <v>1</v>
      </c>
      <c r="I65" s="254">
        <v>9</v>
      </c>
      <c r="J65" s="254">
        <f>I65*H65</f>
        <v>9</v>
      </c>
      <c r="K65" s="255"/>
      <c r="L65" s="255"/>
      <c r="AZ65" s="270"/>
      <c r="BA65" s="270"/>
      <c r="BB65" s="270"/>
      <c r="BC65" s="270"/>
      <c r="BD65" s="270"/>
      <c r="BE65" s="270"/>
      <c r="BF65" s="270"/>
      <c r="BG65" s="270"/>
      <c r="BH65" s="270"/>
      <c r="BI65" s="270"/>
      <c r="BJ65" s="270"/>
    </row>
    <row r="66" spans="1:62">
      <c r="A66" s="248"/>
      <c r="B66" s="251" t="s">
        <v>510</v>
      </c>
      <c r="C66" s="250"/>
      <c r="D66" s="251"/>
      <c r="E66" s="252"/>
      <c r="F66" s="252"/>
      <c r="G66" s="253"/>
      <c r="H66" s="253">
        <f>SUM(H55:H65)</f>
        <v>23</v>
      </c>
      <c r="I66" s="254"/>
      <c r="J66" s="254">
        <f>SUM(J55:J65)</f>
        <v>139.70000000000002</v>
      </c>
      <c r="K66" s="255"/>
      <c r="L66" s="255"/>
      <c r="AZ66" s="270"/>
      <c r="BA66" s="270"/>
      <c r="BB66" s="270"/>
      <c r="BC66" s="270"/>
      <c r="BD66" s="270"/>
      <c r="BE66" s="270"/>
      <c r="BF66" s="270"/>
      <c r="BG66" s="270"/>
      <c r="BH66" s="270"/>
      <c r="BI66" s="270"/>
      <c r="BJ66" s="270"/>
    </row>
    <row r="67" spans="1:62">
      <c r="A67" s="248"/>
      <c r="B67" s="358" t="s">
        <v>534</v>
      </c>
      <c r="C67" s="250"/>
      <c r="D67" s="251"/>
      <c r="E67" s="252"/>
      <c r="F67" s="252"/>
      <c r="G67" s="253"/>
      <c r="H67" s="253"/>
      <c r="I67" s="254"/>
      <c r="J67" s="254"/>
      <c r="K67" s="255"/>
      <c r="L67" s="255"/>
      <c r="AZ67" s="270"/>
      <c r="BA67" s="270"/>
      <c r="BB67" s="270"/>
      <c r="BC67" s="270"/>
      <c r="BD67" s="270"/>
      <c r="BE67" s="270"/>
      <c r="BF67" s="270"/>
      <c r="BG67" s="270"/>
      <c r="BH67" s="270"/>
      <c r="BI67" s="270"/>
      <c r="BJ67" s="270"/>
    </row>
    <row r="68" spans="1:62" s="272" customFormat="1">
      <c r="A68" s="256" t="s">
        <v>512</v>
      </c>
      <c r="B68" s="250" t="s">
        <v>535</v>
      </c>
      <c r="C68" s="250" t="s">
        <v>536</v>
      </c>
      <c r="D68" s="251" t="s">
        <v>434</v>
      </c>
      <c r="E68" s="251" t="s">
        <v>470</v>
      </c>
      <c r="F68" s="252"/>
      <c r="G68" s="125">
        <v>1</v>
      </c>
      <c r="H68" s="125">
        <f t="shared" ref="H68:H73" si="8">G68</f>
        <v>1</v>
      </c>
      <c r="I68" s="254">
        <v>130</v>
      </c>
      <c r="J68" s="254">
        <f t="shared" ref="J68:J73" si="9">I68*H68</f>
        <v>130</v>
      </c>
      <c r="K68" s="255" t="s">
        <v>494</v>
      </c>
      <c r="L68" s="254" t="s">
        <v>495</v>
      </c>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row>
    <row r="69" spans="1:62" s="272" customFormat="1">
      <c r="A69" s="256" t="s">
        <v>427</v>
      </c>
      <c r="B69" s="250" t="s">
        <v>535</v>
      </c>
      <c r="C69" s="250" t="s">
        <v>537</v>
      </c>
      <c r="D69" s="251" t="s">
        <v>434</v>
      </c>
      <c r="E69" s="251" t="s">
        <v>470</v>
      </c>
      <c r="F69" s="252"/>
      <c r="G69" s="125">
        <v>2</v>
      </c>
      <c r="H69" s="125">
        <f t="shared" si="8"/>
        <v>2</v>
      </c>
      <c r="I69" s="254">
        <v>90</v>
      </c>
      <c r="J69" s="254">
        <f t="shared" si="9"/>
        <v>180</v>
      </c>
      <c r="K69" s="255" t="s">
        <v>494</v>
      </c>
      <c r="L69" s="254" t="s">
        <v>495</v>
      </c>
      <c r="M69" s="271"/>
      <c r="N69" s="271"/>
      <c r="O69" s="271"/>
      <c r="P69" s="271"/>
      <c r="Q69" s="271"/>
      <c r="R69" s="271"/>
      <c r="S69" s="271"/>
      <c r="T69" s="271"/>
      <c r="U69" s="271"/>
      <c r="V69" s="271"/>
      <c r="W69" s="271"/>
      <c r="X69" s="271"/>
      <c r="Y69" s="271"/>
      <c r="Z69" s="271"/>
      <c r="AA69" s="271"/>
      <c r="AB69" s="271"/>
      <c r="AC69" s="271"/>
      <c r="AD69" s="271"/>
      <c r="AE69" s="271"/>
      <c r="AF69" s="271"/>
      <c r="AG69" s="271"/>
      <c r="AH69" s="271"/>
      <c r="AI69" s="271"/>
      <c r="AJ69" s="271"/>
      <c r="AK69" s="271"/>
      <c r="AL69" s="271"/>
      <c r="AM69" s="271"/>
      <c r="AN69" s="271"/>
      <c r="AO69" s="271"/>
      <c r="AP69" s="271"/>
      <c r="AQ69" s="271"/>
      <c r="AR69" s="271"/>
      <c r="AS69" s="271"/>
      <c r="AT69" s="271"/>
      <c r="AU69" s="271"/>
      <c r="AV69" s="271"/>
      <c r="AW69" s="271"/>
      <c r="AX69" s="271"/>
      <c r="AY69" s="271"/>
    </row>
    <row r="70" spans="1:62" s="272" customFormat="1">
      <c r="A70" s="256" t="s">
        <v>355</v>
      </c>
      <c r="B70" s="250" t="s">
        <v>535</v>
      </c>
      <c r="C70" s="250" t="s">
        <v>538</v>
      </c>
      <c r="D70" s="251" t="s">
        <v>434</v>
      </c>
      <c r="E70" s="251" t="s">
        <v>470</v>
      </c>
      <c r="F70" s="252"/>
      <c r="G70" s="125">
        <v>2</v>
      </c>
      <c r="H70" s="125">
        <f t="shared" si="8"/>
        <v>2</v>
      </c>
      <c r="I70" s="254">
        <v>720</v>
      </c>
      <c r="J70" s="254">
        <f t="shared" si="9"/>
        <v>1440</v>
      </c>
      <c r="K70" s="255" t="s">
        <v>494</v>
      </c>
      <c r="L70" s="254" t="s">
        <v>495</v>
      </c>
      <c r="M70" s="271"/>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c r="AN70" s="271"/>
      <c r="AO70" s="271"/>
      <c r="AP70" s="271"/>
      <c r="AQ70" s="271"/>
      <c r="AR70" s="271"/>
      <c r="AS70" s="271"/>
      <c r="AT70" s="271"/>
      <c r="AU70" s="271"/>
      <c r="AV70" s="271"/>
      <c r="AW70" s="271"/>
      <c r="AX70" s="271"/>
      <c r="AY70" s="271"/>
    </row>
    <row r="71" spans="1:62" s="272" customFormat="1">
      <c r="A71" s="256" t="s">
        <v>316</v>
      </c>
      <c r="B71" s="250" t="s">
        <v>535</v>
      </c>
      <c r="C71" s="250" t="s">
        <v>539</v>
      </c>
      <c r="D71" s="251" t="s">
        <v>434</v>
      </c>
      <c r="E71" s="251" t="s">
        <v>470</v>
      </c>
      <c r="F71" s="252"/>
      <c r="G71" s="125">
        <v>3</v>
      </c>
      <c r="H71" s="125">
        <f t="shared" si="8"/>
        <v>3</v>
      </c>
      <c r="I71" s="254">
        <v>130</v>
      </c>
      <c r="J71" s="254">
        <f t="shared" si="9"/>
        <v>390</v>
      </c>
      <c r="K71" s="255" t="s">
        <v>494</v>
      </c>
      <c r="L71" s="254" t="s">
        <v>495</v>
      </c>
      <c r="M71" s="271"/>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c r="AN71" s="271"/>
      <c r="AO71" s="271"/>
      <c r="AP71" s="271"/>
      <c r="AQ71" s="271"/>
      <c r="AR71" s="271"/>
      <c r="AS71" s="271"/>
      <c r="AT71" s="271"/>
      <c r="AU71" s="271"/>
      <c r="AV71" s="271"/>
      <c r="AW71" s="271"/>
      <c r="AX71" s="271"/>
      <c r="AY71" s="271"/>
    </row>
    <row r="72" spans="1:62" s="272" customFormat="1">
      <c r="A72" s="256" t="s">
        <v>319</v>
      </c>
      <c r="B72" s="250" t="s">
        <v>535</v>
      </c>
      <c r="C72" s="250" t="s">
        <v>540</v>
      </c>
      <c r="D72" s="251" t="s">
        <v>434</v>
      </c>
      <c r="E72" s="251" t="s">
        <v>470</v>
      </c>
      <c r="F72" s="252"/>
      <c r="G72" s="125">
        <v>2</v>
      </c>
      <c r="H72" s="125">
        <f t="shared" si="8"/>
        <v>2</v>
      </c>
      <c r="I72" s="254">
        <v>90</v>
      </c>
      <c r="J72" s="254">
        <f t="shared" si="9"/>
        <v>180</v>
      </c>
      <c r="K72" s="255" t="s">
        <v>494</v>
      </c>
      <c r="L72" s="254" t="s">
        <v>495</v>
      </c>
      <c r="M72" s="271"/>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c r="AN72" s="271"/>
      <c r="AO72" s="271"/>
      <c r="AP72" s="271"/>
      <c r="AQ72" s="271"/>
      <c r="AR72" s="271"/>
      <c r="AS72" s="271"/>
      <c r="AT72" s="271"/>
      <c r="AU72" s="271"/>
      <c r="AV72" s="271"/>
      <c r="AW72" s="271"/>
      <c r="AX72" s="271"/>
      <c r="AY72" s="271"/>
    </row>
    <row r="73" spans="1:62">
      <c r="A73" s="256" t="s">
        <v>322</v>
      </c>
      <c r="B73" s="250" t="s">
        <v>541</v>
      </c>
      <c r="C73" s="250" t="s">
        <v>356</v>
      </c>
      <c r="D73" s="251" t="s">
        <v>434</v>
      </c>
      <c r="E73" s="251" t="s">
        <v>470</v>
      </c>
      <c r="F73" s="252"/>
      <c r="G73" s="125">
        <v>3</v>
      </c>
      <c r="H73" s="125">
        <f t="shared" si="8"/>
        <v>3</v>
      </c>
      <c r="I73" s="254">
        <v>5.9333333333333336</v>
      </c>
      <c r="J73" s="254">
        <f t="shared" si="9"/>
        <v>17.8</v>
      </c>
      <c r="K73" s="255"/>
      <c r="L73" s="255"/>
      <c r="AZ73" s="270"/>
      <c r="BA73" s="270"/>
      <c r="BB73" s="270"/>
      <c r="BC73" s="270"/>
      <c r="BD73" s="270"/>
      <c r="BE73" s="270"/>
      <c r="BF73" s="270"/>
      <c r="BG73" s="270"/>
      <c r="BH73" s="270"/>
      <c r="BI73" s="270"/>
      <c r="BJ73" s="270"/>
    </row>
    <row r="74" spans="1:62">
      <c r="A74" s="248"/>
      <c r="B74" s="251" t="s">
        <v>510</v>
      </c>
      <c r="C74" s="250"/>
      <c r="D74" s="251"/>
      <c r="E74" s="252"/>
      <c r="F74" s="252"/>
      <c r="G74" s="253"/>
      <c r="H74" s="253">
        <f>SUM(H68:H73)</f>
        <v>13</v>
      </c>
      <c r="I74" s="253"/>
      <c r="J74" s="253">
        <f>SUM(J68:J73)</f>
        <v>2337.8000000000002</v>
      </c>
      <c r="K74" s="255"/>
      <c r="L74" s="255"/>
      <c r="AZ74" s="270"/>
      <c r="BA74" s="270"/>
      <c r="BB74" s="270"/>
      <c r="BC74" s="270"/>
      <c r="BD74" s="270"/>
      <c r="BE74" s="270"/>
      <c r="BF74" s="270"/>
      <c r="BG74" s="270"/>
      <c r="BH74" s="270"/>
      <c r="BI74" s="270"/>
      <c r="BJ74" s="270"/>
    </row>
    <row r="75" spans="1:62" hidden="1">
      <c r="A75" s="248"/>
      <c r="B75" s="249" t="s">
        <v>542</v>
      </c>
      <c r="C75" s="250"/>
      <c r="D75" s="251"/>
      <c r="E75" s="252"/>
      <c r="F75" s="252"/>
      <c r="G75" s="253"/>
      <c r="H75" s="267">
        <f>H15+H53+H66+H74</f>
        <v>89</v>
      </c>
      <c r="I75" s="267">
        <f>I15+I53+I66+I74</f>
        <v>0</v>
      </c>
      <c r="J75" s="267">
        <f>J15+J53+J66+J74</f>
        <v>5175.8850000000002</v>
      </c>
      <c r="K75" s="255"/>
      <c r="L75" s="255"/>
      <c r="AZ75" s="270"/>
      <c r="BA75" s="270"/>
      <c r="BB75" s="270"/>
      <c r="BC75" s="270"/>
      <c r="BD75" s="270"/>
      <c r="BE75" s="270"/>
      <c r="BF75" s="270"/>
      <c r="BG75" s="270"/>
      <c r="BH75" s="270"/>
      <c r="BI75" s="270"/>
      <c r="BJ75" s="270"/>
    </row>
    <row r="76" spans="1:62">
      <c r="A76" s="248"/>
      <c r="B76" s="249" t="s">
        <v>543</v>
      </c>
      <c r="C76" s="250"/>
      <c r="D76" s="251"/>
      <c r="E76" s="252"/>
      <c r="F76" s="252"/>
      <c r="G76" s="253"/>
      <c r="H76" s="253"/>
      <c r="I76" s="254"/>
      <c r="J76" s="254"/>
      <c r="K76" s="255"/>
      <c r="L76" s="255"/>
      <c r="AZ76" s="270"/>
      <c r="BA76" s="270"/>
      <c r="BB76" s="270"/>
      <c r="BC76" s="270"/>
      <c r="BD76" s="270"/>
      <c r="BE76" s="270"/>
      <c r="BF76" s="270"/>
      <c r="BG76" s="270"/>
      <c r="BH76" s="270"/>
      <c r="BI76" s="270"/>
      <c r="BJ76" s="270"/>
    </row>
    <row r="77" spans="1:62">
      <c r="A77" s="248"/>
      <c r="B77" s="358" t="s">
        <v>544</v>
      </c>
      <c r="C77" s="250"/>
      <c r="D77" s="251"/>
      <c r="E77" s="252"/>
      <c r="F77" s="252"/>
      <c r="G77" s="253"/>
      <c r="H77" s="253"/>
      <c r="I77" s="254"/>
      <c r="J77" s="254"/>
      <c r="K77" s="255"/>
      <c r="L77" s="255"/>
      <c r="AZ77" s="270"/>
      <c r="BA77" s="270"/>
      <c r="BB77" s="270"/>
      <c r="BC77" s="270"/>
      <c r="BD77" s="270"/>
      <c r="BE77" s="270"/>
      <c r="BF77" s="270"/>
      <c r="BG77" s="270"/>
      <c r="BH77" s="270"/>
      <c r="BI77" s="270"/>
      <c r="BJ77" s="270"/>
    </row>
    <row r="78" spans="1:62">
      <c r="A78" s="256" t="s">
        <v>512</v>
      </c>
      <c r="B78" s="250" t="s">
        <v>545</v>
      </c>
      <c r="C78" s="250" t="s">
        <v>507</v>
      </c>
      <c r="D78" s="251" t="s">
        <v>434</v>
      </c>
      <c r="E78" s="251" t="s">
        <v>470</v>
      </c>
      <c r="F78" s="252"/>
      <c r="G78" s="125">
        <v>2</v>
      </c>
      <c r="H78" s="125">
        <f t="shared" ref="H78:H88" si="10">G78</f>
        <v>2</v>
      </c>
      <c r="I78" s="254">
        <v>14.1</v>
      </c>
      <c r="J78" s="254">
        <f t="shared" ref="J78:J88" si="11">I78*H78</f>
        <v>28.2</v>
      </c>
      <c r="K78" s="255"/>
      <c r="L78" s="255"/>
      <c r="AZ78" s="270"/>
      <c r="BA78" s="270"/>
      <c r="BB78" s="270"/>
      <c r="BC78" s="270"/>
      <c r="BD78" s="270"/>
      <c r="BE78" s="270"/>
      <c r="BF78" s="270"/>
      <c r="BG78" s="270"/>
      <c r="BH78" s="270"/>
      <c r="BI78" s="270"/>
      <c r="BJ78" s="270"/>
    </row>
    <row r="79" spans="1:62">
      <c r="A79" s="256" t="s">
        <v>427</v>
      </c>
      <c r="B79" s="250" t="s">
        <v>546</v>
      </c>
      <c r="C79" s="250"/>
      <c r="D79" s="251" t="s">
        <v>434</v>
      </c>
      <c r="E79" s="251" t="s">
        <v>470</v>
      </c>
      <c r="F79" s="252"/>
      <c r="G79" s="125">
        <v>1</v>
      </c>
      <c r="H79" s="125">
        <f t="shared" si="10"/>
        <v>1</v>
      </c>
      <c r="I79" s="254">
        <v>0.7</v>
      </c>
      <c r="J79" s="254">
        <f t="shared" si="11"/>
        <v>0.7</v>
      </c>
      <c r="K79" s="255"/>
      <c r="L79" s="255"/>
      <c r="AZ79" s="270"/>
      <c r="BA79" s="270"/>
      <c r="BB79" s="270"/>
      <c r="BC79" s="270"/>
      <c r="BD79" s="270"/>
      <c r="BE79" s="270"/>
      <c r="BF79" s="270"/>
      <c r="BG79" s="270"/>
      <c r="BH79" s="270"/>
      <c r="BI79" s="270"/>
      <c r="BJ79" s="270"/>
    </row>
    <row r="80" spans="1:62">
      <c r="A80" s="256" t="s">
        <v>355</v>
      </c>
      <c r="B80" s="250" t="s">
        <v>547</v>
      </c>
      <c r="C80" s="250" t="s">
        <v>469</v>
      </c>
      <c r="D80" s="251" t="s">
        <v>434</v>
      </c>
      <c r="E80" s="251" t="s">
        <v>470</v>
      </c>
      <c r="F80" s="252"/>
      <c r="G80" s="125">
        <v>1</v>
      </c>
      <c r="H80" s="125">
        <f t="shared" si="10"/>
        <v>1</v>
      </c>
      <c r="I80" s="254">
        <v>3.8</v>
      </c>
      <c r="J80" s="254">
        <f t="shared" si="11"/>
        <v>3.8</v>
      </c>
      <c r="K80" s="255"/>
      <c r="L80" s="255"/>
      <c r="AZ80" s="270"/>
      <c r="BA80" s="270"/>
      <c r="BB80" s="270"/>
      <c r="BC80" s="270"/>
      <c r="BD80" s="270"/>
      <c r="BE80" s="270"/>
      <c r="BF80" s="270"/>
      <c r="BG80" s="270"/>
      <c r="BH80" s="270"/>
      <c r="BI80" s="270"/>
      <c r="BJ80" s="270"/>
    </row>
    <row r="81" spans="1:62">
      <c r="A81" s="256" t="s">
        <v>316</v>
      </c>
      <c r="B81" s="250" t="s">
        <v>548</v>
      </c>
      <c r="C81" s="250" t="s">
        <v>507</v>
      </c>
      <c r="D81" s="251" t="s">
        <v>434</v>
      </c>
      <c r="E81" s="251" t="s">
        <v>470</v>
      </c>
      <c r="F81" s="252"/>
      <c r="G81" s="125">
        <v>2</v>
      </c>
      <c r="H81" s="125">
        <f t="shared" si="10"/>
        <v>2</v>
      </c>
      <c r="I81" s="254">
        <v>1.5</v>
      </c>
      <c r="J81" s="254">
        <f t="shared" si="11"/>
        <v>3</v>
      </c>
      <c r="K81" s="255"/>
      <c r="L81" s="255"/>
      <c r="AZ81" s="270"/>
      <c r="BA81" s="270"/>
      <c r="BB81" s="270"/>
      <c r="BC81" s="270"/>
      <c r="BD81" s="270"/>
      <c r="BE81" s="270"/>
      <c r="BF81" s="270"/>
      <c r="BG81" s="270"/>
      <c r="BH81" s="270"/>
      <c r="BI81" s="270"/>
      <c r="BJ81" s="270"/>
    </row>
    <row r="82" spans="1:62">
      <c r="A82" s="256" t="s">
        <v>319</v>
      </c>
      <c r="B82" s="250" t="s">
        <v>506</v>
      </c>
      <c r="C82" s="250" t="s">
        <v>549</v>
      </c>
      <c r="D82" s="251" t="s">
        <v>434</v>
      </c>
      <c r="E82" s="251" t="s">
        <v>470</v>
      </c>
      <c r="F82" s="252"/>
      <c r="G82" s="125">
        <v>2</v>
      </c>
      <c r="H82" s="125">
        <f t="shared" si="10"/>
        <v>2</v>
      </c>
      <c r="I82" s="254">
        <v>2.5</v>
      </c>
      <c r="J82" s="254">
        <f t="shared" si="11"/>
        <v>5</v>
      </c>
      <c r="K82" s="255"/>
      <c r="L82" s="255"/>
      <c r="AZ82" s="270"/>
      <c r="BA82" s="270"/>
      <c r="BB82" s="270"/>
      <c r="BC82" s="270"/>
      <c r="BD82" s="270"/>
      <c r="BE82" s="270"/>
      <c r="BF82" s="270"/>
      <c r="BG82" s="270"/>
      <c r="BH82" s="270"/>
      <c r="BI82" s="270"/>
      <c r="BJ82" s="270"/>
    </row>
    <row r="83" spans="1:62">
      <c r="A83" s="256" t="s">
        <v>322</v>
      </c>
      <c r="B83" s="250" t="s">
        <v>550</v>
      </c>
      <c r="C83" s="250" t="s">
        <v>551</v>
      </c>
      <c r="D83" s="251" t="s">
        <v>434</v>
      </c>
      <c r="E83" s="251" t="s">
        <v>470</v>
      </c>
      <c r="F83" s="252"/>
      <c r="G83" s="125">
        <v>2</v>
      </c>
      <c r="H83" s="125">
        <f t="shared" si="10"/>
        <v>2</v>
      </c>
      <c r="I83" s="254">
        <v>1.9</v>
      </c>
      <c r="J83" s="254">
        <f t="shared" si="11"/>
        <v>3.8</v>
      </c>
      <c r="K83" s="255"/>
      <c r="L83" s="255"/>
      <c r="AZ83" s="270"/>
      <c r="BA83" s="270"/>
      <c r="BB83" s="270"/>
      <c r="BC83" s="270"/>
      <c r="BD83" s="270"/>
      <c r="BE83" s="270"/>
      <c r="BF83" s="270"/>
      <c r="BG83" s="270"/>
      <c r="BH83" s="270"/>
      <c r="BI83" s="270"/>
      <c r="BJ83" s="270"/>
    </row>
    <row r="84" spans="1:62">
      <c r="A84" s="256" t="s">
        <v>325</v>
      </c>
      <c r="B84" s="250" t="s">
        <v>552</v>
      </c>
      <c r="C84" s="250" t="s">
        <v>553</v>
      </c>
      <c r="D84" s="251" t="s">
        <v>434</v>
      </c>
      <c r="E84" s="251" t="s">
        <v>470</v>
      </c>
      <c r="F84" s="252"/>
      <c r="G84" s="125">
        <v>1</v>
      </c>
      <c r="H84" s="125">
        <f t="shared" si="10"/>
        <v>1</v>
      </c>
      <c r="I84" s="254">
        <v>2</v>
      </c>
      <c r="J84" s="254">
        <f t="shared" si="11"/>
        <v>2</v>
      </c>
      <c r="K84" s="255"/>
      <c r="L84" s="255"/>
      <c r="AZ84" s="270"/>
      <c r="BA84" s="270"/>
      <c r="BB84" s="270"/>
      <c r="BC84" s="270"/>
      <c r="BD84" s="270"/>
      <c r="BE84" s="270"/>
      <c r="BF84" s="270"/>
      <c r="BG84" s="270"/>
      <c r="BH84" s="270"/>
      <c r="BI84" s="270"/>
      <c r="BJ84" s="270"/>
    </row>
    <row r="85" spans="1:62" ht="18.75" customHeight="1">
      <c r="A85" s="256" t="s">
        <v>342</v>
      </c>
      <c r="B85" s="250" t="s">
        <v>554</v>
      </c>
      <c r="C85" s="250" t="s">
        <v>555</v>
      </c>
      <c r="D85" s="251" t="s">
        <v>434</v>
      </c>
      <c r="E85" s="251" t="s">
        <v>470</v>
      </c>
      <c r="F85" s="252"/>
      <c r="G85" s="125">
        <v>1</v>
      </c>
      <c r="H85" s="125">
        <f t="shared" si="10"/>
        <v>1</v>
      </c>
      <c r="I85" s="254">
        <v>2.7</v>
      </c>
      <c r="J85" s="254">
        <f t="shared" si="11"/>
        <v>2.7</v>
      </c>
      <c r="K85" s="255"/>
      <c r="L85" s="255"/>
      <c r="AZ85" s="270"/>
      <c r="BA85" s="270"/>
      <c r="BB85" s="270"/>
      <c r="BC85" s="270"/>
      <c r="BD85" s="270"/>
      <c r="BE85" s="270"/>
      <c r="BF85" s="270"/>
      <c r="BG85" s="270"/>
      <c r="BH85" s="270"/>
      <c r="BI85" s="270"/>
      <c r="BJ85" s="270"/>
    </row>
    <row r="86" spans="1:62" ht="14.25" customHeight="1">
      <c r="A86" s="256" t="s">
        <v>343</v>
      </c>
      <c r="B86" s="250" t="s">
        <v>556</v>
      </c>
      <c r="C86" s="250" t="s">
        <v>557</v>
      </c>
      <c r="D86" s="251" t="s">
        <v>434</v>
      </c>
      <c r="E86" s="251" t="s">
        <v>470</v>
      </c>
      <c r="F86" s="252"/>
      <c r="G86" s="125">
        <v>1</v>
      </c>
      <c r="H86" s="125">
        <f t="shared" si="10"/>
        <v>1</v>
      </c>
      <c r="I86" s="254">
        <v>1.66</v>
      </c>
      <c r="J86" s="254">
        <f t="shared" si="11"/>
        <v>1.66</v>
      </c>
      <c r="K86" s="255"/>
      <c r="L86" s="255"/>
      <c r="AZ86" s="270"/>
      <c r="BA86" s="270"/>
      <c r="BB86" s="270"/>
      <c r="BC86" s="270"/>
      <c r="BD86" s="270"/>
      <c r="BE86" s="270"/>
      <c r="BF86" s="270"/>
      <c r="BG86" s="270"/>
      <c r="BH86" s="270"/>
      <c r="BI86" s="270"/>
      <c r="BJ86" s="270"/>
    </row>
    <row r="87" spans="1:62">
      <c r="A87" s="256" t="s">
        <v>344</v>
      </c>
      <c r="B87" s="250" t="s">
        <v>558</v>
      </c>
      <c r="C87" s="250" t="s">
        <v>559</v>
      </c>
      <c r="D87" s="251" t="s">
        <v>434</v>
      </c>
      <c r="E87" s="251" t="s">
        <v>4</v>
      </c>
      <c r="F87" s="252"/>
      <c r="G87" s="125">
        <v>1</v>
      </c>
      <c r="H87" s="125">
        <f t="shared" si="10"/>
        <v>1</v>
      </c>
      <c r="I87" s="254">
        <v>3.6</v>
      </c>
      <c r="J87" s="254">
        <f t="shared" si="11"/>
        <v>3.6</v>
      </c>
      <c r="K87" s="255"/>
      <c r="L87" s="255"/>
      <c r="AZ87" s="270"/>
      <c r="BA87" s="270"/>
      <c r="BB87" s="270"/>
      <c r="BC87" s="270"/>
      <c r="BD87" s="270"/>
      <c r="BE87" s="270"/>
      <c r="BF87" s="270"/>
      <c r="BG87" s="270"/>
      <c r="BH87" s="270"/>
      <c r="BI87" s="270"/>
      <c r="BJ87" s="270"/>
    </row>
    <row r="88" spans="1:62">
      <c r="A88" s="256" t="s">
        <v>345</v>
      </c>
      <c r="B88" s="250" t="s">
        <v>560</v>
      </c>
      <c r="C88" s="250" t="s">
        <v>561</v>
      </c>
      <c r="D88" s="251" t="s">
        <v>434</v>
      </c>
      <c r="E88" s="251" t="s">
        <v>470</v>
      </c>
      <c r="F88" s="252"/>
      <c r="G88" s="125">
        <v>1</v>
      </c>
      <c r="H88" s="125">
        <f t="shared" si="10"/>
        <v>1</v>
      </c>
      <c r="I88" s="254">
        <v>14.5</v>
      </c>
      <c r="J88" s="254">
        <f t="shared" si="11"/>
        <v>14.5</v>
      </c>
      <c r="K88" s="255"/>
      <c r="L88" s="255"/>
      <c r="AZ88" s="270"/>
      <c r="BA88" s="270"/>
      <c r="BB88" s="270"/>
      <c r="BC88" s="270"/>
      <c r="BD88" s="270"/>
      <c r="BE88" s="270"/>
      <c r="BF88" s="270"/>
      <c r="BG88" s="270"/>
      <c r="BH88" s="270"/>
      <c r="BI88" s="270"/>
      <c r="BJ88" s="270"/>
    </row>
    <row r="89" spans="1:62">
      <c r="A89" s="248"/>
      <c r="B89" s="251" t="s">
        <v>510</v>
      </c>
      <c r="C89" s="250"/>
      <c r="D89" s="251"/>
      <c r="E89" s="252"/>
      <c r="F89" s="252"/>
      <c r="G89" s="253"/>
      <c r="H89" s="253">
        <f>SUM(H78:H88)</f>
        <v>15</v>
      </c>
      <c r="I89" s="254"/>
      <c r="J89" s="254">
        <f>SUM(J78:J88)</f>
        <v>68.959999999999994</v>
      </c>
      <c r="K89" s="255"/>
      <c r="L89" s="255"/>
      <c r="AZ89" s="270"/>
      <c r="BA89" s="270"/>
      <c r="BB89" s="270"/>
      <c r="BC89" s="270"/>
      <c r="BD89" s="270"/>
      <c r="BE89" s="270"/>
      <c r="BF89" s="270"/>
      <c r="BG89" s="270"/>
      <c r="BH89" s="270"/>
      <c r="BI89" s="270"/>
      <c r="BJ89" s="270"/>
    </row>
    <row r="90" spans="1:62">
      <c r="A90" s="248"/>
      <c r="B90" s="249" t="s">
        <v>562</v>
      </c>
      <c r="C90" s="250"/>
      <c r="D90" s="251"/>
      <c r="E90" s="252"/>
      <c r="F90" s="252"/>
      <c r="G90" s="253"/>
      <c r="H90" s="253"/>
      <c r="I90" s="254"/>
      <c r="J90" s="254"/>
      <c r="K90" s="255"/>
      <c r="L90" s="255"/>
      <c r="AZ90" s="270"/>
      <c r="BA90" s="270"/>
      <c r="BB90" s="270"/>
      <c r="BC90" s="270"/>
      <c r="BD90" s="270"/>
      <c r="BE90" s="270"/>
      <c r="BF90" s="270"/>
      <c r="BG90" s="270"/>
      <c r="BH90" s="270"/>
      <c r="BI90" s="270"/>
      <c r="BJ90" s="270"/>
    </row>
    <row r="91" spans="1:62">
      <c r="A91" s="248"/>
      <c r="B91" s="358" t="s">
        <v>563</v>
      </c>
      <c r="C91" s="250"/>
      <c r="D91" s="251"/>
      <c r="E91" s="252"/>
      <c r="F91" s="252"/>
      <c r="G91" s="253"/>
      <c r="H91" s="253"/>
      <c r="I91" s="254"/>
      <c r="J91" s="254"/>
      <c r="K91" s="255"/>
      <c r="L91" s="255"/>
      <c r="AZ91" s="270"/>
      <c r="BA91" s="270"/>
      <c r="BB91" s="270"/>
      <c r="BC91" s="270"/>
      <c r="BD91" s="270"/>
      <c r="BE91" s="270"/>
      <c r="BF91" s="270"/>
      <c r="BG91" s="270"/>
      <c r="BH91" s="270"/>
      <c r="BI91" s="270"/>
      <c r="BJ91" s="270"/>
    </row>
    <row r="92" spans="1:62">
      <c r="A92" s="256" t="s">
        <v>512</v>
      </c>
      <c r="B92" s="250" t="s">
        <v>564</v>
      </c>
      <c r="C92" s="250" t="s">
        <v>565</v>
      </c>
      <c r="D92" s="251" t="s">
        <v>434</v>
      </c>
      <c r="E92" s="251" t="s">
        <v>470</v>
      </c>
      <c r="F92" s="252"/>
      <c r="G92" s="125">
        <v>1</v>
      </c>
      <c r="H92" s="125">
        <f t="shared" ref="H92:H106" si="12">G92</f>
        <v>1</v>
      </c>
      <c r="I92" s="254">
        <v>26</v>
      </c>
      <c r="J92" s="254">
        <f t="shared" ref="J92:J106" si="13">I92*H92</f>
        <v>26</v>
      </c>
      <c r="K92" s="255"/>
      <c r="L92" s="255"/>
      <c r="AZ92" s="270"/>
      <c r="BA92" s="270"/>
      <c r="BB92" s="270"/>
      <c r="BC92" s="270"/>
      <c r="BD92" s="270"/>
      <c r="BE92" s="270"/>
      <c r="BF92" s="270"/>
      <c r="BG92" s="270"/>
      <c r="BH92" s="270"/>
      <c r="BI92" s="270"/>
      <c r="BJ92" s="270"/>
    </row>
    <row r="93" spans="1:62">
      <c r="A93" s="256" t="s">
        <v>427</v>
      </c>
      <c r="B93" s="250" t="s">
        <v>566</v>
      </c>
      <c r="C93" s="250" t="s">
        <v>567</v>
      </c>
      <c r="D93" s="251" t="s">
        <v>434</v>
      </c>
      <c r="E93" s="251" t="s">
        <v>470</v>
      </c>
      <c r="F93" s="252"/>
      <c r="G93" s="125">
        <v>1</v>
      </c>
      <c r="H93" s="125">
        <f t="shared" si="12"/>
        <v>1</v>
      </c>
      <c r="I93" s="254">
        <v>7.2</v>
      </c>
      <c r="J93" s="254">
        <f t="shared" si="13"/>
        <v>7.2</v>
      </c>
      <c r="K93" s="255"/>
      <c r="L93" s="255"/>
      <c r="AZ93" s="270"/>
      <c r="BA93" s="270"/>
      <c r="BB93" s="270"/>
      <c r="BC93" s="270"/>
      <c r="BD93" s="270"/>
      <c r="BE93" s="270"/>
      <c r="BF93" s="270"/>
      <c r="BG93" s="270"/>
      <c r="BH93" s="270"/>
      <c r="BI93" s="270"/>
      <c r="BJ93" s="270"/>
    </row>
    <row r="94" spans="1:62">
      <c r="A94" s="256" t="s">
        <v>355</v>
      </c>
      <c r="B94" s="250" t="s">
        <v>568</v>
      </c>
      <c r="C94" s="250" t="s">
        <v>569</v>
      </c>
      <c r="D94" s="251" t="s">
        <v>434</v>
      </c>
      <c r="E94" s="251" t="s">
        <v>470</v>
      </c>
      <c r="F94" s="252"/>
      <c r="G94" s="125">
        <v>1</v>
      </c>
      <c r="H94" s="125">
        <f t="shared" si="12"/>
        <v>1</v>
      </c>
      <c r="I94" s="254">
        <v>8.3000000000000007</v>
      </c>
      <c r="J94" s="254">
        <f t="shared" si="13"/>
        <v>8.3000000000000007</v>
      </c>
      <c r="K94" s="255"/>
      <c r="L94" s="255"/>
      <c r="AZ94" s="270"/>
      <c r="BA94" s="270"/>
      <c r="BB94" s="270"/>
      <c r="BC94" s="270"/>
      <c r="BD94" s="270"/>
      <c r="BE94" s="270"/>
      <c r="BF94" s="270"/>
      <c r="BG94" s="270"/>
      <c r="BH94" s="270"/>
      <c r="BI94" s="270"/>
      <c r="BJ94" s="270"/>
    </row>
    <row r="95" spans="1:62">
      <c r="A95" s="256" t="s">
        <v>316</v>
      </c>
      <c r="B95" s="250" t="s">
        <v>570</v>
      </c>
      <c r="C95" s="250" t="s">
        <v>571</v>
      </c>
      <c r="D95" s="251" t="s">
        <v>434</v>
      </c>
      <c r="E95" s="251" t="s">
        <v>424</v>
      </c>
      <c r="F95" s="252"/>
      <c r="G95" s="125">
        <v>1</v>
      </c>
      <c r="H95" s="125">
        <f t="shared" si="12"/>
        <v>1</v>
      </c>
      <c r="I95" s="254">
        <v>1.7</v>
      </c>
      <c r="J95" s="254">
        <f t="shared" si="13"/>
        <v>1.7</v>
      </c>
      <c r="K95" s="255"/>
      <c r="L95" s="255"/>
      <c r="AZ95" s="270"/>
      <c r="BA95" s="270"/>
      <c r="BB95" s="270"/>
      <c r="BC95" s="270"/>
      <c r="BD95" s="270"/>
      <c r="BE95" s="270"/>
      <c r="BF95" s="270"/>
      <c r="BG95" s="270"/>
      <c r="BH95" s="270"/>
      <c r="BI95" s="270"/>
      <c r="BJ95" s="270"/>
    </row>
    <row r="96" spans="1:62">
      <c r="A96" s="256" t="s">
        <v>319</v>
      </c>
      <c r="B96" s="250" t="s">
        <v>572</v>
      </c>
      <c r="C96" s="250" t="s">
        <v>573</v>
      </c>
      <c r="D96" s="251" t="s">
        <v>434</v>
      </c>
      <c r="E96" s="251" t="s">
        <v>470</v>
      </c>
      <c r="F96" s="252"/>
      <c r="G96" s="125">
        <v>1</v>
      </c>
      <c r="H96" s="125">
        <f t="shared" si="12"/>
        <v>1</v>
      </c>
      <c r="I96" s="254">
        <v>0.73</v>
      </c>
      <c r="J96" s="254">
        <f t="shared" si="13"/>
        <v>0.73</v>
      </c>
      <c r="K96" s="255"/>
      <c r="L96" s="255"/>
      <c r="AZ96" s="270"/>
      <c r="BA96" s="270"/>
      <c r="BB96" s="270"/>
      <c r="BC96" s="270"/>
      <c r="BD96" s="270"/>
      <c r="BE96" s="270"/>
      <c r="BF96" s="270"/>
      <c r="BG96" s="270"/>
      <c r="BH96" s="270"/>
      <c r="BI96" s="270"/>
      <c r="BJ96" s="270"/>
    </row>
    <row r="97" spans="1:62">
      <c r="A97" s="256" t="s">
        <v>322</v>
      </c>
      <c r="B97" s="250" t="s">
        <v>574</v>
      </c>
      <c r="C97" s="250" t="s">
        <v>575</v>
      </c>
      <c r="D97" s="251" t="s">
        <v>434</v>
      </c>
      <c r="E97" s="251" t="s">
        <v>470</v>
      </c>
      <c r="F97" s="252"/>
      <c r="G97" s="125">
        <v>1</v>
      </c>
      <c r="H97" s="125">
        <f t="shared" si="12"/>
        <v>1</v>
      </c>
      <c r="I97" s="254">
        <v>1.8</v>
      </c>
      <c r="J97" s="254">
        <f t="shared" si="13"/>
        <v>1.8</v>
      </c>
      <c r="K97" s="255"/>
      <c r="L97" s="255"/>
      <c r="AZ97" s="270"/>
      <c r="BA97" s="270"/>
      <c r="BB97" s="270"/>
      <c r="BC97" s="270"/>
      <c r="BD97" s="270"/>
      <c r="BE97" s="270"/>
      <c r="BF97" s="270"/>
      <c r="BG97" s="270"/>
      <c r="BH97" s="270"/>
      <c r="BI97" s="270"/>
      <c r="BJ97" s="270"/>
    </row>
    <row r="98" spans="1:62">
      <c r="A98" s="256" t="s">
        <v>325</v>
      </c>
      <c r="B98" s="250" t="s">
        <v>576</v>
      </c>
      <c r="C98" s="250" t="s">
        <v>577</v>
      </c>
      <c r="D98" s="251" t="s">
        <v>434</v>
      </c>
      <c r="E98" s="251" t="s">
        <v>470</v>
      </c>
      <c r="F98" s="252"/>
      <c r="G98" s="125">
        <v>1</v>
      </c>
      <c r="H98" s="125">
        <f t="shared" si="12"/>
        <v>1</v>
      </c>
      <c r="I98" s="254">
        <v>0.28000000000000003</v>
      </c>
      <c r="J98" s="254">
        <f t="shared" si="13"/>
        <v>0.28000000000000003</v>
      </c>
      <c r="K98" s="255"/>
      <c r="L98" s="255"/>
      <c r="AZ98" s="270"/>
      <c r="BA98" s="270"/>
      <c r="BB98" s="270"/>
      <c r="BC98" s="270"/>
      <c r="BD98" s="270"/>
      <c r="BE98" s="270"/>
      <c r="BF98" s="270"/>
      <c r="BG98" s="270"/>
      <c r="BH98" s="270"/>
      <c r="BI98" s="270"/>
      <c r="BJ98" s="270"/>
    </row>
    <row r="99" spans="1:62">
      <c r="A99" s="256" t="s">
        <v>342</v>
      </c>
      <c r="B99" s="250" t="s">
        <v>578</v>
      </c>
      <c r="C99" s="250" t="s">
        <v>579</v>
      </c>
      <c r="D99" s="251" t="s">
        <v>434</v>
      </c>
      <c r="E99" s="251" t="s">
        <v>470</v>
      </c>
      <c r="F99" s="252"/>
      <c r="G99" s="125">
        <v>1</v>
      </c>
      <c r="H99" s="125">
        <f t="shared" si="12"/>
        <v>1</v>
      </c>
      <c r="I99" s="254">
        <v>18</v>
      </c>
      <c r="J99" s="254">
        <f t="shared" si="13"/>
        <v>18</v>
      </c>
      <c r="K99" s="255"/>
      <c r="L99" s="255"/>
      <c r="AZ99" s="270"/>
      <c r="BA99" s="270"/>
      <c r="BB99" s="270"/>
      <c r="BC99" s="270"/>
      <c r="BD99" s="270"/>
      <c r="BE99" s="270"/>
      <c r="BF99" s="270"/>
      <c r="BG99" s="270"/>
      <c r="BH99" s="270"/>
      <c r="BI99" s="270"/>
      <c r="BJ99" s="270"/>
    </row>
    <row r="100" spans="1:62">
      <c r="A100" s="256" t="s">
        <v>343</v>
      </c>
      <c r="B100" s="250" t="s">
        <v>580</v>
      </c>
      <c r="C100" s="250" t="s">
        <v>581</v>
      </c>
      <c r="D100" s="251" t="s">
        <v>434</v>
      </c>
      <c r="E100" s="251" t="s">
        <v>470</v>
      </c>
      <c r="F100" s="252"/>
      <c r="G100" s="125">
        <v>1</v>
      </c>
      <c r="H100" s="125">
        <f t="shared" si="12"/>
        <v>1</v>
      </c>
      <c r="I100" s="254">
        <v>1.5</v>
      </c>
      <c r="J100" s="254">
        <f t="shared" si="13"/>
        <v>1.5</v>
      </c>
      <c r="K100" s="255"/>
      <c r="L100" s="255"/>
      <c r="AZ100" s="270"/>
      <c r="BA100" s="270"/>
      <c r="BB100" s="270"/>
      <c r="BC100" s="270"/>
      <c r="BD100" s="270"/>
      <c r="BE100" s="270"/>
      <c r="BF100" s="270"/>
      <c r="BG100" s="270"/>
      <c r="BH100" s="270"/>
      <c r="BI100" s="270"/>
      <c r="BJ100" s="270"/>
    </row>
    <row r="101" spans="1:62">
      <c r="A101" s="256" t="s">
        <v>344</v>
      </c>
      <c r="B101" s="250" t="s">
        <v>582</v>
      </c>
      <c r="C101" s="250"/>
      <c r="D101" s="251" t="s">
        <v>434</v>
      </c>
      <c r="E101" s="251" t="s">
        <v>470</v>
      </c>
      <c r="F101" s="252"/>
      <c r="G101" s="125">
        <v>1</v>
      </c>
      <c r="H101" s="125">
        <f t="shared" si="12"/>
        <v>1</v>
      </c>
      <c r="I101" s="254">
        <v>2</v>
      </c>
      <c r="J101" s="254">
        <f t="shared" si="13"/>
        <v>2</v>
      </c>
      <c r="K101" s="255"/>
      <c r="L101" s="255"/>
      <c r="AZ101" s="270"/>
      <c r="BA101" s="270"/>
      <c r="BB101" s="270"/>
      <c r="BC101" s="270"/>
      <c r="BD101" s="270"/>
      <c r="BE101" s="270"/>
      <c r="BF101" s="270"/>
      <c r="BG101" s="270"/>
      <c r="BH101" s="270"/>
      <c r="BI101" s="270"/>
      <c r="BJ101" s="270"/>
    </row>
    <row r="102" spans="1:62">
      <c r="A102" s="256" t="s">
        <v>345</v>
      </c>
      <c r="B102" s="250" t="s">
        <v>583</v>
      </c>
      <c r="C102" s="250"/>
      <c r="D102" s="251" t="s">
        <v>434</v>
      </c>
      <c r="E102" s="251" t="s">
        <v>470</v>
      </c>
      <c r="F102" s="252"/>
      <c r="G102" s="125">
        <v>1</v>
      </c>
      <c r="H102" s="125">
        <f t="shared" si="12"/>
        <v>1</v>
      </c>
      <c r="I102" s="254">
        <v>0.7</v>
      </c>
      <c r="J102" s="254">
        <f t="shared" si="13"/>
        <v>0.7</v>
      </c>
      <c r="K102" s="255"/>
      <c r="L102" s="255"/>
      <c r="AZ102" s="270"/>
      <c r="BA102" s="270"/>
      <c r="BB102" s="270"/>
      <c r="BC102" s="270"/>
      <c r="BD102" s="270"/>
      <c r="BE102" s="270"/>
      <c r="BF102" s="270"/>
      <c r="BG102" s="270"/>
      <c r="BH102" s="270"/>
      <c r="BI102" s="270"/>
      <c r="BJ102" s="270"/>
    </row>
    <row r="103" spans="1:62" ht="18.75" customHeight="1">
      <c r="A103" s="256" t="s">
        <v>346</v>
      </c>
      <c r="B103" s="250" t="s">
        <v>584</v>
      </c>
      <c r="C103" s="250"/>
      <c r="D103" s="251" t="s">
        <v>585</v>
      </c>
      <c r="E103" s="251" t="s">
        <v>470</v>
      </c>
      <c r="F103" s="252"/>
      <c r="G103" s="125">
        <v>1</v>
      </c>
      <c r="H103" s="125">
        <f t="shared" si="12"/>
        <v>1</v>
      </c>
      <c r="I103" s="254">
        <v>40</v>
      </c>
      <c r="J103" s="254">
        <f t="shared" si="13"/>
        <v>40</v>
      </c>
      <c r="K103" s="255"/>
      <c r="L103" s="255" t="s">
        <v>586</v>
      </c>
      <c r="AZ103" s="270"/>
      <c r="BA103" s="270"/>
      <c r="BB103" s="270"/>
      <c r="BC103" s="270"/>
      <c r="BD103" s="270"/>
      <c r="BE103" s="270"/>
      <c r="BF103" s="270"/>
      <c r="BG103" s="270"/>
      <c r="BH103" s="270"/>
      <c r="BI103" s="270"/>
      <c r="BJ103" s="270"/>
    </row>
    <row r="104" spans="1:62">
      <c r="A104" s="256" t="s">
        <v>347</v>
      </c>
      <c r="B104" s="250" t="s">
        <v>587</v>
      </c>
      <c r="C104" s="250" t="s">
        <v>588</v>
      </c>
      <c r="D104" s="251" t="s">
        <v>434</v>
      </c>
      <c r="E104" s="251" t="s">
        <v>470</v>
      </c>
      <c r="F104" s="252"/>
      <c r="G104" s="125">
        <v>2</v>
      </c>
      <c r="H104" s="125">
        <f t="shared" si="12"/>
        <v>2</v>
      </c>
      <c r="I104" s="254">
        <v>3.6</v>
      </c>
      <c r="J104" s="254">
        <f t="shared" si="13"/>
        <v>7.2</v>
      </c>
      <c r="K104" s="255"/>
      <c r="L104" s="255"/>
      <c r="AZ104" s="270"/>
      <c r="BA104" s="270"/>
      <c r="BB104" s="270"/>
      <c r="BC104" s="270"/>
      <c r="BD104" s="270"/>
      <c r="BE104" s="270"/>
      <c r="BF104" s="270"/>
      <c r="BG104" s="270"/>
      <c r="BH104" s="270"/>
      <c r="BI104" s="270"/>
      <c r="BJ104" s="270"/>
    </row>
    <row r="105" spans="1:62">
      <c r="A105" s="256" t="s">
        <v>348</v>
      </c>
      <c r="B105" s="250" t="s">
        <v>589</v>
      </c>
      <c r="C105" s="250" t="s">
        <v>590</v>
      </c>
      <c r="D105" s="251" t="s">
        <v>434</v>
      </c>
      <c r="E105" s="251" t="s">
        <v>470</v>
      </c>
      <c r="F105" s="252"/>
      <c r="G105" s="125">
        <v>1</v>
      </c>
      <c r="H105" s="125">
        <f t="shared" si="12"/>
        <v>1</v>
      </c>
      <c r="I105" s="254">
        <v>0.3</v>
      </c>
      <c r="J105" s="254">
        <f t="shared" si="13"/>
        <v>0.3</v>
      </c>
      <c r="K105" s="255"/>
      <c r="L105" s="255"/>
      <c r="AZ105" s="270"/>
      <c r="BA105" s="270"/>
      <c r="BB105" s="270"/>
      <c r="BC105" s="270"/>
      <c r="BD105" s="270"/>
      <c r="BE105" s="270"/>
      <c r="BF105" s="270"/>
      <c r="BG105" s="270"/>
      <c r="BH105" s="270"/>
      <c r="BI105" s="270"/>
      <c r="BJ105" s="270"/>
    </row>
    <row r="106" spans="1:62">
      <c r="A106" s="256" t="s">
        <v>349</v>
      </c>
      <c r="B106" s="250" t="s">
        <v>591</v>
      </c>
      <c r="C106" s="250"/>
      <c r="D106" s="251" t="s">
        <v>434</v>
      </c>
      <c r="E106" s="251" t="s">
        <v>470</v>
      </c>
      <c r="F106" s="252"/>
      <c r="G106" s="125">
        <v>1</v>
      </c>
      <c r="H106" s="125">
        <f t="shared" si="12"/>
        <v>1</v>
      </c>
      <c r="I106" s="254">
        <v>49</v>
      </c>
      <c r="J106" s="254">
        <f t="shared" si="13"/>
        <v>49</v>
      </c>
      <c r="K106" s="255"/>
      <c r="L106" s="255"/>
      <c r="AZ106" s="270"/>
      <c r="BA106" s="270"/>
      <c r="BB106" s="270"/>
      <c r="BC106" s="270"/>
      <c r="BD106" s="270"/>
      <c r="BE106" s="270"/>
      <c r="BF106" s="270"/>
      <c r="BG106" s="270"/>
      <c r="BH106" s="270"/>
      <c r="BI106" s="270"/>
      <c r="BJ106" s="270"/>
    </row>
    <row r="107" spans="1:62">
      <c r="A107" s="248"/>
      <c r="B107" s="251" t="s">
        <v>510</v>
      </c>
      <c r="C107" s="250"/>
      <c r="D107" s="251"/>
      <c r="E107" s="252"/>
      <c r="F107" s="252"/>
      <c r="G107" s="253"/>
      <c r="H107" s="253">
        <f>SUM(H92:H106)</f>
        <v>16</v>
      </c>
      <c r="I107" s="254"/>
      <c r="J107" s="254">
        <f>SUM(J92:J106)</f>
        <v>164.70999999999998</v>
      </c>
      <c r="K107" s="255"/>
      <c r="L107" s="255"/>
      <c r="AZ107" s="270"/>
      <c r="BA107" s="270"/>
      <c r="BB107" s="270"/>
      <c r="BC107" s="270"/>
      <c r="BD107" s="270"/>
      <c r="BE107" s="270"/>
      <c r="BF107" s="270"/>
      <c r="BG107" s="270"/>
      <c r="BH107" s="270"/>
      <c r="BI107" s="270"/>
      <c r="BJ107" s="270"/>
    </row>
    <row r="108" spans="1:62">
      <c r="A108" s="248"/>
      <c r="B108" s="274" t="s">
        <v>592</v>
      </c>
      <c r="C108" s="274"/>
      <c r="D108" s="274"/>
      <c r="E108" s="252"/>
      <c r="F108" s="252"/>
      <c r="G108" s="253"/>
      <c r="H108" s="253"/>
      <c r="I108" s="254"/>
      <c r="J108" s="254"/>
      <c r="K108" s="255"/>
      <c r="L108" s="255"/>
      <c r="AZ108" s="270"/>
      <c r="BA108" s="270"/>
      <c r="BB108" s="270"/>
      <c r="BC108" s="270"/>
      <c r="BD108" s="270"/>
      <c r="BE108" s="270"/>
      <c r="BF108" s="270"/>
      <c r="BG108" s="270"/>
      <c r="BH108" s="270"/>
      <c r="BI108" s="270"/>
      <c r="BJ108" s="270"/>
    </row>
    <row r="109" spans="1:62">
      <c r="A109" s="273"/>
      <c r="B109" s="357" t="s">
        <v>593</v>
      </c>
      <c r="C109" s="273"/>
      <c r="D109" s="275"/>
      <c r="E109" s="125"/>
      <c r="F109" s="273"/>
      <c r="G109" s="273"/>
      <c r="H109" s="273"/>
      <c r="I109" s="273"/>
      <c r="J109" s="273"/>
      <c r="K109" s="273"/>
      <c r="L109" s="273"/>
      <c r="AZ109" s="270"/>
      <c r="BA109" s="270"/>
      <c r="BB109" s="270"/>
      <c r="BC109" s="270"/>
      <c r="BD109" s="270"/>
      <c r="BE109" s="270"/>
      <c r="BF109" s="270"/>
      <c r="BG109" s="270"/>
      <c r="BH109" s="270"/>
      <c r="BI109" s="270"/>
      <c r="BJ109" s="270"/>
    </row>
    <row r="110" spans="1:62">
      <c r="A110" s="276" t="s">
        <v>512</v>
      </c>
      <c r="B110" s="277" t="s">
        <v>594</v>
      </c>
      <c r="C110" s="278" t="s">
        <v>595</v>
      </c>
      <c r="D110" s="275" t="s">
        <v>423</v>
      </c>
      <c r="E110" s="125" t="s">
        <v>424</v>
      </c>
      <c r="F110" s="279"/>
      <c r="G110" s="280">
        <v>1</v>
      </c>
      <c r="H110" s="281">
        <f t="shared" ref="H110:H125" si="14">F110+G110</f>
        <v>1</v>
      </c>
      <c r="I110" s="265">
        <v>171.64420000000001</v>
      </c>
      <c r="J110" s="282">
        <f t="shared" ref="J110:J125" si="15">G110*I110</f>
        <v>171.64420000000001</v>
      </c>
      <c r="K110" s="283" t="str">
        <f t="shared" ref="K110:K125" si="16">IF(J110&gt;=50,"委托公开"," ")</f>
        <v>委托公开</v>
      </c>
      <c r="L110" s="283"/>
    </row>
    <row r="111" spans="1:62" ht="30" customHeight="1">
      <c r="A111" s="276" t="s">
        <v>427</v>
      </c>
      <c r="B111" s="277" t="s">
        <v>596</v>
      </c>
      <c r="C111" s="278" t="s">
        <v>597</v>
      </c>
      <c r="D111" s="275" t="s">
        <v>423</v>
      </c>
      <c r="E111" s="125" t="s">
        <v>424</v>
      </c>
      <c r="F111" s="279"/>
      <c r="G111" s="280">
        <v>2</v>
      </c>
      <c r="H111" s="281">
        <f t="shared" si="14"/>
        <v>2</v>
      </c>
      <c r="I111" s="265">
        <v>0.19</v>
      </c>
      <c r="J111" s="282">
        <f t="shared" si="15"/>
        <v>0.38</v>
      </c>
      <c r="K111" s="283" t="str">
        <f t="shared" si="16"/>
        <v xml:space="preserve"> </v>
      </c>
      <c r="L111" s="283"/>
    </row>
    <row r="112" spans="1:62">
      <c r="A112" s="276" t="s">
        <v>598</v>
      </c>
      <c r="B112" s="277" t="s">
        <v>599</v>
      </c>
      <c r="C112" s="278" t="s">
        <v>600</v>
      </c>
      <c r="D112" s="275" t="s">
        <v>423</v>
      </c>
      <c r="E112" s="125" t="s">
        <v>470</v>
      </c>
      <c r="F112" s="279"/>
      <c r="G112" s="280">
        <v>1</v>
      </c>
      <c r="H112" s="281">
        <f t="shared" si="14"/>
        <v>1</v>
      </c>
      <c r="I112" s="265">
        <v>164</v>
      </c>
      <c r="J112" s="282">
        <f t="shared" si="15"/>
        <v>164</v>
      </c>
      <c r="K112" s="283" t="str">
        <f t="shared" si="16"/>
        <v>委托公开</v>
      </c>
      <c r="L112" s="283"/>
    </row>
    <row r="113" spans="1:62">
      <c r="A113" s="276" t="s">
        <v>316</v>
      </c>
      <c r="B113" s="277" t="s">
        <v>599</v>
      </c>
      <c r="C113" s="278" t="s">
        <v>601</v>
      </c>
      <c r="D113" s="275" t="s">
        <v>423</v>
      </c>
      <c r="E113" s="125" t="s">
        <v>470</v>
      </c>
      <c r="F113" s="279"/>
      <c r="G113" s="280">
        <v>1</v>
      </c>
      <c r="H113" s="281">
        <f t="shared" si="14"/>
        <v>1</v>
      </c>
      <c r="I113" s="265">
        <v>74</v>
      </c>
      <c r="J113" s="282">
        <f t="shared" si="15"/>
        <v>74</v>
      </c>
      <c r="K113" s="283" t="str">
        <f t="shared" si="16"/>
        <v>委托公开</v>
      </c>
      <c r="L113" s="283"/>
    </row>
    <row r="114" spans="1:62">
      <c r="A114" s="276" t="s">
        <v>319</v>
      </c>
      <c r="B114" s="277" t="s">
        <v>602</v>
      </c>
      <c r="C114" s="278" t="s">
        <v>600</v>
      </c>
      <c r="D114" s="275" t="s">
        <v>423</v>
      </c>
      <c r="E114" s="125" t="s">
        <v>470</v>
      </c>
      <c r="F114" s="279"/>
      <c r="G114" s="280">
        <v>1</v>
      </c>
      <c r="H114" s="281">
        <f t="shared" si="14"/>
        <v>1</v>
      </c>
      <c r="I114" s="265">
        <v>71.5</v>
      </c>
      <c r="J114" s="282">
        <f t="shared" si="15"/>
        <v>71.5</v>
      </c>
      <c r="K114" s="283" t="str">
        <f t="shared" si="16"/>
        <v>委托公开</v>
      </c>
      <c r="L114" s="283"/>
    </row>
    <row r="115" spans="1:62">
      <c r="A115" s="276" t="s">
        <v>322</v>
      </c>
      <c r="B115" s="277" t="s">
        <v>602</v>
      </c>
      <c r="C115" s="278" t="s">
        <v>601</v>
      </c>
      <c r="D115" s="275" t="s">
        <v>423</v>
      </c>
      <c r="E115" s="125" t="s">
        <v>424</v>
      </c>
      <c r="F115" s="279"/>
      <c r="G115" s="280">
        <v>1</v>
      </c>
      <c r="H115" s="281">
        <f t="shared" si="14"/>
        <v>1</v>
      </c>
      <c r="I115" s="265">
        <v>25.6</v>
      </c>
      <c r="J115" s="282">
        <f t="shared" si="15"/>
        <v>25.6</v>
      </c>
      <c r="K115" s="283" t="str">
        <f t="shared" si="16"/>
        <v xml:space="preserve"> </v>
      </c>
      <c r="L115" s="283"/>
    </row>
    <row r="116" spans="1:62">
      <c r="A116" s="276" t="s">
        <v>325</v>
      </c>
      <c r="B116" s="277" t="s">
        <v>603</v>
      </c>
      <c r="C116" s="278" t="s">
        <v>600</v>
      </c>
      <c r="D116" s="275" t="s">
        <v>423</v>
      </c>
      <c r="E116" s="125" t="s">
        <v>470</v>
      </c>
      <c r="F116" s="279"/>
      <c r="G116" s="280">
        <v>1</v>
      </c>
      <c r="H116" s="281">
        <f t="shared" si="14"/>
        <v>1</v>
      </c>
      <c r="I116" s="265">
        <v>35.14</v>
      </c>
      <c r="J116" s="282">
        <f t="shared" si="15"/>
        <v>35.14</v>
      </c>
      <c r="K116" s="283" t="str">
        <f t="shared" si="16"/>
        <v xml:space="preserve"> </v>
      </c>
      <c r="L116" s="283"/>
    </row>
    <row r="117" spans="1:62">
      <c r="A117" s="276" t="s">
        <v>342</v>
      </c>
      <c r="B117" s="277" t="s">
        <v>603</v>
      </c>
      <c r="C117" s="278" t="s">
        <v>601</v>
      </c>
      <c r="D117" s="275" t="s">
        <v>423</v>
      </c>
      <c r="E117" s="125" t="s">
        <v>470</v>
      </c>
      <c r="F117" s="279"/>
      <c r="G117" s="280">
        <v>1</v>
      </c>
      <c r="H117" s="281">
        <f t="shared" si="14"/>
        <v>1</v>
      </c>
      <c r="I117" s="265">
        <v>23.03</v>
      </c>
      <c r="J117" s="282">
        <f t="shared" si="15"/>
        <v>23.03</v>
      </c>
      <c r="K117" s="283" t="str">
        <f t="shared" si="16"/>
        <v xml:space="preserve"> </v>
      </c>
      <c r="L117" s="283"/>
    </row>
    <row r="118" spans="1:62">
      <c r="A118" s="276" t="s">
        <v>343</v>
      </c>
      <c r="B118" s="277" t="s">
        <v>604</v>
      </c>
      <c r="C118" s="278" t="s">
        <v>600</v>
      </c>
      <c r="D118" s="275" t="s">
        <v>423</v>
      </c>
      <c r="E118" s="125" t="s">
        <v>470</v>
      </c>
      <c r="F118" s="279"/>
      <c r="G118" s="280">
        <v>1</v>
      </c>
      <c r="H118" s="281">
        <f t="shared" si="14"/>
        <v>1</v>
      </c>
      <c r="I118" s="265">
        <v>23</v>
      </c>
      <c r="J118" s="282">
        <f t="shared" si="15"/>
        <v>23</v>
      </c>
      <c r="K118" s="283" t="str">
        <f t="shared" si="16"/>
        <v xml:space="preserve"> </v>
      </c>
      <c r="L118" s="283"/>
    </row>
    <row r="119" spans="1:62">
      <c r="A119" s="276" t="s">
        <v>344</v>
      </c>
      <c r="B119" s="277" t="s">
        <v>604</v>
      </c>
      <c r="C119" s="278" t="s">
        <v>601</v>
      </c>
      <c r="D119" s="275" t="s">
        <v>423</v>
      </c>
      <c r="E119" s="125" t="s">
        <v>470</v>
      </c>
      <c r="F119" s="279"/>
      <c r="G119" s="280">
        <v>1</v>
      </c>
      <c r="H119" s="281">
        <f t="shared" si="14"/>
        <v>1</v>
      </c>
      <c r="I119" s="265">
        <v>15.58</v>
      </c>
      <c r="J119" s="282">
        <f t="shared" si="15"/>
        <v>15.58</v>
      </c>
      <c r="K119" s="283" t="str">
        <f t="shared" si="16"/>
        <v xml:space="preserve"> </v>
      </c>
      <c r="L119" s="283"/>
    </row>
    <row r="120" spans="1:62">
      <c r="A120" s="276" t="s">
        <v>345</v>
      </c>
      <c r="B120" s="277" t="s">
        <v>605</v>
      </c>
      <c r="C120" s="278" t="s">
        <v>600</v>
      </c>
      <c r="D120" s="275" t="s">
        <v>423</v>
      </c>
      <c r="E120" s="125" t="s">
        <v>470</v>
      </c>
      <c r="F120" s="279"/>
      <c r="G120" s="280">
        <v>1</v>
      </c>
      <c r="H120" s="281">
        <f t="shared" si="14"/>
        <v>1</v>
      </c>
      <c r="I120" s="265">
        <v>21.99</v>
      </c>
      <c r="J120" s="282">
        <f t="shared" si="15"/>
        <v>21.99</v>
      </c>
      <c r="K120" s="283" t="str">
        <f t="shared" si="16"/>
        <v xml:space="preserve"> </v>
      </c>
      <c r="L120" s="283"/>
    </row>
    <row r="121" spans="1:62">
      <c r="A121" s="276" t="s">
        <v>346</v>
      </c>
      <c r="B121" s="277" t="s">
        <v>605</v>
      </c>
      <c r="C121" s="278" t="s">
        <v>601</v>
      </c>
      <c r="D121" s="275" t="s">
        <v>423</v>
      </c>
      <c r="E121" s="125" t="s">
        <v>470</v>
      </c>
      <c r="F121" s="279"/>
      <c r="G121" s="280">
        <v>1</v>
      </c>
      <c r="H121" s="281">
        <f t="shared" si="14"/>
        <v>1</v>
      </c>
      <c r="I121" s="265">
        <v>16.260000000000002</v>
      </c>
      <c r="J121" s="282">
        <f t="shared" si="15"/>
        <v>16.260000000000002</v>
      </c>
      <c r="K121" s="283" t="str">
        <f t="shared" si="16"/>
        <v xml:space="preserve"> </v>
      </c>
      <c r="L121" s="283"/>
    </row>
    <row r="122" spans="1:62">
      <c r="A122" s="276" t="s">
        <v>347</v>
      </c>
      <c r="B122" s="284" t="s">
        <v>606</v>
      </c>
      <c r="C122" s="278" t="s">
        <v>607</v>
      </c>
      <c r="D122" s="275" t="s">
        <v>423</v>
      </c>
      <c r="E122" s="285" t="s">
        <v>4</v>
      </c>
      <c r="F122" s="279"/>
      <c r="G122" s="286">
        <v>1</v>
      </c>
      <c r="H122" s="281">
        <f t="shared" si="14"/>
        <v>1</v>
      </c>
      <c r="I122" s="287">
        <v>47</v>
      </c>
      <c r="J122" s="282">
        <f t="shared" si="15"/>
        <v>47</v>
      </c>
      <c r="K122" s="283" t="str">
        <f t="shared" si="16"/>
        <v xml:space="preserve"> </v>
      </c>
      <c r="L122" s="283"/>
    </row>
    <row r="123" spans="1:62">
      <c r="A123" s="276" t="s">
        <v>348</v>
      </c>
      <c r="B123" s="262" t="s">
        <v>608</v>
      </c>
      <c r="C123" s="278" t="s">
        <v>609</v>
      </c>
      <c r="D123" s="275" t="s">
        <v>423</v>
      </c>
      <c r="E123" s="279" t="s">
        <v>610</v>
      </c>
      <c r="F123" s="279"/>
      <c r="G123" s="125">
        <v>1</v>
      </c>
      <c r="H123" s="281">
        <f t="shared" si="14"/>
        <v>1</v>
      </c>
      <c r="I123" s="265">
        <v>5</v>
      </c>
      <c r="J123" s="282">
        <f t="shared" si="15"/>
        <v>5</v>
      </c>
      <c r="K123" s="283" t="str">
        <f t="shared" si="16"/>
        <v xml:space="preserve"> </v>
      </c>
      <c r="L123" s="283"/>
    </row>
    <row r="124" spans="1:62" s="291" customFormat="1">
      <c r="A124" s="276" t="s">
        <v>349</v>
      </c>
      <c r="B124" s="288" t="s">
        <v>611</v>
      </c>
      <c r="C124" s="289" t="s">
        <v>612</v>
      </c>
      <c r="D124" s="275" t="s">
        <v>423</v>
      </c>
      <c r="E124" s="279" t="s">
        <v>610</v>
      </c>
      <c r="F124" s="279"/>
      <c r="G124" s="290">
        <v>1</v>
      </c>
      <c r="H124" s="281">
        <f t="shared" si="14"/>
        <v>1</v>
      </c>
      <c r="I124" s="265">
        <v>30</v>
      </c>
      <c r="J124" s="282">
        <f t="shared" si="15"/>
        <v>30</v>
      </c>
      <c r="K124" s="283" t="str">
        <f t="shared" si="16"/>
        <v xml:space="preserve"> </v>
      </c>
      <c r="L124" s="283"/>
      <c r="M124" s="269"/>
      <c r="N124" s="269"/>
      <c r="O124" s="269"/>
      <c r="P124" s="269"/>
      <c r="Q124" s="269"/>
      <c r="R124" s="269"/>
      <c r="S124" s="269"/>
      <c r="T124" s="269"/>
      <c r="U124" s="269"/>
      <c r="V124" s="269"/>
      <c r="W124" s="269"/>
      <c r="X124" s="269"/>
      <c r="Y124" s="269"/>
      <c r="Z124" s="269"/>
      <c r="AA124" s="269"/>
      <c r="AB124" s="269"/>
      <c r="AC124" s="269"/>
      <c r="AD124" s="269"/>
      <c r="AE124" s="269"/>
      <c r="AF124" s="269"/>
      <c r="AG124" s="269"/>
      <c r="AH124" s="269"/>
      <c r="AI124" s="269"/>
      <c r="AJ124" s="269"/>
      <c r="AK124" s="269"/>
      <c r="AL124" s="269"/>
      <c r="AM124" s="269"/>
      <c r="AN124" s="269"/>
      <c r="AO124" s="269"/>
      <c r="AP124" s="269"/>
      <c r="AQ124" s="269"/>
      <c r="AR124" s="269"/>
      <c r="AS124" s="269"/>
      <c r="AT124" s="269"/>
      <c r="AU124" s="269"/>
      <c r="AV124" s="269"/>
      <c r="AW124" s="269"/>
      <c r="AX124" s="269"/>
      <c r="AY124" s="269"/>
      <c r="AZ124" s="269"/>
      <c r="BA124" s="269"/>
      <c r="BB124" s="269"/>
      <c r="BC124" s="269"/>
      <c r="BD124" s="269"/>
      <c r="BE124" s="269"/>
      <c r="BF124" s="269"/>
      <c r="BG124" s="269"/>
      <c r="BH124" s="269"/>
      <c r="BI124" s="269"/>
      <c r="BJ124" s="269"/>
    </row>
    <row r="125" spans="1:62" s="291" customFormat="1">
      <c r="A125" s="276" t="s">
        <v>350</v>
      </c>
      <c r="B125" s="292" t="s">
        <v>613</v>
      </c>
      <c r="C125" s="288" t="s">
        <v>614</v>
      </c>
      <c r="D125" s="275" t="s">
        <v>423</v>
      </c>
      <c r="E125" s="279" t="s">
        <v>610</v>
      </c>
      <c r="F125" s="279"/>
      <c r="G125" s="293">
        <v>10</v>
      </c>
      <c r="H125" s="281">
        <f t="shared" si="14"/>
        <v>10</v>
      </c>
      <c r="I125" s="294">
        <v>0.5</v>
      </c>
      <c r="J125" s="282">
        <f t="shared" si="15"/>
        <v>5</v>
      </c>
      <c r="K125" s="283" t="str">
        <f t="shared" si="16"/>
        <v xml:space="preserve"> </v>
      </c>
      <c r="L125" s="283"/>
      <c r="M125" s="269"/>
      <c r="N125" s="269"/>
      <c r="O125" s="269"/>
      <c r="P125" s="269"/>
      <c r="Q125" s="269"/>
      <c r="R125" s="269"/>
      <c r="S125" s="269"/>
      <c r="T125" s="269"/>
      <c r="U125" s="269"/>
      <c r="V125" s="269"/>
      <c r="W125" s="269"/>
      <c r="X125" s="269"/>
      <c r="Y125" s="269"/>
      <c r="Z125" s="269"/>
      <c r="AA125" s="269"/>
      <c r="AB125" s="269"/>
      <c r="AC125" s="269"/>
      <c r="AD125" s="269"/>
      <c r="AE125" s="269"/>
      <c r="AF125" s="269"/>
      <c r="AG125" s="269"/>
      <c r="AH125" s="269"/>
      <c r="AI125" s="269"/>
      <c r="AJ125" s="269"/>
      <c r="AK125" s="269"/>
      <c r="AL125" s="269"/>
      <c r="AM125" s="269"/>
      <c r="AN125" s="269"/>
      <c r="AO125" s="269"/>
      <c r="AP125" s="269"/>
      <c r="AQ125" s="269"/>
      <c r="AR125" s="269"/>
      <c r="AS125" s="269"/>
      <c r="AT125" s="269"/>
      <c r="AU125" s="269"/>
      <c r="AV125" s="269"/>
      <c r="AW125" s="269"/>
      <c r="AX125" s="269"/>
      <c r="AY125" s="269"/>
      <c r="AZ125" s="269"/>
      <c r="BA125" s="269"/>
      <c r="BB125" s="269"/>
      <c r="BC125" s="269"/>
      <c r="BD125" s="269"/>
      <c r="BE125" s="269"/>
      <c r="BF125" s="269"/>
      <c r="BG125" s="269"/>
      <c r="BH125" s="269"/>
      <c r="BI125" s="269"/>
      <c r="BJ125" s="269"/>
    </row>
    <row r="126" spans="1:62" s="291" customFormat="1">
      <c r="A126" s="295"/>
      <c r="B126" s="293" t="s">
        <v>510</v>
      </c>
      <c r="C126" s="296"/>
      <c r="D126" s="275"/>
      <c r="E126" s="279"/>
      <c r="F126" s="279"/>
      <c r="G126" s="281">
        <f>SUM(G110:G125)</f>
        <v>26</v>
      </c>
      <c r="H126" s="281">
        <f>SUM(H110:H125)</f>
        <v>26</v>
      </c>
      <c r="I126" s="281"/>
      <c r="J126" s="283">
        <f>SUM(J110:J125)</f>
        <v>729.12420000000009</v>
      </c>
      <c r="K126" s="283"/>
      <c r="L126" s="283"/>
      <c r="M126" s="269"/>
      <c r="N126" s="269"/>
      <c r="O126" s="269"/>
      <c r="P126" s="269"/>
      <c r="Q126" s="269"/>
      <c r="R126" s="269"/>
      <c r="S126" s="269"/>
      <c r="T126" s="269"/>
      <c r="U126" s="269"/>
      <c r="V126" s="269"/>
      <c r="W126" s="269"/>
      <c r="X126" s="269"/>
      <c r="Y126" s="269"/>
      <c r="Z126" s="269"/>
      <c r="AA126" s="269"/>
      <c r="AB126" s="269"/>
      <c r="AC126" s="269"/>
      <c r="AD126" s="269"/>
      <c r="AE126" s="269"/>
      <c r="AF126" s="269"/>
      <c r="AG126" s="269"/>
      <c r="AH126" s="269"/>
      <c r="AI126" s="269"/>
      <c r="AJ126" s="269"/>
      <c r="AK126" s="269"/>
      <c r="AL126" s="269"/>
      <c r="AM126" s="269"/>
      <c r="AN126" s="269"/>
      <c r="AO126" s="269"/>
      <c r="AP126" s="269"/>
      <c r="AQ126" s="269"/>
      <c r="AR126" s="269"/>
      <c r="AS126" s="269"/>
      <c r="AT126" s="269"/>
      <c r="AU126" s="269"/>
      <c r="AV126" s="269"/>
      <c r="AW126" s="269"/>
      <c r="AX126" s="269"/>
      <c r="AY126" s="269"/>
      <c r="AZ126" s="269"/>
      <c r="BA126" s="269"/>
      <c r="BB126" s="269"/>
      <c r="BC126" s="269"/>
      <c r="BD126" s="269"/>
      <c r="BE126" s="269"/>
      <c r="BF126" s="269"/>
      <c r="BG126" s="269"/>
      <c r="BH126" s="269"/>
      <c r="BI126" s="269"/>
      <c r="BJ126" s="269"/>
    </row>
    <row r="127" spans="1:62">
      <c r="A127" s="295"/>
      <c r="B127" s="297" t="s">
        <v>615</v>
      </c>
      <c r="C127" s="296"/>
      <c r="D127" s="275"/>
      <c r="E127" s="279"/>
      <c r="F127" s="279"/>
      <c r="G127" s="281"/>
      <c r="H127" s="281"/>
      <c r="I127" s="281"/>
      <c r="J127" s="283"/>
      <c r="K127" s="283" t="str">
        <f t="shared" ref="K127:K141" si="17">IF(J127&gt;=50,"委托公开"," ")</f>
        <v xml:space="preserve"> </v>
      </c>
      <c r="L127" s="283"/>
    </row>
    <row r="128" spans="1:62">
      <c r="A128" s="276" t="s">
        <v>512</v>
      </c>
      <c r="B128" s="289" t="s">
        <v>365</v>
      </c>
      <c r="C128" s="289" t="s">
        <v>616</v>
      </c>
      <c r="D128" s="275" t="s">
        <v>617</v>
      </c>
      <c r="E128" s="125" t="s">
        <v>618</v>
      </c>
      <c r="F128" s="279"/>
      <c r="G128" s="281">
        <v>3</v>
      </c>
      <c r="H128" s="281">
        <f t="shared" ref="H128:H141" si="18">F128+G128</f>
        <v>3</v>
      </c>
      <c r="I128" s="298">
        <v>10.5</v>
      </c>
      <c r="J128" s="282">
        <f t="shared" ref="J128:J141" si="19">G128*I128</f>
        <v>31.5</v>
      </c>
      <c r="K128" s="283" t="str">
        <f t="shared" si="17"/>
        <v xml:space="preserve"> </v>
      </c>
      <c r="L128" s="283"/>
    </row>
    <row r="129" spans="1:12">
      <c r="A129" s="276" t="s">
        <v>619</v>
      </c>
      <c r="B129" s="277" t="s">
        <v>620</v>
      </c>
      <c r="C129" s="299" t="s">
        <v>621</v>
      </c>
      <c r="D129" s="275" t="s">
        <v>617</v>
      </c>
      <c r="E129" s="125" t="s">
        <v>618</v>
      </c>
      <c r="F129" s="279"/>
      <c r="G129" s="281">
        <v>1</v>
      </c>
      <c r="H129" s="281">
        <f t="shared" si="18"/>
        <v>1</v>
      </c>
      <c r="I129" s="265">
        <v>23</v>
      </c>
      <c r="J129" s="282">
        <f t="shared" si="19"/>
        <v>23</v>
      </c>
      <c r="K129" s="283" t="str">
        <f t="shared" si="17"/>
        <v xml:space="preserve"> </v>
      </c>
      <c r="L129" s="283"/>
    </row>
    <row r="130" spans="1:12">
      <c r="A130" s="276" t="s">
        <v>622</v>
      </c>
      <c r="B130" s="300" t="s">
        <v>623</v>
      </c>
      <c r="C130" s="296" t="s">
        <v>624</v>
      </c>
      <c r="D130" s="275" t="s">
        <v>617</v>
      </c>
      <c r="E130" s="279" t="s">
        <v>625</v>
      </c>
      <c r="F130" s="279"/>
      <c r="G130" s="281">
        <v>2</v>
      </c>
      <c r="H130" s="281">
        <f t="shared" si="18"/>
        <v>2</v>
      </c>
      <c r="I130" s="287">
        <v>118.6</v>
      </c>
      <c r="J130" s="282">
        <f t="shared" si="19"/>
        <v>237.2</v>
      </c>
      <c r="K130" s="283" t="str">
        <f t="shared" si="17"/>
        <v>委托公开</v>
      </c>
      <c r="L130" s="283"/>
    </row>
    <row r="131" spans="1:12">
      <c r="A131" s="276" t="s">
        <v>316</v>
      </c>
      <c r="B131" s="277" t="s">
        <v>626</v>
      </c>
      <c r="C131" s="278" t="s">
        <v>627</v>
      </c>
      <c r="D131" s="275" t="s">
        <v>617</v>
      </c>
      <c r="E131" s="125" t="s">
        <v>618</v>
      </c>
      <c r="F131" s="279"/>
      <c r="G131" s="281">
        <v>3</v>
      </c>
      <c r="H131" s="281">
        <f t="shared" si="18"/>
        <v>3</v>
      </c>
      <c r="I131" s="265">
        <v>1.2</v>
      </c>
      <c r="J131" s="282">
        <f t="shared" si="19"/>
        <v>3.5999999999999996</v>
      </c>
      <c r="K131" s="283" t="str">
        <f t="shared" si="17"/>
        <v xml:space="preserve"> </v>
      </c>
      <c r="L131" s="283"/>
    </row>
    <row r="132" spans="1:12">
      <c r="A132" s="276" t="s">
        <v>319</v>
      </c>
      <c r="B132" s="277" t="s">
        <v>628</v>
      </c>
      <c r="C132" s="301" t="s">
        <v>366</v>
      </c>
      <c r="D132" s="275" t="s">
        <v>617</v>
      </c>
      <c r="E132" s="125" t="s">
        <v>618</v>
      </c>
      <c r="F132" s="279"/>
      <c r="G132" s="281">
        <v>5</v>
      </c>
      <c r="H132" s="281">
        <f t="shared" si="18"/>
        <v>5</v>
      </c>
      <c r="I132" s="265">
        <v>1.5525</v>
      </c>
      <c r="J132" s="282">
        <f t="shared" si="19"/>
        <v>7.7625000000000002</v>
      </c>
      <c r="K132" s="283" t="str">
        <f t="shared" si="17"/>
        <v xml:space="preserve"> </v>
      </c>
      <c r="L132" s="283"/>
    </row>
    <row r="133" spans="1:12">
      <c r="A133" s="276" t="s">
        <v>322</v>
      </c>
      <c r="B133" s="277" t="s">
        <v>629</v>
      </c>
      <c r="C133" s="278" t="s">
        <v>630</v>
      </c>
      <c r="D133" s="275" t="s">
        <v>617</v>
      </c>
      <c r="E133" s="125" t="s">
        <v>618</v>
      </c>
      <c r="F133" s="279"/>
      <c r="G133" s="281">
        <v>4</v>
      </c>
      <c r="H133" s="281">
        <f t="shared" si="18"/>
        <v>4</v>
      </c>
      <c r="I133" s="265">
        <v>0.90249999999999997</v>
      </c>
      <c r="J133" s="282">
        <f t="shared" si="19"/>
        <v>3.61</v>
      </c>
      <c r="K133" s="283" t="str">
        <f t="shared" si="17"/>
        <v xml:space="preserve"> </v>
      </c>
      <c r="L133" s="283"/>
    </row>
    <row r="134" spans="1:12">
      <c r="A134" s="276" t="s">
        <v>325</v>
      </c>
      <c r="B134" s="277" t="s">
        <v>631</v>
      </c>
      <c r="C134" s="278" t="s">
        <v>630</v>
      </c>
      <c r="D134" s="275" t="s">
        <v>617</v>
      </c>
      <c r="E134" s="286" t="s">
        <v>625</v>
      </c>
      <c r="F134" s="279"/>
      <c r="G134" s="281">
        <v>6</v>
      </c>
      <c r="H134" s="281">
        <f t="shared" si="18"/>
        <v>6</v>
      </c>
      <c r="I134" s="265">
        <v>1.5495000000000001</v>
      </c>
      <c r="J134" s="282">
        <f t="shared" si="19"/>
        <v>9.2970000000000006</v>
      </c>
      <c r="K134" s="283" t="str">
        <f t="shared" si="17"/>
        <v xml:space="preserve"> </v>
      </c>
      <c r="L134" s="283"/>
    </row>
    <row r="135" spans="1:12">
      <c r="A135" s="276" t="s">
        <v>342</v>
      </c>
      <c r="B135" s="277" t="s">
        <v>632</v>
      </c>
      <c r="C135" s="299" t="s">
        <v>633</v>
      </c>
      <c r="D135" s="275" t="s">
        <v>617</v>
      </c>
      <c r="E135" s="125" t="s">
        <v>634</v>
      </c>
      <c r="F135" s="279"/>
      <c r="G135" s="281">
        <v>1</v>
      </c>
      <c r="H135" s="281">
        <f t="shared" si="18"/>
        <v>1</v>
      </c>
      <c r="I135" s="265">
        <v>29</v>
      </c>
      <c r="J135" s="282">
        <f t="shared" si="19"/>
        <v>29</v>
      </c>
      <c r="K135" s="283" t="str">
        <f t="shared" si="17"/>
        <v xml:space="preserve"> </v>
      </c>
      <c r="L135" s="283"/>
    </row>
    <row r="136" spans="1:12">
      <c r="A136" s="276" t="s">
        <v>343</v>
      </c>
      <c r="B136" s="277" t="s">
        <v>635</v>
      </c>
      <c r="C136" s="277" t="s">
        <v>636</v>
      </c>
      <c r="D136" s="275" t="s">
        <v>617</v>
      </c>
      <c r="E136" s="125" t="s">
        <v>634</v>
      </c>
      <c r="F136" s="279"/>
      <c r="G136" s="281">
        <v>1</v>
      </c>
      <c r="H136" s="281">
        <f t="shared" si="18"/>
        <v>1</v>
      </c>
      <c r="I136" s="265">
        <v>13</v>
      </c>
      <c r="J136" s="282">
        <f t="shared" si="19"/>
        <v>13</v>
      </c>
      <c r="K136" s="283" t="str">
        <f t="shared" si="17"/>
        <v xml:space="preserve"> </v>
      </c>
      <c r="L136" s="283"/>
    </row>
    <row r="137" spans="1:12">
      <c r="A137" s="276" t="s">
        <v>344</v>
      </c>
      <c r="B137" s="277" t="s">
        <v>635</v>
      </c>
      <c r="C137" s="277" t="s">
        <v>637</v>
      </c>
      <c r="D137" s="275" t="s">
        <v>617</v>
      </c>
      <c r="E137" s="125" t="s">
        <v>634</v>
      </c>
      <c r="F137" s="279"/>
      <c r="G137" s="281">
        <v>1</v>
      </c>
      <c r="H137" s="281">
        <f t="shared" si="18"/>
        <v>1</v>
      </c>
      <c r="I137" s="265">
        <v>19</v>
      </c>
      <c r="J137" s="282">
        <f t="shared" si="19"/>
        <v>19</v>
      </c>
      <c r="K137" s="283" t="str">
        <f t="shared" si="17"/>
        <v xml:space="preserve"> </v>
      </c>
      <c r="L137" s="283"/>
    </row>
    <row r="138" spans="1:12">
      <c r="A138" s="276" t="s">
        <v>345</v>
      </c>
      <c r="B138" s="277" t="s">
        <v>635</v>
      </c>
      <c r="C138" s="277" t="s">
        <v>638</v>
      </c>
      <c r="D138" s="275" t="s">
        <v>617</v>
      </c>
      <c r="E138" s="125" t="s">
        <v>634</v>
      </c>
      <c r="F138" s="279"/>
      <c r="G138" s="281">
        <v>1</v>
      </c>
      <c r="H138" s="281">
        <f t="shared" si="18"/>
        <v>1</v>
      </c>
      <c r="I138" s="265">
        <v>29.6</v>
      </c>
      <c r="J138" s="282">
        <f t="shared" si="19"/>
        <v>29.6</v>
      </c>
      <c r="K138" s="283" t="str">
        <f t="shared" si="17"/>
        <v xml:space="preserve"> </v>
      </c>
      <c r="L138" s="283"/>
    </row>
    <row r="139" spans="1:12">
      <c r="A139" s="276" t="s">
        <v>346</v>
      </c>
      <c r="B139" s="277" t="s">
        <v>639</v>
      </c>
      <c r="C139" s="278" t="s">
        <v>367</v>
      </c>
      <c r="D139" s="275" t="s">
        <v>617</v>
      </c>
      <c r="E139" s="125" t="s">
        <v>618</v>
      </c>
      <c r="F139" s="279"/>
      <c r="G139" s="281">
        <v>1</v>
      </c>
      <c r="H139" s="281">
        <f t="shared" si="18"/>
        <v>1</v>
      </c>
      <c r="I139" s="265">
        <v>5</v>
      </c>
      <c r="J139" s="282">
        <f t="shared" si="19"/>
        <v>5</v>
      </c>
      <c r="K139" s="283" t="str">
        <f t="shared" si="17"/>
        <v xml:space="preserve"> </v>
      </c>
      <c r="L139" s="283"/>
    </row>
    <row r="140" spans="1:12">
      <c r="A140" s="276" t="s">
        <v>347</v>
      </c>
      <c r="B140" s="288" t="s">
        <v>640</v>
      </c>
      <c r="C140" s="296" t="s">
        <v>641</v>
      </c>
      <c r="D140" s="275" t="s">
        <v>617</v>
      </c>
      <c r="E140" s="279" t="s">
        <v>642</v>
      </c>
      <c r="F140" s="279"/>
      <c r="G140" s="293">
        <v>1</v>
      </c>
      <c r="H140" s="281">
        <f t="shared" si="18"/>
        <v>1</v>
      </c>
      <c r="I140" s="294">
        <v>18</v>
      </c>
      <c r="J140" s="282">
        <f t="shared" si="19"/>
        <v>18</v>
      </c>
      <c r="K140" s="283" t="str">
        <f t="shared" si="17"/>
        <v xml:space="preserve"> </v>
      </c>
      <c r="L140" s="283"/>
    </row>
    <row r="141" spans="1:12">
      <c r="A141" s="276" t="s">
        <v>348</v>
      </c>
      <c r="B141" s="288" t="s">
        <v>643</v>
      </c>
      <c r="C141" s="296" t="s">
        <v>644</v>
      </c>
      <c r="D141" s="275" t="s">
        <v>617</v>
      </c>
      <c r="E141" s="279" t="s">
        <v>642</v>
      </c>
      <c r="F141" s="279"/>
      <c r="G141" s="293">
        <v>1</v>
      </c>
      <c r="H141" s="281">
        <f t="shared" si="18"/>
        <v>1</v>
      </c>
      <c r="I141" s="294">
        <v>4.5</v>
      </c>
      <c r="J141" s="282">
        <f t="shared" si="19"/>
        <v>4.5</v>
      </c>
      <c r="K141" s="283" t="str">
        <f t="shared" si="17"/>
        <v xml:space="preserve"> </v>
      </c>
      <c r="L141" s="283"/>
    </row>
    <row r="142" spans="1:12">
      <c r="A142" s="295"/>
      <c r="B142" s="293" t="s">
        <v>645</v>
      </c>
      <c r="C142" s="296"/>
      <c r="D142" s="275"/>
      <c r="E142" s="279"/>
      <c r="F142" s="279"/>
      <c r="G142" s="281">
        <f>SUM(G128:G141)</f>
        <v>31</v>
      </c>
      <c r="H142" s="281">
        <f>SUM(H128:H141)</f>
        <v>31</v>
      </c>
      <c r="I142" s="281"/>
      <c r="J142" s="302">
        <f>SUM(J128:J141)</f>
        <v>434.06950000000006</v>
      </c>
      <c r="K142" s="283"/>
      <c r="L142" s="283"/>
    </row>
    <row r="143" spans="1:12">
      <c r="A143" s="295"/>
      <c r="B143" s="297" t="s">
        <v>646</v>
      </c>
      <c r="C143" s="296"/>
      <c r="D143" s="275"/>
      <c r="E143" s="279"/>
      <c r="F143" s="279"/>
      <c r="G143" s="281"/>
      <c r="H143" s="281"/>
      <c r="I143" s="281"/>
      <c r="J143" s="283"/>
      <c r="K143" s="283" t="str">
        <f>IF(J143&gt;=50,"委托公开"," ")</f>
        <v xml:space="preserve"> </v>
      </c>
      <c r="L143" s="283"/>
    </row>
    <row r="144" spans="1:12">
      <c r="A144" s="276">
        <v>1</v>
      </c>
      <c r="B144" s="288" t="s">
        <v>647</v>
      </c>
      <c r="C144" s="296"/>
      <c r="D144" s="275" t="s">
        <v>617</v>
      </c>
      <c r="E144" s="279" t="s">
        <v>642</v>
      </c>
      <c r="F144" s="279"/>
      <c r="G144" s="281">
        <v>1</v>
      </c>
      <c r="H144" s="281">
        <f>F144+G144</f>
        <v>1</v>
      </c>
      <c r="I144" s="265">
        <v>242</v>
      </c>
      <c r="J144" s="282">
        <f>G144*I144</f>
        <v>242</v>
      </c>
      <c r="K144" s="283" t="s">
        <v>648</v>
      </c>
      <c r="L144" s="283"/>
    </row>
    <row r="145" spans="1:12">
      <c r="A145" s="276" t="s">
        <v>649</v>
      </c>
      <c r="B145" s="277" t="s">
        <v>650</v>
      </c>
      <c r="C145" s="278" t="s">
        <v>651</v>
      </c>
      <c r="D145" s="275" t="s">
        <v>617</v>
      </c>
      <c r="E145" s="125" t="s">
        <v>634</v>
      </c>
      <c r="F145" s="279"/>
      <c r="G145" s="276" t="s">
        <v>649</v>
      </c>
      <c r="H145" s="276" t="s">
        <v>649</v>
      </c>
      <c r="I145" s="265">
        <v>-48</v>
      </c>
      <c r="J145" s="265">
        <v>-48</v>
      </c>
      <c r="K145" s="283" t="str">
        <f>IF(J145&gt;=50,"委托公开"," ")</f>
        <v xml:space="preserve"> </v>
      </c>
      <c r="L145" s="283"/>
    </row>
    <row r="146" spans="1:12">
      <c r="A146" s="276" t="s">
        <v>652</v>
      </c>
      <c r="B146" s="277" t="s">
        <v>653</v>
      </c>
      <c r="C146" s="278" t="s">
        <v>654</v>
      </c>
      <c r="D146" s="275" t="s">
        <v>617</v>
      </c>
      <c r="E146" s="125" t="s">
        <v>634</v>
      </c>
      <c r="F146" s="279"/>
      <c r="G146" s="276" t="s">
        <v>655</v>
      </c>
      <c r="H146" s="276" t="s">
        <v>655</v>
      </c>
      <c r="I146" s="265">
        <v>-40</v>
      </c>
      <c r="J146" s="265">
        <v>-40</v>
      </c>
      <c r="K146" s="283" t="str">
        <f>IF(J146&gt;=50,"委托公开"," ")</f>
        <v xml:space="preserve"> </v>
      </c>
      <c r="L146" s="283"/>
    </row>
    <row r="147" spans="1:12">
      <c r="A147" s="276" t="s">
        <v>204</v>
      </c>
      <c r="B147" s="277" t="s">
        <v>656</v>
      </c>
      <c r="C147" s="278" t="s">
        <v>657</v>
      </c>
      <c r="D147" s="275" t="s">
        <v>453</v>
      </c>
      <c r="E147" s="125" t="s">
        <v>381</v>
      </c>
      <c r="F147" s="279"/>
      <c r="G147" s="276" t="s">
        <v>658</v>
      </c>
      <c r="H147" s="276" t="s">
        <v>658</v>
      </c>
      <c r="I147" s="265">
        <v>-36</v>
      </c>
      <c r="J147" s="265">
        <v>-36</v>
      </c>
      <c r="K147" s="283" t="str">
        <f>IF(J147&gt;=50,"委托公开"," ")</f>
        <v xml:space="preserve"> </v>
      </c>
      <c r="L147" s="283"/>
    </row>
    <row r="148" spans="1:12">
      <c r="A148" s="276" t="s">
        <v>205</v>
      </c>
      <c r="B148" s="277" t="s">
        <v>659</v>
      </c>
      <c r="C148" s="278" t="s">
        <v>660</v>
      </c>
      <c r="D148" s="275" t="s">
        <v>453</v>
      </c>
      <c r="E148" s="125" t="s">
        <v>381</v>
      </c>
      <c r="F148" s="279"/>
      <c r="G148" s="276" t="s">
        <v>658</v>
      </c>
      <c r="H148" s="276" t="s">
        <v>658</v>
      </c>
      <c r="I148" s="265">
        <v>-21</v>
      </c>
      <c r="J148" s="265">
        <v>-21</v>
      </c>
      <c r="K148" s="283" t="str">
        <f>IF(J148&gt;=50,"委托公开"," ")</f>
        <v xml:space="preserve"> </v>
      </c>
      <c r="L148" s="283"/>
    </row>
    <row r="149" spans="1:12">
      <c r="A149" s="276" t="s">
        <v>206</v>
      </c>
      <c r="B149" s="277" t="s">
        <v>661</v>
      </c>
      <c r="C149" s="278" t="s">
        <v>662</v>
      </c>
      <c r="D149" s="275" t="s">
        <v>453</v>
      </c>
      <c r="E149" s="125" t="s">
        <v>381</v>
      </c>
      <c r="F149" s="279"/>
      <c r="G149" s="276" t="s">
        <v>439</v>
      </c>
      <c r="H149" s="276" t="s">
        <v>439</v>
      </c>
      <c r="I149" s="265">
        <v>-45</v>
      </c>
      <c r="J149" s="265">
        <v>-45</v>
      </c>
      <c r="K149" s="283" t="str">
        <f>IF(J149&gt;=50,"委托公开"," ")</f>
        <v xml:space="preserve"> </v>
      </c>
      <c r="L149" s="283"/>
    </row>
    <row r="150" spans="1:12">
      <c r="A150" s="276" t="s">
        <v>207</v>
      </c>
      <c r="B150" s="277" t="s">
        <v>663</v>
      </c>
      <c r="C150" s="278" t="s">
        <v>664</v>
      </c>
      <c r="D150" s="275" t="s">
        <v>453</v>
      </c>
      <c r="E150" s="125" t="s">
        <v>438</v>
      </c>
      <c r="F150" s="279"/>
      <c r="G150" s="276" t="s">
        <v>658</v>
      </c>
      <c r="H150" s="276" t="s">
        <v>658</v>
      </c>
      <c r="I150" s="265">
        <v>-52</v>
      </c>
      <c r="J150" s="265">
        <v>-52</v>
      </c>
      <c r="K150" s="283"/>
      <c r="L150" s="283"/>
    </row>
    <row r="151" spans="1:12">
      <c r="A151" s="256" t="s">
        <v>665</v>
      </c>
      <c r="B151" s="250" t="s">
        <v>666</v>
      </c>
      <c r="C151" s="250" t="s">
        <v>667</v>
      </c>
      <c r="D151" s="251" t="s">
        <v>378</v>
      </c>
      <c r="E151" s="251" t="s">
        <v>381</v>
      </c>
      <c r="F151" s="252"/>
      <c r="G151" s="125">
        <v>1</v>
      </c>
      <c r="H151" s="125">
        <f>G151</f>
        <v>1</v>
      </c>
      <c r="I151" s="254">
        <v>2800</v>
      </c>
      <c r="J151" s="254">
        <f>I151*H151</f>
        <v>2800</v>
      </c>
      <c r="K151" s="283" t="str">
        <f>IF(J151&gt;=50,"委托公开"," ")</f>
        <v>委托公开</v>
      </c>
      <c r="L151" s="255"/>
    </row>
    <row r="152" spans="1:12" ht="42.75">
      <c r="A152" s="276" t="s">
        <v>451</v>
      </c>
      <c r="B152" s="263" t="s">
        <v>668</v>
      </c>
      <c r="C152" s="303" t="s">
        <v>368</v>
      </c>
      <c r="D152" s="275" t="s">
        <v>453</v>
      </c>
      <c r="E152" s="279" t="s">
        <v>454</v>
      </c>
      <c r="F152" s="279"/>
      <c r="G152" s="125">
        <v>2</v>
      </c>
      <c r="H152" s="281">
        <f>F152+G152</f>
        <v>2</v>
      </c>
      <c r="I152" s="265">
        <v>2</v>
      </c>
      <c r="J152" s="282">
        <f>G152*I152</f>
        <v>4</v>
      </c>
      <c r="K152" s="283" t="str">
        <f>IF(J152&gt;=50,"委托公开"," ")</f>
        <v xml:space="preserve"> </v>
      </c>
      <c r="L152" s="283"/>
    </row>
    <row r="153" spans="1:12">
      <c r="A153" s="295"/>
      <c r="B153" s="293" t="s">
        <v>669</v>
      </c>
      <c r="C153" s="296"/>
      <c r="D153" s="275"/>
      <c r="E153" s="279"/>
      <c r="F153" s="279"/>
      <c r="G153" s="281">
        <v>4</v>
      </c>
      <c r="H153" s="281">
        <v>4</v>
      </c>
      <c r="I153" s="281"/>
      <c r="J153" s="302">
        <f>J144+SUM(J151:J152)</f>
        <v>3046</v>
      </c>
      <c r="K153" s="283"/>
      <c r="L153" s="283"/>
    </row>
    <row r="154" spans="1:12">
      <c r="A154" s="295"/>
      <c r="B154" s="297" t="s">
        <v>670</v>
      </c>
      <c r="C154" s="296"/>
      <c r="D154" s="275"/>
      <c r="E154" s="279"/>
      <c r="F154" s="279"/>
      <c r="G154" s="281"/>
      <c r="H154" s="281"/>
      <c r="I154" s="281"/>
      <c r="J154" s="304"/>
      <c r="K154" s="283" t="str">
        <f>IF(J154&gt;=50,"委托公开"," ")</f>
        <v xml:space="preserve"> </v>
      </c>
      <c r="L154" s="283"/>
    </row>
    <row r="155" spans="1:12">
      <c r="A155" s="276" t="s">
        <v>671</v>
      </c>
      <c r="B155" s="263" t="s">
        <v>672</v>
      </c>
      <c r="C155" s="366" t="s">
        <v>673</v>
      </c>
      <c r="D155" s="275" t="s">
        <v>453</v>
      </c>
      <c r="E155" s="279" t="s">
        <v>674</v>
      </c>
      <c r="F155" s="279"/>
      <c r="G155" s="305">
        <v>1</v>
      </c>
      <c r="H155" s="281">
        <f>F155+G155</f>
        <v>1</v>
      </c>
      <c r="I155" s="287">
        <v>160</v>
      </c>
      <c r="J155" s="282">
        <f>G155*I155</f>
        <v>160</v>
      </c>
      <c r="K155" s="283" t="s">
        <v>675</v>
      </c>
      <c r="L155" s="283" t="s">
        <v>676</v>
      </c>
    </row>
    <row r="156" spans="1:12">
      <c r="A156" s="276" t="s">
        <v>665</v>
      </c>
      <c r="B156" s="263" t="s">
        <v>672</v>
      </c>
      <c r="C156" s="263" t="s">
        <v>677</v>
      </c>
      <c r="D156" s="275" t="s">
        <v>453</v>
      </c>
      <c r="E156" s="279" t="s">
        <v>674</v>
      </c>
      <c r="F156" s="279"/>
      <c r="G156" s="305">
        <v>2</v>
      </c>
      <c r="H156" s="281">
        <f>F156+G156</f>
        <v>2</v>
      </c>
      <c r="I156" s="287">
        <v>20</v>
      </c>
      <c r="J156" s="282">
        <f>G156*I156</f>
        <v>40</v>
      </c>
      <c r="K156" s="283" t="str">
        <f>IF(J156&gt;=50,"委托公开"," ")</f>
        <v xml:space="preserve"> </v>
      </c>
      <c r="L156" s="283"/>
    </row>
    <row r="157" spans="1:12">
      <c r="A157" s="295"/>
      <c r="B157" s="293" t="s">
        <v>669</v>
      </c>
      <c r="C157" s="296"/>
      <c r="D157" s="275"/>
      <c r="E157" s="279"/>
      <c r="F157" s="279"/>
      <c r="G157" s="281">
        <f>SUM(G155:G156)</f>
        <v>3</v>
      </c>
      <c r="H157" s="281">
        <f>SUM(H155:H156)</f>
        <v>3</v>
      </c>
      <c r="I157" s="281"/>
      <c r="J157" s="302">
        <f>SUM(J155:J156)</f>
        <v>200</v>
      </c>
      <c r="K157" s="283"/>
      <c r="L157" s="283"/>
    </row>
    <row r="158" spans="1:12">
      <c r="A158" s="295"/>
      <c r="B158" s="297" t="s">
        <v>678</v>
      </c>
      <c r="C158" s="296"/>
      <c r="D158" s="275"/>
      <c r="E158" s="279"/>
      <c r="F158" s="279"/>
      <c r="G158" s="281"/>
      <c r="H158" s="281"/>
      <c r="I158" s="281"/>
      <c r="J158" s="283"/>
      <c r="K158" s="283" t="str">
        <f t="shared" ref="K158:K168" si="20">IF(J158&gt;=50,"委托公开"," ")</f>
        <v xml:space="preserve"> </v>
      </c>
      <c r="L158" s="283"/>
    </row>
    <row r="159" spans="1:12">
      <c r="A159" s="276" t="s">
        <v>671</v>
      </c>
      <c r="B159" s="277" t="s">
        <v>679</v>
      </c>
      <c r="C159" s="278" t="s">
        <v>680</v>
      </c>
      <c r="D159" s="275" t="s">
        <v>453</v>
      </c>
      <c r="E159" s="279" t="s">
        <v>674</v>
      </c>
      <c r="F159" s="279"/>
      <c r="G159" s="280">
        <v>2</v>
      </c>
      <c r="H159" s="281">
        <f t="shared" ref="H159:H168" si="21">F159+G159</f>
        <v>2</v>
      </c>
      <c r="I159" s="265">
        <v>37.299999999999997</v>
      </c>
      <c r="J159" s="282">
        <f>G159*I159</f>
        <v>74.599999999999994</v>
      </c>
      <c r="K159" s="283" t="str">
        <f t="shared" si="20"/>
        <v>委托公开</v>
      </c>
      <c r="L159" s="283"/>
    </row>
    <row r="160" spans="1:12">
      <c r="A160" s="276" t="s">
        <v>665</v>
      </c>
      <c r="B160" s="277" t="s">
        <v>681</v>
      </c>
      <c r="C160" s="278" t="s">
        <v>682</v>
      </c>
      <c r="D160" s="275" t="s">
        <v>453</v>
      </c>
      <c r="E160" s="279" t="s">
        <v>674</v>
      </c>
      <c r="F160" s="279"/>
      <c r="G160" s="280">
        <v>1</v>
      </c>
      <c r="H160" s="281">
        <f t="shared" si="21"/>
        <v>1</v>
      </c>
      <c r="I160" s="265">
        <v>66</v>
      </c>
      <c r="J160" s="282">
        <f>G160*I160</f>
        <v>66</v>
      </c>
      <c r="K160" s="283" t="str">
        <f t="shared" si="20"/>
        <v>委托公开</v>
      </c>
      <c r="L160" s="283"/>
    </row>
    <row r="161" spans="1:12">
      <c r="A161" s="276" t="s">
        <v>355</v>
      </c>
      <c r="B161" s="306" t="s">
        <v>369</v>
      </c>
      <c r="C161" s="263" t="s">
        <v>683</v>
      </c>
      <c r="D161" s="275" t="s">
        <v>453</v>
      </c>
      <c r="E161" s="279" t="s">
        <v>674</v>
      </c>
      <c r="F161" s="279"/>
      <c r="G161" s="280">
        <v>2</v>
      </c>
      <c r="H161" s="281">
        <f t="shared" si="21"/>
        <v>2</v>
      </c>
      <c r="I161" s="265">
        <v>14</v>
      </c>
      <c r="J161" s="282">
        <f>G161*I161</f>
        <v>28</v>
      </c>
      <c r="K161" s="283" t="str">
        <f t="shared" si="20"/>
        <v xml:space="preserve"> </v>
      </c>
      <c r="L161" s="283"/>
    </row>
    <row r="162" spans="1:12">
      <c r="A162" s="276" t="s">
        <v>316</v>
      </c>
      <c r="B162" s="296" t="s">
        <v>684</v>
      </c>
      <c r="C162" s="296" t="s">
        <v>685</v>
      </c>
      <c r="D162" s="275" t="s">
        <v>686</v>
      </c>
      <c r="E162" s="275" t="s">
        <v>438</v>
      </c>
      <c r="F162" s="279"/>
      <c r="G162" s="126">
        <v>1</v>
      </c>
      <c r="H162" s="126">
        <v>1</v>
      </c>
      <c r="I162" s="307">
        <v>180</v>
      </c>
      <c r="J162" s="307">
        <f>I162*H162</f>
        <v>180</v>
      </c>
      <c r="K162" s="283" t="s">
        <v>687</v>
      </c>
      <c r="L162" s="283" t="s">
        <v>688</v>
      </c>
    </row>
    <row r="163" spans="1:12">
      <c r="A163" s="276" t="s">
        <v>319</v>
      </c>
      <c r="B163" s="306" t="s">
        <v>370</v>
      </c>
      <c r="C163" s="263" t="s">
        <v>689</v>
      </c>
      <c r="D163" s="275" t="s">
        <v>453</v>
      </c>
      <c r="E163" s="279" t="s">
        <v>674</v>
      </c>
      <c r="F163" s="279"/>
      <c r="G163" s="280">
        <v>1</v>
      </c>
      <c r="H163" s="281">
        <f t="shared" si="21"/>
        <v>1</v>
      </c>
      <c r="I163" s="265">
        <v>15.8</v>
      </c>
      <c r="J163" s="282">
        <f t="shared" ref="J163:J168" si="22">G163*I163</f>
        <v>15.8</v>
      </c>
      <c r="K163" s="283" t="str">
        <f t="shared" si="20"/>
        <v xml:space="preserve"> </v>
      </c>
      <c r="L163" s="283"/>
    </row>
    <row r="164" spans="1:12" ht="28.5">
      <c r="A164" s="276" t="s">
        <v>322</v>
      </c>
      <c r="B164" s="308" t="s">
        <v>371</v>
      </c>
      <c r="C164" s="309" t="s">
        <v>690</v>
      </c>
      <c r="D164" s="275" t="s">
        <v>453</v>
      </c>
      <c r="E164" s="279" t="s">
        <v>674</v>
      </c>
      <c r="F164" s="279"/>
      <c r="G164" s="280">
        <v>1</v>
      </c>
      <c r="H164" s="281">
        <f t="shared" si="21"/>
        <v>1</v>
      </c>
      <c r="I164" s="265">
        <v>38</v>
      </c>
      <c r="J164" s="282">
        <f t="shared" si="22"/>
        <v>38</v>
      </c>
      <c r="K164" s="283" t="str">
        <f t="shared" si="20"/>
        <v xml:space="preserve"> </v>
      </c>
      <c r="L164" s="283"/>
    </row>
    <row r="165" spans="1:12">
      <c r="A165" s="276" t="s">
        <v>325</v>
      </c>
      <c r="B165" s="288" t="s">
        <v>691</v>
      </c>
      <c r="C165" s="262" t="s">
        <v>692</v>
      </c>
      <c r="D165" s="275" t="s">
        <v>453</v>
      </c>
      <c r="E165" s="279" t="s">
        <v>674</v>
      </c>
      <c r="F165" s="279"/>
      <c r="G165" s="293">
        <v>1</v>
      </c>
      <c r="H165" s="281">
        <f t="shared" si="21"/>
        <v>1</v>
      </c>
      <c r="I165" s="294">
        <v>8.4</v>
      </c>
      <c r="J165" s="282">
        <f t="shared" si="22"/>
        <v>8.4</v>
      </c>
      <c r="K165" s="283" t="str">
        <f t="shared" si="20"/>
        <v xml:space="preserve"> </v>
      </c>
      <c r="L165" s="283"/>
    </row>
    <row r="166" spans="1:12">
      <c r="A166" s="276" t="s">
        <v>342</v>
      </c>
      <c r="B166" s="288" t="s">
        <v>693</v>
      </c>
      <c r="C166" s="262" t="s">
        <v>694</v>
      </c>
      <c r="D166" s="275" t="s">
        <v>453</v>
      </c>
      <c r="E166" s="279" t="s">
        <v>674</v>
      </c>
      <c r="F166" s="279"/>
      <c r="G166" s="293">
        <v>1</v>
      </c>
      <c r="H166" s="281">
        <f t="shared" si="21"/>
        <v>1</v>
      </c>
      <c r="I166" s="287">
        <v>39</v>
      </c>
      <c r="J166" s="282">
        <f t="shared" si="22"/>
        <v>39</v>
      </c>
      <c r="K166" s="283" t="str">
        <f t="shared" si="20"/>
        <v xml:space="preserve"> </v>
      </c>
      <c r="L166" s="283"/>
    </row>
    <row r="167" spans="1:12">
      <c r="A167" s="276" t="s">
        <v>343</v>
      </c>
      <c r="B167" s="288" t="s">
        <v>695</v>
      </c>
      <c r="C167" s="296" t="s">
        <v>696</v>
      </c>
      <c r="D167" s="275" t="s">
        <v>453</v>
      </c>
      <c r="E167" s="279" t="s">
        <v>674</v>
      </c>
      <c r="F167" s="279"/>
      <c r="G167" s="293">
        <v>1</v>
      </c>
      <c r="H167" s="281">
        <f t="shared" si="21"/>
        <v>1</v>
      </c>
      <c r="I167" s="310">
        <v>30</v>
      </c>
      <c r="J167" s="282">
        <f t="shared" si="22"/>
        <v>30</v>
      </c>
      <c r="K167" s="283" t="str">
        <f t="shared" si="20"/>
        <v xml:space="preserve"> </v>
      </c>
      <c r="L167" s="283"/>
    </row>
    <row r="168" spans="1:12">
      <c r="A168" s="276" t="s">
        <v>344</v>
      </c>
      <c r="B168" s="288" t="s">
        <v>697</v>
      </c>
      <c r="C168" s="296" t="s">
        <v>698</v>
      </c>
      <c r="D168" s="275" t="s">
        <v>453</v>
      </c>
      <c r="E168" s="279" t="s">
        <v>674</v>
      </c>
      <c r="F168" s="279"/>
      <c r="G168" s="293">
        <v>1</v>
      </c>
      <c r="H168" s="281">
        <f t="shared" si="21"/>
        <v>1</v>
      </c>
      <c r="I168" s="311">
        <v>50</v>
      </c>
      <c r="J168" s="282">
        <f t="shared" si="22"/>
        <v>50</v>
      </c>
      <c r="K168" s="283" t="str">
        <f t="shared" si="20"/>
        <v>委托公开</v>
      </c>
      <c r="L168" s="283"/>
    </row>
    <row r="169" spans="1:12">
      <c r="A169" s="295"/>
      <c r="B169" s="293" t="s">
        <v>669</v>
      </c>
      <c r="C169" s="296"/>
      <c r="D169" s="275"/>
      <c r="E169" s="279"/>
      <c r="F169" s="279"/>
      <c r="G169" s="281">
        <f>SUM(G159:G168)</f>
        <v>12</v>
      </c>
      <c r="H169" s="281">
        <f>SUM(H159:H168)</f>
        <v>12</v>
      </c>
      <c r="I169" s="281"/>
      <c r="J169" s="302">
        <f>SUM(J159:J168)</f>
        <v>529.79999999999995</v>
      </c>
      <c r="K169" s="283"/>
      <c r="L169" s="283"/>
    </row>
    <row r="170" spans="1:12">
      <c r="A170" s="295"/>
      <c r="B170" s="313" t="s">
        <v>699</v>
      </c>
      <c r="C170" s="296"/>
      <c r="D170" s="275"/>
      <c r="E170" s="279"/>
      <c r="F170" s="279"/>
      <c r="G170" s="281"/>
      <c r="H170" s="281"/>
      <c r="I170" s="281"/>
      <c r="J170" s="302"/>
      <c r="K170" s="283"/>
      <c r="L170" s="283"/>
    </row>
    <row r="171" spans="1:12" ht="19.5">
      <c r="A171" s="276">
        <v>1</v>
      </c>
      <c r="B171" s="359" t="s">
        <v>700</v>
      </c>
      <c r="C171" s="296" t="s">
        <v>701</v>
      </c>
      <c r="D171" s="275" t="s">
        <v>453</v>
      </c>
      <c r="E171" s="279" t="s">
        <v>674</v>
      </c>
      <c r="F171" s="279"/>
      <c r="G171" s="281">
        <v>2</v>
      </c>
      <c r="H171" s="281">
        <v>2</v>
      </c>
      <c r="I171" s="281">
        <v>12</v>
      </c>
      <c r="J171" s="281">
        <f>I171*G171</f>
        <v>24</v>
      </c>
      <c r="K171" s="283"/>
      <c r="L171" s="283"/>
    </row>
    <row r="172" spans="1:12">
      <c r="A172" s="295"/>
      <c r="B172" s="293" t="s">
        <v>669</v>
      </c>
      <c r="C172" s="296"/>
      <c r="D172" s="275"/>
      <c r="E172" s="279"/>
      <c r="F172" s="279"/>
      <c r="G172" s="281">
        <v>2</v>
      </c>
      <c r="H172" s="281">
        <v>2</v>
      </c>
      <c r="I172" s="281">
        <f>I171</f>
        <v>12</v>
      </c>
      <c r="J172" s="302">
        <f>J171</f>
        <v>24</v>
      </c>
      <c r="K172" s="283"/>
      <c r="L172" s="283"/>
    </row>
    <row r="173" spans="1:12">
      <c r="A173" s="312"/>
      <c r="B173" s="313" t="s">
        <v>702</v>
      </c>
      <c r="C173" s="314"/>
      <c r="D173" s="315"/>
      <c r="E173" s="316"/>
      <c r="F173" s="316"/>
      <c r="G173" s="317"/>
      <c r="H173" s="317"/>
      <c r="I173" s="317"/>
      <c r="J173" s="317"/>
      <c r="K173" s="283"/>
      <c r="L173" s="283"/>
    </row>
    <row r="174" spans="1:12" ht="15">
      <c r="A174" s="355">
        <v>1</v>
      </c>
      <c r="B174" s="356" t="s">
        <v>703</v>
      </c>
      <c r="C174" s="320"/>
      <c r="D174" s="321" t="s">
        <v>378</v>
      </c>
      <c r="E174" s="319" t="s">
        <v>381</v>
      </c>
      <c r="F174" s="318"/>
      <c r="G174" s="318">
        <v>1</v>
      </c>
      <c r="H174" s="318">
        <v>1</v>
      </c>
      <c r="I174" s="318"/>
      <c r="J174" s="322">
        <f>SUM(J175:J180)</f>
        <v>130.10000000000002</v>
      </c>
      <c r="K174" s="273" t="s">
        <v>202</v>
      </c>
      <c r="L174" s="273" t="s">
        <v>202</v>
      </c>
    </row>
    <row r="175" spans="1:12" ht="42.75">
      <c r="A175" s="346" t="s">
        <v>379</v>
      </c>
      <c r="B175" s="347" t="s">
        <v>704</v>
      </c>
      <c r="C175" s="348" t="s">
        <v>705</v>
      </c>
      <c r="D175" s="349" t="s">
        <v>378</v>
      </c>
      <c r="E175" s="350" t="s">
        <v>381</v>
      </c>
      <c r="F175" s="350"/>
      <c r="G175" s="346" t="s">
        <v>379</v>
      </c>
      <c r="H175" s="346" t="s">
        <v>379</v>
      </c>
      <c r="I175" s="351">
        <f>150000/10000</f>
        <v>15</v>
      </c>
      <c r="J175" s="351">
        <f>150000/10000</f>
        <v>15</v>
      </c>
      <c r="K175" s="328"/>
      <c r="L175" s="328"/>
    </row>
    <row r="176" spans="1:12" ht="28.5">
      <c r="A176" s="346" t="s">
        <v>706</v>
      </c>
      <c r="B176" s="348" t="s">
        <v>707</v>
      </c>
      <c r="C176" s="348" t="s">
        <v>708</v>
      </c>
      <c r="D176" s="349" t="s">
        <v>378</v>
      </c>
      <c r="E176" s="350"/>
      <c r="F176" s="350"/>
      <c r="G176" s="346" t="s">
        <v>379</v>
      </c>
      <c r="H176" s="346" t="s">
        <v>379</v>
      </c>
      <c r="I176" s="351">
        <v>35.4</v>
      </c>
      <c r="J176" s="351">
        <v>35.4</v>
      </c>
      <c r="K176" s="328"/>
      <c r="L176" s="328"/>
    </row>
    <row r="177" spans="1:12">
      <c r="A177" s="346" t="s">
        <v>204</v>
      </c>
      <c r="B177" s="348" t="s">
        <v>376</v>
      </c>
      <c r="C177" s="348" t="s">
        <v>377</v>
      </c>
      <c r="D177" s="349" t="s">
        <v>378</v>
      </c>
      <c r="E177" s="350"/>
      <c r="F177" s="350"/>
      <c r="G177" s="346" t="s">
        <v>379</v>
      </c>
      <c r="H177" s="346" t="s">
        <v>379</v>
      </c>
      <c r="I177" s="351">
        <v>43.5</v>
      </c>
      <c r="J177" s="351">
        <v>43.5</v>
      </c>
      <c r="K177" s="328"/>
      <c r="L177" s="328"/>
    </row>
    <row r="178" spans="1:12" ht="28.5">
      <c r="A178" s="346" t="s">
        <v>205</v>
      </c>
      <c r="B178" s="348" t="s">
        <v>380</v>
      </c>
      <c r="C178" s="348" t="s">
        <v>385</v>
      </c>
      <c r="D178" s="349" t="s">
        <v>378</v>
      </c>
      <c r="E178" s="350" t="s">
        <v>381</v>
      </c>
      <c r="F178" s="350"/>
      <c r="G178" s="346" t="s">
        <v>379</v>
      </c>
      <c r="H178" s="346" t="s">
        <v>379</v>
      </c>
      <c r="I178" s="351">
        <f>102000/10000</f>
        <v>10.199999999999999</v>
      </c>
      <c r="J178" s="351">
        <f>102000/10000</f>
        <v>10.199999999999999</v>
      </c>
      <c r="K178" s="328"/>
      <c r="L178" s="328"/>
    </row>
    <row r="179" spans="1:12" ht="42.75">
      <c r="A179" s="346" t="s">
        <v>206</v>
      </c>
      <c r="B179" s="348" t="s">
        <v>382</v>
      </c>
      <c r="C179" s="348" t="s">
        <v>383</v>
      </c>
      <c r="D179" s="349" t="s">
        <v>378</v>
      </c>
      <c r="E179" s="350"/>
      <c r="F179" s="350"/>
      <c r="G179" s="346" t="s">
        <v>379</v>
      </c>
      <c r="H179" s="346" t="s">
        <v>379</v>
      </c>
      <c r="I179" s="351">
        <v>20</v>
      </c>
      <c r="J179" s="351">
        <v>20</v>
      </c>
      <c r="K179" s="328"/>
      <c r="L179" s="328"/>
    </row>
    <row r="180" spans="1:12" ht="42.75">
      <c r="A180" s="346" t="s">
        <v>207</v>
      </c>
      <c r="B180" s="348" t="s">
        <v>384</v>
      </c>
      <c r="C180" s="348" t="s">
        <v>386</v>
      </c>
      <c r="D180" s="349" t="s">
        <v>378</v>
      </c>
      <c r="E180" s="350" t="s">
        <v>381</v>
      </c>
      <c r="F180" s="350"/>
      <c r="G180" s="346" t="s">
        <v>379</v>
      </c>
      <c r="H180" s="346" t="s">
        <v>379</v>
      </c>
      <c r="I180" s="351">
        <f>60000/10000</f>
        <v>6</v>
      </c>
      <c r="J180" s="351">
        <f>60000/10000</f>
        <v>6</v>
      </c>
      <c r="K180" s="328"/>
      <c r="L180" s="328"/>
    </row>
    <row r="181" spans="1:12" ht="15">
      <c r="A181" s="355" t="s">
        <v>709</v>
      </c>
      <c r="B181" s="356" t="s">
        <v>710</v>
      </c>
      <c r="C181" s="320"/>
      <c r="D181" s="321"/>
      <c r="E181" s="319" t="s">
        <v>381</v>
      </c>
      <c r="F181" s="318"/>
      <c r="G181" s="318">
        <v>1</v>
      </c>
      <c r="H181" s="318">
        <v>1</v>
      </c>
      <c r="I181" s="318"/>
      <c r="J181" s="322">
        <f>SUM(J182:J185)</f>
        <v>48.900000000000006</v>
      </c>
      <c r="K181" s="273" t="s">
        <v>202</v>
      </c>
      <c r="L181" s="273"/>
    </row>
    <row r="182" spans="1:12" ht="28.5">
      <c r="A182" s="346" t="s">
        <v>379</v>
      </c>
      <c r="B182" s="348" t="s">
        <v>711</v>
      </c>
      <c r="C182" s="348" t="s">
        <v>712</v>
      </c>
      <c r="D182" s="349" t="s">
        <v>378</v>
      </c>
      <c r="E182" s="350" t="s">
        <v>381</v>
      </c>
      <c r="F182" s="350"/>
      <c r="G182" s="346" t="s">
        <v>379</v>
      </c>
      <c r="H182" s="346" t="s">
        <v>379</v>
      </c>
      <c r="I182" s="351">
        <v>9.6999999999999993</v>
      </c>
      <c r="J182" s="351">
        <v>9.6999999999999993</v>
      </c>
      <c r="K182" s="328"/>
      <c r="L182" s="328"/>
    </row>
    <row r="183" spans="1:12" ht="42.75">
      <c r="A183" s="346" t="s">
        <v>203</v>
      </c>
      <c r="B183" s="348" t="s">
        <v>387</v>
      </c>
      <c r="C183" s="348" t="s">
        <v>388</v>
      </c>
      <c r="D183" s="349"/>
      <c r="E183" s="350"/>
      <c r="F183" s="350"/>
      <c r="G183" s="346" t="s">
        <v>379</v>
      </c>
      <c r="H183" s="346" t="s">
        <v>379</v>
      </c>
      <c r="I183" s="351">
        <v>12.8</v>
      </c>
      <c r="J183" s="351">
        <v>12.8</v>
      </c>
      <c r="K183" s="328"/>
      <c r="L183" s="328"/>
    </row>
    <row r="184" spans="1:12" ht="28.5">
      <c r="A184" s="346" t="s">
        <v>204</v>
      </c>
      <c r="B184" s="348" t="s">
        <v>389</v>
      </c>
      <c r="C184" s="348" t="s">
        <v>390</v>
      </c>
      <c r="D184" s="349"/>
      <c r="E184" s="350"/>
      <c r="F184" s="350"/>
      <c r="G184" s="346" t="s">
        <v>379</v>
      </c>
      <c r="H184" s="346" t="s">
        <v>379</v>
      </c>
      <c r="I184" s="351">
        <v>19.2</v>
      </c>
      <c r="J184" s="351">
        <v>19.2</v>
      </c>
      <c r="K184" s="328"/>
      <c r="L184" s="328"/>
    </row>
    <row r="185" spans="1:12" ht="28.5">
      <c r="A185" s="346" t="s">
        <v>205</v>
      </c>
      <c r="B185" s="348" t="s">
        <v>391</v>
      </c>
      <c r="C185" s="348" t="s">
        <v>392</v>
      </c>
      <c r="D185" s="349" t="s">
        <v>378</v>
      </c>
      <c r="E185" s="350" t="s">
        <v>381</v>
      </c>
      <c r="F185" s="350"/>
      <c r="G185" s="346" t="s">
        <v>379</v>
      </c>
      <c r="H185" s="346" t="s">
        <v>379</v>
      </c>
      <c r="I185" s="351">
        <f>72000/10000</f>
        <v>7.2</v>
      </c>
      <c r="J185" s="351">
        <f>72000/10000</f>
        <v>7.2</v>
      </c>
      <c r="K185" s="328"/>
      <c r="L185" s="328"/>
    </row>
    <row r="186" spans="1:12" ht="15">
      <c r="A186" s="355" t="s">
        <v>713</v>
      </c>
      <c r="B186" s="355" t="s">
        <v>714</v>
      </c>
      <c r="C186" s="320"/>
      <c r="D186" s="321"/>
      <c r="E186" s="319" t="s">
        <v>381</v>
      </c>
      <c r="F186" s="318"/>
      <c r="G186" s="318">
        <v>1</v>
      </c>
      <c r="H186" s="318">
        <v>1</v>
      </c>
      <c r="I186" s="318"/>
      <c r="J186" s="322">
        <f>SUM(J187:J191)</f>
        <v>51.42</v>
      </c>
      <c r="K186" s="273" t="s">
        <v>202</v>
      </c>
      <c r="L186" s="273"/>
    </row>
    <row r="187" spans="1:12" ht="24">
      <c r="A187" s="323" t="s">
        <v>379</v>
      </c>
      <c r="B187" s="324" t="s">
        <v>715</v>
      </c>
      <c r="C187" s="324" t="s">
        <v>716</v>
      </c>
      <c r="D187" s="325"/>
      <c r="E187" s="326" t="s">
        <v>381</v>
      </c>
      <c r="F187" s="327"/>
      <c r="G187" s="323" t="s">
        <v>379</v>
      </c>
      <c r="H187" s="323" t="s">
        <v>379</v>
      </c>
      <c r="I187" s="328">
        <v>19.2</v>
      </c>
      <c r="J187" s="328">
        <v>19.2</v>
      </c>
      <c r="K187" s="328"/>
      <c r="L187" s="328"/>
    </row>
    <row r="188" spans="1:12">
      <c r="A188" s="323" t="s">
        <v>203</v>
      </c>
      <c r="B188" s="324" t="s">
        <v>717</v>
      </c>
      <c r="C188" s="324" t="s">
        <v>718</v>
      </c>
      <c r="D188" s="325"/>
      <c r="E188" s="326" t="s">
        <v>381</v>
      </c>
      <c r="F188" s="327"/>
      <c r="G188" s="323" t="s">
        <v>379</v>
      </c>
      <c r="H188" s="323" t="s">
        <v>379</v>
      </c>
      <c r="I188" s="328">
        <v>15</v>
      </c>
      <c r="J188" s="328">
        <v>15</v>
      </c>
      <c r="K188" s="328"/>
      <c r="L188" s="328"/>
    </row>
    <row r="189" spans="1:12">
      <c r="A189" s="323" t="s">
        <v>204</v>
      </c>
      <c r="B189" s="324" t="s">
        <v>719</v>
      </c>
      <c r="C189" s="324" t="s">
        <v>720</v>
      </c>
      <c r="D189" s="325" t="s">
        <v>378</v>
      </c>
      <c r="E189" s="326" t="s">
        <v>381</v>
      </c>
      <c r="F189" s="327"/>
      <c r="G189" s="323" t="s">
        <v>379</v>
      </c>
      <c r="H189" s="323" t="s">
        <v>379</v>
      </c>
      <c r="I189" s="328">
        <f>56400/10000</f>
        <v>5.64</v>
      </c>
      <c r="J189" s="328">
        <f>56400/10000</f>
        <v>5.64</v>
      </c>
      <c r="K189" s="328"/>
      <c r="L189" s="328"/>
    </row>
    <row r="190" spans="1:12">
      <c r="A190" s="323" t="s">
        <v>205</v>
      </c>
      <c r="B190" s="324" t="s">
        <v>721</v>
      </c>
      <c r="C190" s="324" t="s">
        <v>722</v>
      </c>
      <c r="D190" s="325" t="s">
        <v>378</v>
      </c>
      <c r="E190" s="326" t="s">
        <v>381</v>
      </c>
      <c r="F190" s="327"/>
      <c r="G190" s="323" t="s">
        <v>379</v>
      </c>
      <c r="H190" s="323" t="s">
        <v>379</v>
      </c>
      <c r="I190" s="328">
        <f>60600/10000</f>
        <v>6.06</v>
      </c>
      <c r="J190" s="328">
        <f>60600/10000</f>
        <v>6.06</v>
      </c>
      <c r="K190" s="328"/>
      <c r="L190" s="328"/>
    </row>
    <row r="191" spans="1:12" ht="24.75">
      <c r="A191" s="323" t="s">
        <v>206</v>
      </c>
      <c r="B191" s="324" t="s">
        <v>723</v>
      </c>
      <c r="C191" s="329" t="s">
        <v>724</v>
      </c>
      <c r="D191" s="325" t="s">
        <v>378</v>
      </c>
      <c r="E191" s="326" t="s">
        <v>381</v>
      </c>
      <c r="F191" s="327"/>
      <c r="G191" s="323" t="s">
        <v>379</v>
      </c>
      <c r="H191" s="323" t="s">
        <v>379</v>
      </c>
      <c r="I191" s="328">
        <f>55200/10000</f>
        <v>5.52</v>
      </c>
      <c r="J191" s="328">
        <f>55200/10000</f>
        <v>5.52</v>
      </c>
      <c r="K191" s="328"/>
      <c r="L191" s="328"/>
    </row>
    <row r="192" spans="1:12" ht="15">
      <c r="A192" s="355">
        <v>4</v>
      </c>
      <c r="B192" s="356" t="s">
        <v>725</v>
      </c>
      <c r="C192" s="320"/>
      <c r="D192" s="321"/>
      <c r="E192" s="319" t="s">
        <v>381</v>
      </c>
      <c r="F192" s="318"/>
      <c r="G192" s="318">
        <v>1</v>
      </c>
      <c r="H192" s="318">
        <v>1</v>
      </c>
      <c r="I192" s="318"/>
      <c r="J192" s="322">
        <f>SUM(J193:J197)</f>
        <v>120</v>
      </c>
      <c r="K192" s="273" t="s">
        <v>202</v>
      </c>
      <c r="L192" s="273"/>
    </row>
    <row r="193" spans="1:12" ht="15">
      <c r="A193" s="346" t="s">
        <v>379</v>
      </c>
      <c r="B193" s="348" t="s">
        <v>726</v>
      </c>
      <c r="C193" s="348" t="s">
        <v>727</v>
      </c>
      <c r="D193" s="352"/>
      <c r="E193" s="350" t="s">
        <v>381</v>
      </c>
      <c r="F193" s="350"/>
      <c r="G193" s="346" t="s">
        <v>379</v>
      </c>
      <c r="H193" s="346" t="s">
        <v>379</v>
      </c>
      <c r="I193" s="353">
        <v>30</v>
      </c>
      <c r="J193" s="353">
        <v>30</v>
      </c>
      <c r="K193" s="331"/>
      <c r="L193" s="331"/>
    </row>
    <row r="194" spans="1:12" ht="15">
      <c r="A194" s="346" t="s">
        <v>203</v>
      </c>
      <c r="B194" s="348" t="s">
        <v>393</v>
      </c>
      <c r="C194" s="348" t="s">
        <v>394</v>
      </c>
      <c r="D194" s="352"/>
      <c r="E194" s="350" t="s">
        <v>381</v>
      </c>
      <c r="F194" s="350"/>
      <c r="G194" s="346" t="s">
        <v>379</v>
      </c>
      <c r="H194" s="346" t="s">
        <v>379</v>
      </c>
      <c r="I194" s="353">
        <v>30</v>
      </c>
      <c r="J194" s="353">
        <v>30</v>
      </c>
      <c r="K194" s="331"/>
      <c r="L194" s="331"/>
    </row>
    <row r="195" spans="1:12" ht="28.5">
      <c r="A195" s="346" t="s">
        <v>204</v>
      </c>
      <c r="B195" s="348" t="s">
        <v>395</v>
      </c>
      <c r="C195" s="348" t="s">
        <v>396</v>
      </c>
      <c r="D195" s="349"/>
      <c r="E195" s="350" t="s">
        <v>381</v>
      </c>
      <c r="F195" s="350"/>
      <c r="G195" s="346" t="s">
        <v>379</v>
      </c>
      <c r="H195" s="346" t="s">
        <v>379</v>
      </c>
      <c r="I195" s="351">
        <v>20</v>
      </c>
      <c r="J195" s="351">
        <v>20</v>
      </c>
      <c r="K195" s="328"/>
      <c r="L195" s="328"/>
    </row>
    <row r="196" spans="1:12">
      <c r="A196" s="346" t="s">
        <v>205</v>
      </c>
      <c r="B196" s="348" t="s">
        <v>397</v>
      </c>
      <c r="C196" s="348" t="s">
        <v>398</v>
      </c>
      <c r="D196" s="349"/>
      <c r="E196" s="350" t="s">
        <v>381</v>
      </c>
      <c r="F196" s="350"/>
      <c r="G196" s="346" t="s">
        <v>379</v>
      </c>
      <c r="H196" s="346" t="s">
        <v>379</v>
      </c>
      <c r="I196" s="351">
        <v>20</v>
      </c>
      <c r="J196" s="351">
        <v>20</v>
      </c>
      <c r="K196" s="328"/>
      <c r="L196" s="328"/>
    </row>
    <row r="197" spans="1:12">
      <c r="A197" s="346" t="s">
        <v>206</v>
      </c>
      <c r="B197" s="348" t="s">
        <v>399</v>
      </c>
      <c r="C197" s="348" t="s">
        <v>400</v>
      </c>
      <c r="D197" s="349"/>
      <c r="E197" s="350" t="s">
        <v>381</v>
      </c>
      <c r="F197" s="350"/>
      <c r="G197" s="346" t="s">
        <v>379</v>
      </c>
      <c r="H197" s="346" t="s">
        <v>379</v>
      </c>
      <c r="I197" s="351">
        <v>20</v>
      </c>
      <c r="J197" s="351">
        <v>20</v>
      </c>
      <c r="K197" s="328"/>
      <c r="L197" s="328"/>
    </row>
    <row r="198" spans="1:12">
      <c r="A198" s="355">
        <v>5</v>
      </c>
      <c r="B198" s="356" t="s">
        <v>728</v>
      </c>
      <c r="C198" s="332"/>
      <c r="D198" s="321" t="s">
        <v>378</v>
      </c>
      <c r="E198" s="333" t="s">
        <v>381</v>
      </c>
      <c r="F198" s="334"/>
      <c r="G198" s="334">
        <v>1</v>
      </c>
      <c r="H198" s="332">
        <v>1</v>
      </c>
      <c r="I198" s="335"/>
      <c r="J198" s="335">
        <f>SUM(J199:J210)</f>
        <v>256.60000000000002</v>
      </c>
      <c r="K198" s="273" t="s">
        <v>202</v>
      </c>
      <c r="L198" s="273"/>
    </row>
    <row r="199" spans="1:12" ht="42.75">
      <c r="A199" s="346" t="s">
        <v>379</v>
      </c>
      <c r="B199" s="348" t="s">
        <v>729</v>
      </c>
      <c r="C199" s="348" t="s">
        <v>730</v>
      </c>
      <c r="D199" s="349" t="s">
        <v>378</v>
      </c>
      <c r="E199" s="350" t="s">
        <v>381</v>
      </c>
      <c r="F199" s="350"/>
      <c r="G199" s="346" t="s">
        <v>731</v>
      </c>
      <c r="H199" s="346" t="s">
        <v>731</v>
      </c>
      <c r="I199" s="351">
        <f>60000/10000</f>
        <v>6</v>
      </c>
      <c r="J199" s="351">
        <f>I199*3</f>
        <v>18</v>
      </c>
      <c r="K199" s="328"/>
      <c r="L199" s="328"/>
    </row>
    <row r="200" spans="1:12" ht="28.5">
      <c r="A200" s="346" t="s">
        <v>706</v>
      </c>
      <c r="B200" s="348" t="s">
        <v>732</v>
      </c>
      <c r="C200" s="348" t="s">
        <v>733</v>
      </c>
      <c r="D200" s="349" t="s">
        <v>378</v>
      </c>
      <c r="E200" s="350" t="s">
        <v>381</v>
      </c>
      <c r="F200" s="350"/>
      <c r="G200" s="346" t="s">
        <v>731</v>
      </c>
      <c r="H200" s="346" t="s">
        <v>731</v>
      </c>
      <c r="I200" s="351">
        <v>5.6</v>
      </c>
      <c r="J200" s="351">
        <f>I200*3</f>
        <v>16.799999999999997</v>
      </c>
      <c r="K200" s="328"/>
      <c r="L200" s="328"/>
    </row>
    <row r="201" spans="1:12">
      <c r="A201" s="346" t="s">
        <v>204</v>
      </c>
      <c r="B201" s="348" t="s">
        <v>401</v>
      </c>
      <c r="C201" s="348" t="s">
        <v>402</v>
      </c>
      <c r="D201" s="349" t="s">
        <v>378</v>
      </c>
      <c r="E201" s="350" t="s">
        <v>381</v>
      </c>
      <c r="F201" s="350"/>
      <c r="G201" s="346" t="s">
        <v>379</v>
      </c>
      <c r="H201" s="346" t="s">
        <v>379</v>
      </c>
      <c r="I201" s="351">
        <v>1</v>
      </c>
      <c r="J201" s="351">
        <v>1</v>
      </c>
      <c r="K201" s="328"/>
      <c r="L201" s="328"/>
    </row>
    <row r="202" spans="1:12">
      <c r="A202" s="346" t="s">
        <v>205</v>
      </c>
      <c r="B202" s="348" t="s">
        <v>403</v>
      </c>
      <c r="C202" s="348" t="s">
        <v>404</v>
      </c>
      <c r="D202" s="349" t="s">
        <v>378</v>
      </c>
      <c r="E202" s="350" t="s">
        <v>381</v>
      </c>
      <c r="F202" s="350"/>
      <c r="G202" s="346" t="s">
        <v>379</v>
      </c>
      <c r="H202" s="346" t="s">
        <v>379</v>
      </c>
      <c r="I202" s="351">
        <v>6</v>
      </c>
      <c r="J202" s="351">
        <v>6</v>
      </c>
      <c r="K202" s="328"/>
      <c r="L202" s="328"/>
    </row>
    <row r="203" spans="1:12" ht="28.5">
      <c r="A203" s="346" t="s">
        <v>206</v>
      </c>
      <c r="B203" s="348" t="s">
        <v>405</v>
      </c>
      <c r="C203" s="348" t="s">
        <v>406</v>
      </c>
      <c r="D203" s="349" t="s">
        <v>378</v>
      </c>
      <c r="E203" s="350" t="s">
        <v>381</v>
      </c>
      <c r="F203" s="350"/>
      <c r="G203" s="346" t="s">
        <v>379</v>
      </c>
      <c r="H203" s="346" t="s">
        <v>379</v>
      </c>
      <c r="I203" s="351">
        <v>5</v>
      </c>
      <c r="J203" s="351">
        <v>5</v>
      </c>
      <c r="K203" s="328"/>
      <c r="L203" s="328"/>
    </row>
    <row r="204" spans="1:12">
      <c r="A204" s="346" t="s">
        <v>207</v>
      </c>
      <c r="B204" s="348" t="s">
        <v>407</v>
      </c>
      <c r="C204" s="348" t="s">
        <v>408</v>
      </c>
      <c r="D204" s="349" t="s">
        <v>378</v>
      </c>
      <c r="E204" s="350" t="s">
        <v>381</v>
      </c>
      <c r="F204" s="350"/>
      <c r="G204" s="346" t="s">
        <v>379</v>
      </c>
      <c r="H204" s="346" t="s">
        <v>379</v>
      </c>
      <c r="I204" s="351">
        <f>8000/10000</f>
        <v>0.8</v>
      </c>
      <c r="J204" s="351">
        <f>8000/10000</f>
        <v>0.8</v>
      </c>
      <c r="K204" s="328"/>
      <c r="L204" s="328"/>
    </row>
    <row r="205" spans="1:12">
      <c r="A205" s="346" t="s">
        <v>208</v>
      </c>
      <c r="B205" s="348" t="s">
        <v>409</v>
      </c>
      <c r="C205" s="354" t="s">
        <v>410</v>
      </c>
      <c r="D205" s="349" t="s">
        <v>378</v>
      </c>
      <c r="E205" s="350" t="s">
        <v>381</v>
      </c>
      <c r="F205" s="350"/>
      <c r="G205" s="346" t="s">
        <v>379</v>
      </c>
      <c r="H205" s="346" t="s">
        <v>379</v>
      </c>
      <c r="I205" s="351">
        <f>90000/10000</f>
        <v>9</v>
      </c>
      <c r="J205" s="351">
        <f>90000/10000</f>
        <v>9</v>
      </c>
      <c r="K205" s="328"/>
      <c r="L205" s="328"/>
    </row>
    <row r="206" spans="1:12">
      <c r="A206" s="346" t="s">
        <v>209</v>
      </c>
      <c r="B206" s="348" t="s">
        <v>411</v>
      </c>
      <c r="C206" s="348" t="s">
        <v>412</v>
      </c>
      <c r="D206" s="349" t="s">
        <v>378</v>
      </c>
      <c r="E206" s="350" t="s">
        <v>381</v>
      </c>
      <c r="F206" s="350"/>
      <c r="G206" s="346" t="s">
        <v>379</v>
      </c>
      <c r="H206" s="346" t="s">
        <v>379</v>
      </c>
      <c r="I206" s="351">
        <f>100000/10000</f>
        <v>10</v>
      </c>
      <c r="J206" s="351">
        <f>100000/10000</f>
        <v>10</v>
      </c>
      <c r="K206" s="328"/>
      <c r="L206" s="328"/>
    </row>
    <row r="207" spans="1:12" ht="28.5">
      <c r="A207" s="346" t="s">
        <v>210</v>
      </c>
      <c r="B207" s="348" t="s">
        <v>413</v>
      </c>
      <c r="C207" s="348" t="s">
        <v>414</v>
      </c>
      <c r="D207" s="349" t="s">
        <v>378</v>
      </c>
      <c r="E207" s="350" t="s">
        <v>381</v>
      </c>
      <c r="F207" s="350"/>
      <c r="G207" s="346" t="s">
        <v>379</v>
      </c>
      <c r="H207" s="346" t="s">
        <v>379</v>
      </c>
      <c r="I207" s="351">
        <v>115</v>
      </c>
      <c r="J207" s="351">
        <v>115</v>
      </c>
      <c r="K207" s="328"/>
      <c r="L207" s="328"/>
    </row>
    <row r="208" spans="1:12">
      <c r="A208" s="346" t="s">
        <v>372</v>
      </c>
      <c r="B208" s="348" t="s">
        <v>415</v>
      </c>
      <c r="C208" s="348" t="s">
        <v>416</v>
      </c>
      <c r="D208" s="349" t="s">
        <v>378</v>
      </c>
      <c r="E208" s="350" t="s">
        <v>381</v>
      </c>
      <c r="F208" s="350"/>
      <c r="G208" s="346" t="s">
        <v>379</v>
      </c>
      <c r="H208" s="346" t="s">
        <v>379</v>
      </c>
      <c r="I208" s="351">
        <f>200000/10000</f>
        <v>20</v>
      </c>
      <c r="J208" s="351">
        <f>200000/10000</f>
        <v>20</v>
      </c>
      <c r="K208" s="328"/>
      <c r="L208" s="328"/>
    </row>
    <row r="209" spans="1:12">
      <c r="A209" s="346" t="s">
        <v>373</v>
      </c>
      <c r="B209" s="348" t="s">
        <v>417</v>
      </c>
      <c r="C209" s="348" t="s">
        <v>418</v>
      </c>
      <c r="D209" s="349" t="s">
        <v>378</v>
      </c>
      <c r="E209" s="350" t="s">
        <v>381</v>
      </c>
      <c r="F209" s="350"/>
      <c r="G209" s="346" t="s">
        <v>379</v>
      </c>
      <c r="H209" s="346" t="s">
        <v>379</v>
      </c>
      <c r="I209" s="351">
        <f>300000/10000</f>
        <v>30</v>
      </c>
      <c r="J209" s="351">
        <f>300000/10000</f>
        <v>30</v>
      </c>
      <c r="K209" s="328"/>
      <c r="L209" s="328"/>
    </row>
    <row r="210" spans="1:12">
      <c r="A210" s="346" t="s">
        <v>374</v>
      </c>
      <c r="B210" s="348" t="s">
        <v>419</v>
      </c>
      <c r="C210" s="348" t="s">
        <v>420</v>
      </c>
      <c r="D210" s="349" t="s">
        <v>378</v>
      </c>
      <c r="E210" s="350" t="s">
        <v>381</v>
      </c>
      <c r="F210" s="350"/>
      <c r="G210" s="346" t="s">
        <v>379</v>
      </c>
      <c r="H210" s="346" t="s">
        <v>379</v>
      </c>
      <c r="I210" s="351">
        <f>250000/10000</f>
        <v>25</v>
      </c>
      <c r="J210" s="351">
        <f>250000/10000</f>
        <v>25</v>
      </c>
      <c r="K210" s="328"/>
      <c r="L210" s="328"/>
    </row>
    <row r="211" spans="1:12" ht="15">
      <c r="A211" s="330"/>
      <c r="B211" s="293" t="s">
        <v>669</v>
      </c>
      <c r="C211" s="337"/>
      <c r="D211" s="336"/>
      <c r="E211" s="338" t="s">
        <v>381</v>
      </c>
      <c r="F211" s="339"/>
      <c r="G211" s="340">
        <v>5</v>
      </c>
      <c r="H211" s="340">
        <v>5</v>
      </c>
      <c r="I211" s="341"/>
      <c r="J211" s="341">
        <f>J174+J198+J181+J186+J192</f>
        <v>607.02</v>
      </c>
      <c r="K211" s="341"/>
      <c r="L211" s="341"/>
    </row>
    <row r="212" spans="1:12" ht="15.75">
      <c r="A212" s="360"/>
      <c r="B212" s="313"/>
      <c r="C212" s="361"/>
      <c r="D212" s="362"/>
      <c r="E212" s="363"/>
      <c r="F212" s="362"/>
      <c r="G212" s="364"/>
      <c r="H212" s="364"/>
      <c r="I212" s="365"/>
      <c r="J212" s="365"/>
      <c r="K212" s="365"/>
      <c r="L212" s="365"/>
    </row>
    <row r="213" spans="1:12" ht="15.75">
      <c r="A213" s="360"/>
      <c r="B213" s="313" t="s">
        <v>734</v>
      </c>
      <c r="C213" s="361"/>
      <c r="D213" s="362"/>
      <c r="E213" s="363"/>
      <c r="F213" s="362"/>
      <c r="G213" s="364"/>
      <c r="H213" s="364">
        <v>203</v>
      </c>
      <c r="I213" s="365"/>
      <c r="J213" s="365">
        <v>10979.6</v>
      </c>
      <c r="K213" s="365"/>
      <c r="L213" s="365"/>
    </row>
  </sheetData>
  <mergeCells count="12">
    <mergeCell ref="L30:L33"/>
    <mergeCell ref="A3:D3"/>
    <mergeCell ref="A2:L2"/>
    <mergeCell ref="A4:A5"/>
    <mergeCell ref="B4:B5"/>
    <mergeCell ref="C4:C5"/>
    <mergeCell ref="D4:D5"/>
    <mergeCell ref="E4:E5"/>
    <mergeCell ref="F4:H4"/>
    <mergeCell ref="I4:J4"/>
    <mergeCell ref="K4:K5"/>
    <mergeCell ref="L4:L5"/>
  </mergeCells>
  <phoneticPr fontId="2" type="noConversion"/>
  <printOptions horizontalCentered="1"/>
  <pageMargins left="0.23622047244094491" right="0.23622047244094491" top="0.74803149606299213" bottom="0.74803149606299213" header="0.31496062992125984" footer="0.31496062992125984"/>
  <pageSetup paperSize="10" scale="85" fitToHeight="0" pageOrder="overThenDown" orientation="landscape" blackAndWhite="1" verticalDpi="180" r:id="rId1"/>
  <headerFooter alignWithMargins="0">
    <oddHeader xml:space="preserve">&amp;C
                                                                                                </oddHeader>
    <oddFooter>第 &amp;P 页，共 &amp;N 页</oddFooter>
  </headerFooter>
</worksheet>
</file>

<file path=xl/worksheets/sheet5.xml><?xml version="1.0" encoding="utf-8"?>
<worksheet xmlns="http://schemas.openxmlformats.org/spreadsheetml/2006/main" xmlns:r="http://schemas.openxmlformats.org/officeDocument/2006/relationships">
  <dimension ref="A1:J13"/>
  <sheetViews>
    <sheetView workbookViewId="0">
      <selection activeCell="H17" sqref="H17"/>
    </sheetView>
  </sheetViews>
  <sheetFormatPr defaultRowHeight="12"/>
  <cols>
    <col min="1" max="9" width="9" style="107"/>
    <col min="10" max="10" width="20.625" style="107" customWidth="1"/>
    <col min="11" max="16384" width="9" style="107"/>
  </cols>
  <sheetData>
    <row r="1" spans="1:10" ht="12.75">
      <c r="A1" s="107" t="s">
        <v>211</v>
      </c>
      <c r="B1" s="108"/>
      <c r="C1" s="108"/>
      <c r="D1" s="108"/>
      <c r="E1" s="108"/>
      <c r="F1" s="108"/>
      <c r="G1" s="108"/>
      <c r="H1" s="108"/>
      <c r="I1" s="108"/>
    </row>
    <row r="2" spans="1:10">
      <c r="A2" s="109"/>
      <c r="B2" s="413" t="s">
        <v>212</v>
      </c>
      <c r="C2" s="413"/>
      <c r="D2" s="413"/>
      <c r="E2" s="413"/>
      <c r="F2" s="413"/>
      <c r="G2" s="413"/>
      <c r="H2" s="413"/>
      <c r="I2" s="413"/>
      <c r="J2" s="413"/>
    </row>
    <row r="3" spans="1:10">
      <c r="A3" s="109"/>
      <c r="B3" s="110"/>
      <c r="C3" s="110"/>
      <c r="D3" s="110"/>
      <c r="E3" s="110"/>
      <c r="F3" s="110"/>
      <c r="G3" s="110"/>
      <c r="H3" s="110"/>
      <c r="I3" s="110"/>
      <c r="J3" s="110"/>
    </row>
    <row r="4" spans="1:10" ht="14.25">
      <c r="A4" s="414" t="str">
        <f>总概!A3:E3</f>
        <v>项目名称：大连船舶重工集团装备制造有限公司装备制造基地建设项目（二期）</v>
      </c>
      <c r="B4" s="415"/>
      <c r="C4" s="415"/>
      <c r="D4" s="415"/>
      <c r="E4" s="415"/>
      <c r="F4" s="416"/>
      <c r="G4" s="416"/>
      <c r="H4" s="416"/>
      <c r="I4" s="416"/>
      <c r="J4" s="416"/>
    </row>
    <row r="5" spans="1:10" s="111" customFormat="1">
      <c r="A5" s="417" t="s">
        <v>213</v>
      </c>
      <c r="B5" s="417" t="s">
        <v>214</v>
      </c>
      <c r="C5" s="417" t="s">
        <v>215</v>
      </c>
      <c r="D5" s="417"/>
      <c r="E5" s="417" t="s">
        <v>216</v>
      </c>
      <c r="F5" s="417"/>
      <c r="G5" s="417" t="s">
        <v>217</v>
      </c>
      <c r="H5" s="417"/>
      <c r="I5" s="417" t="s">
        <v>218</v>
      </c>
      <c r="J5" s="418" t="s">
        <v>219</v>
      </c>
    </row>
    <row r="6" spans="1:10" s="111" customFormat="1">
      <c r="A6" s="417"/>
      <c r="B6" s="417"/>
      <c r="C6" s="112" t="s">
        <v>220</v>
      </c>
      <c r="D6" s="112" t="s">
        <v>221</v>
      </c>
      <c r="E6" s="112" t="s">
        <v>222</v>
      </c>
      <c r="F6" s="112" t="s">
        <v>223</v>
      </c>
      <c r="G6" s="112" t="s">
        <v>224</v>
      </c>
      <c r="H6" s="112" t="s">
        <v>225</v>
      </c>
      <c r="I6" s="417"/>
      <c r="J6" s="419"/>
    </row>
    <row r="7" spans="1:10" s="111" customFormat="1" ht="18.75" customHeight="1">
      <c r="A7" s="113" t="s">
        <v>226</v>
      </c>
      <c r="B7" s="114" t="s">
        <v>227</v>
      </c>
      <c r="C7" s="113"/>
      <c r="D7" s="113"/>
      <c r="E7" s="113"/>
      <c r="F7" s="113"/>
      <c r="G7" s="113"/>
      <c r="H7" s="113"/>
      <c r="I7" s="115" t="s">
        <v>228</v>
      </c>
      <c r="J7" s="116" t="s">
        <v>229</v>
      </c>
    </row>
    <row r="8" spans="1:10" s="111" customFormat="1" ht="18.75" customHeight="1">
      <c r="A8" s="113" t="s">
        <v>230</v>
      </c>
      <c r="B8" s="114" t="s">
        <v>231</v>
      </c>
      <c r="C8" s="113"/>
      <c r="D8" s="113"/>
      <c r="E8" s="113"/>
      <c r="F8" s="113"/>
      <c r="G8" s="113"/>
      <c r="H8" s="113"/>
      <c r="I8" s="115" t="s">
        <v>228</v>
      </c>
      <c r="J8" s="116" t="s">
        <v>232</v>
      </c>
    </row>
    <row r="9" spans="1:10" s="121" customFormat="1" ht="18.75" customHeight="1">
      <c r="A9" s="117" t="s">
        <v>233</v>
      </c>
      <c r="B9" s="118" t="s">
        <v>234</v>
      </c>
      <c r="C9" s="119"/>
      <c r="D9" s="120" t="s">
        <v>228</v>
      </c>
      <c r="E9" s="119"/>
      <c r="F9" s="120" t="s">
        <v>228</v>
      </c>
      <c r="G9" s="120" t="s">
        <v>228</v>
      </c>
      <c r="H9" s="117"/>
      <c r="I9" s="120"/>
      <c r="J9" s="116"/>
    </row>
    <row r="10" spans="1:10" s="111" customFormat="1" ht="18.75" customHeight="1">
      <c r="A10" s="113" t="s">
        <v>235</v>
      </c>
      <c r="B10" s="122" t="s">
        <v>236</v>
      </c>
      <c r="C10" s="115"/>
      <c r="D10" s="113"/>
      <c r="E10" s="123"/>
      <c r="F10" s="115"/>
      <c r="G10" s="115"/>
      <c r="H10" s="113"/>
      <c r="I10" s="115" t="s">
        <v>237</v>
      </c>
      <c r="J10" s="116" t="s">
        <v>238</v>
      </c>
    </row>
    <row r="11" spans="1:10" s="111" customFormat="1" ht="18.75" customHeight="1">
      <c r="A11" s="113" t="s">
        <v>239</v>
      </c>
      <c r="B11" s="122" t="s">
        <v>240</v>
      </c>
      <c r="C11" s="115"/>
      <c r="D11" s="123"/>
      <c r="E11" s="123"/>
      <c r="F11" s="115"/>
      <c r="G11" s="115"/>
      <c r="H11" s="123"/>
      <c r="I11" s="115" t="s">
        <v>237</v>
      </c>
      <c r="J11" s="116" t="s">
        <v>229</v>
      </c>
    </row>
    <row r="12" spans="1:10" s="111" customFormat="1" ht="18.75" customHeight="1">
      <c r="A12" s="113" t="s">
        <v>241</v>
      </c>
      <c r="B12" s="122" t="s">
        <v>242</v>
      </c>
      <c r="C12" s="123"/>
      <c r="D12" s="124"/>
      <c r="E12" s="124"/>
      <c r="F12" s="124"/>
      <c r="G12" s="124"/>
      <c r="H12" s="124"/>
      <c r="I12" s="123"/>
      <c r="J12" s="116" t="s">
        <v>243</v>
      </c>
    </row>
    <row r="13" spans="1:10" s="111" customFormat="1" ht="18.75" customHeight="1">
      <c r="A13" s="113" t="s">
        <v>244</v>
      </c>
      <c r="B13" s="122" t="s">
        <v>245</v>
      </c>
      <c r="C13" s="123"/>
      <c r="D13" s="115"/>
      <c r="E13" s="123"/>
      <c r="F13" s="115"/>
      <c r="G13" s="123"/>
      <c r="H13" s="115"/>
      <c r="I13" s="123"/>
      <c r="J13" s="116" t="s">
        <v>243</v>
      </c>
    </row>
  </sheetData>
  <mergeCells count="9">
    <mergeCell ref="B2:J2"/>
    <mergeCell ref="A4:J4"/>
    <mergeCell ref="A5:A6"/>
    <mergeCell ref="B5:B6"/>
    <mergeCell ref="C5:D5"/>
    <mergeCell ref="E5:F5"/>
    <mergeCell ref="G5:H5"/>
    <mergeCell ref="I5:I6"/>
    <mergeCell ref="J5:J6"/>
  </mergeCells>
  <phoneticPr fontId="2" type="noConversion"/>
  <pageMargins left="0.70866141732283472" right="0.70866141732283472" top="0.74803149606299213" bottom="0.74803149606299213" header="0.31496062992125984" footer="0.31496062992125984"/>
  <pageSetup paperSize="9" scale="11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6</vt:i4>
      </vt:variant>
    </vt:vector>
  </HeadingPairs>
  <TitlesOfParts>
    <vt:vector size="11" baseType="lpstr">
      <vt:lpstr>Sheet1</vt:lpstr>
      <vt:lpstr>工艺设备2 (2)</vt:lpstr>
      <vt:lpstr>总概</vt:lpstr>
      <vt:lpstr>工艺设备</vt:lpstr>
      <vt:lpstr>招标基本情况表</vt:lpstr>
      <vt:lpstr>工艺设备!Print_Area</vt:lpstr>
      <vt:lpstr>招标基本情况表!Print_Area</vt:lpstr>
      <vt:lpstr>总概!Print_Area</vt:lpstr>
      <vt:lpstr>工艺设备!Print_Titles</vt:lpstr>
      <vt:lpstr>'工艺设备2 (2)'!Print_Titles</vt:lpstr>
      <vt:lpstr>总概!Print_Titles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张荣彪</cp:lastModifiedBy>
  <cp:lastPrinted>2013-03-16T06:52:42Z</cp:lastPrinted>
  <dcterms:created xsi:type="dcterms:W3CDTF">1996-12-17T01:32:42Z</dcterms:created>
  <dcterms:modified xsi:type="dcterms:W3CDTF">2013-03-18T08:06:17Z</dcterms:modified>
</cp:coreProperties>
</file>