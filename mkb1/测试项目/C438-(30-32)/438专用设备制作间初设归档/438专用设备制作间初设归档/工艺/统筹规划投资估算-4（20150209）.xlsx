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1790" windowHeight="4755"/>
  </bookViews>
  <sheets>
    <sheet name="投资估算表" sheetId="4" r:id="rId1"/>
    <sheet name="设备" sheetId="1" r:id="rId2"/>
    <sheet name="招标表" sheetId="5" state="hidden" r:id="rId3"/>
    <sheet name="Sheet2" sheetId="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" localSheetId="2">'[1]#REF!'!$B$186</definedName>
    <definedName name="_">'[2]#REF!'!$B$186</definedName>
    <definedName name="_____fe1" hidden="1">{"'设备表'!$A$1:$K$6"}</definedName>
    <definedName name="_____fe2" hidden="1">{"'设备表'!$A$1:$K$6"}</definedName>
    <definedName name="_____fe3" hidden="1">{"'设备表'!$A$1:$K$6"}</definedName>
    <definedName name="_____fe4" hidden="1">{"'设备表'!$A$1:$K$6"}</definedName>
    <definedName name="_____s1" hidden="1">{"'设备表'!$A$1:$K$6"}</definedName>
    <definedName name="____fe1" localSheetId="2" hidden="1">{"'设备表'!$A$1:$K$6"}</definedName>
    <definedName name="____fe2" localSheetId="2" hidden="1">{"'设备表'!$A$1:$K$6"}</definedName>
    <definedName name="____fe3" localSheetId="2" hidden="1">{"'设备表'!$A$1:$K$6"}</definedName>
    <definedName name="____fe4" localSheetId="2" hidden="1">{"'设备表'!$A$1:$K$6"}</definedName>
    <definedName name="____s1" localSheetId="2" hidden="1">{"'设备表'!$A$1:$K$6"}</definedName>
    <definedName name="___fe1" hidden="1">{"'设备表'!$A$1:$K$6"}</definedName>
    <definedName name="___fe2" hidden="1">{"'设备表'!$A$1:$K$6"}</definedName>
    <definedName name="___fe3" hidden="1">{"'设备表'!$A$1:$K$6"}</definedName>
    <definedName name="___fe4" hidden="1">{"'设备表'!$A$1:$K$6"}</definedName>
    <definedName name="___s1" hidden="1">{"'设备表'!$A$1:$K$6"}</definedName>
    <definedName name="__fe1" localSheetId="2" hidden="1">{"'设备表'!$A$1:$K$6"}</definedName>
    <definedName name="__fe1" hidden="1">{"'设备表'!$A$1:$K$6"}</definedName>
    <definedName name="__fe2" localSheetId="2" hidden="1">{"'设备表'!$A$1:$K$6"}</definedName>
    <definedName name="__fe2" hidden="1">{"'设备表'!$A$1:$K$6"}</definedName>
    <definedName name="__fe3" localSheetId="2" hidden="1">{"'设备表'!$A$1:$K$6"}</definedName>
    <definedName name="__fe3" hidden="1">{"'设备表'!$A$1:$K$6"}</definedName>
    <definedName name="__fe4" localSheetId="2" hidden="1">{"'设备表'!$A$1:$K$6"}</definedName>
    <definedName name="__fe4" hidden="1">{"'设备表'!$A$1:$K$6"}</definedName>
    <definedName name="__PA7">'[3]SW-TEO'!#REF!</definedName>
    <definedName name="__PA8">'[3]SW-TEO'!#REF!</definedName>
    <definedName name="__PD1">'[3]SW-TEO'!#REF!</definedName>
    <definedName name="__PE12">'[3]SW-TEO'!#REF!</definedName>
    <definedName name="__PE13">'[3]SW-TEO'!#REF!</definedName>
    <definedName name="__PE6">'[3]SW-TEO'!#REF!</definedName>
    <definedName name="__PE7">'[3]SW-TEO'!#REF!</definedName>
    <definedName name="__PE8">'[3]SW-TEO'!#REF!</definedName>
    <definedName name="__PE9">'[3]SW-TEO'!#REF!</definedName>
    <definedName name="__PH1">'[3]SW-TEO'!#REF!</definedName>
    <definedName name="__PI1">'[3]SW-TEO'!#REF!</definedName>
    <definedName name="__PK1">'[3]SW-TEO'!#REF!</definedName>
    <definedName name="__PK3">'[3]SW-TEO'!#REF!</definedName>
    <definedName name="__s1" localSheetId="2" hidden="1">{"'设备表'!$A$1:$K$6"}</definedName>
    <definedName name="__s1" hidden="1">{"'设备表'!$A$1:$K$6"}</definedName>
    <definedName name="_10fe2_" localSheetId="2" hidden="1">{"'设备表'!$A$1:$K$6"}</definedName>
    <definedName name="_10fe2_" hidden="1">{"'设备表'!$A$1:$K$6"}</definedName>
    <definedName name="_12fe4_" localSheetId="2" hidden="1">{"'设备表'!$A$1:$K$6"}</definedName>
    <definedName name="_12fe4_" hidden="1">{"'设备表'!$A$1:$K$6"}</definedName>
    <definedName name="_15fe3_" localSheetId="2" hidden="1">{"'设备表'!$A$1:$K$6"}</definedName>
    <definedName name="_15fe3_" hidden="1">{"'设备表'!$A$1:$K$6"}</definedName>
    <definedName name="_20fe4_" localSheetId="2" hidden="1">{"'设备表'!$A$1:$K$6"}</definedName>
    <definedName name="_20fe4_" hidden="1">{"'设备表'!$A$1:$K$6"}</definedName>
    <definedName name="_21s1_" localSheetId="2" hidden="1">{"'设备表'!$A$1:$K$6"}</definedName>
    <definedName name="_21s1_" hidden="1">{"'设备表'!$A$1:$K$6"}</definedName>
    <definedName name="_2fe1_" localSheetId="2" hidden="1">{"'设备表'!$A$1:$K$6"}</definedName>
    <definedName name="_2fe1_" hidden="1">{"'设备表'!$A$1:$K$6"}</definedName>
    <definedName name="_3fe1_" localSheetId="2" hidden="1">{"'设备表'!$A$1:$K$6"}</definedName>
    <definedName name="_3fe1_" hidden="1">{"'设备表'!$A$1:$K$6"}</definedName>
    <definedName name="_4fe2_" localSheetId="2" hidden="1">{"'设备表'!$A$1:$K$6"}</definedName>
    <definedName name="_4fe2_" hidden="1">{"'设备表'!$A$1:$K$6"}</definedName>
    <definedName name="_5fe1_" localSheetId="2" hidden="1">{"'设备表'!$A$1:$K$6"}</definedName>
    <definedName name="_5fe1_" hidden="1">{"'设备表'!$A$1:$K$6"}</definedName>
    <definedName name="_6fe2_" localSheetId="2" hidden="1">{"'设备表'!$A$1:$K$6"}</definedName>
    <definedName name="_6fe2_" hidden="1">{"'设备表'!$A$1:$K$6"}</definedName>
    <definedName name="_6fe3_" localSheetId="2" hidden="1">{"'设备表'!$A$1:$K$6"}</definedName>
    <definedName name="_6fe3_" hidden="1">{"'设备表'!$A$1:$K$6"}</definedName>
    <definedName name="_8fe4_" localSheetId="2" hidden="1">{"'设备表'!$A$1:$K$6"}</definedName>
    <definedName name="_8fe4_" hidden="1">{"'设备表'!$A$1:$K$6"}</definedName>
    <definedName name="_9fe3_" localSheetId="2" hidden="1">{"'设备表'!$A$1:$K$6"}</definedName>
    <definedName name="_9fe3_" hidden="1">{"'设备表'!$A$1:$K$6"}</definedName>
    <definedName name="_fe1" localSheetId="2" hidden="1">{"'设备表'!$A$1:$K$6"}</definedName>
    <definedName name="_fe1" hidden="1">{"'设备表'!$A$1:$K$6"}</definedName>
    <definedName name="_fe2" localSheetId="2" hidden="1">{"'设备表'!$A$1:$K$6"}</definedName>
    <definedName name="_fe2" hidden="1">{"'设备表'!$A$1:$K$6"}</definedName>
    <definedName name="_fe3" localSheetId="2" hidden="1">{"'设备表'!$A$1:$K$6"}</definedName>
    <definedName name="_fe3" hidden="1">{"'设备表'!$A$1:$K$6"}</definedName>
    <definedName name="_fe4" localSheetId="2" hidden="1">{"'设备表'!$A$1:$K$6"}</definedName>
    <definedName name="_fe4" hidden="1">{"'设备表'!$A$1:$K$6"}</definedName>
    <definedName name="_Fill" hidden="1">[4]eqpmad2!#REF!</definedName>
    <definedName name="_PA7">'[3]SW-TEO'!#REF!</definedName>
    <definedName name="_PA8">'[3]SW-TEO'!#REF!</definedName>
    <definedName name="_PD1">'[3]SW-TEO'!#REF!</definedName>
    <definedName name="_PE12">'[3]SW-TEO'!#REF!</definedName>
    <definedName name="_PE13">'[3]SW-TEO'!#REF!</definedName>
    <definedName name="_PE6">'[3]SW-TEO'!#REF!</definedName>
    <definedName name="_PE7">'[3]SW-TEO'!#REF!</definedName>
    <definedName name="_PE8">'[3]SW-TEO'!#REF!</definedName>
    <definedName name="_PE9">'[3]SW-TEO'!#REF!</definedName>
    <definedName name="_PH1">'[3]SW-TEO'!#REF!</definedName>
    <definedName name="_PI1">'[3]SW-TEO'!#REF!</definedName>
    <definedName name="_PK1">'[3]SW-TEO'!#REF!</definedName>
    <definedName name="_PK3">'[3]SW-TEO'!#REF!</definedName>
    <definedName name="_s1" localSheetId="2" hidden="1">{"'设备表'!$A$1:$K$6"}</definedName>
    <definedName name="_s1" hidden="1">{"'设备表'!$A$1:$K$6"}</definedName>
    <definedName name="_Toc146509935" localSheetId="2">'[5]#REF!'!$A$19</definedName>
    <definedName name="_Toc146509935">'[6]#REF!'!$A$19</definedName>
    <definedName name="aa" localSheetId="2" hidden="1">{"'设备表'!$A$1:$K$6"}</definedName>
    <definedName name="aa" hidden="1">{"'设备表'!$A$1:$K$6"}</definedName>
    <definedName name="aaa" localSheetId="2" hidden="1">{"'设备表'!$A$1:$K$6"}</definedName>
    <definedName name="aaa" hidden="1">{"'设备表'!$A$1:$K$6"}</definedName>
    <definedName name="aaaaa" localSheetId="2">'[7]#REF!'!$A$1</definedName>
    <definedName name="aaaaa">'[8]#REF!'!$A$1</definedName>
    <definedName name="aiu_bottom">'[9]Financ. Overview'!#REF!</definedName>
    <definedName name="ASD" localSheetId="2" hidden="1">{"'设备表'!$A$1:$K$6"}</definedName>
    <definedName name="ASD" hidden="1">{"'设备表'!$A$1:$K$6"}</definedName>
    <definedName name="bb" localSheetId="2" hidden="1">{"'设备表'!$A$1:$K$6"}</definedName>
    <definedName name="bb" hidden="1">{"'设备表'!$A$1:$K$6"}</definedName>
    <definedName name="bd" localSheetId="2">'[1]#REF!'!$C$50</definedName>
    <definedName name="bd">'[2]#REF!'!$C$50</definedName>
    <definedName name="bdb" localSheetId="2">'[1]#REF!'!$C$51</definedName>
    <definedName name="bdb">'[2]#REF!'!$C$51</definedName>
    <definedName name="CAILIAO" localSheetId="2">'[1]#REF!'!$A$28</definedName>
    <definedName name="CAILIAO">'[2]#REF!'!$A$28</definedName>
    <definedName name="cb" localSheetId="2">'[1]#REF!'!$A$26</definedName>
    <definedName name="cb">'[2]#REF!'!$A$26</definedName>
    <definedName name="dl" localSheetId="2">'[1]#REF!'!$C$25</definedName>
    <definedName name="dl">'[2]#REF!'!$C$25</definedName>
    <definedName name="dlb" localSheetId="2">'[1]#REF!'!$C$31</definedName>
    <definedName name="dlb">'[2]#REF!'!$C$31</definedName>
    <definedName name="edline">#REF!</definedName>
    <definedName name="ff" localSheetId="2">'[10]#REF!'!$A$8:$A$28</definedName>
    <definedName name="ff">'[11]#REF!'!$A$8:$A$28</definedName>
    <definedName name="FRC">[12]Main!$C$9</definedName>
    <definedName name="fz">#REF!</definedName>
    <definedName name="g" localSheetId="2" hidden="1">{"'设备表'!$A$1:$K$6"}</definedName>
    <definedName name="g" hidden="1">{"'设备表'!$A$1:$K$6"}</definedName>
    <definedName name="gy" localSheetId="2">'[1]#REF!'!$C$7</definedName>
    <definedName name="gy">'[2]#REF!'!$C$7</definedName>
    <definedName name="gyb" localSheetId="2">'[1]#REF!'!$C$9</definedName>
    <definedName name="gyb">'[2]#REF!'!$C$9</definedName>
    <definedName name="gyg" localSheetId="2">'[1]#REF!'!#REF!</definedName>
    <definedName name="gyg">'[2]#REF!'!#REF!</definedName>
    <definedName name="hostfee">'[9]Financ. Overview'!$H$12</definedName>
    <definedName name="hraiu_bottom">'[9]Financ. Overview'!#REF!</definedName>
    <definedName name="HTML_CodePage" hidden="1">936</definedName>
    <definedName name="HTML_Control" localSheetId="2" hidden="1">{"'设备表'!$A$1:$K$6"}</definedName>
    <definedName name="HTML_Control" hidden="1">{"'设备表'!$A$1:$K$6"}</definedName>
    <definedName name="HTML_Description" hidden="1">""</definedName>
    <definedName name="HTML_Email" hidden="1">""</definedName>
    <definedName name="HTML_Header" hidden="1">"设备表"</definedName>
    <definedName name="HTML_LastUpdate" hidden="1">"00-9-30"</definedName>
    <definedName name="HTML_LineAfter" hidden="1">FALSE</definedName>
    <definedName name="HTML_LineBefore" hidden="1">FALSE</definedName>
    <definedName name="HTML_Name" hidden="1">"yh"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"新增工艺设备汇总表"</definedName>
    <definedName name="hvac">'[9]Financ. Overview'!#REF!</definedName>
    <definedName name="HWSheet">1</definedName>
    <definedName name="lll" localSheetId="2">[13]Sheet3!$B$1:$B$258</definedName>
    <definedName name="lll">[14]Sheet3!$B$1:$B$258</definedName>
    <definedName name="Module.Prix_SMC" localSheetId="2">招标表!Module.Prix_SMC</definedName>
    <definedName name="Module.Prix_SMC">[15]!Module.Prix_SMC</definedName>
    <definedName name="nt" localSheetId="2">'[1]#REF!'!$C$20</definedName>
    <definedName name="nt">'[2]#REF!'!$C$20</definedName>
    <definedName name="ntb" localSheetId="2">'[1]#REF!'!$C$21</definedName>
    <definedName name="ntb">'[2]#REF!'!$C$21</definedName>
    <definedName name="OLE_LINK1" localSheetId="2">'[16]#REF!'!$B$126</definedName>
    <definedName name="OLE_LINK1">'[17]#REF!'!$B$126</definedName>
    <definedName name="OS">[18]Open!#REF!</definedName>
    <definedName name="pr_toolbox">[9]Toolbox!$A$3:$I$80</definedName>
    <definedName name="_xlnm.Print_Area" localSheetId="0">投资估算表!$A$1:$L$104</definedName>
    <definedName name="_xlnm.Print_Area" hidden="1">#REF!</definedName>
    <definedName name="Print_Area1" localSheetId="2">'[19]#REF!'!#REF!</definedName>
    <definedName name="Print_Area1">'[20]#REF!'!#REF!</definedName>
    <definedName name="_xlnm.Print_Titles" localSheetId="1">设备!$4:$5</definedName>
    <definedName name="_xlnm.Print_Titles" localSheetId="0">投资估算表!$1:$6</definedName>
    <definedName name="Prix_SMC" localSheetId="2">招标表!Prix_SMC</definedName>
    <definedName name="Prix_SMC">[15]!Prix_SMC</definedName>
    <definedName name="qq" localSheetId="2">'[1]#REF!'!$A$28</definedName>
    <definedName name="qq">'[2]#REF!'!$A$28</definedName>
    <definedName name="qqq" localSheetId="2">'[10]#REF!'!$A$8:$A$28</definedName>
    <definedName name="qqq">'[11]#REF!'!$A$8:$A$28</definedName>
    <definedName name="s" localSheetId="2" hidden="1">{"'设备表'!$A$1:$K$6"}</definedName>
    <definedName name="s" hidden="1">{"'设备表'!$A$1:$K$6"}</definedName>
    <definedName name="s_c_list">[21]Toolbox!$A$7:$H$969</definedName>
    <definedName name="SAD" localSheetId="2" hidden="1">{"'设备表'!$A$1:$K$6"}</definedName>
    <definedName name="SAD" hidden="1">{"'设备表'!$A$1:$K$6"}</definedName>
    <definedName name="SADAD" localSheetId="2" hidden="1">{"'设备表'!$A$1:$K$6"}</definedName>
    <definedName name="SADAD" hidden="1">{"'设备表'!$A$1:$K$6"}</definedName>
    <definedName name="sb" localSheetId="2">'[1]#REF!'!#REF!</definedName>
    <definedName name="sb">'[2]#REF!'!#REF!</definedName>
    <definedName name="SCG">'[22]G.1R-Shou COP Gf'!#REF!</definedName>
    <definedName name="sdlfee">'[9]Financ. Overview'!$H$13</definedName>
    <definedName name="shnegchanfuhe">#REF!</definedName>
    <definedName name="shouru">#REF!</definedName>
    <definedName name="sjdf" localSheetId="2" hidden="1">{"'设备表'!$A$1:$K$6"}</definedName>
    <definedName name="sjdf" hidden="1">{"'设备表'!$A$1:$K$6"}</definedName>
    <definedName name="solar_ratio">'[23]POWER ASSUMPTIONS'!$H$7</definedName>
    <definedName name="sr" localSheetId="2">'[1]#REF!'!$A$27</definedName>
    <definedName name="sr">'[2]#REF!'!$A$27</definedName>
    <definedName name="ss" localSheetId="2" hidden="1">{"'设备表'!$A$1:$K$6"}</definedName>
    <definedName name="ss" hidden="1">{"'设备表'!$A$1:$K$6"}</definedName>
    <definedName name="ss7fee">'[9]Financ. Overview'!$H$18</definedName>
    <definedName name="sss" localSheetId="2">'[10]#REF!'!$A$8:$A$28</definedName>
    <definedName name="sss">'[11]#REF!'!$A$8:$A$28</definedName>
    <definedName name="subsfee">'[9]Financ. Overview'!$H$14</definedName>
    <definedName name="tj" localSheetId="2">'[1]#REF!'!$C$78</definedName>
    <definedName name="tj">'[2]#REF!'!$C$78</definedName>
    <definedName name="toolbox">[24]Toolbox!$C$5:$T$1578</definedName>
    <definedName name="touzi">#REF!</definedName>
    <definedName name="tz" localSheetId="2">'[1]#REF!'!$A$25</definedName>
    <definedName name="tz">'[2]#REF!'!$A$25</definedName>
    <definedName name="V5.1Fee">'[9]Financ. Overview'!$H$15</definedName>
    <definedName name="vve" localSheetId="2" hidden="1">{"'设备表'!$A$1:$K$6"}</definedName>
    <definedName name="vve" hidden="1">{"'设备表'!$A$1:$K$6"}</definedName>
    <definedName name="vvr" localSheetId="2" hidden="1">{"'设备表'!$A$1:$K$6"}</definedName>
    <definedName name="vvr" hidden="1">{"'设备表'!$A$1:$K$6"}</definedName>
    <definedName name="vvs" localSheetId="2" hidden="1">{"'设备表'!$A$1:$K$6"}</definedName>
    <definedName name="vvs" hidden="1">{"'设备表'!$A$1:$K$6"}</definedName>
    <definedName name="vvw" localSheetId="2" hidden="1">{"'设备表'!$A$1:$K$6"}</definedName>
    <definedName name="vvw" hidden="1">{"'设备表'!$A$1:$K$6"}</definedName>
    <definedName name="xs" localSheetId="2">'[1]#REF!'!$B$86</definedName>
    <definedName name="xs">'[2]#REF!'!$B$86</definedName>
    <definedName name="yf" localSheetId="2">'[1]#REF!'!#REF!</definedName>
    <definedName name="yf">'[2]#REF!'!#REF!</definedName>
    <definedName name="yuancailiao">#REF!</definedName>
    <definedName name="Z32_Cost_red">'[9]Financ. Overview'!#REF!</definedName>
    <definedName name="zbj">#REF!</definedName>
    <definedName name="zh" localSheetId="2" hidden="1">{"'设备表'!$A$1:$K$6"}</definedName>
    <definedName name="zh" hidden="1">{"'设备表'!$A$1:$K$6"}</definedName>
    <definedName name="zk" localSheetId="2">'[1]#REF!'!$C$15</definedName>
    <definedName name="zk">'[2]#REF!'!$C$15</definedName>
    <definedName name="zkb" localSheetId="2">'[1]#REF!'!$C$17</definedName>
    <definedName name="zkb">'[2]#REF!'!$C$17</definedName>
    <definedName name="安装工程费" localSheetId="2">'[19]#REF!'!$E$22</definedName>
    <definedName name="安装工程费">'[20]#REF!'!$E$22</definedName>
    <definedName name="办公" localSheetId="2" hidden="1">{"'设备表'!$A$1:$K$6"}</definedName>
    <definedName name="办公" hidden="1">{"'设备表'!$A$1:$K$6"}</definedName>
    <definedName name="不" localSheetId="2" hidden="1">{"'设备表'!$A$1:$K$6"}</definedName>
    <definedName name="不" hidden="1">{"'设备表'!$A$1:$K$6"}</definedName>
    <definedName name="厂用电费" localSheetId="2">'[19]#REF!'!#REF!</definedName>
    <definedName name="厂用电费">'[20]#REF!'!#REF!</definedName>
    <definedName name="齿轮箱分厂2" localSheetId="2" hidden="1">{"'设备表'!$A$1:$K$6"}</definedName>
    <definedName name="齿轮箱分厂2" hidden="1">{"'设备表'!$A$1:$K$6"}</definedName>
    <definedName name="代理名录">#REF!</definedName>
    <definedName name="道" localSheetId="2" hidden="1">{"'设备表'!$A$1:$K$6"}</definedName>
    <definedName name="道" hidden="1">{"'设备表'!$A$1:$K$6"}</definedName>
    <definedName name="道概">'[25]#REF!'!$A$8:$A$28</definedName>
    <definedName name="道取">'[25]#REF!'!$A$8:$A$28</definedName>
    <definedName name="电梯" localSheetId="2" hidden="1">{"'设备表'!$A$1:$K$6"}</definedName>
    <definedName name="电梯" hidden="1">{"'设备表'!$A$1:$K$6"}</definedName>
    <definedName name="对照" localSheetId="2" hidden="1">{"'设备表'!$A$1:$K$6"}</definedName>
    <definedName name="对照" hidden="1">{"'设备表'!$A$1:$K$6"}</definedName>
    <definedName name="风电铸件1" localSheetId="2" hidden="1">{"'设备表'!$A$1:$K$6"}</definedName>
    <definedName name="风电铸件1" hidden="1">{"'设备表'!$A$1:$K$6"}</definedName>
    <definedName name="概" localSheetId="2" hidden="1">{"'设备表'!$A$1:$K$6"}</definedName>
    <definedName name="概" hidden="1">{"'设备表'!$A$1:$K$6"}</definedName>
    <definedName name="工程静态总投资" localSheetId="2">'[19]#REF!'!$G$22</definedName>
    <definedName name="工程静态总投资">'[20]#REF!'!$G$22</definedName>
    <definedName name="公用" localSheetId="2" hidden="1">{"'设备表'!$A$1:$K$6"}</definedName>
    <definedName name="公用" hidden="1">{"'设备表'!$A$1:$K$6"}</definedName>
    <definedName name="海明公司" localSheetId="2" hidden="1">{"'设备表'!$A$1:$K$6"}</definedName>
    <definedName name="海明公司" hidden="1">{"'设备表'!$A$1:$K$6"}</definedName>
    <definedName name="核电土建G" localSheetId="2">'[26]#REF!'!$A$8:$A$28</definedName>
    <definedName name="核电土建G">'[27]#REF!'!$A$8:$A$28</definedName>
    <definedName name="核电土建Q" localSheetId="2" hidden="1">{"'设备表'!$A$1:$K$6"}</definedName>
    <definedName name="核电土建Q" hidden="1">{"'设备表'!$A$1:$K$6"}</definedName>
    <definedName name="核电站应急发电机组试验车间土建" localSheetId="2">'[28]#REF!'!$A$8:$A$28</definedName>
    <definedName name="核电站应急发电机组试验车间土建">'[29]#REF!'!$A$8:$A$28</definedName>
    <definedName name="汇率" localSheetId="2">'[19]#REF!'!$C$20</definedName>
    <definedName name="汇率">'[20]#REF!'!$C$20</definedName>
    <definedName name="基本预备费" localSheetId="2">'[19]#REF!'!$D$50</definedName>
    <definedName name="基本预备费">'[20]#REF!'!$D$50</definedName>
    <definedName name="监控系统综合联调试验室">#REF!</definedName>
    <definedName name="建筑工程费" localSheetId="2">'[19]#REF!'!$C$22</definedName>
    <definedName name="建筑工程费">'[20]#REF!'!$C$22</definedName>
    <definedName name="进口设备表" localSheetId="2" hidden="1">{"'设备表'!$A$1:$K$6"}</definedName>
    <definedName name="进口设备表" hidden="1">{"'设备表'!$A$1:$K$6"}</definedName>
    <definedName name="没" localSheetId="2" hidden="1">{"'设备表'!$A$1:$K$6"}</definedName>
    <definedName name="没" hidden="1">{"'设备表'!$A$1:$K$6"}</definedName>
    <definedName name="母女女色" localSheetId="2">'[10]#REF!'!$A$8:$A$28</definedName>
    <definedName name="母女女色">'[11]#REF!'!$A$8:$A$28</definedName>
    <definedName name="其他费用" localSheetId="2">'[19]#REF!'!$D$4</definedName>
    <definedName name="其他费用">'[20]#REF!'!$D$4</definedName>
    <definedName name="气体消防" localSheetId="2" hidden="1">{"'设备表'!$A$1:$K$6"}</definedName>
    <definedName name="气体消防" hidden="1">{"'设备表'!$A$1:$K$6"}</definedName>
    <definedName name="燃料费" localSheetId="2">'[19]#REF!'!#REF!</definedName>
    <definedName name="燃料费">'[20]#REF!'!#REF!</definedName>
    <definedName name="弱电3" localSheetId="2" hidden="1">{"'设备表'!$A$1:$K$6"}</definedName>
    <definedName name="弱电3" hidden="1">{"'设备表'!$A$1:$K$6"}</definedName>
    <definedName name="上" localSheetId="2" hidden="1">{"'设备表'!$A$1:$K$6"}</definedName>
    <definedName name="上" hidden="1">{"'设备表'!$A$1:$K$6"}</definedName>
    <definedName name="设备购置费" localSheetId="2">'[19]#REF!'!$D$22</definedName>
    <definedName name="设备购置费">'[20]#REF!'!$D$22</definedName>
    <definedName name="设计费" localSheetId="2">'[19]#REF!'!$D$21</definedName>
    <definedName name="设计费">'[20]#REF!'!$D$21</definedName>
    <definedName name="施工单位参加整套启动试运费" localSheetId="2">'[19]#REF!'!#REF!</definedName>
    <definedName name="施工单位参加整套启动试运费">'[20]#REF!'!#REF!</definedName>
    <definedName name="事实" localSheetId="2" hidden="1">{"'设备表'!$A$1:$K$6"}</definedName>
    <definedName name="事实" hidden="1">{"'设备表'!$A$1:$K$6"}</definedName>
    <definedName name="是" localSheetId="2" hidden="1">{"'设备表'!$A$1:$K$6"}</definedName>
    <definedName name="是" hidden="1">{"'设备表'!$A$1:$K$6"}</definedName>
    <definedName name="售出电费" localSheetId="2">'[19]#REF!'!#REF!</definedName>
    <definedName name="售出电费">'[20]#REF!'!#REF!</definedName>
    <definedName name="售出蒸汽费" localSheetId="2">'[19]#REF!'!#REF!</definedName>
    <definedName name="售出蒸汽费">'[20]#REF!'!#REF!</definedName>
    <definedName name="水" localSheetId="2" hidden="1">{"'设备表'!$A$1:$K$6"}</definedName>
    <definedName name="水" hidden="1">{"'设备表'!$A$1:$K$6"}</definedName>
    <definedName name="速动" localSheetId="2" hidden="1">{"'设备表'!$A$1:$K$6"}</definedName>
    <definedName name="速动" hidden="1">{"'设备表'!$A$1:$K$6"}</definedName>
    <definedName name="塑" localSheetId="2" hidden="1">{"'设备表'!$A$1:$K$6"}</definedName>
    <definedName name="塑" hidden="1">{"'设备表'!$A$1:$K$6"}</definedName>
    <definedName name="塑的" localSheetId="2">'[28]#REF!'!$A$8:$A$28</definedName>
    <definedName name="塑的">'[29]#REF!'!$A$8:$A$28</definedName>
    <definedName name="所" localSheetId="2" hidden="1">{"'设备表'!$A$1:$K$6"}</definedName>
    <definedName name="所" hidden="1">{"'设备表'!$A$1:$K$6"}</definedName>
    <definedName name="所速" localSheetId="2">'[30]#REF!'!$A$8:$A$28</definedName>
    <definedName name="所速">'[31]#REF!'!$A$8:$A$28</definedName>
    <definedName name="所速撒" localSheetId="2" hidden="1">{"'设备表'!$A$1:$K$6"}</definedName>
    <definedName name="所速撒" hidden="1">{"'设备表'!$A$1:$K$6"}</definedName>
    <definedName name="调试费" localSheetId="2">'[19]#REF!'!#REF!</definedName>
    <definedName name="调试费">'[20]#REF!'!#REF!</definedName>
    <definedName name="铜合金铸造厂房" localSheetId="2" hidden="1">{"'设备表'!$A$1:$K$6"}</definedName>
    <definedName name="铜合金铸造厂房" hidden="1">{"'设备表'!$A$1:$K$6"}</definedName>
    <definedName name="投资构成" localSheetId="2" hidden="1">{"'设备表'!$A$1:$K$6"}</definedName>
    <definedName name="投资构成" hidden="1">{"'设备表'!$A$1:$K$6"}</definedName>
    <definedName name="图1" localSheetId="2">'[32]#REF!'!$A$1</definedName>
    <definedName name="图1">'[33]#REF!'!$A$1</definedName>
    <definedName name="图2">[34]工程量屋面屋架柱!$A$1</definedName>
    <definedName name="土建" localSheetId="2" hidden="1">{"'设备表'!$A$1:$K$6"}</definedName>
    <definedName name="土建" hidden="1">{"'设备表'!$A$1:$K$6"}</definedName>
    <definedName name="土建概">'[25]#REF!'!$A$8:$A$28</definedName>
    <definedName name="外电" localSheetId="2" hidden="1">{"'设备表'!$A$1:$K$6"}</definedName>
    <definedName name="外电" hidden="1">{"'设备表'!$A$1:$K$6"}</definedName>
    <definedName name="卧式旋铆机" localSheetId="2">'[35]#REF!'!$D$48</definedName>
    <definedName name="卧式旋铆机">'[36]#REF!'!$D$48</definedName>
    <definedName name="项目名称_淄博蓄电池厂牵引电池150万KVAH技术改造建设项目" localSheetId="2">#REF!</definedName>
    <definedName name="项目名称_淄博蓄电池厂牵引电池150万KVAH技术改造建设项目">#REF!</definedName>
    <definedName name="新增设备表" localSheetId="2" hidden="1">{"'设备表'!$A$1:$K$6"}</definedName>
    <definedName name="新增设备表" hidden="1">{"'设备表'!$A$1:$K$6"}</definedName>
    <definedName name="一个一切工作" localSheetId="2" hidden="1">{"'设备表'!$A$1:$K$6"}</definedName>
    <definedName name="一个一切工作" hidden="1">{"'设备表'!$A$1:$K$6"}</definedName>
    <definedName name="蒸汽动力装置仿真中心">#REF!</definedName>
    <definedName name="止" localSheetId="2" hidden="1">{"'设备表'!$A$1:$K$6"}</definedName>
    <definedName name="止" hidden="1">{"'设备表'!$A$1:$K$6"}</definedName>
    <definedName name="主机电液监控系统试验室">#REF!</definedName>
    <definedName name="装饰工程预算表">[37]装饰工程预算表!#REF!</definedName>
  </definedNames>
  <calcPr calcId="125725"/>
</workbook>
</file>

<file path=xl/calcChain.xml><?xml version="1.0" encoding="utf-8"?>
<calcChain xmlns="http://schemas.openxmlformats.org/spreadsheetml/2006/main">
  <c r="E104" i="4"/>
  <c r="F104"/>
  <c r="G104"/>
  <c r="H104"/>
  <c r="I104"/>
  <c r="J104"/>
  <c r="K104"/>
  <c r="E102"/>
  <c r="F102"/>
  <c r="G102"/>
  <c r="H102"/>
  <c r="I102"/>
  <c r="J102"/>
  <c r="K102"/>
  <c r="E98"/>
  <c r="F98"/>
  <c r="G98"/>
  <c r="H98"/>
  <c r="I98"/>
  <c r="J98"/>
  <c r="K98"/>
  <c r="E85"/>
  <c r="F85"/>
  <c r="G85"/>
  <c r="H85"/>
  <c r="I85"/>
  <c r="J85"/>
  <c r="K85"/>
  <c r="D85"/>
  <c r="E83"/>
  <c r="F83"/>
  <c r="G83"/>
  <c r="H83"/>
  <c r="I83"/>
  <c r="J83"/>
  <c r="K83"/>
  <c r="E74"/>
  <c r="F74"/>
  <c r="G74"/>
  <c r="H74"/>
  <c r="I74"/>
  <c r="J74"/>
  <c r="K74"/>
  <c r="E69"/>
  <c r="F69"/>
  <c r="G69"/>
  <c r="H69"/>
  <c r="I69"/>
  <c r="J69"/>
  <c r="K69"/>
  <c r="E59"/>
  <c r="F59"/>
  <c r="G59"/>
  <c r="H59"/>
  <c r="I59"/>
  <c r="J59"/>
  <c r="K59"/>
  <c r="D59"/>
  <c r="H734" i="1"/>
  <c r="F734"/>
  <c r="H68" i="4"/>
  <c r="H65"/>
  <c r="H63"/>
  <c r="G55"/>
  <c r="G56"/>
  <c r="G57"/>
  <c r="G58"/>
  <c r="J53"/>
  <c r="H58"/>
  <c r="F315" i="1"/>
  <c r="H38"/>
  <c r="H39"/>
  <c r="H40"/>
  <c r="H41"/>
  <c r="H42"/>
  <c r="H43"/>
  <c r="H44"/>
  <c r="H45"/>
  <c r="H46"/>
  <c r="H47"/>
  <c r="H48"/>
  <c r="H49"/>
  <c r="H50"/>
  <c r="H51"/>
  <c r="H52"/>
  <c r="H53"/>
  <c r="H37"/>
  <c r="F54"/>
  <c r="B56"/>
  <c r="B36"/>
  <c r="F40" i="4"/>
  <c r="F39"/>
  <c r="F36"/>
  <c r="F34"/>
  <c r="F23"/>
  <c r="F22"/>
  <c r="G22" s="1"/>
  <c r="D63"/>
  <c r="D62"/>
  <c r="F62" s="1"/>
  <c r="G62" s="1"/>
  <c r="E53"/>
  <c r="D53"/>
  <c r="H616" i="1"/>
  <c r="F616"/>
  <c r="H598"/>
  <c r="H57" i="4" s="1"/>
  <c r="F598" i="1"/>
  <c r="H575"/>
  <c r="H56" i="4" s="1"/>
  <c r="F575" i="1"/>
  <c r="H546"/>
  <c r="H55" i="4" s="1"/>
  <c r="F546" i="1"/>
  <c r="F530"/>
  <c r="B523"/>
  <c r="D47" i="4"/>
  <c r="F47" s="1"/>
  <c r="G47" s="1"/>
  <c r="D46"/>
  <c r="F46" s="1"/>
  <c r="G46" s="1"/>
  <c r="D45"/>
  <c r="F42"/>
  <c r="G42" s="1"/>
  <c r="D42"/>
  <c r="D41"/>
  <c r="F41" s="1"/>
  <c r="D36"/>
  <c r="D40"/>
  <c r="D39"/>
  <c r="D38"/>
  <c r="F38" s="1"/>
  <c r="D37"/>
  <c r="F37" s="1"/>
  <c r="G37" s="1"/>
  <c r="D35"/>
  <c r="F35" s="1"/>
  <c r="D32"/>
  <c r="D31"/>
  <c r="F31" s="1"/>
  <c r="G31" s="1"/>
  <c r="D25"/>
  <c r="F25" s="1"/>
  <c r="G25" s="1"/>
  <c r="D26"/>
  <c r="F26" s="1"/>
  <c r="G26" s="1"/>
  <c r="F13"/>
  <c r="F227" i="1"/>
  <c r="H147"/>
  <c r="F70"/>
  <c r="E33" i="4"/>
  <c r="B26" i="1"/>
  <c r="H28"/>
  <c r="H342"/>
  <c r="H341"/>
  <c r="F45" i="4"/>
  <c r="G45" s="1"/>
  <c r="D44"/>
  <c r="D34"/>
  <c r="G36"/>
  <c r="F32"/>
  <c r="G32" s="1"/>
  <c r="D30"/>
  <c r="D27"/>
  <c r="F27" s="1"/>
  <c r="G27" s="1"/>
  <c r="F105" i="1"/>
  <c r="D22" i="4"/>
  <c r="D21"/>
  <c r="F21" s="1"/>
  <c r="G21" s="1"/>
  <c r="D23"/>
  <c r="D20"/>
  <c r="F20" s="1"/>
  <c r="F62" i="1"/>
  <c r="D19" i="4"/>
  <c r="F19" s="1"/>
  <c r="G19" s="1"/>
  <c r="E43"/>
  <c r="J43"/>
  <c r="F350" i="1"/>
  <c r="H349"/>
  <c r="H348"/>
  <c r="H347"/>
  <c r="B346"/>
  <c r="F344"/>
  <c r="H343"/>
  <c r="B338"/>
  <c r="H340"/>
  <c r="H339"/>
  <c r="H334"/>
  <c r="B332"/>
  <c r="F336"/>
  <c r="H335"/>
  <c r="H333"/>
  <c r="F330"/>
  <c r="H324"/>
  <c r="H323"/>
  <c r="H329"/>
  <c r="H328"/>
  <c r="H327"/>
  <c r="H326"/>
  <c r="H325"/>
  <c r="H322"/>
  <c r="H321"/>
  <c r="B320"/>
  <c r="B319"/>
  <c r="F49" i="4"/>
  <c r="H469" i="1"/>
  <c r="H50" i="4" s="1"/>
  <c r="I50" s="1"/>
  <c r="F469" i="1"/>
  <c r="H472"/>
  <c r="F480"/>
  <c r="H480"/>
  <c r="H51" i="4" s="1"/>
  <c r="I51" s="1"/>
  <c r="B482" i="1"/>
  <c r="H484"/>
  <c r="H485"/>
  <c r="F51" i="4"/>
  <c r="D52"/>
  <c r="F52" s="1"/>
  <c r="G52" s="1"/>
  <c r="B655" i="1"/>
  <c r="F658"/>
  <c r="H656"/>
  <c r="H658" s="1"/>
  <c r="H66" i="4" s="1"/>
  <c r="D66"/>
  <c r="F66" s="1"/>
  <c r="G66" s="1"/>
  <c r="B647" i="1"/>
  <c r="F653"/>
  <c r="H651"/>
  <c r="H650"/>
  <c r="H649"/>
  <c r="H648"/>
  <c r="D65" i="4"/>
  <c r="F65" s="1"/>
  <c r="G65" s="1"/>
  <c r="H643" i="1"/>
  <c r="B638"/>
  <c r="B629"/>
  <c r="F645"/>
  <c r="H642"/>
  <c r="H641"/>
  <c r="H640"/>
  <c r="H639"/>
  <c r="D64" i="4"/>
  <c r="F64" s="1"/>
  <c r="G64" s="1"/>
  <c r="F63"/>
  <c r="G63" s="1"/>
  <c r="H314" i="1"/>
  <c r="B312"/>
  <c r="H313"/>
  <c r="F310"/>
  <c r="H308"/>
  <c r="H307"/>
  <c r="H306"/>
  <c r="H305"/>
  <c r="H304"/>
  <c r="H309"/>
  <c r="B297"/>
  <c r="H303"/>
  <c r="H302"/>
  <c r="H301"/>
  <c r="H300"/>
  <c r="H299"/>
  <c r="H298"/>
  <c r="B254"/>
  <c r="B280"/>
  <c r="F282"/>
  <c r="H281"/>
  <c r="H282" s="1"/>
  <c r="H36" i="4" s="1"/>
  <c r="B253" i="1"/>
  <c r="E29" i="4"/>
  <c r="J29"/>
  <c r="F249" i="1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18"/>
  <c r="H217"/>
  <c r="H216"/>
  <c r="H215"/>
  <c r="H214"/>
  <c r="H213"/>
  <c r="H212"/>
  <c r="B229"/>
  <c r="B207"/>
  <c r="F30" i="4"/>
  <c r="G30" s="1"/>
  <c r="E18"/>
  <c r="J18"/>
  <c r="H200" i="1"/>
  <c r="F202"/>
  <c r="H201"/>
  <c r="H199"/>
  <c r="H198"/>
  <c r="H197"/>
  <c r="H196"/>
  <c r="H195"/>
  <c r="H194"/>
  <c r="D28" i="4"/>
  <c r="F28" s="1"/>
  <c r="G28" s="1"/>
  <c r="B193" i="1"/>
  <c r="H187"/>
  <c r="H188"/>
  <c r="B182"/>
  <c r="H177"/>
  <c r="H176"/>
  <c r="H175"/>
  <c r="H174"/>
  <c r="H172"/>
  <c r="B165"/>
  <c r="H161"/>
  <c r="H149"/>
  <c r="B138"/>
  <c r="H103"/>
  <c r="H104"/>
  <c r="H102"/>
  <c r="H101"/>
  <c r="H100"/>
  <c r="H133"/>
  <c r="H132"/>
  <c r="H125"/>
  <c r="B123"/>
  <c r="D24" i="4"/>
  <c r="F24" s="1"/>
  <c r="G24" s="1"/>
  <c r="F136" i="1"/>
  <c r="H135"/>
  <c r="H134"/>
  <c r="H131"/>
  <c r="H130"/>
  <c r="H129"/>
  <c r="H128"/>
  <c r="H127"/>
  <c r="H126"/>
  <c r="H124"/>
  <c r="B107"/>
  <c r="H88"/>
  <c r="H89"/>
  <c r="B86"/>
  <c r="F84"/>
  <c r="H81"/>
  <c r="H80"/>
  <c r="H79"/>
  <c r="B72"/>
  <c r="H148"/>
  <c r="H146"/>
  <c r="B64"/>
  <c r="H69"/>
  <c r="H68"/>
  <c r="H67"/>
  <c r="B57"/>
  <c r="H60"/>
  <c r="H59"/>
  <c r="H58"/>
  <c r="H19"/>
  <c r="H20"/>
  <c r="H21"/>
  <c r="H22"/>
  <c r="H23"/>
  <c r="F24"/>
  <c r="B17"/>
  <c r="B11"/>
  <c r="H18"/>
  <c r="D12" i="4"/>
  <c r="F12" s="1"/>
  <c r="G12" s="1"/>
  <c r="G14" s="1"/>
  <c r="K79"/>
  <c r="K80"/>
  <c r="K81"/>
  <c r="K82"/>
  <c r="F746" i="1"/>
  <c r="H744"/>
  <c r="H746" s="1"/>
  <c r="H73" i="4" s="1"/>
  <c r="K73" s="1"/>
  <c r="F741" i="1"/>
  <c r="H739"/>
  <c r="H738"/>
  <c r="D74" i="4"/>
  <c r="K67"/>
  <c r="J14"/>
  <c r="K9"/>
  <c r="F729" i="1"/>
  <c r="F718"/>
  <c r="F706"/>
  <c r="F691"/>
  <c r="F636"/>
  <c r="F627"/>
  <c r="F519"/>
  <c r="F506"/>
  <c r="F400"/>
  <c r="F389"/>
  <c r="F372"/>
  <c r="F295"/>
  <c r="F286"/>
  <c r="F278"/>
  <c r="F269"/>
  <c r="F209"/>
  <c r="F191"/>
  <c r="F180"/>
  <c r="F163"/>
  <c r="F121"/>
  <c r="F31"/>
  <c r="F15"/>
  <c r="H208"/>
  <c r="H209" s="1"/>
  <c r="H30" i="4" s="1"/>
  <c r="I30" s="1"/>
  <c r="H219" i="1"/>
  <c r="H220"/>
  <c r="H221"/>
  <c r="H222"/>
  <c r="H223"/>
  <c r="H224"/>
  <c r="H225"/>
  <c r="H226"/>
  <c r="H255"/>
  <c r="H256"/>
  <c r="H257"/>
  <c r="H258"/>
  <c r="H259"/>
  <c r="H260"/>
  <c r="H261"/>
  <c r="H262"/>
  <c r="H263"/>
  <c r="H264"/>
  <c r="H265"/>
  <c r="H266"/>
  <c r="H267"/>
  <c r="H268"/>
  <c r="H272"/>
  <c r="H273"/>
  <c r="H274"/>
  <c r="H275"/>
  <c r="H276"/>
  <c r="H277"/>
  <c r="H285"/>
  <c r="H289"/>
  <c r="H290"/>
  <c r="H291"/>
  <c r="H292"/>
  <c r="H293"/>
  <c r="H294"/>
  <c r="H356"/>
  <c r="H357"/>
  <c r="H358"/>
  <c r="H359"/>
  <c r="H360"/>
  <c r="H361"/>
  <c r="H362"/>
  <c r="H363"/>
  <c r="H364"/>
  <c r="H365"/>
  <c r="H366"/>
  <c r="H367"/>
  <c r="H368"/>
  <c r="H369"/>
  <c r="H370"/>
  <c r="H371"/>
  <c r="H375"/>
  <c r="H376"/>
  <c r="H377"/>
  <c r="H378"/>
  <c r="H379"/>
  <c r="H380"/>
  <c r="H381"/>
  <c r="H382"/>
  <c r="H383"/>
  <c r="H384"/>
  <c r="H385"/>
  <c r="H386"/>
  <c r="H387"/>
  <c r="H388"/>
  <c r="H394"/>
  <c r="H395"/>
  <c r="H396"/>
  <c r="H397"/>
  <c r="H398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9"/>
  <c r="H510"/>
  <c r="H511"/>
  <c r="H512"/>
  <c r="H513"/>
  <c r="H514"/>
  <c r="H515"/>
  <c r="H516"/>
  <c r="H517"/>
  <c r="H518"/>
  <c r="H525"/>
  <c r="H526"/>
  <c r="H527"/>
  <c r="H528"/>
  <c r="H529"/>
  <c r="H625"/>
  <c r="H627" s="1"/>
  <c r="H62" i="4" s="1"/>
  <c r="H630" i="1"/>
  <c r="H631"/>
  <c r="H632"/>
  <c r="H633"/>
  <c r="H634"/>
  <c r="H664"/>
  <c r="H665"/>
  <c r="H666"/>
  <c r="H667"/>
  <c r="H668"/>
  <c r="H669"/>
  <c r="H670"/>
  <c r="H672"/>
  <c r="H673"/>
  <c r="H674"/>
  <c r="H675"/>
  <c r="H676"/>
  <c r="H677"/>
  <c r="H678"/>
  <c r="H679"/>
  <c r="H680"/>
  <c r="H681"/>
  <c r="H682"/>
  <c r="H683"/>
  <c r="H685"/>
  <c r="H686"/>
  <c r="H687"/>
  <c r="H688"/>
  <c r="H689"/>
  <c r="H690"/>
  <c r="H694"/>
  <c r="H695"/>
  <c r="H696"/>
  <c r="H697"/>
  <c r="H698"/>
  <c r="H699"/>
  <c r="H700"/>
  <c r="H701"/>
  <c r="H702"/>
  <c r="H703"/>
  <c r="H704"/>
  <c r="H705"/>
  <c r="H709"/>
  <c r="H710"/>
  <c r="H711"/>
  <c r="H712"/>
  <c r="H713"/>
  <c r="H714"/>
  <c r="H715"/>
  <c r="H716"/>
  <c r="H717"/>
  <c r="H722"/>
  <c r="H723"/>
  <c r="H725"/>
  <c r="H727"/>
  <c r="H728"/>
  <c r="H61"/>
  <c r="H73"/>
  <c r="H74"/>
  <c r="H75"/>
  <c r="H76"/>
  <c r="H77"/>
  <c r="H78"/>
  <c r="H87"/>
  <c r="H90"/>
  <c r="H91"/>
  <c r="H92"/>
  <c r="H93"/>
  <c r="H94"/>
  <c r="H95"/>
  <c r="H82"/>
  <c r="H96"/>
  <c r="H83"/>
  <c r="H97"/>
  <c r="H98"/>
  <c r="H108"/>
  <c r="H109"/>
  <c r="H110"/>
  <c r="H111"/>
  <c r="H112"/>
  <c r="H113"/>
  <c r="H114"/>
  <c r="H115"/>
  <c r="H116"/>
  <c r="H99"/>
  <c r="H117"/>
  <c r="H118"/>
  <c r="H119"/>
  <c r="H120"/>
  <c r="H139"/>
  <c r="H140"/>
  <c r="H141"/>
  <c r="H142"/>
  <c r="H143"/>
  <c r="H144"/>
  <c r="H145"/>
  <c r="H158"/>
  <c r="H159"/>
  <c r="H160"/>
  <c r="H162"/>
  <c r="H166"/>
  <c r="H167"/>
  <c r="H170"/>
  <c r="H171"/>
  <c r="H173"/>
  <c r="H178"/>
  <c r="H179"/>
  <c r="H168"/>
  <c r="H169"/>
  <c r="H183"/>
  <c r="H184"/>
  <c r="H185"/>
  <c r="H186"/>
  <c r="H189"/>
  <c r="H190"/>
  <c r="H150"/>
  <c r="H151"/>
  <c r="H152"/>
  <c r="H153"/>
  <c r="H154"/>
  <c r="H155"/>
  <c r="H156"/>
  <c r="H157"/>
  <c r="H27"/>
  <c r="H29"/>
  <c r="H30"/>
  <c r="H13"/>
  <c r="H14"/>
  <c r="H12"/>
  <c r="F78" i="4"/>
  <c r="K78" s="1"/>
  <c r="F77"/>
  <c r="G49"/>
  <c r="F54"/>
  <c r="G54" s="1"/>
  <c r="F10"/>
  <c r="K10" s="1"/>
  <c r="B662" i="1"/>
  <c r="B624"/>
  <c r="B524"/>
  <c r="A4" i="4"/>
  <c r="B35" i="1"/>
  <c r="A35"/>
  <c r="A6"/>
  <c r="B6"/>
  <c r="D83" i="4"/>
  <c r="E14"/>
  <c r="J89"/>
  <c r="K89" s="1"/>
  <c r="J88"/>
  <c r="K88" s="1"/>
  <c r="K94"/>
  <c r="A3" i="5"/>
  <c r="K93" i="4"/>
  <c r="K92"/>
  <c r="K22" i="2"/>
  <c r="J21"/>
  <c r="J20"/>
  <c r="I16"/>
  <c r="H15"/>
  <c r="H14"/>
  <c r="B1"/>
  <c r="B2" s="1"/>
  <c r="G4" s="1"/>
  <c r="K91" i="4"/>
  <c r="G41" l="1"/>
  <c r="K41"/>
  <c r="F33"/>
  <c r="F53"/>
  <c r="K42"/>
  <c r="G23"/>
  <c r="G34"/>
  <c r="D14"/>
  <c r="G53"/>
  <c r="I55"/>
  <c r="K55" s="1"/>
  <c r="K57"/>
  <c r="I57"/>
  <c r="I56"/>
  <c r="K56" s="1"/>
  <c r="K58"/>
  <c r="I58"/>
  <c r="I62"/>
  <c r="F317" i="1"/>
  <c r="H315"/>
  <c r="H40" i="4" s="1"/>
  <c r="H530" i="1"/>
  <c r="H70"/>
  <c r="H20" i="4" s="1"/>
  <c r="I20" s="1"/>
  <c r="F618" i="1"/>
  <c r="H163"/>
  <c r="H227"/>
  <c r="F204"/>
  <c r="H54"/>
  <c r="H17" i="4" s="1"/>
  <c r="G40"/>
  <c r="G39"/>
  <c r="G38"/>
  <c r="F33" i="1"/>
  <c r="D33" i="4"/>
  <c r="G35"/>
  <c r="H105" i="1"/>
  <c r="H22" i="4" s="1"/>
  <c r="H62" i="1"/>
  <c r="H19" i="4" s="1"/>
  <c r="I19" s="1"/>
  <c r="D43"/>
  <c r="F44"/>
  <c r="H350" i="1"/>
  <c r="H47" i="4" s="1"/>
  <c r="I47" s="1"/>
  <c r="F352" i="1"/>
  <c r="H344"/>
  <c r="H46" i="4" s="1"/>
  <c r="I46" s="1"/>
  <c r="H336" i="1"/>
  <c r="H45" i="4" s="1"/>
  <c r="I45" s="1"/>
  <c r="H330" i="1"/>
  <c r="K66" i="4"/>
  <c r="H653" i="1"/>
  <c r="H310"/>
  <c r="H645"/>
  <c r="F18" i="4"/>
  <c r="G29"/>
  <c r="D29"/>
  <c r="D18"/>
  <c r="I36"/>
  <c r="K36" s="1"/>
  <c r="H249" i="1"/>
  <c r="F29" i="4"/>
  <c r="K30"/>
  <c r="H202" i="1"/>
  <c r="H180"/>
  <c r="H136"/>
  <c r="H24" i="4" s="1"/>
  <c r="H84" i="1"/>
  <c r="H21" i="4" s="1"/>
  <c r="G20"/>
  <c r="H24" i="1"/>
  <c r="H12" i="4" s="1"/>
  <c r="I12" s="1"/>
  <c r="I14" s="1"/>
  <c r="H706" i="1"/>
  <c r="F731"/>
  <c r="D69" i="4"/>
  <c r="H718" i="1"/>
  <c r="H741"/>
  <c r="H72" i="4" s="1"/>
  <c r="K77"/>
  <c r="H729" i="1"/>
  <c r="H691"/>
  <c r="F749"/>
  <c r="K62" i="4"/>
  <c r="F14"/>
  <c r="H636" i="1"/>
  <c r="F521"/>
  <c r="H519"/>
  <c r="H506"/>
  <c r="K51" i="4"/>
  <c r="F251" i="1"/>
  <c r="F391"/>
  <c r="H389"/>
  <c r="H400"/>
  <c r="H372"/>
  <c r="H286"/>
  <c r="H295"/>
  <c r="H269"/>
  <c r="H278"/>
  <c r="H191"/>
  <c r="H121"/>
  <c r="H23" i="4" s="1"/>
  <c r="H31" i="1"/>
  <c r="H15"/>
  <c r="H11" i="4" s="1"/>
  <c r="K11" s="1"/>
  <c r="G33" l="1"/>
  <c r="I17"/>
  <c r="K17" s="1"/>
  <c r="H521" i="1"/>
  <c r="H64" i="4"/>
  <c r="I64" s="1"/>
  <c r="K64" s="1"/>
  <c r="H618" i="1"/>
  <c r="H54" i="4"/>
  <c r="F621" i="1"/>
  <c r="H352"/>
  <c r="H317"/>
  <c r="F752"/>
  <c r="H251"/>
  <c r="H28" i="4"/>
  <c r="I28" s="1"/>
  <c r="K28" s="1"/>
  <c r="H204" i="1"/>
  <c r="H39" i="4"/>
  <c r="I39" s="1"/>
  <c r="K39" s="1"/>
  <c r="H13"/>
  <c r="K13" s="1"/>
  <c r="H33" i="1"/>
  <c r="H25" i="4"/>
  <c r="I25" s="1"/>
  <c r="K25" s="1"/>
  <c r="F43"/>
  <c r="G44"/>
  <c r="G43" s="1"/>
  <c r="D98"/>
  <c r="D102" s="1"/>
  <c r="D104" s="1"/>
  <c r="K47"/>
  <c r="H44"/>
  <c r="K45"/>
  <c r="K46"/>
  <c r="H49"/>
  <c r="I49" s="1"/>
  <c r="G18"/>
  <c r="H34"/>
  <c r="H38"/>
  <c r="I38" s="1"/>
  <c r="K38" s="1"/>
  <c r="H37"/>
  <c r="H35"/>
  <c r="I35" s="1"/>
  <c r="H391" i="1"/>
  <c r="H48" i="4" s="1"/>
  <c r="K48" s="1"/>
  <c r="H32"/>
  <c r="I32" s="1"/>
  <c r="H31"/>
  <c r="H26"/>
  <c r="I26" s="1"/>
  <c r="K26" s="1"/>
  <c r="H27"/>
  <c r="H749" i="1"/>
  <c r="K20" i="4"/>
  <c r="I23"/>
  <c r="K23" s="1"/>
  <c r="I21"/>
  <c r="K21" s="1"/>
  <c r="I22"/>
  <c r="K22" s="1"/>
  <c r="K19"/>
  <c r="I24"/>
  <c r="K24" s="1"/>
  <c r="H731" i="1"/>
  <c r="K12" i="4"/>
  <c r="K72"/>
  <c r="I63"/>
  <c r="K63" s="1"/>
  <c r="H52"/>
  <c r="K50"/>
  <c r="I54" l="1"/>
  <c r="I53" s="1"/>
  <c r="H53"/>
  <c r="I68"/>
  <c r="K68" s="1"/>
  <c r="H752" i="1"/>
  <c r="H33" i="4"/>
  <c r="K54"/>
  <c r="K53" s="1"/>
  <c r="H621" i="1"/>
  <c r="H14" i="4"/>
  <c r="K14"/>
  <c r="I44"/>
  <c r="H43"/>
  <c r="K49"/>
  <c r="I65"/>
  <c r="I34"/>
  <c r="I37"/>
  <c r="K37" s="1"/>
  <c r="K32"/>
  <c r="K35"/>
  <c r="I31"/>
  <c r="I29" s="1"/>
  <c r="H29"/>
  <c r="H18"/>
  <c r="I27"/>
  <c r="K27" s="1"/>
  <c r="I52"/>
  <c r="K34" l="1"/>
  <c r="K44"/>
  <c r="K43" s="1"/>
  <c r="I43"/>
  <c r="K65"/>
  <c r="I40"/>
  <c r="I33" s="1"/>
  <c r="K31"/>
  <c r="K29" s="1"/>
  <c r="K18"/>
  <c r="I18"/>
  <c r="K52"/>
  <c r="K40" l="1"/>
  <c r="K33" s="1"/>
  <c r="J90" l="1"/>
  <c r="K90" s="1"/>
  <c r="K96" s="1"/>
  <c r="J100" s="1"/>
  <c r="K100" s="1"/>
  <c r="J109" s="1"/>
  <c r="J96" l="1"/>
</calcChain>
</file>

<file path=xl/comments1.xml><?xml version="1.0" encoding="utf-8"?>
<comments xmlns="http://schemas.openxmlformats.org/spreadsheetml/2006/main">
  <authors>
    <author>作者</author>
  </authors>
  <commentList>
    <comment ref="H4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进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喷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涂</t>
        </r>
      </text>
    </comment>
  </commentList>
</comments>
</file>

<file path=xl/sharedStrings.xml><?xml version="1.0" encoding="utf-8"?>
<sst xmlns="http://schemas.openxmlformats.org/spreadsheetml/2006/main" count="2501" uniqueCount="1082">
  <si>
    <t xml:space="preserve"> </t>
    <phoneticPr fontId="10" type="noConversion"/>
  </si>
  <si>
    <t>Orcale 11g</t>
  </si>
  <si>
    <t>Windows server</t>
  </si>
  <si>
    <r>
      <t xml:space="preserve">                          </t>
    </r>
    <r>
      <rPr>
        <b/>
        <sz val="10"/>
        <rFont val="宋体"/>
        <family val="3"/>
        <charset val="134"/>
      </rPr>
      <t>单位：万元、万美元</t>
    </r>
  </si>
  <si>
    <r>
      <rPr>
        <b/>
        <sz val="10"/>
        <rFont val="宋体"/>
        <family val="3"/>
        <charset val="134"/>
      </rPr>
      <t>序号</t>
    </r>
  </si>
  <si>
    <r>
      <rPr>
        <b/>
        <sz val="10"/>
        <rFont val="宋体"/>
        <family val="3"/>
        <charset val="134"/>
      </rPr>
      <t>总图编号</t>
    </r>
  </si>
  <si>
    <r>
      <rPr>
        <b/>
        <sz val="10"/>
        <rFont val="宋体"/>
        <family val="3"/>
        <charset val="134"/>
      </rPr>
      <t>费用名称</t>
    </r>
  </si>
  <si>
    <r>
      <rPr>
        <b/>
        <sz val="10"/>
        <rFont val="宋体"/>
        <family val="3"/>
        <charset val="134"/>
      </rPr>
      <t>建筑面积</t>
    </r>
    <r>
      <rPr>
        <b/>
        <sz val="10"/>
        <rFont val="Times New Roman"/>
        <family val="1"/>
      </rPr>
      <t>m</t>
    </r>
    <r>
      <rPr>
        <b/>
        <vertAlign val="superscript"/>
        <sz val="10"/>
        <rFont val="Times New Roman"/>
        <family val="1"/>
      </rPr>
      <t>2</t>
    </r>
  </si>
  <si>
    <r>
      <rPr>
        <b/>
        <sz val="10"/>
        <rFont val="宋体"/>
        <family val="3"/>
        <charset val="134"/>
      </rPr>
      <t>建筑工程费</t>
    </r>
  </si>
  <si>
    <r>
      <rPr>
        <b/>
        <sz val="10"/>
        <rFont val="宋体"/>
        <family val="3"/>
        <charset val="134"/>
      </rPr>
      <t>设备工程</t>
    </r>
  </si>
  <si>
    <r>
      <rPr>
        <b/>
        <sz val="10"/>
        <rFont val="宋体"/>
        <family val="3"/>
        <charset val="134"/>
      </rPr>
      <t>新建</t>
    </r>
  </si>
  <si>
    <r>
      <rPr>
        <b/>
        <sz val="10"/>
        <rFont val="宋体"/>
        <family val="3"/>
        <charset val="134"/>
      </rPr>
      <t>改造</t>
    </r>
  </si>
  <si>
    <r>
      <rPr>
        <b/>
        <sz val="10"/>
        <rFont val="宋体"/>
        <family val="3"/>
        <charset val="134"/>
      </rPr>
      <t>公用设备</t>
    </r>
  </si>
  <si>
    <r>
      <rPr>
        <b/>
        <sz val="10"/>
        <rFont val="宋体"/>
        <family val="3"/>
        <charset val="134"/>
      </rPr>
      <t>工艺设备</t>
    </r>
  </si>
  <si>
    <r>
      <rPr>
        <b/>
        <sz val="10"/>
        <rFont val="宋体"/>
        <family val="3"/>
        <charset val="134"/>
      </rPr>
      <t>第一部分：工程费用项目</t>
    </r>
  </si>
  <si>
    <t>建设单位管理费</t>
  </si>
  <si>
    <t>前期工作费</t>
  </si>
  <si>
    <t>工程设计费</t>
  </si>
  <si>
    <t>招标代理服务费</t>
  </si>
  <si>
    <t>劳动安全评价费</t>
  </si>
  <si>
    <t>附表3</t>
    <phoneticPr fontId="11" type="noConversion"/>
  </si>
  <si>
    <t>招标基本情况表</t>
    <phoneticPr fontId="11" type="noConversion"/>
  </si>
  <si>
    <t>招标范围</t>
    <phoneticPr fontId="11" type="noConversion"/>
  </si>
  <si>
    <t>招标组织形式</t>
    <phoneticPr fontId="11" type="noConversion"/>
  </si>
  <si>
    <t>招标方式</t>
    <phoneticPr fontId="11" type="noConversion"/>
  </si>
  <si>
    <t>不采用
招标方式</t>
    <phoneticPr fontId="11" type="noConversion"/>
  </si>
  <si>
    <t>说明</t>
    <phoneticPr fontId="11" type="noConversion"/>
  </si>
  <si>
    <t>全部招标</t>
    <phoneticPr fontId="11" type="noConversion"/>
  </si>
  <si>
    <t>部分招标</t>
    <phoneticPr fontId="11" type="noConversion"/>
  </si>
  <si>
    <t>自行招标</t>
    <phoneticPr fontId="11" type="noConversion"/>
  </si>
  <si>
    <t>委托招标</t>
    <phoneticPr fontId="11" type="noConversion"/>
  </si>
  <si>
    <t>公开招标</t>
    <phoneticPr fontId="11" type="noConversion"/>
  </si>
  <si>
    <t>邀请招标</t>
    <phoneticPr fontId="11" type="noConversion"/>
  </si>
  <si>
    <t>一、勘察</t>
    <phoneticPr fontId="11" type="noConversion"/>
  </si>
  <si>
    <t>√</t>
  </si>
  <si>
    <t>二、设计</t>
    <phoneticPr fontId="11" type="noConversion"/>
  </si>
  <si>
    <t>涉及保密</t>
    <phoneticPr fontId="11" type="noConversion"/>
  </si>
  <si>
    <t>三、建筑工程</t>
    <phoneticPr fontId="11" type="noConversion"/>
  </si>
  <si>
    <t>四、安装工程</t>
    <phoneticPr fontId="11" type="noConversion"/>
  </si>
  <si>
    <t>五、监理</t>
    <phoneticPr fontId="11" type="noConversion"/>
  </si>
  <si>
    <t>六、其他材料</t>
    <phoneticPr fontId="11" type="noConversion"/>
  </si>
  <si>
    <t>单项合同低于50万元</t>
    <phoneticPr fontId="11" type="noConversion"/>
  </si>
  <si>
    <t>单项合同低于200万元</t>
    <phoneticPr fontId="11" type="noConversion"/>
  </si>
  <si>
    <t>内舾装及复合材料加工区</t>
    <phoneticPr fontId="10" type="noConversion"/>
  </si>
  <si>
    <t>辅助性建设项目</t>
    <phoneticPr fontId="10" type="noConversion"/>
  </si>
  <si>
    <t>公用动力设施</t>
    <phoneticPr fontId="10" type="noConversion"/>
  </si>
  <si>
    <t>道路</t>
    <phoneticPr fontId="10" type="noConversion"/>
  </si>
  <si>
    <t>台</t>
    <phoneticPr fontId="10" type="noConversion"/>
  </si>
  <si>
    <t>小   计</t>
    <phoneticPr fontId="10" type="noConversion"/>
  </si>
  <si>
    <t>台</t>
  </si>
  <si>
    <t>数控立车</t>
    <phoneticPr fontId="10" type="noConversion"/>
  </si>
  <si>
    <t>MJ347A木工带锯机</t>
    <phoneticPr fontId="10" type="noConversion"/>
  </si>
  <si>
    <t>MJY614型精密推台锯</t>
    <phoneticPr fontId="10" type="noConversion"/>
  </si>
  <si>
    <t>MB1060单面木工压力刨</t>
    <phoneticPr fontId="10" type="noConversion"/>
  </si>
  <si>
    <t>ZXTM40木工铣钻床</t>
    <phoneticPr fontId="10" type="noConversion"/>
  </si>
  <si>
    <t>NJ223A万能木工圆锯机</t>
    <phoneticPr fontId="10" type="noConversion"/>
  </si>
  <si>
    <t>后成型机</t>
    <phoneticPr fontId="10" type="noConversion"/>
  </si>
  <si>
    <t>烘箱</t>
    <phoneticPr fontId="10" type="noConversion"/>
  </si>
  <si>
    <t>空压机</t>
    <phoneticPr fontId="10" type="noConversion"/>
  </si>
  <si>
    <t>冷压机</t>
    <phoneticPr fontId="10" type="noConversion"/>
  </si>
  <si>
    <t>钢丝绳插套机组</t>
    <phoneticPr fontId="10" type="noConversion"/>
  </si>
  <si>
    <t>循环水装置</t>
    <phoneticPr fontId="10" type="noConversion"/>
  </si>
  <si>
    <t>升降机</t>
    <phoneticPr fontId="10" type="noConversion"/>
  </si>
  <si>
    <t>胶衣喷涂机</t>
    <phoneticPr fontId="10" type="noConversion"/>
  </si>
  <si>
    <t>短切喷涂机</t>
    <phoneticPr fontId="10" type="noConversion"/>
  </si>
  <si>
    <t>去湿机</t>
    <phoneticPr fontId="10" type="noConversion"/>
  </si>
  <si>
    <t>电热风机</t>
    <phoneticPr fontId="10" type="noConversion"/>
  </si>
  <si>
    <t>CS10-3EM电热鼓风干燥箱</t>
    <phoneticPr fontId="10" type="noConversion"/>
  </si>
  <si>
    <t>2米水切机（含水槽）</t>
    <phoneticPr fontId="10" type="noConversion"/>
  </si>
  <si>
    <t>Z40钻床</t>
    <phoneticPr fontId="10" type="noConversion"/>
  </si>
  <si>
    <t>套</t>
  </si>
  <si>
    <t>10t</t>
  </si>
  <si>
    <t>个</t>
  </si>
  <si>
    <t>20t</t>
  </si>
  <si>
    <t>1000A</t>
  </si>
  <si>
    <t>350A</t>
  </si>
  <si>
    <t>项目名称：XXXXXX建设项目</t>
    <phoneticPr fontId="10" type="noConversion"/>
  </si>
  <si>
    <t>信息化工程</t>
    <phoneticPr fontId="10" type="noConversion"/>
  </si>
  <si>
    <t>1.8.4</t>
  </si>
  <si>
    <t>1.8.6</t>
  </si>
  <si>
    <t>1.14.3</t>
  </si>
  <si>
    <t>1.14.4</t>
  </si>
  <si>
    <r>
      <t>1.8.3</t>
    </r>
    <r>
      <rPr>
        <sz val="11"/>
        <color indexed="8"/>
        <rFont val="宋体"/>
        <family val="3"/>
        <charset val="134"/>
      </rPr>
      <t/>
    </r>
  </si>
  <si>
    <r>
      <t>1.8.5</t>
    </r>
    <r>
      <rPr>
        <sz val="11"/>
        <color indexed="8"/>
        <rFont val="宋体"/>
        <family val="3"/>
        <charset val="134"/>
      </rPr>
      <t/>
    </r>
  </si>
  <si>
    <r>
      <t>1.8.7</t>
    </r>
    <r>
      <rPr>
        <sz val="11"/>
        <color indexed="8"/>
        <rFont val="宋体"/>
        <family val="3"/>
        <charset val="134"/>
      </rPr>
      <t/>
    </r>
  </si>
  <si>
    <t>单位：万元、万美元</t>
  </si>
  <si>
    <t>序号</t>
  </si>
  <si>
    <t>设  备  名  称</t>
  </si>
  <si>
    <t>主要技术（性能）指标</t>
  </si>
  <si>
    <t>国别</t>
  </si>
  <si>
    <t>单位</t>
  </si>
  <si>
    <t>设  备  价  格</t>
  </si>
  <si>
    <t>招标情况</t>
  </si>
  <si>
    <t>备注</t>
  </si>
  <si>
    <t>其中外汇</t>
  </si>
  <si>
    <t>MB506B木工手刨0床</t>
    <phoneticPr fontId="10" type="noConversion"/>
  </si>
  <si>
    <t>SW-1250A手动卷板机</t>
    <phoneticPr fontId="10" type="noConversion"/>
  </si>
  <si>
    <t>DR-60电热风车</t>
    <phoneticPr fontId="10" type="noConversion"/>
  </si>
  <si>
    <t>DDS-6000E转轮除湿机</t>
    <phoneticPr fontId="10" type="noConversion"/>
  </si>
  <si>
    <t>LV75-8螺杆空压机</t>
    <phoneticPr fontId="10" type="noConversion"/>
  </si>
  <si>
    <t>RD-13HA冷冻式干燥机</t>
    <phoneticPr fontId="10" type="noConversion"/>
  </si>
  <si>
    <t>POWER MAX1000等离子切割机</t>
    <phoneticPr fontId="10" type="noConversion"/>
  </si>
  <si>
    <t>LAZC风管辘骨机</t>
    <phoneticPr fontId="10" type="noConversion"/>
  </si>
  <si>
    <t>CYJ-12园风管压筋机</t>
    <phoneticPr fontId="10" type="noConversion"/>
  </si>
  <si>
    <t>剪板机</t>
    <phoneticPr fontId="10" type="noConversion"/>
  </si>
  <si>
    <t>船用钛合金管智能化卷焊生产线</t>
    <phoneticPr fontId="10" type="noConversion"/>
  </si>
  <si>
    <t>钛合金先进焊接生产线及其工艺装备</t>
    <phoneticPr fontId="10" type="noConversion"/>
  </si>
  <si>
    <t>船用钛合金表面改性生产线</t>
    <phoneticPr fontId="10" type="noConversion"/>
  </si>
  <si>
    <t>船用钛合金成形生产线</t>
    <phoneticPr fontId="10" type="noConversion"/>
  </si>
  <si>
    <t>船用钛合金标准件生产线</t>
    <phoneticPr fontId="10" type="noConversion"/>
  </si>
  <si>
    <t>叉车</t>
    <phoneticPr fontId="10" type="noConversion"/>
  </si>
  <si>
    <t>电梯</t>
    <phoneticPr fontId="10" type="noConversion"/>
  </si>
  <si>
    <t>智能化仓储系统</t>
    <phoneticPr fontId="10" type="noConversion"/>
  </si>
  <si>
    <t>核应急管控信息系统</t>
    <phoneticPr fontId="10" type="noConversion"/>
  </si>
  <si>
    <t>核防化单兵装具</t>
    <phoneticPr fontId="10" type="noConversion"/>
  </si>
  <si>
    <t>核应急消防车</t>
    <phoneticPr fontId="10" type="noConversion"/>
  </si>
  <si>
    <t>核应急救护车</t>
    <phoneticPr fontId="10" type="noConversion"/>
  </si>
  <si>
    <t>支持720Gbps的交换带宽，拟思科Catalyst 4510</t>
  </si>
  <si>
    <t>支持路由20000，拟思科Catalyst3750G-12S-E</t>
  </si>
  <si>
    <t>支持最多24个1000M网络端口，拟WS-C3560-24TS-E</t>
  </si>
  <si>
    <t>支持最多8个1000M网络端口，拟WS-C3560-8PC-S</t>
  </si>
  <si>
    <t>CPU：Intel Xeon X5650，内存4G，1000M网卡</t>
  </si>
  <si>
    <t>容量100T，支持NAS、SAN等网络存储协议</t>
  </si>
  <si>
    <t>进行计算机病毒、恶意代码、间谍软件的检测和清除，具备木马检测防治功能</t>
  </si>
  <si>
    <t>对客户端计算机的端口、进程、资源、用户、服务、文件等情况进行日志审计</t>
  </si>
  <si>
    <t>实时检测网络入侵行为，并进行报警和阻断</t>
  </si>
  <si>
    <t>设置网络访问控制规则，放行安全访问数据，阻断非法网络访问信息，实现网络边界访问控制安全可靠</t>
  </si>
  <si>
    <t>对客户端的认证请求进行确认，实现用户身份识别管理</t>
  </si>
  <si>
    <t>不间断电源系统、60KVA2台，双机并机</t>
  </si>
  <si>
    <t>用于服务器VMware含license</t>
  </si>
  <si>
    <t>与服务器兼容含license</t>
  </si>
  <si>
    <t>CPU：Intel i3 530，内存2GB，硬盘500G，显示器19寸LCD</t>
  </si>
  <si>
    <t>HP laserjet 5000,A3幅面，&gt;24×A4ppm</t>
  </si>
  <si>
    <t>HP LaserJet 1320,A4幅面，&gt;12×A4ppm</t>
  </si>
  <si>
    <t>爱普生1600KIII</t>
  </si>
  <si>
    <t>生产指挥中心2块电子屏幕及信号拼接工程、PC、布线、弱电工程等</t>
  </si>
  <si>
    <t>机房装修、电气系统、综合布线、静电地板铺设、精密空调、新风系统、漏水检测、地线系统、防雷系统、门禁、监控、消防、报警、屏蔽工程等（不含厂区及办公楼综合布线）</t>
  </si>
  <si>
    <t>企业管理与控制平台</t>
  </si>
  <si>
    <t>经营项目、经营合同、收款、工程编号</t>
  </si>
  <si>
    <t>项目计划、成本、物流、质量等要素实时监控，项目组员管理、图纸目录管理</t>
  </si>
  <si>
    <t>单船综合日程计划及月度计划管理</t>
  </si>
  <si>
    <t>采购、仓库、外包外协、集配</t>
  </si>
  <si>
    <t>采购质量管理、制造过程质量管理、质量问题及分析统计</t>
  </si>
  <si>
    <t>能源自动化采集设备、数据传输网络，能源监控</t>
  </si>
  <si>
    <t>应收、目标成本、金舟</t>
  </si>
  <si>
    <t>组织机构与岗位管理、培训管理、人事信息管理、薪酬福利管理、总部人事数据接口设计</t>
  </si>
  <si>
    <t>环境安全体系信息管理、危险源辨识与风险评估管理、环境安全信息管理</t>
  </si>
  <si>
    <t>设备管理、工具管理、工装管理、维修材料管理</t>
  </si>
  <si>
    <t>采购清单管理、舾装托盘管理、线路管理、产品结构树管理、套料数据管理、项目检验清册管理、技术变更管理</t>
  </si>
  <si>
    <t>项目管理、集团管控、异常信息预警及跟踪处理过程</t>
  </si>
  <si>
    <t>车间作业控制平台</t>
  </si>
  <si>
    <t>管舾车间作业执行及控制</t>
  </si>
  <si>
    <t>轮机车间作业执行及控制</t>
  </si>
  <si>
    <t>涂装车间作业执行及控制</t>
  </si>
  <si>
    <t>电气车间作业执行及控制</t>
  </si>
  <si>
    <t>中间产品部作业执行及控制</t>
  </si>
  <si>
    <t>总装车间作业执行及控制</t>
  </si>
  <si>
    <t>LED屏体P7.62点全彩车间看板，4*3M</t>
  </si>
  <si>
    <t>业务数据集成、DNC数据管理、DNC通讯管理</t>
  </si>
  <si>
    <t>制作工艺、装配工艺等相关的作业过程进行场景还原和仿真、中间产品制作、装配工艺轻量可视化</t>
  </si>
  <si>
    <t>CPU： I,ntel i3 530,内存2G，硬盘500G，显示器19寸LED</t>
  </si>
  <si>
    <t>共40盘，其中默认盘4各，19个900G SAS，20个2T  拟EMC nvX5500</t>
  </si>
  <si>
    <t>实现对标检过程中发现的问题按类别、单位、专业、人员分别进行统计，以便有针对性地对工程技术人员进行标准化培训，确保各设计公司出图模式一致，深度一致，避免设计过程中的问题重复出现，提高设计质量，缩短设计周期。</t>
  </si>
  <si>
    <t>晒图幅面：1200mm，晒图速度：850/h，自动循环长度：1400mm，纸路：2个，出图方式：前、后出图 任意调节。进纸：手动、自动；。拟将军3680DVS全套组合全自动折图机</t>
  </si>
  <si>
    <t>长：1470mm，宽：960mm，高：1080mm</t>
  </si>
  <si>
    <t>节</t>
  </si>
  <si>
    <t>UPS</t>
    <phoneticPr fontId="10" type="noConversion"/>
  </si>
  <si>
    <t>数据库软件</t>
    <phoneticPr fontId="10" type="noConversion"/>
  </si>
  <si>
    <t>服务器操作系统</t>
    <phoneticPr fontId="10" type="noConversion"/>
  </si>
  <si>
    <t>科研项目集中管理平台</t>
    <phoneticPr fontId="10" type="noConversion"/>
  </si>
  <si>
    <t>计算机</t>
    <phoneticPr fontId="10" type="noConversion"/>
  </si>
  <si>
    <t>磁盘阵列</t>
    <phoneticPr fontId="10" type="noConversion"/>
  </si>
  <si>
    <t>JM、JG项目图纸资料的底图保管及晒制系统</t>
    <phoneticPr fontId="10" type="noConversion"/>
  </si>
  <si>
    <t>国产</t>
    <phoneticPr fontId="10" type="noConversion"/>
  </si>
  <si>
    <r>
      <rPr>
        <sz val="10"/>
        <rFont val="宋体"/>
        <family val="3"/>
        <charset val="134"/>
      </rPr>
      <t>环境评价收费</t>
    </r>
  </si>
  <si>
    <r>
      <t>横向下水滑道(</t>
    </r>
    <r>
      <rPr>
        <sz val="11"/>
        <color theme="1"/>
        <rFont val="宋体"/>
        <family val="3"/>
        <charset val="134"/>
        <scheme val="minor"/>
      </rPr>
      <t>110</t>
    </r>
    <r>
      <rPr>
        <sz val="11"/>
        <color theme="1"/>
        <rFont val="宋体"/>
        <family val="3"/>
        <charset val="134"/>
        <scheme val="minor"/>
      </rPr>
      <t>m×195.2)</t>
    </r>
    <phoneticPr fontId="10" type="noConversion"/>
  </si>
  <si>
    <t>消声瓦敷设间</t>
  </si>
  <si>
    <t>机装车间</t>
  </si>
  <si>
    <t>电装调试制造间</t>
  </si>
  <si>
    <t>蓄电池车间</t>
  </si>
  <si>
    <t>水下产品联合生产厂房</t>
    <phoneticPr fontId="10" type="noConversion"/>
  </si>
  <si>
    <t>消声瓦敷设间</t>
    <phoneticPr fontId="10" type="noConversion"/>
  </si>
  <si>
    <t>机装车间</t>
    <phoneticPr fontId="10" type="noConversion"/>
  </si>
  <si>
    <t>电装调试制造间</t>
    <phoneticPr fontId="10" type="noConversion"/>
  </si>
  <si>
    <t>蓄电池车间</t>
    <phoneticPr fontId="10" type="noConversion"/>
  </si>
  <si>
    <t>横移区</t>
    <phoneticPr fontId="10" type="noConversion"/>
  </si>
  <si>
    <r>
      <t>涂装工场（2喷</t>
    </r>
    <r>
      <rPr>
        <sz val="11"/>
        <color theme="1"/>
        <rFont val="宋体"/>
        <family val="3"/>
        <charset val="134"/>
        <scheme val="minor"/>
      </rPr>
      <t>4涂</t>
    </r>
    <r>
      <rPr>
        <sz val="11"/>
        <color theme="1"/>
        <rFont val="宋体"/>
        <family val="3"/>
        <charset val="134"/>
        <scheme val="minor"/>
      </rPr>
      <t>）</t>
    </r>
    <phoneticPr fontId="10" type="noConversion"/>
  </si>
  <si>
    <t>分段堆场及预舾装场地</t>
    <phoneticPr fontId="10" type="noConversion"/>
  </si>
  <si>
    <t>现场办公楼</t>
    <phoneticPr fontId="10" type="noConversion"/>
  </si>
  <si>
    <t>总图及室外工程</t>
    <phoneticPr fontId="10" type="noConversion"/>
  </si>
  <si>
    <t>围墙</t>
    <phoneticPr fontId="10" type="noConversion"/>
  </si>
  <si>
    <t>室外电气管网</t>
    <phoneticPr fontId="10" type="noConversion"/>
  </si>
  <si>
    <t>室外排水管网</t>
    <phoneticPr fontId="10" type="noConversion"/>
  </si>
  <si>
    <t>室外暖通动力管网</t>
    <phoneticPr fontId="10" type="noConversion"/>
  </si>
  <si>
    <t>空压站</t>
    <phoneticPr fontId="10" type="noConversion"/>
  </si>
  <si>
    <t>蒸汽锅炉房</t>
    <phoneticPr fontId="10" type="noConversion"/>
  </si>
  <si>
    <t>一</t>
    <phoneticPr fontId="10" type="noConversion"/>
  </si>
  <si>
    <t>二</t>
    <phoneticPr fontId="10" type="noConversion"/>
  </si>
  <si>
    <t>三</t>
    <phoneticPr fontId="10" type="noConversion"/>
  </si>
  <si>
    <t>四</t>
    <phoneticPr fontId="10" type="noConversion"/>
  </si>
  <si>
    <t>五</t>
    <phoneticPr fontId="10" type="noConversion"/>
  </si>
  <si>
    <t>各类焊机</t>
    <phoneticPr fontId="10" type="noConversion"/>
  </si>
  <si>
    <t>卷扬提升系统</t>
    <phoneticPr fontId="10" type="noConversion"/>
  </si>
  <si>
    <t>艘</t>
    <phoneticPr fontId="10" type="noConversion"/>
  </si>
  <si>
    <t>数量</t>
  </si>
  <si>
    <t>单价</t>
  </si>
  <si>
    <t>合计</t>
  </si>
  <si>
    <t>500~1000A</t>
    <phoneticPr fontId="10" type="noConversion"/>
  </si>
  <si>
    <t>国产</t>
    <phoneticPr fontId="10" type="noConversion"/>
  </si>
  <si>
    <t>国产</t>
    <phoneticPr fontId="10" type="noConversion"/>
  </si>
  <si>
    <t>小   计</t>
    <phoneticPr fontId="10" type="noConversion"/>
  </si>
  <si>
    <t>台</t>
    <phoneticPr fontId="10" type="noConversion"/>
  </si>
  <si>
    <t>1.10</t>
    <phoneticPr fontId="10" type="noConversion"/>
  </si>
  <si>
    <t>数控高压水射流切割机、数控三辊卷板机、数控四辊卷板机、数控液压制管机、焊接设备、在线超声波探测装备、在线表面着色渗透探伤装备、工业CT、真空退火炉、超声波高频振动时效装置、表面处理设备等</t>
    <phoneticPr fontId="10" type="noConversion"/>
  </si>
  <si>
    <t>套</t>
    <phoneticPr fontId="10" type="noConversion"/>
  </si>
  <si>
    <t>公开招标</t>
    <phoneticPr fontId="10" type="noConversion"/>
  </si>
  <si>
    <t>等离子弧焊接电源，激光焊接电源，熔化极氩弧焊（MIG）焊接电源和搅拌摩擦焊机等成套焊接设备各1套，并依据船舶钛合金产品为各焊机配备相应的焊接操作机构、焊接摄像监测系统控制系统、焊接变位装置、焊接保护装置、焊枪固定与角摆系统及送丝送进等系统装置</t>
    <phoneticPr fontId="10" type="noConversion"/>
  </si>
  <si>
    <t>预处理装置、改性处理装置、后处理、检测设备、辅助设备（蒸馏水制造装置等）等</t>
    <phoneticPr fontId="10" type="noConversion"/>
  </si>
  <si>
    <t>1000T以上级别油压机、额定工作压力不低于2000吨数控三维多点无模成形设备、DN650钛合金数控弯管机、DN500通径钛合金弯管机等</t>
    <phoneticPr fontId="10" type="noConversion"/>
  </si>
  <si>
    <t>钛合金棒丝材生产设备、钛合金紧固件生产设备、标准件质量和性能测试设备、弹簧绕制机、弹簧性能测试专用设备等</t>
    <phoneticPr fontId="10" type="noConversion"/>
  </si>
  <si>
    <t>共享支撑平台</t>
    <phoneticPr fontId="10" type="noConversion"/>
  </si>
  <si>
    <t>支持最多48个1000M网络端口，拟WS-C3560-48TS-E</t>
  </si>
  <si>
    <t>国产</t>
    <phoneticPr fontId="10" type="noConversion"/>
  </si>
  <si>
    <t>公开招标</t>
    <phoneticPr fontId="10" type="noConversion"/>
  </si>
  <si>
    <t>不招标</t>
    <phoneticPr fontId="10" type="noConversion"/>
  </si>
  <si>
    <t>非标集成</t>
    <phoneticPr fontId="10" type="noConversion"/>
  </si>
  <si>
    <t>1.8.1</t>
    <phoneticPr fontId="10" type="noConversion"/>
  </si>
  <si>
    <t>1.8.2</t>
    <phoneticPr fontId="10" type="noConversion"/>
  </si>
  <si>
    <t>传输速率10/100/1000M，扩展模块8个，模块化端口结构</t>
  </si>
  <si>
    <t>千兆，透明模式</t>
  </si>
  <si>
    <t>1.10</t>
    <phoneticPr fontId="10" type="noConversion"/>
  </si>
  <si>
    <t>1.14.1</t>
    <phoneticPr fontId="10" type="noConversion"/>
  </si>
  <si>
    <t>公开招标</t>
    <phoneticPr fontId="10" type="noConversion"/>
  </si>
  <si>
    <t>1.14.2</t>
    <phoneticPr fontId="10" type="noConversion"/>
  </si>
  <si>
    <t>2.10</t>
    <phoneticPr fontId="10" type="noConversion"/>
  </si>
  <si>
    <t>科技档案管理系统</t>
    <phoneticPr fontId="10" type="noConversion"/>
  </si>
  <si>
    <t>4.1.1</t>
    <phoneticPr fontId="10" type="noConversion"/>
  </si>
  <si>
    <t>4.1.2</t>
    <phoneticPr fontId="10" type="noConversion"/>
  </si>
  <si>
    <t>4.2.1</t>
    <phoneticPr fontId="10" type="noConversion"/>
  </si>
  <si>
    <t>4.3.1</t>
    <phoneticPr fontId="10" type="noConversion"/>
  </si>
  <si>
    <t>4.3.2</t>
    <phoneticPr fontId="10" type="noConversion"/>
  </si>
  <si>
    <t>国产</t>
    <phoneticPr fontId="10" type="noConversion"/>
  </si>
  <si>
    <t>横向下水滑道</t>
    <phoneticPr fontId="10" type="noConversion"/>
  </si>
  <si>
    <t>（一）</t>
    <phoneticPr fontId="10" type="noConversion"/>
  </si>
  <si>
    <t>（二）</t>
    <phoneticPr fontId="10" type="noConversion"/>
  </si>
  <si>
    <t>（三）</t>
    <phoneticPr fontId="10" type="noConversion"/>
  </si>
  <si>
    <t>（四）</t>
    <phoneticPr fontId="10" type="noConversion"/>
  </si>
  <si>
    <t>宽4m，辊5mm～16mm</t>
  </si>
  <si>
    <t>宽4m，辊3mm～8mm</t>
  </si>
  <si>
    <t>温控0~300℃</t>
  </si>
  <si>
    <t>500t</t>
  </si>
  <si>
    <t>800t</t>
  </si>
  <si>
    <t>加工直径10米</t>
  </si>
  <si>
    <t>直径6~8m，高2.5m以内筒体内、外肋骨焊接</t>
  </si>
  <si>
    <t>φ10m</t>
  </si>
  <si>
    <t>30t，直径0~9m</t>
  </si>
  <si>
    <t>整机速度0.06~2.5m/min</t>
  </si>
  <si>
    <t>400－500t</t>
  </si>
  <si>
    <t>4m*10m</t>
  </si>
  <si>
    <t>Gn＝16t/3.2t，S=34.5m，H=12m</t>
  </si>
  <si>
    <t>Gn＝75t/20t，S=34.5m，H=20m</t>
  </si>
  <si>
    <t>63t</t>
  </si>
  <si>
    <t>2.5m*1.2m</t>
  </si>
  <si>
    <t>铣边长度16m，宽度0.4~3m，厚度6~160mm，精度0.2mm。</t>
  </si>
  <si>
    <t>公称压力1600KN,工作台长度3.2m。</t>
  </si>
  <si>
    <t>剪板厚度4~20mm，剪板宽度2.5m.</t>
  </si>
  <si>
    <t>加工板厚5~20mm,板长8m。</t>
  </si>
  <si>
    <t>最大卷板厚度180mm，宽度4m，最大规格时最小卷筒直径2m</t>
  </si>
  <si>
    <t>10000t</t>
  </si>
  <si>
    <t>800t，龙门跨度8m，转盘直径8m。</t>
  </si>
  <si>
    <t>150t，φ10m。</t>
  </si>
  <si>
    <t>160t，使用范围φ4m~φ9m。</t>
  </si>
  <si>
    <t>150t，使用范围φ3m~φ9m。</t>
  </si>
  <si>
    <t>工作台高10m，底平台高0.74m，链有效工作长度11.6m</t>
  </si>
  <si>
    <t>Gn＝150t/50t，S=34.5m，H=24m</t>
  </si>
  <si>
    <t>Gn＝100t/30t，S=34.5m，H=24m</t>
  </si>
  <si>
    <t>最大校正板厚12mm（Q235板厚15.5mm），板宽3.5m</t>
  </si>
  <si>
    <t>13.5m*9.5m</t>
  </si>
  <si>
    <t>150t</t>
  </si>
  <si>
    <t>压力7MPa</t>
  </si>
  <si>
    <t>Gn＝10t，S=16.5m，H=24m</t>
  </si>
  <si>
    <t>75×104kcal</t>
  </si>
  <si>
    <t>18000m3/h</t>
  </si>
  <si>
    <t>24000m3/h</t>
  </si>
  <si>
    <t>E1002</t>
  </si>
  <si>
    <t>1000kg,H=12m</t>
  </si>
  <si>
    <t>CPCD30-W2-3t</t>
  </si>
  <si>
    <t>MJ113.5BT</t>
  </si>
  <si>
    <t>3612BR</t>
  </si>
  <si>
    <t>1900B</t>
  </si>
  <si>
    <t>把</t>
  </si>
  <si>
    <t>125型</t>
  </si>
  <si>
    <t>15m3,A型</t>
  </si>
  <si>
    <t>座</t>
  </si>
  <si>
    <t>0.15m3,A型</t>
  </si>
  <si>
    <t>5匹</t>
  </si>
  <si>
    <t>MJ347J、NJ346B</t>
  </si>
  <si>
    <t>5000m3/h</t>
  </si>
  <si>
    <t>MJ-350/25.4</t>
  </si>
  <si>
    <t>Z3050*16/1</t>
  </si>
  <si>
    <t>铝合金材质</t>
  </si>
  <si>
    <t>8点</t>
  </si>
  <si>
    <t>18m×24m</t>
  </si>
  <si>
    <t>Gn＝20t，S=16.5m，H=24m</t>
  </si>
  <si>
    <t>四缸，八喷枪</t>
  </si>
  <si>
    <t>216筒</t>
  </si>
  <si>
    <t>68比1</t>
  </si>
  <si>
    <t>300bar</t>
  </si>
  <si>
    <t>200A</t>
  </si>
  <si>
    <t>Gn＝50t/10t，S=28.5m，H=14m</t>
  </si>
  <si>
    <t>Gn＝32t/5t，S=28.5m，H=14m</t>
  </si>
  <si>
    <t>Gn＝150t/50t，S=34.5m，H=14m</t>
  </si>
  <si>
    <t>Gn＝50t/10t，S=34.5m，H=14m</t>
  </si>
  <si>
    <t>Gn＝32t/5t，S=28.5m，H=9m</t>
  </si>
  <si>
    <r>
      <t>Gn＝5t，S=28.5m，H=9m</t>
    </r>
    <r>
      <rPr>
        <sz val="10"/>
        <color indexed="10"/>
        <rFont val="宋体"/>
        <family val="3"/>
        <charset val="134"/>
      </rPr>
      <t/>
    </r>
  </si>
  <si>
    <t>喷砂设备</t>
  </si>
  <si>
    <t>真空度-0.045mmHg，功率90KW，吸砂量8t/h</t>
  </si>
  <si>
    <t>96筒，效率99.95%</t>
  </si>
  <si>
    <t>ZLC-16</t>
  </si>
  <si>
    <t>32筒，效率99.95%</t>
  </si>
  <si>
    <t>4-72 8C</t>
  </si>
  <si>
    <t>DT75</t>
  </si>
  <si>
    <t>WSF</t>
  </si>
  <si>
    <t>LS315</t>
  </si>
  <si>
    <t>DG350</t>
  </si>
  <si>
    <t>风量12000m3/h，制冷量35×104cal/h</t>
  </si>
  <si>
    <t>非标</t>
  </si>
  <si>
    <t>喷砂设备配套</t>
  </si>
  <si>
    <t>尺寸24m×13m</t>
  </si>
  <si>
    <t>樘</t>
  </si>
  <si>
    <t>风量40000m3/h，净化效率90%</t>
  </si>
  <si>
    <t>国产</t>
  </si>
  <si>
    <t>风量40000m3/h</t>
  </si>
  <si>
    <t>风量20000m3/h，制热量40×104cal/h</t>
  </si>
  <si>
    <t>涂装设备配套</t>
  </si>
  <si>
    <t>载重量630kg</t>
  </si>
  <si>
    <t>进口</t>
  </si>
  <si>
    <t>加热量50×104cal/h，辐射波长≤12µm</t>
  </si>
  <si>
    <t xml:space="preserve">1.5T </t>
  </si>
  <si>
    <t xml:space="preserve">5t </t>
  </si>
  <si>
    <t>2.10</t>
  </si>
  <si>
    <t>2.11</t>
  </si>
  <si>
    <t>2.12</t>
  </si>
  <si>
    <t>2.13</t>
  </si>
  <si>
    <t>2.14</t>
  </si>
  <si>
    <t>2.15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</si>
  <si>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</si>
  <si>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</si>
  <si>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</si>
  <si>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</si>
  <si>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</si>
  <si>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</si>
  <si>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</si>
  <si>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</si>
  <si>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</si>
  <si>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</si>
  <si>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</si>
  <si>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</si>
  <si>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</si>
  <si>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</si>
  <si>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</si>
  <si>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</si>
  <si>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4.3</t>
  </si>
  <si>
    <t>4.12</t>
  </si>
  <si>
    <t>5.12</t>
  </si>
  <si>
    <t>1</t>
    <phoneticPr fontId="10" type="noConversion"/>
  </si>
  <si>
    <t>2</t>
    <phoneticPr fontId="10" type="noConversion"/>
  </si>
  <si>
    <t>2.3</t>
  </si>
  <si>
    <t>2.4</t>
  </si>
  <si>
    <t>2.5</t>
  </si>
  <si>
    <t>2.6</t>
  </si>
  <si>
    <t>2.7</t>
  </si>
  <si>
    <t>2.8</t>
  </si>
  <si>
    <t>2.9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</si>
  <si>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</si>
  <si>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</si>
  <si>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</si>
  <si>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</si>
  <si>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</si>
  <si>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</si>
  <si>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</si>
  <si>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</si>
  <si>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</si>
  <si>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</si>
  <si>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</si>
  <si>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</si>
  <si>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</si>
  <si>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</si>
  <si>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0~1000℃，0~220V无极可调，控温精度≤1%</t>
  </si>
  <si>
    <t>3</t>
    <phoneticPr fontId="10" type="noConversion"/>
  </si>
  <si>
    <t>有效宽度5000mm，有效长度30000mm，最大切割厚度50mm，无级调速0～10000mm/min</t>
  </si>
  <si>
    <t>Gn＝20t/3.2t，S=34.5m，H=12m</t>
  </si>
  <si>
    <t>4</t>
    <phoneticPr fontId="10" type="noConversion"/>
  </si>
  <si>
    <t>4.1</t>
    <phoneticPr fontId="10" type="noConversion"/>
  </si>
  <si>
    <t>4.2</t>
    <phoneticPr fontId="10" type="noConversion"/>
  </si>
  <si>
    <t>（二）</t>
    <phoneticPr fontId="10" type="noConversion"/>
  </si>
  <si>
    <t>消声瓦联合生产厂房</t>
    <phoneticPr fontId="10" type="noConversion"/>
  </si>
  <si>
    <t>1</t>
    <phoneticPr fontId="10" type="noConversion"/>
  </si>
  <si>
    <t>2</t>
    <phoneticPr fontId="10" type="noConversion"/>
  </si>
  <si>
    <t>2.1</t>
    <phoneticPr fontId="10" type="noConversion"/>
  </si>
  <si>
    <t>2.2</t>
    <phoneticPr fontId="10" type="noConversion"/>
  </si>
  <si>
    <t>3</t>
    <phoneticPr fontId="10" type="noConversion"/>
  </si>
  <si>
    <t>1.1</t>
    <phoneticPr fontId="10" type="noConversion"/>
  </si>
  <si>
    <t>切断圆材直径250mm，切断型材尺寸250×300mm</t>
  </si>
  <si>
    <r>
      <t>切管直径20~114mm</t>
    </r>
    <r>
      <rPr>
        <sz val="12"/>
        <rFont val="宋体"/>
        <family val="3"/>
        <charset val="134"/>
      </rPr>
      <t/>
    </r>
  </si>
  <si>
    <t>3000×1750×100mm</t>
  </si>
  <si>
    <t>额定压力16mpa，流量2500升/小时</t>
  </si>
  <si>
    <t>卷板长度1500mm，卷板厚度2mm，最小卷板直径250mm</t>
  </si>
  <si>
    <t>最大钻孔直径32mm</t>
  </si>
  <si>
    <t>2</t>
    <phoneticPr fontId="10" type="noConversion"/>
  </si>
  <si>
    <t>8m×1.5m，平面度≤0.5mm</t>
  </si>
  <si>
    <r>
      <t>20m×1.5m</t>
    </r>
    <r>
      <rPr>
        <sz val="12"/>
        <rFont val="宋体"/>
        <family val="3"/>
        <charset val="134"/>
      </rPr>
      <t/>
    </r>
  </si>
  <si>
    <t>（五）</t>
    <phoneticPr fontId="10" type="noConversion"/>
  </si>
  <si>
    <t>涂装工场</t>
    <phoneticPr fontId="10" type="noConversion"/>
  </si>
  <si>
    <t>1</t>
    <phoneticPr fontId="10" type="noConversion"/>
  </si>
  <si>
    <t>1.2</t>
    <phoneticPr fontId="10" type="noConversion"/>
  </si>
  <si>
    <t>压缩比32:1，65:1</t>
  </si>
  <si>
    <t>作业高度13m，载重量225kg</t>
  </si>
  <si>
    <t>管子加工中心</t>
    <phoneticPr fontId="10" type="noConversion"/>
  </si>
  <si>
    <t>（八）</t>
    <phoneticPr fontId="10" type="noConversion"/>
  </si>
  <si>
    <t>集配库</t>
    <phoneticPr fontId="10" type="noConversion"/>
  </si>
  <si>
    <r>
      <t>双枪，单枪喷砂面积15m</t>
    </r>
    <r>
      <rPr>
        <vertAlign val="superscript"/>
        <sz val="10"/>
        <rFont val="宋体"/>
        <family val="3"/>
        <charset val="134"/>
        <scheme val="minor"/>
      </rPr>
      <t>2</t>
    </r>
    <r>
      <rPr>
        <sz val="10"/>
        <rFont val="宋体"/>
        <family val="3"/>
        <charset val="134"/>
        <scheme val="minor"/>
      </rPr>
      <t>/h</t>
    </r>
  </si>
  <si>
    <r>
      <rPr>
        <b/>
        <sz val="11"/>
        <color indexed="8"/>
        <rFont val="宋体"/>
        <family val="3"/>
        <charset val="134"/>
        <scheme val="minor"/>
      </rPr>
      <t>涂装分段堆场及预舾装场地</t>
    </r>
    <phoneticPr fontId="10" type="noConversion"/>
  </si>
  <si>
    <t>内舾装车间</t>
    <phoneticPr fontId="10" type="noConversion"/>
  </si>
  <si>
    <t>1.20</t>
    <phoneticPr fontId="10" type="noConversion"/>
  </si>
  <si>
    <t>复合材料加工车间</t>
    <phoneticPr fontId="10" type="noConversion"/>
  </si>
  <si>
    <t>2.10</t>
    <phoneticPr fontId="10" type="noConversion"/>
  </si>
  <si>
    <t>三</t>
    <phoneticPr fontId="10" type="noConversion"/>
  </si>
  <si>
    <t>辅助性建设项目</t>
    <phoneticPr fontId="10" type="noConversion"/>
  </si>
  <si>
    <t>现场办公楼</t>
    <phoneticPr fontId="10" type="noConversion"/>
  </si>
  <si>
    <t>（六）</t>
    <phoneticPr fontId="10" type="noConversion"/>
  </si>
  <si>
    <t>冷弯机</t>
    <phoneticPr fontId="10" type="noConversion"/>
  </si>
  <si>
    <t>肋骨壳圈自动装焊系统</t>
    <phoneticPr fontId="10" type="noConversion"/>
  </si>
  <si>
    <t>加热控制箱</t>
    <phoneticPr fontId="10" type="noConversion"/>
  </si>
  <si>
    <t>摇摆胎架</t>
    <phoneticPr fontId="10" type="noConversion"/>
  </si>
  <si>
    <t>悬臂焊机</t>
    <phoneticPr fontId="10" type="noConversion"/>
  </si>
  <si>
    <t>壳圈顶圆机</t>
    <phoneticPr fontId="10" type="noConversion"/>
  </si>
  <si>
    <t>壳圈检验平台</t>
    <phoneticPr fontId="10" type="noConversion"/>
  </si>
  <si>
    <t>小蜜蜂数控切割机</t>
    <phoneticPr fontId="10" type="noConversion"/>
  </si>
  <si>
    <t>折弯机</t>
    <phoneticPr fontId="10" type="noConversion"/>
  </si>
  <si>
    <t>油压机</t>
    <phoneticPr fontId="10" type="noConversion"/>
  </si>
  <si>
    <t>三星辊</t>
    <phoneticPr fontId="10" type="noConversion"/>
  </si>
  <si>
    <t>壳板校正机</t>
    <phoneticPr fontId="10" type="noConversion"/>
  </si>
  <si>
    <t>龙门液压式机械校正装置</t>
    <phoneticPr fontId="10" type="noConversion"/>
  </si>
  <si>
    <t>各类胎架</t>
    <phoneticPr fontId="10" type="noConversion"/>
  </si>
  <si>
    <t>桥式起重机</t>
    <phoneticPr fontId="10" type="noConversion"/>
  </si>
  <si>
    <t>耐压立装平台</t>
    <phoneticPr fontId="10" type="noConversion"/>
  </si>
  <si>
    <t>翻转胎架</t>
    <phoneticPr fontId="10" type="noConversion"/>
  </si>
  <si>
    <t>圆柱滚轮胎架</t>
    <phoneticPr fontId="10" type="noConversion"/>
  </si>
  <si>
    <t>圆锥滚轮胎架</t>
    <phoneticPr fontId="10" type="noConversion"/>
  </si>
  <si>
    <t>焊接绗架</t>
    <phoneticPr fontId="10" type="noConversion"/>
  </si>
  <si>
    <t>结构件校型机</t>
    <phoneticPr fontId="10" type="noConversion"/>
  </si>
  <si>
    <t>拼板自动焊接生产线</t>
    <phoneticPr fontId="10" type="noConversion"/>
  </si>
  <si>
    <t>拼板辊平机</t>
    <phoneticPr fontId="10" type="noConversion"/>
  </si>
  <si>
    <t>液压升降平台</t>
    <phoneticPr fontId="10" type="noConversion"/>
  </si>
  <si>
    <t>平面进舱装置</t>
    <phoneticPr fontId="10" type="noConversion"/>
  </si>
  <si>
    <t>评片机</t>
    <phoneticPr fontId="10" type="noConversion"/>
  </si>
  <si>
    <t>精密安装桥式起重机</t>
    <phoneticPr fontId="10" type="noConversion"/>
  </si>
  <si>
    <t>推台锯</t>
    <phoneticPr fontId="10" type="noConversion"/>
  </si>
  <si>
    <t>可燃气体在线测爆系统</t>
    <phoneticPr fontId="10" type="noConversion"/>
  </si>
  <si>
    <t>整体式喷砂机组</t>
    <phoneticPr fontId="10" type="noConversion"/>
  </si>
  <si>
    <t>卧式金属带锯机</t>
    <phoneticPr fontId="10" type="noConversion"/>
  </si>
  <si>
    <t>管子切断坡口机</t>
    <phoneticPr fontId="10" type="noConversion"/>
  </si>
  <si>
    <t>钳台</t>
    <phoneticPr fontId="10" type="noConversion"/>
  </si>
  <si>
    <t>小型钻床</t>
    <phoneticPr fontId="10" type="noConversion"/>
  </si>
  <si>
    <t>蓄电池充放电汇流排</t>
    <phoneticPr fontId="10" type="noConversion"/>
  </si>
  <si>
    <t>双缸压力喷砂机</t>
    <phoneticPr fontId="10" type="noConversion"/>
  </si>
  <si>
    <t>涂装设备</t>
    <phoneticPr fontId="10" type="noConversion"/>
  </si>
  <si>
    <t>有机废气处理装置</t>
    <phoneticPr fontId="10" type="noConversion"/>
  </si>
  <si>
    <t>防爆风机</t>
    <phoneticPr fontId="10" type="noConversion"/>
  </si>
  <si>
    <t>核心交换机</t>
    <phoneticPr fontId="10" type="noConversion"/>
  </si>
  <si>
    <t>汇聚交换机</t>
    <phoneticPr fontId="10" type="noConversion"/>
  </si>
  <si>
    <t>接入交换机</t>
    <phoneticPr fontId="10" type="noConversion"/>
  </si>
  <si>
    <t>服务器</t>
    <phoneticPr fontId="10" type="noConversion"/>
  </si>
  <si>
    <t>存储系统</t>
    <phoneticPr fontId="10" type="noConversion"/>
  </si>
  <si>
    <t>信息服务安全防护系统</t>
    <phoneticPr fontId="10" type="noConversion"/>
  </si>
  <si>
    <t>网络防病毒软件</t>
    <phoneticPr fontId="10" type="noConversion"/>
  </si>
  <si>
    <t>主机审计日志管理软件</t>
    <phoneticPr fontId="10" type="noConversion"/>
  </si>
  <si>
    <t>网络入侵检测系统</t>
    <phoneticPr fontId="10" type="noConversion"/>
  </si>
  <si>
    <t>网络防火墙</t>
    <phoneticPr fontId="10" type="noConversion"/>
  </si>
  <si>
    <t>网络身份认证系统</t>
    <phoneticPr fontId="10" type="noConversion"/>
  </si>
  <si>
    <t>路由器</t>
    <phoneticPr fontId="10" type="noConversion"/>
  </si>
  <si>
    <t>流量控制</t>
    <phoneticPr fontId="10" type="noConversion"/>
  </si>
  <si>
    <t>虚拟化软件</t>
    <phoneticPr fontId="10" type="noConversion"/>
  </si>
  <si>
    <t>服务器热备软件</t>
    <phoneticPr fontId="10" type="noConversion"/>
  </si>
  <si>
    <t>硬件设备</t>
    <phoneticPr fontId="10" type="noConversion"/>
  </si>
  <si>
    <t>网络激光打印机</t>
    <phoneticPr fontId="10" type="noConversion"/>
  </si>
  <si>
    <t>激光打印机</t>
    <phoneticPr fontId="10" type="noConversion"/>
  </si>
  <si>
    <t>针式打印机</t>
    <phoneticPr fontId="10" type="noConversion"/>
  </si>
  <si>
    <t>指挥中心配套硬件</t>
    <phoneticPr fontId="10" type="noConversion"/>
  </si>
  <si>
    <t>机房建设</t>
    <phoneticPr fontId="10" type="noConversion"/>
  </si>
  <si>
    <t>经营管理系统</t>
    <phoneticPr fontId="10" type="noConversion"/>
  </si>
  <si>
    <t>项目综合管理系统</t>
    <phoneticPr fontId="10" type="noConversion"/>
  </si>
  <si>
    <t>工程计划管理系统</t>
    <phoneticPr fontId="10" type="noConversion"/>
  </si>
  <si>
    <t>供应链管理系统</t>
    <phoneticPr fontId="10" type="noConversion"/>
  </si>
  <si>
    <t>质量管理系统</t>
    <phoneticPr fontId="10" type="noConversion"/>
  </si>
  <si>
    <t>能耗监控管理系统</t>
    <phoneticPr fontId="10" type="noConversion"/>
  </si>
  <si>
    <t>财务成本管理系统</t>
    <phoneticPr fontId="10" type="noConversion"/>
  </si>
  <si>
    <t>人力资源管理系统</t>
    <phoneticPr fontId="10" type="noConversion"/>
  </si>
  <si>
    <t>环境安全管理系统</t>
    <phoneticPr fontId="10" type="noConversion"/>
  </si>
  <si>
    <t>安全保障管理系统</t>
    <phoneticPr fontId="10" type="noConversion"/>
  </si>
  <si>
    <t>工艺技术管理系统</t>
    <phoneticPr fontId="10" type="noConversion"/>
  </si>
  <si>
    <t>生产指挥中心应用系统</t>
    <phoneticPr fontId="10" type="noConversion"/>
  </si>
  <si>
    <t>管舾车间作业管理系统</t>
    <phoneticPr fontId="10" type="noConversion"/>
  </si>
  <si>
    <t>轮机车间作业管理系统</t>
    <phoneticPr fontId="10" type="noConversion"/>
  </si>
  <si>
    <t>涂装车间作业管理系统</t>
    <phoneticPr fontId="10" type="noConversion"/>
  </si>
  <si>
    <t>电气车间作业管理系统</t>
    <phoneticPr fontId="10" type="noConversion"/>
  </si>
  <si>
    <t>分段制造作业管理系统</t>
    <phoneticPr fontId="10" type="noConversion"/>
  </si>
  <si>
    <t>总装车间作业管理系统</t>
    <phoneticPr fontId="10" type="noConversion"/>
  </si>
  <si>
    <t>LED屏体P7.62点全彩车间看板</t>
    <phoneticPr fontId="10" type="noConversion"/>
  </si>
  <si>
    <t>分布式数控系统（DNC）</t>
    <phoneticPr fontId="10" type="noConversion"/>
  </si>
  <si>
    <t>虚拟仿真应用系统</t>
    <phoneticPr fontId="10" type="noConversion"/>
  </si>
  <si>
    <t>船舶图样网上标准化检查和问题统计系统</t>
    <phoneticPr fontId="10" type="noConversion"/>
  </si>
  <si>
    <t>高速晒图机及折图机</t>
    <phoneticPr fontId="10" type="noConversion"/>
  </si>
  <si>
    <t>底图柜</t>
    <phoneticPr fontId="10" type="noConversion"/>
  </si>
  <si>
    <t>合      计</t>
    <phoneticPr fontId="10" type="noConversion"/>
  </si>
  <si>
    <t>总         计</t>
    <phoneticPr fontId="10" type="noConversion"/>
  </si>
  <si>
    <t>共               计</t>
    <phoneticPr fontId="10" type="noConversion"/>
  </si>
  <si>
    <r>
      <t>300m</t>
    </r>
    <r>
      <rPr>
        <b/>
        <vertAlign val="superscript"/>
        <sz val="10"/>
        <color indexed="8"/>
        <rFont val="宋体"/>
        <family val="3"/>
        <charset val="134"/>
        <scheme val="minor"/>
      </rPr>
      <t>3</t>
    </r>
    <phoneticPr fontId="10" type="noConversion"/>
  </si>
  <si>
    <r>
      <t>150m</t>
    </r>
    <r>
      <rPr>
        <b/>
        <vertAlign val="superscript"/>
        <sz val="10"/>
        <color indexed="8"/>
        <rFont val="宋体"/>
        <family val="3"/>
        <charset val="134"/>
        <scheme val="minor"/>
      </rPr>
      <t>3</t>
    </r>
    <phoneticPr fontId="10" type="noConversion"/>
  </si>
  <si>
    <t>蒸汽锅炉</t>
    <phoneticPr fontId="10" type="noConversion"/>
  </si>
  <si>
    <r>
      <rPr>
        <b/>
        <sz val="12"/>
        <rFont val="宋体"/>
        <family val="3"/>
        <charset val="134"/>
      </rPr>
      <t>项目建设总投资</t>
    </r>
  </si>
  <si>
    <t>40kw，25t，1MP</t>
    <phoneticPr fontId="10" type="noConversion"/>
  </si>
  <si>
    <t>水面产品室内船台（双柳基地）</t>
    <phoneticPr fontId="10" type="noConversion"/>
  </si>
  <si>
    <t>港作拖轮</t>
    <phoneticPr fontId="10" type="noConversion"/>
  </si>
  <si>
    <t>液压模块运输车</t>
    <phoneticPr fontId="10" type="noConversion"/>
  </si>
  <si>
    <t>轴线</t>
    <phoneticPr fontId="10" type="noConversion"/>
  </si>
  <si>
    <t>Gn=5t，S=19.5m,H=9m</t>
    <phoneticPr fontId="10" type="noConversion"/>
  </si>
  <si>
    <t>十一辊校平机</t>
  </si>
  <si>
    <t>十三辊校平机</t>
  </si>
  <si>
    <t>4.13</t>
  </si>
  <si>
    <t>4.14</t>
  </si>
  <si>
    <t>肋骨制造车间</t>
    <phoneticPr fontId="10" type="noConversion"/>
  </si>
  <si>
    <t>壳圈制造车间</t>
    <phoneticPr fontId="10" type="noConversion"/>
  </si>
  <si>
    <t>耐压下料车间</t>
    <phoneticPr fontId="10" type="noConversion"/>
  </si>
  <si>
    <t>非耐压结构件制造车间</t>
    <phoneticPr fontId="10" type="noConversion"/>
  </si>
  <si>
    <t>总段泵水车间</t>
    <phoneticPr fontId="10" type="noConversion"/>
  </si>
  <si>
    <t>船台总装车间</t>
    <phoneticPr fontId="10" type="noConversion"/>
  </si>
  <si>
    <t>肋骨对接装配平台</t>
    <phoneticPr fontId="10" type="noConversion"/>
  </si>
  <si>
    <t>肋骨气刨吸尘平台（带除尘设施）</t>
    <phoneticPr fontId="10" type="noConversion"/>
  </si>
  <si>
    <t>3.1</t>
    <phoneticPr fontId="10" type="noConversion"/>
  </si>
  <si>
    <t>3.2</t>
    <phoneticPr fontId="10" type="noConversion"/>
  </si>
  <si>
    <t>壳圈立式装配机</t>
    <phoneticPr fontId="10" type="noConversion"/>
  </si>
  <si>
    <t>数控铣边机</t>
    <phoneticPr fontId="10" type="noConversion"/>
  </si>
  <si>
    <t>6.12</t>
  </si>
  <si>
    <t>激光切割机</t>
    <phoneticPr fontId="10" type="noConversion"/>
  </si>
  <si>
    <t>500t</t>
    <phoneticPr fontId="10" type="noConversion"/>
  </si>
  <si>
    <t>Gn＝50t/10t，S=28.5m，H=20m</t>
    <phoneticPr fontId="10" type="noConversion"/>
  </si>
  <si>
    <t>耐压液舱胎架</t>
    <phoneticPr fontId="10" type="noConversion"/>
  </si>
  <si>
    <t>IGPS定位系统</t>
    <phoneticPr fontId="10" type="noConversion"/>
  </si>
  <si>
    <t>Gn＝75t/30t，S=28.5m，H=24m</t>
    <phoneticPr fontId="10" type="noConversion"/>
  </si>
  <si>
    <t>Gn＝50t/10t，S=34.5m，H=20m</t>
    <phoneticPr fontId="10" type="noConversion"/>
  </si>
  <si>
    <t>Gn＝75t/20t，S=34.5m，H=24m</t>
    <phoneticPr fontId="10" type="noConversion"/>
  </si>
  <si>
    <t>Gn＝50t/10t，S=34.5m，H=24m</t>
    <phoneticPr fontId="10" type="noConversion"/>
  </si>
  <si>
    <t>Gn＝100t/30t，S=34.5m，H=28m</t>
    <phoneticPr fontId="10" type="noConversion"/>
  </si>
  <si>
    <t>Gn＝150t/30t，S=34.5m，H=28m</t>
    <phoneticPr fontId="10" type="noConversion"/>
  </si>
  <si>
    <t>装料车间</t>
    <phoneticPr fontId="10" type="noConversion"/>
  </si>
  <si>
    <t>3.19</t>
  </si>
  <si>
    <t>管装车间</t>
    <phoneticPr fontId="10" type="noConversion"/>
  </si>
  <si>
    <t>核级管路制造车间</t>
    <phoneticPr fontId="10" type="noConversion"/>
  </si>
  <si>
    <t>管子下料坡口一体机</t>
    <phoneticPr fontId="10" type="noConversion"/>
  </si>
  <si>
    <t>锯床</t>
    <phoneticPr fontId="10" type="noConversion"/>
  </si>
  <si>
    <t>坡口机</t>
    <phoneticPr fontId="10" type="noConversion"/>
  </si>
  <si>
    <t>手工焊专机</t>
    <phoneticPr fontId="10" type="noConversion"/>
  </si>
  <si>
    <t>校管平台</t>
    <phoneticPr fontId="10" type="noConversion"/>
  </si>
  <si>
    <t>温湿度控制调机</t>
    <phoneticPr fontId="10" type="noConversion"/>
  </si>
  <si>
    <t>陆上联调中心</t>
    <phoneticPr fontId="10" type="noConversion"/>
  </si>
  <si>
    <t>Gn＝32t/75t，S=19.5m，H=12m</t>
    <phoneticPr fontId="10" type="noConversion"/>
  </si>
  <si>
    <t>反应堆预装车间</t>
    <phoneticPr fontId="10" type="noConversion"/>
  </si>
  <si>
    <t>小型数控加工中心</t>
    <phoneticPr fontId="10" type="noConversion"/>
  </si>
  <si>
    <t>Ω焊机</t>
    <phoneticPr fontId="10" type="noConversion"/>
  </si>
  <si>
    <t>试装架</t>
    <phoneticPr fontId="10" type="noConversion"/>
  </si>
  <si>
    <t>温湿度控制系统</t>
    <phoneticPr fontId="10" type="noConversion"/>
  </si>
  <si>
    <t>精密桥式起重机</t>
    <phoneticPr fontId="10" type="noConversion"/>
  </si>
  <si>
    <r>
      <t>Q=50/10t，LK=19.5m，H=9m</t>
    </r>
    <r>
      <rPr>
        <sz val="12"/>
        <color indexed="8"/>
        <rFont val="宋体"/>
        <family val="3"/>
        <charset val="134"/>
      </rPr>
      <t/>
    </r>
    <phoneticPr fontId="10" type="noConversion"/>
  </si>
  <si>
    <t>核燃料库</t>
    <phoneticPr fontId="10" type="noConversion"/>
  </si>
  <si>
    <t>组件存放架</t>
    <phoneticPr fontId="10" type="noConversion"/>
  </si>
  <si>
    <t>通风系统</t>
    <phoneticPr fontId="10" type="noConversion"/>
  </si>
  <si>
    <t>消防系统</t>
    <phoneticPr fontId="10" type="noConversion"/>
  </si>
  <si>
    <r>
      <t>Q=2t，H=6m</t>
    </r>
    <r>
      <rPr>
        <sz val="12"/>
        <color indexed="8"/>
        <rFont val="宋体"/>
        <family val="3"/>
        <charset val="134"/>
      </rPr>
      <t/>
    </r>
    <phoneticPr fontId="10" type="noConversion"/>
  </si>
  <si>
    <r>
      <t>Q=5t，LK=16.5m，H=6m</t>
    </r>
    <r>
      <rPr>
        <sz val="12"/>
        <color indexed="8"/>
        <rFont val="宋体"/>
        <family val="3"/>
        <charset val="134"/>
      </rPr>
      <t/>
    </r>
    <phoneticPr fontId="10" type="noConversion"/>
  </si>
  <si>
    <t>叉车</t>
  </si>
  <si>
    <t>集配库及生产辅楼</t>
    <phoneticPr fontId="10" type="noConversion"/>
  </si>
  <si>
    <t>2500×1500×600mm</t>
  </si>
  <si>
    <t>4500mm×1800mm×600mm</t>
  </si>
  <si>
    <t>4000mm×1200mm×700mm</t>
  </si>
  <si>
    <t>3000mm×1500mm×1000mm</t>
  </si>
  <si>
    <t>3.20</t>
  </si>
  <si>
    <t>3.21</t>
  </si>
  <si>
    <t>3.22</t>
  </si>
  <si>
    <t>16500mm×8500mm</t>
  </si>
  <si>
    <t>4.15</t>
  </si>
  <si>
    <t>4.16</t>
  </si>
  <si>
    <t>4.17</t>
  </si>
  <si>
    <t>4.18</t>
  </si>
  <si>
    <t>4.19</t>
  </si>
  <si>
    <t>4.20</t>
  </si>
  <si>
    <t>T排装焊矫正生产线</t>
    <phoneticPr fontId="10" type="noConversion"/>
  </si>
  <si>
    <t>Gn＝100t/20t+50t，S=28.5m，H=24m</t>
    <phoneticPr fontId="10" type="noConversion"/>
  </si>
  <si>
    <t>预处理车间</t>
    <phoneticPr fontId="10" type="noConversion"/>
  </si>
  <si>
    <t>理料间</t>
    <phoneticPr fontId="10" type="noConversion"/>
  </si>
  <si>
    <t>5.13</t>
  </si>
  <si>
    <t>立装车间</t>
    <phoneticPr fontId="10" type="noConversion"/>
  </si>
  <si>
    <t>6.10</t>
    <phoneticPr fontId="10" type="noConversion"/>
  </si>
  <si>
    <t>6.12</t>
    <phoneticPr fontId="10" type="noConversion"/>
  </si>
  <si>
    <t>90m</t>
    <phoneticPr fontId="10" type="noConversion"/>
  </si>
  <si>
    <t>其中
外汇</t>
    <phoneticPr fontId="10" type="noConversion"/>
  </si>
  <si>
    <t>总计</t>
    <phoneticPr fontId="10" type="noConversion"/>
  </si>
  <si>
    <t xml:space="preserve">新   增   工   艺   设   备   表  </t>
    <phoneticPr fontId="10" type="noConversion"/>
  </si>
  <si>
    <t>舾装码头（2个）</t>
    <phoneticPr fontId="10" type="noConversion"/>
  </si>
  <si>
    <t>D8039</t>
    <phoneticPr fontId="10" type="noConversion"/>
  </si>
  <si>
    <t>生产辅楼</t>
    <phoneticPr fontId="10" type="noConversion"/>
  </si>
  <si>
    <t>水工设施</t>
    <phoneticPr fontId="10" type="noConversion"/>
  </si>
  <si>
    <t>小    计</t>
    <phoneticPr fontId="10" type="noConversion"/>
  </si>
  <si>
    <t>生产性建设项目</t>
    <phoneticPr fontId="10" type="noConversion"/>
  </si>
  <si>
    <t>公用动力设施</t>
    <phoneticPr fontId="10" type="noConversion"/>
  </si>
  <si>
    <t>第二部分合计</t>
    <phoneticPr fontId="10" type="noConversion"/>
  </si>
  <si>
    <t>机加中心</t>
    <phoneticPr fontId="10" type="noConversion"/>
  </si>
  <si>
    <t>中小件加工区（A区）</t>
  </si>
  <si>
    <t>中小件加工区（B区）</t>
  </si>
  <si>
    <t>重型结构加工区（A区）</t>
  </si>
  <si>
    <t>重型结构加工区（B区）</t>
  </si>
  <si>
    <t>三坐标测量机</t>
  </si>
  <si>
    <t>数控镗铣加工中心</t>
  </si>
  <si>
    <t>TH6113</t>
  </si>
  <si>
    <t>卧式加工中心</t>
  </si>
  <si>
    <t>五轴联动卧式加工中心</t>
  </si>
  <si>
    <t>车铣镗复合加工中心</t>
  </si>
  <si>
    <t>龙门铣床</t>
  </si>
  <si>
    <t>XK2420</t>
  </si>
  <si>
    <t>阀面研磨机</t>
  </si>
  <si>
    <t>阀件综合实验台</t>
  </si>
  <si>
    <t>桥式起重机</t>
  </si>
  <si>
    <t>Q=10t，LK=16.5m，H=12m</t>
  </si>
  <si>
    <r>
      <t>Q=5t，LK=16.5m，H=12m</t>
    </r>
    <r>
      <rPr>
        <sz val="11"/>
        <color indexed="8"/>
        <rFont val="宋体"/>
        <family val="3"/>
        <charset val="134"/>
      </rPr>
      <t/>
    </r>
  </si>
  <si>
    <r>
      <t>Q=32t，LK=22.5m，H=16m</t>
    </r>
    <r>
      <rPr>
        <sz val="11"/>
        <color indexed="8"/>
        <rFont val="宋体"/>
        <family val="3"/>
        <charset val="134"/>
      </rPr>
      <t/>
    </r>
  </si>
  <si>
    <r>
      <t>Q=10t，LK=22.5m，H=16m</t>
    </r>
    <r>
      <rPr>
        <sz val="11"/>
        <color indexed="8"/>
        <rFont val="宋体"/>
        <family val="3"/>
        <charset val="134"/>
      </rPr>
      <t/>
    </r>
  </si>
  <si>
    <t>小   计</t>
  </si>
  <si>
    <t>普通卧式车床</t>
  </si>
  <si>
    <t>C6140</t>
  </si>
  <si>
    <t>C6163</t>
  </si>
  <si>
    <t>摇臂钻床</t>
  </si>
  <si>
    <t>Z3050</t>
  </si>
  <si>
    <t>Z3080</t>
  </si>
  <si>
    <t>线切割机床</t>
  </si>
  <si>
    <t>中型车削中心</t>
  </si>
  <si>
    <t>Φ430</t>
  </si>
  <si>
    <t>中型立式加工中心</t>
  </si>
  <si>
    <t>小型车削中心</t>
  </si>
  <si>
    <t>Φ320</t>
  </si>
  <si>
    <t>小型立式加工中心</t>
  </si>
  <si>
    <t>C61100</t>
  </si>
  <si>
    <t>数控卧式车床</t>
  </si>
  <si>
    <t>CK61100</t>
  </si>
  <si>
    <t>划线平台</t>
  </si>
  <si>
    <t>数控立式车床</t>
  </si>
  <si>
    <t>1125mm</t>
  </si>
  <si>
    <t>1600mm</t>
  </si>
  <si>
    <t>滚齿机</t>
  </si>
  <si>
    <t>Y31250</t>
  </si>
  <si>
    <t>Y31350</t>
  </si>
  <si>
    <t>数控镗床</t>
  </si>
  <si>
    <t>TK6111</t>
  </si>
  <si>
    <t>数控立车</t>
  </si>
  <si>
    <t>CK5135</t>
  </si>
  <si>
    <t>数控滚齿机</t>
  </si>
  <si>
    <t>Φ3500</t>
  </si>
  <si>
    <t>立式加工中心</t>
  </si>
  <si>
    <t>2000×800</t>
  </si>
  <si>
    <t>TK6113</t>
  </si>
  <si>
    <t>大型车削中心</t>
  </si>
  <si>
    <t>Φ630</t>
  </si>
  <si>
    <t>数控龙门铣床</t>
  </si>
  <si>
    <t>XK2725×10</t>
  </si>
  <si>
    <t>数控落地镗铣加工中心</t>
  </si>
  <si>
    <t>UNI FORCE 6C-3</t>
  </si>
  <si>
    <t>XK2760×20S</t>
  </si>
  <si>
    <t>CK65100</t>
  </si>
  <si>
    <t>数控重型车床</t>
  </si>
  <si>
    <t>CK61125</t>
  </si>
  <si>
    <t>重型车床</t>
  </si>
  <si>
    <t>C61200</t>
  </si>
  <si>
    <t>感应热处理设备</t>
  </si>
  <si>
    <t>高温台车式电阻炉</t>
  </si>
  <si>
    <t>90KW</t>
  </si>
  <si>
    <t>大功率台车式电阻炉</t>
  </si>
  <si>
    <t>200KW</t>
  </si>
  <si>
    <t>井时电阻炉</t>
  </si>
  <si>
    <t>淬火油槽</t>
  </si>
  <si>
    <t>Q=50t，LK=22.5m，H=12m</t>
  </si>
  <si>
    <r>
      <t>Q=20t，LK=22.5m，H=12m</t>
    </r>
    <r>
      <rPr>
        <sz val="11"/>
        <color indexed="8"/>
        <rFont val="宋体"/>
        <family val="3"/>
        <charset val="134"/>
      </rPr>
      <t/>
    </r>
  </si>
  <si>
    <r>
      <t>Q=100t，LK=28.5m，H=18m</t>
    </r>
    <r>
      <rPr>
        <sz val="11"/>
        <color indexed="8"/>
        <rFont val="宋体"/>
        <family val="3"/>
        <charset val="134"/>
      </rPr>
      <t/>
    </r>
  </si>
  <si>
    <r>
      <t>Q=50t，LK=28.5m，H=18m</t>
    </r>
    <r>
      <rPr>
        <sz val="11"/>
        <color indexed="8"/>
        <rFont val="宋体"/>
        <family val="3"/>
        <charset val="134"/>
      </rPr>
      <t/>
    </r>
  </si>
  <si>
    <r>
      <t>Q=20t，LK=28.5m，H=18m</t>
    </r>
    <r>
      <rPr>
        <sz val="11"/>
        <color indexed="8"/>
        <rFont val="宋体"/>
        <family val="3"/>
        <charset val="134"/>
      </rPr>
      <t/>
    </r>
  </si>
  <si>
    <r>
      <t>Q=75t，LK=22.5m，H=18m</t>
    </r>
    <r>
      <rPr>
        <sz val="11"/>
        <color indexed="8"/>
        <rFont val="宋体"/>
        <family val="3"/>
        <charset val="134"/>
      </rPr>
      <t/>
    </r>
  </si>
  <si>
    <r>
      <t>Q=20t，LK=22.5m，H=18m</t>
    </r>
    <r>
      <rPr>
        <sz val="11"/>
        <color indexed="8"/>
        <rFont val="宋体"/>
        <family val="3"/>
        <charset val="134"/>
      </rPr>
      <t/>
    </r>
  </si>
  <si>
    <r>
      <t>Q=10t，LK=16.5m，H=12m</t>
    </r>
    <r>
      <rPr>
        <sz val="11"/>
        <color indexed="8"/>
        <rFont val="宋体"/>
        <family val="3"/>
        <charset val="134"/>
      </rPr>
      <t/>
    </r>
  </si>
  <si>
    <t>数控落地镗铣床</t>
  </si>
  <si>
    <t>TK6916</t>
  </si>
  <si>
    <t>铣床</t>
  </si>
  <si>
    <t>T6113</t>
  </si>
  <si>
    <t>TK6926</t>
  </si>
  <si>
    <t>C61125</t>
  </si>
  <si>
    <t>中小件加工区（A区）</t>
    <phoneticPr fontId="10" type="noConversion"/>
  </si>
  <si>
    <t>中小件加工区（B区）</t>
    <phoneticPr fontId="10" type="noConversion"/>
  </si>
  <si>
    <t>重型结构加工区（A区）</t>
    <phoneticPr fontId="10" type="noConversion"/>
  </si>
  <si>
    <t>（一）</t>
    <phoneticPr fontId="10" type="noConversion"/>
  </si>
  <si>
    <t>（二）</t>
    <phoneticPr fontId="10" type="noConversion"/>
  </si>
  <si>
    <t>3.10</t>
    <phoneticPr fontId="10" type="noConversion"/>
  </si>
  <si>
    <t>4.10</t>
    <phoneticPr fontId="10" type="noConversion"/>
  </si>
  <si>
    <t>5.11</t>
    <phoneticPr fontId="10" type="noConversion"/>
  </si>
  <si>
    <t>20m3</t>
    <phoneticPr fontId="10" type="noConversion"/>
  </si>
  <si>
    <t>30m3</t>
    <phoneticPr fontId="10" type="noConversion"/>
  </si>
  <si>
    <t xml:space="preserve">宽4m，辊5mm～16mm </t>
    <phoneticPr fontId="10" type="noConversion"/>
  </si>
  <si>
    <t>有效宽度5m，有效长度30m，最大切割厚度50mm</t>
    <phoneticPr fontId="10" type="noConversion"/>
  </si>
  <si>
    <r>
      <t>Gn＝150t/</t>
    </r>
    <r>
      <rPr>
        <sz val="10"/>
        <rFont val="宋体"/>
        <family val="3"/>
        <charset val="134"/>
        <scheme val="minor"/>
      </rPr>
      <t>75t，S=46.5m，H=32m</t>
    </r>
  </si>
  <si>
    <r>
      <t>Gn＝1</t>
    </r>
    <r>
      <rPr>
        <sz val="10"/>
        <rFont val="宋体"/>
        <family val="3"/>
        <charset val="134"/>
        <scheme val="minor"/>
      </rPr>
      <t>00t/20t，S=46.5m，H=32m</t>
    </r>
  </si>
  <si>
    <r>
      <t>Gn＝200t/</t>
    </r>
    <r>
      <rPr>
        <sz val="10"/>
        <rFont val="宋体"/>
        <family val="3"/>
        <charset val="134"/>
        <scheme val="minor"/>
      </rPr>
      <t>100t，S=46.5m，H=49m</t>
    </r>
    <phoneticPr fontId="10" type="noConversion"/>
  </si>
  <si>
    <r>
      <t>Gn＝2</t>
    </r>
    <r>
      <rPr>
        <sz val="10"/>
        <rFont val="宋体"/>
        <family val="3"/>
        <charset val="134"/>
        <scheme val="minor"/>
      </rPr>
      <t>00t/50t，S=46.5m，H=49m</t>
    </r>
    <phoneticPr fontId="10" type="noConversion"/>
  </si>
  <si>
    <t>门座吊</t>
    <phoneticPr fontId="10" type="noConversion"/>
  </si>
  <si>
    <r>
      <t>Gn＝1</t>
    </r>
    <r>
      <rPr>
        <sz val="10"/>
        <rFont val="宋体"/>
        <family val="3"/>
        <charset val="134"/>
        <scheme val="minor"/>
      </rPr>
      <t>00t</t>
    </r>
    <r>
      <rPr>
        <sz val="11"/>
        <color theme="1"/>
        <rFont val="宋体"/>
        <family val="2"/>
        <charset val="134"/>
        <scheme val="minor"/>
      </rPr>
      <t/>
    </r>
    <phoneticPr fontId="10" type="noConversion"/>
  </si>
  <si>
    <t>5000HP</t>
    <phoneticPr fontId="10" type="noConversion"/>
  </si>
  <si>
    <r>
      <rPr>
        <sz val="10"/>
        <rFont val="宋体"/>
        <family val="3"/>
        <charset val="134"/>
        <scheme val="minor"/>
      </rPr>
      <t>趸船</t>
    </r>
    <phoneticPr fontId="10" type="noConversion"/>
  </si>
  <si>
    <t>120m</t>
    <phoneticPr fontId="10" type="noConversion"/>
  </si>
  <si>
    <r>
      <rPr>
        <sz val="10"/>
        <rFont val="宋体"/>
        <family val="3"/>
        <charset val="134"/>
        <scheme val="minor"/>
      </rPr>
      <t>塔式起重机</t>
    </r>
    <phoneticPr fontId="10" type="noConversion"/>
  </si>
  <si>
    <r>
      <t>液压升降装置</t>
    </r>
    <r>
      <rPr>
        <b/>
        <sz val="10"/>
        <color rgb="FFFFFFFF"/>
        <rFont val="Times New Roman"/>
        <family val="1"/>
      </rPr>
      <t xml:space="preserve"> </t>
    </r>
  </si>
  <si>
    <r>
      <t>工装液氧储罐</t>
    </r>
    <r>
      <rPr>
        <b/>
        <sz val="10"/>
        <color rgb="FF000000"/>
        <rFont val="Times New Roman"/>
        <family val="1"/>
      </rPr>
      <t xml:space="preserve"> </t>
    </r>
  </si>
  <si>
    <r>
      <t>隔振元件机械阻抗检测设备</t>
    </r>
    <r>
      <rPr>
        <b/>
        <sz val="10"/>
        <color rgb="FF000000"/>
        <rFont val="Times New Roman"/>
        <family val="1"/>
      </rPr>
      <t xml:space="preserve"> </t>
    </r>
  </si>
  <si>
    <r>
      <t>橡胶减振器蠕变测量设备</t>
    </r>
    <r>
      <rPr>
        <b/>
        <sz val="10"/>
        <color rgb="FF000000"/>
        <rFont val="Times New Roman"/>
        <family val="1"/>
      </rPr>
      <t xml:space="preserve"> </t>
    </r>
  </si>
  <si>
    <r>
      <t>轴系低噪声安装工艺试验台架</t>
    </r>
    <r>
      <rPr>
        <b/>
        <sz val="10"/>
        <color rgb="FF000000"/>
        <rFont val="Times New Roman"/>
        <family val="1"/>
      </rPr>
      <t xml:space="preserve"> </t>
    </r>
  </si>
  <si>
    <r>
      <t>补充建设</t>
    </r>
    <r>
      <rPr>
        <b/>
        <sz val="10"/>
        <color rgb="FF000000"/>
        <rFont val="Times New Roman"/>
        <family val="1"/>
      </rPr>
      <t xml:space="preserve"> </t>
    </r>
  </si>
  <si>
    <r>
      <t>预处理设备</t>
    </r>
    <r>
      <rPr>
        <sz val="10"/>
        <color rgb="FF000000"/>
        <rFont val="Times New Roman"/>
        <family val="1"/>
      </rPr>
      <t xml:space="preserve"> </t>
    </r>
  </si>
  <si>
    <r>
      <t>七星棍床</t>
    </r>
    <r>
      <rPr>
        <sz val="10"/>
        <color rgb="FF000000"/>
        <rFont val="Times New Roman"/>
        <family val="1"/>
      </rPr>
      <t xml:space="preserve"> </t>
    </r>
  </si>
  <si>
    <r>
      <t>十一辊校平机</t>
    </r>
    <r>
      <rPr>
        <sz val="10"/>
        <color rgb="FF000000"/>
        <rFont val="Times New Roman"/>
        <family val="1"/>
      </rPr>
      <t xml:space="preserve"> </t>
    </r>
  </si>
  <si>
    <r>
      <t>数控肋骨冷弯机床</t>
    </r>
    <r>
      <rPr>
        <sz val="10"/>
        <color rgb="FF000000"/>
        <rFont val="Times New Roman"/>
        <family val="1"/>
      </rPr>
      <t xml:space="preserve"> </t>
    </r>
  </si>
  <si>
    <r>
      <t>数控火焰等离子切割机</t>
    </r>
    <r>
      <rPr>
        <sz val="10"/>
        <color rgb="FF000000"/>
        <rFont val="Times New Roman"/>
        <family val="1"/>
      </rPr>
      <t xml:space="preserve"> </t>
    </r>
  </si>
  <si>
    <r>
      <t>活动式液压清洗站</t>
    </r>
    <r>
      <rPr>
        <sz val="10"/>
        <color rgb="FF000000"/>
        <rFont val="Times New Roman"/>
        <family val="1"/>
      </rPr>
      <t xml:space="preserve"> </t>
    </r>
  </si>
  <si>
    <r>
      <t>活动式滑油清洗站</t>
    </r>
    <r>
      <rPr>
        <sz val="10"/>
        <color rgb="FF000000"/>
        <rFont val="Times New Roman"/>
        <family val="1"/>
      </rPr>
      <t xml:space="preserve"> </t>
    </r>
  </si>
  <si>
    <r>
      <t>活动式蒸馏水站</t>
    </r>
    <r>
      <rPr>
        <sz val="10"/>
        <color rgb="FF000000"/>
        <rFont val="Times New Roman"/>
        <family val="1"/>
      </rPr>
      <t xml:space="preserve"> </t>
    </r>
  </si>
  <si>
    <r>
      <t>活动式高压空压站</t>
    </r>
    <r>
      <rPr>
        <sz val="10"/>
        <color rgb="FF000000"/>
        <rFont val="Times New Roman"/>
        <family val="1"/>
      </rPr>
      <t xml:space="preserve"> </t>
    </r>
  </si>
  <si>
    <r>
      <t>活动式充放电站</t>
    </r>
    <r>
      <rPr>
        <sz val="10"/>
        <color rgb="FF000000"/>
        <rFont val="Times New Roman"/>
        <family val="1"/>
      </rPr>
      <t xml:space="preserve"> </t>
    </r>
  </si>
  <si>
    <r>
      <t>管子自动焊接专机</t>
    </r>
    <r>
      <rPr>
        <sz val="10"/>
        <color rgb="FF000000"/>
        <rFont val="Times New Roman"/>
        <family val="1"/>
      </rPr>
      <t xml:space="preserve"> </t>
    </r>
  </si>
  <si>
    <t>合      计</t>
    <phoneticPr fontId="10" type="noConversion"/>
  </si>
  <si>
    <t>7.10</t>
    <phoneticPr fontId="10" type="noConversion"/>
  </si>
  <si>
    <t>7.11</t>
    <phoneticPr fontId="10" type="noConversion"/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</si>
  <si>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</si>
  <si>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</si>
  <si>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</si>
  <si>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</si>
  <si>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</si>
  <si>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</si>
  <si>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</si>
  <si>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</si>
  <si>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</si>
  <si>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</si>
  <si>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</si>
  <si>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</si>
  <si>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</si>
  <si>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8.10</t>
    <phoneticPr fontId="10" type="noConversion"/>
  </si>
  <si>
    <t>8.11</t>
    <phoneticPr fontId="10" type="noConversion"/>
  </si>
  <si>
    <t>8.12</t>
  </si>
  <si>
    <t>8.13</t>
  </si>
  <si>
    <t>8.14</t>
  </si>
  <si>
    <t>Gn＝150t/75t，S=19.5m，H=12m</t>
    <phoneticPr fontId="10" type="noConversion"/>
  </si>
  <si>
    <t>数控弯管机</t>
    <phoneticPr fontId="10" type="noConversion"/>
  </si>
  <si>
    <t>自动焊专机</t>
    <phoneticPr fontId="10" type="noConversion"/>
  </si>
  <si>
    <t>划线平台</t>
    <phoneticPr fontId="10" type="noConversion"/>
  </si>
  <si>
    <t>蓄电池充电设备</t>
    <phoneticPr fontId="10" type="noConversion"/>
  </si>
  <si>
    <t>蓄电池放电设备</t>
    <phoneticPr fontId="10" type="noConversion"/>
  </si>
  <si>
    <t>蒸馏水设备</t>
    <phoneticPr fontId="10" type="noConversion"/>
  </si>
  <si>
    <t>空压机</t>
    <phoneticPr fontId="10" type="noConversion"/>
  </si>
  <si>
    <r>
      <t>2m</t>
    </r>
    <r>
      <rPr>
        <vertAlign val="superscript"/>
        <sz val="10"/>
        <rFont val="宋体"/>
        <family val="3"/>
        <charset val="134"/>
        <scheme val="minor"/>
      </rPr>
      <t>3</t>
    </r>
  </si>
  <si>
    <t>Gn＝50t/10t，S=34.5m，H=12m</t>
    <phoneticPr fontId="10" type="noConversion"/>
  </si>
  <si>
    <t>鱼雷检测平台</t>
    <phoneticPr fontId="10" type="noConversion"/>
  </si>
  <si>
    <t>国产</t>
    <phoneticPr fontId="10" type="noConversion"/>
  </si>
  <si>
    <t>轴系拂配平台</t>
    <phoneticPr fontId="10" type="noConversion"/>
  </si>
  <si>
    <t>国产</t>
    <phoneticPr fontId="10" type="noConversion"/>
  </si>
  <si>
    <t>桥式起重机</t>
    <phoneticPr fontId="10" type="noConversion"/>
  </si>
  <si>
    <t>国产</t>
    <phoneticPr fontId="10" type="noConversion"/>
  </si>
  <si>
    <t>桥式起重机</t>
    <phoneticPr fontId="10" type="noConversion"/>
  </si>
  <si>
    <t>国产</t>
    <phoneticPr fontId="10" type="noConversion"/>
  </si>
  <si>
    <t>管子装配平板</t>
    <phoneticPr fontId="10" type="noConversion"/>
  </si>
  <si>
    <t>数控剪板机</t>
    <phoneticPr fontId="10" type="noConversion"/>
  </si>
  <si>
    <t>电动试压泵</t>
    <phoneticPr fontId="10" type="noConversion"/>
  </si>
  <si>
    <t>三辊卷板机</t>
    <phoneticPr fontId="10" type="noConversion"/>
  </si>
  <si>
    <t>数控板料折弯机</t>
    <phoneticPr fontId="10" type="noConversion"/>
  </si>
  <si>
    <t>国产</t>
    <phoneticPr fontId="10" type="noConversion"/>
  </si>
  <si>
    <t>氩弧焊机</t>
    <phoneticPr fontId="10" type="noConversion"/>
  </si>
  <si>
    <t>国产</t>
    <phoneticPr fontId="10" type="noConversion"/>
  </si>
  <si>
    <t>便携式氩弧焊机</t>
    <phoneticPr fontId="10" type="noConversion"/>
  </si>
  <si>
    <t>国产</t>
    <phoneticPr fontId="10" type="noConversion"/>
  </si>
  <si>
    <t>管子加工平台</t>
    <phoneticPr fontId="10" type="noConversion"/>
  </si>
  <si>
    <t>等离子切割机</t>
    <phoneticPr fontId="10" type="noConversion"/>
  </si>
  <si>
    <t>钻床</t>
    <phoneticPr fontId="10" type="noConversion"/>
  </si>
  <si>
    <t>桥式起重机</t>
    <phoneticPr fontId="10" type="noConversion"/>
  </si>
  <si>
    <t>雕刻机</t>
    <phoneticPr fontId="10" type="noConversion"/>
  </si>
  <si>
    <t>电刨</t>
    <phoneticPr fontId="10" type="noConversion"/>
  </si>
  <si>
    <t>电动角磨砂轮机</t>
    <phoneticPr fontId="10" type="noConversion"/>
  </si>
  <si>
    <t>拉塞子钻头</t>
    <phoneticPr fontId="10" type="noConversion"/>
  </si>
  <si>
    <t>铣塞子铣刀</t>
    <phoneticPr fontId="10" type="noConversion"/>
  </si>
  <si>
    <t>腻子打磨机</t>
    <phoneticPr fontId="10" type="noConversion"/>
  </si>
  <si>
    <t>腻子搅拌机</t>
    <phoneticPr fontId="10" type="noConversion"/>
  </si>
  <si>
    <t>烘房</t>
    <phoneticPr fontId="10" type="noConversion"/>
  </si>
  <si>
    <t>保温箱</t>
    <phoneticPr fontId="10" type="noConversion"/>
  </si>
  <si>
    <t>烘箱</t>
    <phoneticPr fontId="10" type="noConversion"/>
  </si>
  <si>
    <t>防爆空调</t>
    <phoneticPr fontId="10" type="noConversion"/>
  </si>
  <si>
    <t>细木工带锯机</t>
    <phoneticPr fontId="10" type="noConversion"/>
  </si>
  <si>
    <t>吸尘装置</t>
    <phoneticPr fontId="10" type="noConversion"/>
  </si>
  <si>
    <t>消声瓦开槽机</t>
    <phoneticPr fontId="10" type="noConversion"/>
  </si>
  <si>
    <t>摇臂钻</t>
    <phoneticPr fontId="10" type="noConversion"/>
  </si>
  <si>
    <t>消声瓦压紧模具</t>
    <phoneticPr fontId="10" type="noConversion"/>
  </si>
  <si>
    <t>可燃气体在线测爆系统</t>
    <phoneticPr fontId="10" type="noConversion"/>
  </si>
  <si>
    <t>组合式热泵除湿机组</t>
    <phoneticPr fontId="10" type="noConversion"/>
  </si>
  <si>
    <t>全室除尘机组</t>
    <phoneticPr fontId="10" type="noConversion"/>
  </si>
  <si>
    <t>高压无气喷漆泵</t>
    <phoneticPr fontId="10" type="noConversion"/>
  </si>
  <si>
    <t>高压清洗机</t>
    <phoneticPr fontId="10" type="noConversion"/>
  </si>
  <si>
    <t>柔性大门</t>
    <phoneticPr fontId="10" type="noConversion"/>
  </si>
  <si>
    <t>燃油热风机组</t>
    <phoneticPr fontId="10" type="noConversion"/>
  </si>
  <si>
    <t>组合式冷冻除湿机组</t>
    <phoneticPr fontId="10" type="noConversion"/>
  </si>
  <si>
    <t>送风管系</t>
    <phoneticPr fontId="10" type="noConversion"/>
  </si>
  <si>
    <t>排风管系</t>
    <phoneticPr fontId="10" type="noConversion"/>
  </si>
  <si>
    <t>有机废气吸附装置</t>
    <phoneticPr fontId="10" type="noConversion"/>
  </si>
  <si>
    <t>螺柱碰焊机</t>
    <phoneticPr fontId="10" type="noConversion"/>
  </si>
  <si>
    <t>液压升降车</t>
    <phoneticPr fontId="10" type="noConversion"/>
  </si>
  <si>
    <t>总段泵水高压密试泵站</t>
    <phoneticPr fontId="10" type="noConversion"/>
  </si>
  <si>
    <t>全位置自动焊接设备</t>
    <phoneticPr fontId="10" type="noConversion"/>
  </si>
  <si>
    <t>结构件自动焊接生产线</t>
    <phoneticPr fontId="10" type="noConversion"/>
  </si>
  <si>
    <t>Gn＝16t/3.2t，S=34.5m，H=12m</t>
    <phoneticPr fontId="10" type="noConversion"/>
  </si>
  <si>
    <t>Gn＝16t/3.2t，S=28.5m，H=12m</t>
    <phoneticPr fontId="10" type="noConversion"/>
  </si>
  <si>
    <t>Gn＝50t/10t，S=28.5m，H=24m</t>
    <phoneticPr fontId="10" type="noConversion"/>
  </si>
  <si>
    <t>Gn＝75t/20t，S=28.5m，H=24m</t>
    <phoneticPr fontId="10" type="noConversion"/>
  </si>
  <si>
    <t>低压电动平板车</t>
    <phoneticPr fontId="10" type="noConversion"/>
  </si>
  <si>
    <t>国产</t>
    <phoneticPr fontId="10" type="noConversion"/>
  </si>
  <si>
    <t>各类焊机</t>
    <phoneticPr fontId="10" type="noConversion"/>
  </si>
  <si>
    <t>数控万向开孔机</t>
    <phoneticPr fontId="10" type="noConversion"/>
  </si>
  <si>
    <t>X光拍片机</t>
    <phoneticPr fontId="10" type="noConversion"/>
  </si>
  <si>
    <r>
      <t>定向，5</t>
    </r>
    <r>
      <rPr>
        <sz val="10"/>
        <rFont val="宋体"/>
        <family val="3"/>
        <charset val="134"/>
        <scheme val="minor"/>
      </rPr>
      <t>00KV</t>
    </r>
    <phoneticPr fontId="10" type="noConversion"/>
  </si>
  <si>
    <r>
      <t>定向，</t>
    </r>
    <r>
      <rPr>
        <sz val="10"/>
        <rFont val="宋体"/>
        <family val="3"/>
        <charset val="134"/>
        <scheme val="minor"/>
      </rPr>
      <t>350KV</t>
    </r>
    <phoneticPr fontId="10" type="noConversion"/>
  </si>
  <si>
    <r>
      <t>周向，5</t>
    </r>
    <r>
      <rPr>
        <sz val="10"/>
        <rFont val="宋体"/>
        <family val="3"/>
        <charset val="134"/>
        <scheme val="minor"/>
      </rPr>
      <t>00KV</t>
    </r>
    <phoneticPr fontId="10" type="noConversion"/>
  </si>
  <si>
    <r>
      <t>周向，</t>
    </r>
    <r>
      <rPr>
        <sz val="10"/>
        <rFont val="宋体"/>
        <family val="3"/>
        <charset val="134"/>
        <scheme val="minor"/>
      </rPr>
      <t>350KV</t>
    </r>
    <phoneticPr fontId="10" type="noConversion"/>
  </si>
  <si>
    <t>洗片机</t>
    <phoneticPr fontId="10" type="noConversion"/>
  </si>
  <si>
    <t>干片机</t>
    <phoneticPr fontId="10" type="noConversion"/>
  </si>
  <si>
    <t>X射线个人计量仪</t>
    <phoneticPr fontId="10" type="noConversion"/>
  </si>
  <si>
    <t>数控等离子水下切割机</t>
    <phoneticPr fontId="10" type="noConversion"/>
  </si>
  <si>
    <r>
      <rPr>
        <sz val="10"/>
        <color theme="1"/>
        <rFont val="宋体"/>
        <family val="3"/>
        <charset val="134"/>
      </rPr>
      <t>有效切割宽度3000 mm，有效切割长度12000 mm，切割厚度碳钢20mm，不锈钢10mm</t>
    </r>
  </si>
  <si>
    <t>半自动火焰切割机</t>
    <phoneticPr fontId="10" type="noConversion"/>
  </si>
  <si>
    <r>
      <rPr>
        <sz val="10"/>
        <color theme="1"/>
        <rFont val="宋体"/>
        <family val="3"/>
        <charset val="134"/>
      </rPr>
      <t>火焰最大切割厚度：100mm</t>
    </r>
  </si>
  <si>
    <t>数控型材下料切割机</t>
    <phoneticPr fontId="10" type="noConversion"/>
  </si>
  <si>
    <t>数控曲面成型压力机</t>
    <phoneticPr fontId="10" type="noConversion"/>
  </si>
  <si>
    <t>6.11</t>
    <phoneticPr fontId="10" type="noConversion"/>
  </si>
  <si>
    <t>壳板校验平台</t>
    <phoneticPr fontId="10" type="noConversion"/>
  </si>
  <si>
    <t>5.10</t>
    <phoneticPr fontId="10" type="noConversion"/>
  </si>
  <si>
    <t>壳圈装配平台</t>
    <phoneticPr fontId="10" type="noConversion"/>
  </si>
  <si>
    <t>焊缝坡口加工机</t>
    <phoneticPr fontId="10" type="noConversion"/>
  </si>
  <si>
    <t>4.11</t>
    <phoneticPr fontId="10" type="noConversion"/>
  </si>
  <si>
    <t>油压机</t>
    <phoneticPr fontId="10" type="noConversion"/>
  </si>
  <si>
    <t>各类胎架</t>
    <phoneticPr fontId="10" type="noConversion"/>
  </si>
  <si>
    <t>套</t>
    <phoneticPr fontId="10" type="noConversion"/>
  </si>
  <si>
    <t>耐压零部件生产线</t>
    <phoneticPr fontId="10" type="noConversion"/>
  </si>
  <si>
    <t>桥式起重机</t>
    <phoneticPr fontId="10" type="noConversion"/>
  </si>
  <si>
    <t>Gn＝50t/10t，S=34.5m，H=20m</t>
    <phoneticPr fontId="10" type="noConversion"/>
  </si>
  <si>
    <t>Gn＝50t/10t，S=28.5m，H=20m</t>
    <phoneticPr fontId="10" type="noConversion"/>
  </si>
  <si>
    <t>热处理设备（预热炉及后热炉）</t>
    <phoneticPr fontId="10" type="noConversion"/>
  </si>
  <si>
    <t>喉式油压机</t>
    <phoneticPr fontId="10" type="noConversion"/>
  </si>
  <si>
    <t>肋骨自动焊接系统</t>
    <phoneticPr fontId="10" type="noConversion"/>
  </si>
  <si>
    <t>肋骨自动装配胎架</t>
    <phoneticPr fontId="10" type="noConversion"/>
  </si>
  <si>
    <t>肋骨焊接装夹平台</t>
    <phoneticPr fontId="10" type="noConversion"/>
  </si>
  <si>
    <t>3.11</t>
    <phoneticPr fontId="10" type="noConversion"/>
  </si>
  <si>
    <t>低压电动平板车</t>
    <phoneticPr fontId="10" type="noConversion"/>
  </si>
  <si>
    <t>20t</t>
    <phoneticPr fontId="10" type="noConversion"/>
  </si>
  <si>
    <r>
      <t>Gn=20/5t，S=34.5m,H=9m</t>
    </r>
    <r>
      <rPr>
        <sz val="12"/>
        <rFont val="宋体"/>
        <family val="3"/>
        <charset val="134"/>
      </rPr>
      <t/>
    </r>
    <phoneticPr fontId="10" type="noConversion"/>
  </si>
  <si>
    <t>七辊校平机</t>
    <phoneticPr fontId="10" type="noConversion"/>
  </si>
  <si>
    <r>
      <rPr>
        <sz val="10"/>
        <color theme="1"/>
        <rFont val="宋体"/>
        <family val="3"/>
        <charset val="134"/>
      </rPr>
      <t>预处理线</t>
    </r>
  </si>
  <si>
    <r>
      <t>B=4m</t>
    </r>
    <r>
      <rPr>
        <sz val="10"/>
        <color theme="1"/>
        <rFont val="宋体"/>
        <family val="3"/>
        <charset val="134"/>
      </rPr>
      <t>，V=5/3m/min</t>
    </r>
  </si>
  <si>
    <r>
      <t>Gn=20/5t，S=34.5m,H=9m</t>
    </r>
    <r>
      <rPr>
        <sz val="12"/>
        <rFont val="宋体"/>
        <family val="3"/>
        <charset val="134"/>
      </rPr>
      <t/>
    </r>
    <phoneticPr fontId="10" type="noConversion"/>
  </si>
  <si>
    <t>数控铣边机</t>
    <phoneticPr fontId="10" type="noConversion"/>
  </si>
  <si>
    <t>拼板辊平机</t>
    <phoneticPr fontId="10" type="noConversion"/>
  </si>
  <si>
    <t>折弯机</t>
    <phoneticPr fontId="10" type="noConversion"/>
  </si>
  <si>
    <t>剪板机</t>
    <phoneticPr fontId="10" type="noConversion"/>
  </si>
  <si>
    <t>油压机</t>
    <phoneticPr fontId="10" type="noConversion"/>
  </si>
  <si>
    <t>500t</t>
    <phoneticPr fontId="10" type="noConversion"/>
  </si>
  <si>
    <t>桥式起重机</t>
    <phoneticPr fontId="10" type="noConversion"/>
  </si>
  <si>
    <t>Gn＝16t/3.2t，S=28.5m，H=12m</t>
    <phoneticPr fontId="10" type="noConversion"/>
  </si>
  <si>
    <t>各类焊机</t>
    <phoneticPr fontId="10" type="noConversion"/>
  </si>
  <si>
    <t>型材下料生产线</t>
    <phoneticPr fontId="10" type="noConversion"/>
  </si>
  <si>
    <t>平面分段装焊自动生产线</t>
    <phoneticPr fontId="10" type="noConversion"/>
  </si>
  <si>
    <t>套</t>
    <phoneticPr fontId="10" type="noConversion"/>
  </si>
  <si>
    <t>部件装焊生产线</t>
    <phoneticPr fontId="10" type="noConversion"/>
  </si>
  <si>
    <t>套</t>
    <phoneticPr fontId="10" type="noConversion"/>
  </si>
  <si>
    <t>Gn＝16t/3.2t，S=28.5m，H=12m</t>
    <phoneticPr fontId="10" type="noConversion"/>
  </si>
  <si>
    <t>1.17</t>
  </si>
  <si>
    <t>1.18</t>
  </si>
  <si>
    <t>1.19</t>
  </si>
  <si>
    <t>1.20</t>
  </si>
  <si>
    <t>1.21</t>
  </si>
  <si>
    <t>1.22</t>
  </si>
  <si>
    <t>2.11</t>
    <phoneticPr fontId="10" type="noConversion"/>
  </si>
  <si>
    <t>2.16</t>
  </si>
  <si>
    <t>2.17</t>
  </si>
  <si>
    <t>2.18</t>
  </si>
  <si>
    <t>2.19</t>
  </si>
  <si>
    <t>2.20</t>
  </si>
  <si>
    <t>2.21</t>
  </si>
  <si>
    <t>半门式起重机</t>
    <phoneticPr fontId="10" type="noConversion"/>
  </si>
  <si>
    <t>起重设备</t>
    <phoneticPr fontId="10" type="noConversion"/>
  </si>
  <si>
    <r>
      <rPr>
        <sz val="10"/>
        <rFont val="宋体"/>
        <family val="3"/>
        <charset val="134"/>
        <scheme val="minor"/>
      </rPr>
      <t>悬臂塔吊</t>
    </r>
    <phoneticPr fontId="10" type="noConversion"/>
  </si>
  <si>
    <r>
      <rPr>
        <sz val="10"/>
        <rFont val="宋体"/>
        <family val="3"/>
        <charset val="134"/>
        <scheme val="minor"/>
      </rPr>
      <t>起重能力5t，工作范围Φ60m</t>
    </r>
  </si>
  <si>
    <r>
      <rPr>
        <sz val="10"/>
        <rFont val="宋体"/>
        <family val="3"/>
        <charset val="134"/>
        <scheme val="minor"/>
      </rPr>
      <t>汽车吊</t>
    </r>
    <phoneticPr fontId="10" type="noConversion"/>
  </si>
  <si>
    <r>
      <rPr>
        <sz val="10"/>
        <rFont val="宋体"/>
        <family val="3"/>
        <charset val="134"/>
        <scheme val="minor"/>
      </rPr>
      <t>起重能力50t</t>
    </r>
  </si>
  <si>
    <r>
      <rPr>
        <sz val="10"/>
        <rFont val="宋体"/>
        <family val="3"/>
        <charset val="134"/>
        <scheme val="minor"/>
      </rPr>
      <t>汽车</t>
    </r>
    <phoneticPr fontId="10" type="noConversion"/>
  </si>
  <si>
    <r>
      <rPr>
        <sz val="10"/>
        <rFont val="宋体"/>
        <family val="3"/>
        <charset val="134"/>
        <scheme val="minor"/>
      </rPr>
      <t>叉车</t>
    </r>
    <phoneticPr fontId="10" type="noConversion"/>
  </si>
  <si>
    <r>
      <rPr>
        <sz val="10"/>
        <rFont val="宋体"/>
        <family val="3"/>
        <charset val="134"/>
        <scheme val="minor"/>
      </rPr>
      <t>行走式轮胎吊</t>
    </r>
    <phoneticPr fontId="10" type="noConversion"/>
  </si>
  <si>
    <t>分体式组合除湿机组</t>
    <phoneticPr fontId="10" type="noConversion"/>
  </si>
  <si>
    <t>温湿度检测系统</t>
    <phoneticPr fontId="10" type="noConversion"/>
  </si>
  <si>
    <t>有机废气检测系统</t>
    <phoneticPr fontId="10" type="noConversion"/>
  </si>
  <si>
    <t>天然气加热箱</t>
    <phoneticPr fontId="10" type="noConversion"/>
  </si>
  <si>
    <t>强电控制系统</t>
    <phoneticPr fontId="10" type="noConversion"/>
  </si>
  <si>
    <t>集中控制系统</t>
    <phoneticPr fontId="10" type="noConversion"/>
  </si>
  <si>
    <t>动力管道及安装附件</t>
    <phoneticPr fontId="10" type="noConversion"/>
  </si>
  <si>
    <t>柔性大门</t>
    <phoneticPr fontId="10" type="noConversion"/>
  </si>
  <si>
    <t>扫砂车</t>
    <phoneticPr fontId="10" type="noConversion"/>
  </si>
  <si>
    <t>高压无气喷涂机</t>
    <phoneticPr fontId="10" type="noConversion"/>
  </si>
  <si>
    <t>高空作业车</t>
    <phoneticPr fontId="10" type="noConversion"/>
  </si>
  <si>
    <t>柔强辐射加热系统</t>
    <phoneticPr fontId="10" type="noConversion"/>
  </si>
  <si>
    <t>分体式真空吸砂机</t>
    <phoneticPr fontId="10" type="noConversion"/>
  </si>
  <si>
    <t>全室除尘器</t>
    <phoneticPr fontId="10" type="noConversion"/>
  </si>
  <si>
    <t>全室除尘风机</t>
    <phoneticPr fontId="10" type="noConversion"/>
  </si>
  <si>
    <t>局部除尘器</t>
    <phoneticPr fontId="10" type="noConversion"/>
  </si>
  <si>
    <t>局部除尘风机</t>
    <phoneticPr fontId="10" type="noConversion"/>
  </si>
  <si>
    <t>皮带输送机</t>
    <phoneticPr fontId="10" type="noConversion"/>
  </si>
  <si>
    <t>磨料分离器</t>
    <phoneticPr fontId="10" type="noConversion"/>
  </si>
  <si>
    <t>螺旋输送机</t>
    <phoneticPr fontId="10" type="noConversion"/>
  </si>
  <si>
    <t>斗提机</t>
    <phoneticPr fontId="10" type="noConversion"/>
  </si>
  <si>
    <t>分体式组合除湿机组</t>
    <phoneticPr fontId="10" type="noConversion"/>
  </si>
  <si>
    <t>温湿度检测系统</t>
    <phoneticPr fontId="10" type="noConversion"/>
  </si>
  <si>
    <t>强电控制系统</t>
    <phoneticPr fontId="10" type="noConversion"/>
  </si>
  <si>
    <t>集中控制系统</t>
    <phoneticPr fontId="10" type="noConversion"/>
  </si>
  <si>
    <t>Gn＝100t/20t+50t，S=46.5m，H=24m</t>
    <phoneticPr fontId="10" type="noConversion"/>
  </si>
  <si>
    <t>桥式起重机</t>
    <phoneticPr fontId="10" type="noConversion"/>
  </si>
  <si>
    <t>Gn＝50t/10t，S=46.5m，H=24m</t>
    <phoneticPr fontId="10" type="noConversion"/>
  </si>
  <si>
    <r>
      <t>Φ250</t>
    </r>
    <r>
      <rPr>
        <sz val="10"/>
        <color indexed="8"/>
        <rFont val="宋体"/>
        <family val="3"/>
        <charset val="134"/>
      </rPr>
      <t>标准带锯床</t>
    </r>
  </si>
  <si>
    <r>
      <rPr>
        <sz val="10"/>
        <color indexed="8"/>
        <rFont val="宋体"/>
        <family val="3"/>
        <charset val="134"/>
      </rPr>
      <t>切断范围：</t>
    </r>
    <r>
      <rPr>
        <sz val="10"/>
        <color indexed="8"/>
        <rFont val="Times New Roman"/>
        <family val="1"/>
      </rPr>
      <t>Φ250</t>
    </r>
  </si>
  <si>
    <r>
      <rPr>
        <sz val="10"/>
        <color indexed="8"/>
        <rFont val="宋体"/>
        <family val="3"/>
        <charset val="134"/>
      </rPr>
      <t>国产</t>
    </r>
  </si>
  <si>
    <r>
      <rPr>
        <sz val="10"/>
        <color indexed="8"/>
        <rFont val="宋体"/>
        <family val="3"/>
        <charset val="134"/>
      </rPr>
      <t>台</t>
    </r>
  </si>
  <si>
    <r>
      <rPr>
        <sz val="10"/>
        <color indexed="8"/>
        <rFont val="宋体"/>
        <family val="3"/>
        <charset val="134"/>
      </rPr>
      <t>带锯床进料辊（二）</t>
    </r>
  </si>
  <si>
    <r>
      <rPr>
        <sz val="10"/>
        <color indexed="8"/>
        <rFont val="宋体"/>
        <family val="3"/>
        <charset val="134"/>
      </rPr>
      <t>进料端辊道≥</t>
    </r>
    <r>
      <rPr>
        <sz val="10"/>
        <color indexed="8"/>
        <rFont val="Times New Roman"/>
        <family val="1"/>
      </rPr>
      <t>6000mm,</t>
    </r>
    <r>
      <rPr>
        <sz val="10"/>
        <color indexed="8"/>
        <rFont val="宋体"/>
        <family val="3"/>
        <charset val="134"/>
      </rPr>
      <t>出料端辊≥</t>
    </r>
    <r>
      <rPr>
        <sz val="10"/>
        <color indexed="8"/>
        <rFont val="Times New Roman"/>
        <family val="1"/>
      </rPr>
      <t>3000mm,</t>
    </r>
    <r>
      <rPr>
        <sz val="10"/>
        <color indexed="8"/>
        <rFont val="宋体"/>
        <family val="3"/>
        <charset val="134"/>
      </rPr>
      <t>辊道宽度≥</t>
    </r>
    <r>
      <rPr>
        <sz val="10"/>
        <color indexed="8"/>
        <rFont val="Times New Roman"/>
        <family val="1"/>
      </rPr>
      <t>600mm</t>
    </r>
  </si>
  <si>
    <r>
      <t>Φ300</t>
    </r>
    <r>
      <rPr>
        <sz val="10"/>
        <color indexed="8"/>
        <rFont val="宋体"/>
        <family val="3"/>
        <charset val="134"/>
      </rPr>
      <t>锯床</t>
    </r>
  </si>
  <si>
    <r>
      <t>Φ273</t>
    </r>
    <r>
      <rPr>
        <sz val="10"/>
        <color indexed="8"/>
        <rFont val="宋体"/>
        <family val="3"/>
        <charset val="134"/>
      </rPr>
      <t>坡口机</t>
    </r>
  </si>
  <si>
    <r>
      <rPr>
        <sz val="10"/>
        <color indexed="8"/>
        <rFont val="宋体"/>
        <family val="3"/>
        <charset val="134"/>
      </rPr>
      <t>最大切管径</t>
    </r>
    <r>
      <rPr>
        <sz val="10"/>
        <color indexed="8"/>
        <rFont val="Times New Roman"/>
        <family val="1"/>
      </rPr>
      <t>Φ273mm;</t>
    </r>
    <r>
      <rPr>
        <sz val="10"/>
        <color indexed="8"/>
        <rFont val="宋体"/>
        <family val="3"/>
        <charset val="134"/>
      </rPr>
      <t>最大壁厚</t>
    </r>
    <r>
      <rPr>
        <sz val="10"/>
        <color indexed="8"/>
        <rFont val="Times New Roman"/>
        <family val="1"/>
      </rPr>
      <t>12mm</t>
    </r>
  </si>
  <si>
    <r>
      <t>Φ325</t>
    </r>
    <r>
      <rPr>
        <sz val="10"/>
        <color indexed="8"/>
        <rFont val="宋体"/>
        <family val="3"/>
        <charset val="134"/>
      </rPr>
      <t>大中频弯管机（含不锈钢冷却水箱）</t>
    </r>
  </si>
  <si>
    <r>
      <rPr>
        <sz val="10"/>
        <color indexed="8"/>
        <rFont val="宋体"/>
        <family val="3"/>
        <charset val="134"/>
      </rPr>
      <t>最大弯管径</t>
    </r>
    <r>
      <rPr>
        <sz val="10"/>
        <color indexed="8"/>
        <rFont val="Times New Roman"/>
        <family val="1"/>
      </rPr>
      <t>Φ325mm</t>
    </r>
  </si>
  <si>
    <r>
      <t>Φ1000</t>
    </r>
    <r>
      <rPr>
        <sz val="10"/>
        <color indexed="8"/>
        <rFont val="宋体"/>
        <family val="3"/>
        <charset val="134"/>
      </rPr>
      <t>相贯线切割机</t>
    </r>
  </si>
  <si>
    <r>
      <rPr>
        <sz val="10"/>
        <color indexed="8"/>
        <rFont val="宋体"/>
        <family val="3"/>
        <charset val="134"/>
      </rPr>
      <t>切管直径</t>
    </r>
    <r>
      <rPr>
        <sz val="10"/>
        <color indexed="8"/>
        <rFont val="Times New Roman"/>
        <family val="1"/>
      </rPr>
      <t>Φ100-Φ1000 mm</t>
    </r>
    <r>
      <rPr>
        <sz val="10"/>
        <color indexed="8"/>
        <rFont val="宋体"/>
        <family val="3"/>
        <charset val="134"/>
      </rPr>
      <t>；长度</t>
    </r>
    <r>
      <rPr>
        <sz val="10"/>
        <color indexed="8"/>
        <rFont val="Times New Roman"/>
        <family val="1"/>
      </rPr>
      <t>12m</t>
    </r>
  </si>
  <si>
    <r>
      <rPr>
        <sz val="10"/>
        <color indexed="8"/>
        <rFont val="宋体"/>
        <family val="3"/>
        <charset val="134"/>
      </rPr>
      <t>弯管余料划线检查切割平台</t>
    </r>
  </si>
  <si>
    <r>
      <rPr>
        <sz val="10"/>
        <color indexed="8"/>
        <rFont val="宋体"/>
        <family val="3"/>
        <charset val="134"/>
      </rPr>
      <t>校管平台</t>
    </r>
  </si>
  <si>
    <r>
      <rPr>
        <sz val="10"/>
        <color indexed="8"/>
        <rFont val="宋体"/>
        <family val="3"/>
        <charset val="134"/>
      </rPr>
      <t>变位焊接转台</t>
    </r>
  </si>
  <si>
    <r>
      <rPr>
        <sz val="10"/>
        <color indexed="8"/>
        <rFont val="宋体"/>
        <family val="3"/>
        <charset val="134"/>
      </rPr>
      <t>额定载荷：</t>
    </r>
    <r>
      <rPr>
        <sz val="10"/>
        <color indexed="8"/>
        <rFont val="Times New Roman"/>
        <family val="1"/>
      </rPr>
      <t>100Kg</t>
    </r>
    <r>
      <rPr>
        <sz val="10"/>
        <color indexed="8"/>
        <rFont val="宋体"/>
        <family val="3"/>
        <charset val="134"/>
      </rPr>
      <t>；回转速度：</t>
    </r>
    <r>
      <rPr>
        <sz val="10"/>
        <color indexed="8"/>
        <rFont val="Times New Roman"/>
        <family val="1"/>
      </rPr>
      <t>0.35-3.5rpm</t>
    </r>
  </si>
  <si>
    <t>1.10</t>
    <phoneticPr fontId="10" type="noConversion"/>
  </si>
  <si>
    <r>
      <t>100Kg</t>
    </r>
    <r>
      <rPr>
        <sz val="10"/>
        <color indexed="8"/>
        <rFont val="宋体"/>
        <family val="3"/>
        <charset val="134"/>
      </rPr>
      <t>倾翻式变位机</t>
    </r>
  </si>
  <si>
    <r>
      <rPr>
        <sz val="10"/>
        <color indexed="8"/>
        <rFont val="宋体"/>
        <family val="3"/>
        <charset val="134"/>
      </rPr>
      <t>额定载荷：</t>
    </r>
    <r>
      <rPr>
        <sz val="10"/>
        <color indexed="8"/>
        <rFont val="Times New Roman"/>
        <family val="1"/>
      </rPr>
      <t>100Kg</t>
    </r>
    <r>
      <rPr>
        <sz val="10"/>
        <color indexed="8"/>
        <rFont val="宋体"/>
        <family val="3"/>
        <charset val="134"/>
      </rPr>
      <t>；回转速度：</t>
    </r>
    <r>
      <rPr>
        <sz val="10"/>
        <color indexed="8"/>
        <rFont val="Times New Roman"/>
        <family val="1"/>
      </rPr>
      <t>0.35-3.5rpm</t>
    </r>
    <r>
      <rPr>
        <sz val="10"/>
        <color indexed="8"/>
        <rFont val="宋体"/>
        <family val="3"/>
        <charset val="134"/>
      </rPr>
      <t>；翻转角度：</t>
    </r>
    <r>
      <rPr>
        <sz val="10"/>
        <color indexed="8"/>
        <rFont val="Times New Roman"/>
        <family val="1"/>
      </rPr>
      <t>0-90°</t>
    </r>
  </si>
  <si>
    <t>1.11</t>
    <phoneticPr fontId="10" type="noConversion"/>
  </si>
  <si>
    <t>压辊式管子焊接变位机（大管径）</t>
    <phoneticPr fontId="10" type="noConversion"/>
  </si>
  <si>
    <r>
      <rPr>
        <sz val="10"/>
        <color indexed="8"/>
        <rFont val="宋体"/>
        <family val="3"/>
        <charset val="134"/>
      </rPr>
      <t>适用焊丝直径：</t>
    </r>
    <r>
      <rPr>
        <sz val="10"/>
        <color indexed="8"/>
        <rFont val="Times New Roman"/>
        <family val="1"/>
      </rPr>
      <t>Φ1.0mm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Times New Roman"/>
        <family val="1"/>
      </rPr>
      <t>Φ1.2mm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Times New Roman"/>
        <family val="1"/>
      </rPr>
      <t xml:space="preserve"> </t>
    </r>
    <r>
      <rPr>
        <sz val="10"/>
        <color indexed="8"/>
        <rFont val="宋体"/>
        <family val="3"/>
        <charset val="134"/>
      </rPr>
      <t>焊接电源：焊接额定电流：</t>
    </r>
    <r>
      <rPr>
        <sz val="10"/>
        <color indexed="8"/>
        <rFont val="Times New Roman"/>
        <family val="1"/>
      </rPr>
      <t>500A</t>
    </r>
    <r>
      <rPr>
        <sz val="10"/>
        <color indexed="8"/>
        <rFont val="宋体"/>
        <family val="3"/>
        <charset val="134"/>
      </rPr>
      <t>，焊接电源暂载率：</t>
    </r>
    <r>
      <rPr>
        <sz val="10"/>
        <color indexed="8"/>
        <rFont val="Times New Roman"/>
        <family val="1"/>
      </rPr>
      <t>60%</t>
    </r>
    <r>
      <rPr>
        <sz val="10"/>
        <color indexed="8"/>
        <rFont val="宋体"/>
        <family val="3"/>
        <charset val="134"/>
      </rPr>
      <t>；操作机旋转：旋转角度</t>
    </r>
    <r>
      <rPr>
        <sz val="10"/>
        <color indexed="8"/>
        <rFont val="Times New Roman"/>
        <family val="1"/>
      </rPr>
      <t>±180°</t>
    </r>
    <r>
      <rPr>
        <sz val="10"/>
        <color indexed="8"/>
        <rFont val="宋体"/>
        <family val="3"/>
        <charset val="134"/>
      </rPr>
      <t>，轨道行程</t>
    </r>
    <r>
      <rPr>
        <sz val="10"/>
        <color indexed="8"/>
        <rFont val="Times New Roman"/>
        <family val="1"/>
      </rPr>
      <t>4m</t>
    </r>
    <r>
      <rPr>
        <sz val="10"/>
        <color indexed="8"/>
        <rFont val="宋体"/>
        <family val="3"/>
        <charset val="134"/>
      </rPr>
      <t>；</t>
    </r>
  </si>
  <si>
    <r>
      <rPr>
        <sz val="10"/>
        <color indexed="8"/>
        <rFont val="宋体"/>
        <family val="3"/>
        <charset val="134"/>
      </rPr>
      <t>压紧滚轮架及托架（大管径）</t>
    </r>
  </si>
  <si>
    <r>
      <t xml:space="preserve"> </t>
    </r>
    <r>
      <rPr>
        <sz val="10"/>
        <color indexed="8"/>
        <rFont val="宋体"/>
        <family val="3"/>
        <charset val="134"/>
      </rPr>
      <t>最大载荷：</t>
    </r>
    <r>
      <rPr>
        <sz val="10"/>
        <color indexed="8"/>
        <rFont val="Times New Roman"/>
        <family val="1"/>
      </rPr>
      <t>300Kg</t>
    </r>
    <r>
      <rPr>
        <sz val="10"/>
        <color indexed="8"/>
        <rFont val="宋体"/>
        <family val="3"/>
        <charset val="134"/>
      </rPr>
      <t>；压辊升降行程：＞</t>
    </r>
    <r>
      <rPr>
        <sz val="10"/>
        <color indexed="8"/>
        <rFont val="Times New Roman"/>
        <family val="1"/>
      </rPr>
      <t>600mm</t>
    </r>
    <r>
      <rPr>
        <sz val="10"/>
        <color indexed="8"/>
        <rFont val="宋体"/>
        <family val="3"/>
        <charset val="134"/>
      </rPr>
      <t>；托辊线速度：</t>
    </r>
    <r>
      <rPr>
        <sz val="10"/>
        <color indexed="8"/>
        <rFont val="Times New Roman"/>
        <family val="1"/>
      </rPr>
      <t>100-1000mm/min</t>
    </r>
  </si>
  <si>
    <r>
      <rPr>
        <sz val="10"/>
        <color indexed="8"/>
        <rFont val="宋体"/>
        <family val="3"/>
        <charset val="134"/>
      </rPr>
      <t>套</t>
    </r>
  </si>
  <si>
    <r>
      <rPr>
        <sz val="10"/>
        <color indexed="8"/>
        <rFont val="宋体"/>
        <family val="3"/>
        <charset val="134"/>
      </rPr>
      <t>管法兰变位自动焊接专机（大管径）</t>
    </r>
  </si>
  <si>
    <r>
      <rPr>
        <sz val="10"/>
        <color indexed="8"/>
        <rFont val="宋体"/>
        <family val="3"/>
        <charset val="134"/>
      </rPr>
      <t>适用焊丝直径：</t>
    </r>
    <r>
      <rPr>
        <sz val="10"/>
        <color indexed="8"/>
        <rFont val="Times New Roman"/>
        <family val="1"/>
      </rPr>
      <t>Φ1.0mm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Times New Roman"/>
        <family val="1"/>
      </rPr>
      <t>Φ1.2mm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Times New Roman"/>
        <family val="1"/>
      </rPr>
      <t xml:space="preserve"> </t>
    </r>
    <r>
      <rPr>
        <sz val="10"/>
        <color indexed="8"/>
        <rFont val="宋体"/>
        <family val="3"/>
        <charset val="134"/>
      </rPr>
      <t>焊接电源：焊接额定电流：</t>
    </r>
    <r>
      <rPr>
        <sz val="10"/>
        <color indexed="8"/>
        <rFont val="Times New Roman"/>
        <family val="1"/>
      </rPr>
      <t>400A</t>
    </r>
    <r>
      <rPr>
        <sz val="10"/>
        <color indexed="8"/>
        <rFont val="宋体"/>
        <family val="3"/>
        <charset val="134"/>
      </rPr>
      <t>，焊接电源暂载率：</t>
    </r>
    <r>
      <rPr>
        <sz val="10"/>
        <color indexed="8"/>
        <rFont val="Times New Roman"/>
        <family val="1"/>
      </rPr>
      <t>60%</t>
    </r>
    <r>
      <rPr>
        <sz val="10"/>
        <color indexed="8"/>
        <rFont val="宋体"/>
        <family val="3"/>
        <charset val="134"/>
      </rPr>
      <t>；翻转角度：</t>
    </r>
    <r>
      <rPr>
        <sz val="10"/>
        <color indexed="8"/>
        <rFont val="Times New Roman"/>
        <family val="1"/>
      </rPr>
      <t>±90°</t>
    </r>
    <r>
      <rPr>
        <sz val="10"/>
        <color indexed="8"/>
        <rFont val="宋体"/>
        <family val="3"/>
        <charset val="134"/>
      </rPr>
      <t>；适应管径：</t>
    </r>
    <r>
      <rPr>
        <sz val="10"/>
        <color indexed="8"/>
        <rFont val="Times New Roman"/>
        <family val="1"/>
      </rPr>
      <t>Φ140-Φ325mm</t>
    </r>
  </si>
  <si>
    <r>
      <rPr>
        <sz val="10"/>
        <color indexed="8"/>
        <rFont val="宋体"/>
        <family val="3"/>
        <charset val="134"/>
      </rPr>
      <t>压辊式变位焊接专机（大管径）</t>
    </r>
  </si>
  <si>
    <r>
      <rPr>
        <sz val="10"/>
        <color indexed="8"/>
        <rFont val="宋体"/>
        <family val="3"/>
        <charset val="134"/>
      </rPr>
      <t>最大载荷：</t>
    </r>
    <r>
      <rPr>
        <sz val="10"/>
        <color indexed="8"/>
        <rFont val="Times New Roman"/>
        <family val="1"/>
      </rPr>
      <t>300Kg</t>
    </r>
    <r>
      <rPr>
        <sz val="10"/>
        <color indexed="8"/>
        <rFont val="宋体"/>
        <family val="3"/>
        <charset val="134"/>
      </rPr>
      <t>；托辊线速度：</t>
    </r>
    <r>
      <rPr>
        <sz val="10"/>
        <color indexed="8"/>
        <rFont val="Times New Roman"/>
        <family val="1"/>
      </rPr>
      <t>100-1000mm/min</t>
    </r>
  </si>
  <si>
    <r>
      <rPr>
        <sz val="10"/>
        <color indexed="8"/>
        <rFont val="宋体"/>
        <family val="3"/>
        <charset val="134"/>
      </rPr>
      <t>两工位电动立体管子装配专机</t>
    </r>
  </si>
  <si>
    <r>
      <t>Φ114mm</t>
    </r>
    <r>
      <rPr>
        <sz val="10"/>
        <color indexed="8"/>
        <rFont val="宋体"/>
        <family val="3"/>
        <charset val="134"/>
      </rPr>
      <t>≤管件直径≤</t>
    </r>
    <r>
      <rPr>
        <sz val="10"/>
        <color indexed="8"/>
        <rFont val="Times New Roman"/>
        <family val="1"/>
      </rPr>
      <t>Φ273mm</t>
    </r>
  </si>
  <si>
    <r>
      <rPr>
        <sz val="10"/>
        <color indexed="8"/>
        <rFont val="宋体"/>
        <family val="3"/>
        <charset val="134"/>
      </rPr>
      <t>管材临时存放料架</t>
    </r>
  </si>
  <si>
    <r>
      <rPr>
        <sz val="10"/>
        <color indexed="8"/>
        <rFont val="宋体"/>
        <family val="3"/>
        <charset val="134"/>
      </rPr>
      <t>集配箱</t>
    </r>
  </si>
  <si>
    <r>
      <rPr>
        <sz val="10"/>
        <color indexed="8"/>
        <rFont val="宋体"/>
        <family val="3"/>
        <charset val="134"/>
      </rPr>
      <t>逆变</t>
    </r>
    <r>
      <rPr>
        <sz val="10"/>
        <color indexed="8"/>
        <rFont val="Times New Roman"/>
        <family val="1"/>
      </rPr>
      <t>CO2</t>
    </r>
    <r>
      <rPr>
        <sz val="10"/>
        <color indexed="8"/>
        <rFont val="宋体"/>
        <family val="3"/>
        <charset val="134"/>
      </rPr>
      <t>气体保护焊机（</t>
    </r>
    <r>
      <rPr>
        <sz val="10"/>
        <color indexed="8"/>
        <rFont val="Times New Roman"/>
        <family val="1"/>
      </rPr>
      <t>400A</t>
    </r>
    <r>
      <rPr>
        <sz val="10"/>
        <color indexed="8"/>
        <rFont val="宋体"/>
        <family val="3"/>
        <charset val="134"/>
      </rPr>
      <t>）</t>
    </r>
  </si>
  <si>
    <r>
      <t>3</t>
    </r>
    <r>
      <rPr>
        <sz val="10"/>
        <color indexed="8"/>
        <rFont val="宋体"/>
        <family val="3"/>
        <charset val="134"/>
      </rPr>
      <t>相</t>
    </r>
    <r>
      <rPr>
        <sz val="10"/>
        <color indexed="8"/>
        <rFont val="Times New Roman"/>
        <family val="1"/>
      </rPr>
      <t>/380V/50Hz</t>
    </r>
  </si>
  <si>
    <r>
      <t xml:space="preserve">300A </t>
    </r>
    <r>
      <rPr>
        <sz val="10"/>
        <color indexed="8"/>
        <rFont val="宋体"/>
        <family val="3"/>
        <charset val="134"/>
      </rPr>
      <t>氩弧焊机（水冷）</t>
    </r>
  </si>
  <si>
    <r>
      <rPr>
        <sz val="10"/>
        <color indexed="8"/>
        <rFont val="宋体"/>
        <family val="3"/>
        <charset val="134"/>
      </rPr>
      <t>焊接方式：</t>
    </r>
    <r>
      <rPr>
        <sz val="10"/>
        <color indexed="8"/>
        <rFont val="Times New Roman"/>
        <family val="1"/>
      </rPr>
      <t>MMA/TIG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宋体"/>
        <family val="3"/>
        <charset val="134"/>
      </rPr>
      <t>相</t>
    </r>
    <r>
      <rPr>
        <sz val="10"/>
        <color indexed="8"/>
        <rFont val="Times New Roman"/>
        <family val="1"/>
      </rPr>
      <t>/380V/50Hz</t>
    </r>
  </si>
  <si>
    <r>
      <t xml:space="preserve">500A </t>
    </r>
    <r>
      <rPr>
        <sz val="10"/>
        <color indexed="8"/>
        <rFont val="宋体"/>
        <family val="3"/>
        <charset val="134"/>
      </rPr>
      <t>氩弧焊机（水冷）</t>
    </r>
  </si>
  <si>
    <r>
      <t>3×400A</t>
    </r>
    <r>
      <rPr>
        <sz val="10"/>
        <color indexed="8"/>
        <rFont val="宋体"/>
        <family val="3"/>
        <charset val="134"/>
      </rPr>
      <t>多头焊机</t>
    </r>
  </si>
  <si>
    <r>
      <rPr>
        <sz val="10"/>
        <color indexed="8"/>
        <rFont val="宋体"/>
        <family val="3"/>
        <charset val="134"/>
      </rPr>
      <t>焊接方式：手工焊；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宋体"/>
        <family val="3"/>
        <charset val="134"/>
      </rPr>
      <t>相</t>
    </r>
    <r>
      <rPr>
        <sz val="10"/>
        <color indexed="8"/>
        <rFont val="Times New Roman"/>
        <family val="1"/>
      </rPr>
      <t>/380V/50Hz</t>
    </r>
  </si>
  <si>
    <r>
      <rPr>
        <sz val="10"/>
        <color indexed="8"/>
        <rFont val="宋体"/>
        <family val="3"/>
        <charset val="134"/>
      </rPr>
      <t>吸尘平台</t>
    </r>
  </si>
  <si>
    <r>
      <rPr>
        <sz val="10"/>
        <color indexed="8"/>
        <rFont val="宋体"/>
        <family val="3"/>
        <charset val="134"/>
      </rPr>
      <t>定长切割坡口一体机（</t>
    </r>
    <r>
      <rPr>
        <sz val="10"/>
        <color indexed="8"/>
        <rFont val="Times New Roman"/>
        <family val="1"/>
      </rPr>
      <t>28m</t>
    </r>
    <r>
      <rPr>
        <sz val="10"/>
        <color indexed="8"/>
        <rFont val="宋体"/>
        <family val="3"/>
        <charset val="134"/>
      </rPr>
      <t>）</t>
    </r>
  </si>
  <si>
    <r>
      <rPr>
        <sz val="10"/>
        <color indexed="8"/>
        <rFont val="宋体"/>
        <family val="3"/>
        <charset val="134"/>
      </rPr>
      <t>适应管径：</t>
    </r>
    <r>
      <rPr>
        <sz val="10"/>
        <color indexed="8"/>
        <rFont val="Times New Roman"/>
        <family val="1"/>
      </rPr>
      <t>Φ60mm-Φ219mm</t>
    </r>
  </si>
  <si>
    <r>
      <t>Φ114</t>
    </r>
    <r>
      <rPr>
        <sz val="10"/>
        <color indexed="8"/>
        <rFont val="宋体"/>
        <family val="3"/>
        <charset val="134"/>
      </rPr>
      <t>数控弯管机</t>
    </r>
  </si>
  <si>
    <r>
      <rPr>
        <sz val="10"/>
        <color indexed="8"/>
        <rFont val="宋体"/>
        <family val="3"/>
        <charset val="134"/>
      </rPr>
      <t>最大弯管径</t>
    </r>
    <r>
      <rPr>
        <sz val="10"/>
        <color indexed="8"/>
        <rFont val="Times New Roman"/>
        <family val="1"/>
      </rPr>
      <t>Φ114mm</t>
    </r>
  </si>
  <si>
    <r>
      <t>Φ76</t>
    </r>
    <r>
      <rPr>
        <sz val="10"/>
        <color indexed="8"/>
        <rFont val="宋体"/>
        <family val="3"/>
        <charset val="134"/>
      </rPr>
      <t>数控弯管机（双层模）</t>
    </r>
  </si>
  <si>
    <r>
      <rPr>
        <sz val="10"/>
        <color indexed="8"/>
        <rFont val="宋体"/>
        <family val="3"/>
        <charset val="134"/>
      </rPr>
      <t>最大弯管径</t>
    </r>
    <r>
      <rPr>
        <sz val="10"/>
        <color indexed="8"/>
        <rFont val="Times New Roman"/>
        <family val="1"/>
      </rPr>
      <t>Φ76mm</t>
    </r>
  </si>
  <si>
    <r>
      <t>Φ400</t>
    </r>
    <r>
      <rPr>
        <sz val="10"/>
        <color indexed="8"/>
        <rFont val="宋体"/>
        <family val="3"/>
        <charset val="134"/>
      </rPr>
      <t>相贯线切割机</t>
    </r>
  </si>
  <si>
    <r>
      <rPr>
        <sz val="10"/>
        <color indexed="8"/>
        <rFont val="宋体"/>
        <family val="3"/>
        <charset val="134"/>
      </rPr>
      <t>切管直径</t>
    </r>
    <r>
      <rPr>
        <sz val="10"/>
        <color indexed="8"/>
        <rFont val="Times New Roman"/>
        <family val="1"/>
      </rPr>
      <t>Φ60-Φ400 mm</t>
    </r>
    <r>
      <rPr>
        <sz val="10"/>
        <color indexed="8"/>
        <rFont val="宋体"/>
        <family val="3"/>
        <charset val="134"/>
      </rPr>
      <t>；长度</t>
    </r>
    <r>
      <rPr>
        <sz val="10"/>
        <color indexed="8"/>
        <rFont val="Times New Roman"/>
        <family val="1"/>
      </rPr>
      <t>12m</t>
    </r>
  </si>
  <si>
    <r>
      <t>Φ168</t>
    </r>
    <r>
      <rPr>
        <sz val="10"/>
        <color indexed="8"/>
        <rFont val="宋体"/>
        <family val="3"/>
        <charset val="134"/>
      </rPr>
      <t>坡口机</t>
    </r>
  </si>
  <si>
    <r>
      <rPr>
        <sz val="10"/>
        <color indexed="8"/>
        <rFont val="宋体"/>
        <family val="3"/>
        <charset val="134"/>
      </rPr>
      <t>最大切管径</t>
    </r>
    <r>
      <rPr>
        <sz val="10"/>
        <color indexed="8"/>
        <rFont val="Times New Roman"/>
        <family val="1"/>
      </rPr>
      <t>Φ168mm;</t>
    </r>
    <r>
      <rPr>
        <sz val="10"/>
        <color indexed="8"/>
        <rFont val="宋体"/>
        <family val="3"/>
        <charset val="134"/>
      </rPr>
      <t>最大壁厚</t>
    </r>
    <r>
      <rPr>
        <sz val="10"/>
        <color indexed="8"/>
        <rFont val="Times New Roman"/>
        <family val="1"/>
      </rPr>
      <t>12mm</t>
    </r>
  </si>
  <si>
    <r>
      <rPr>
        <sz val="10"/>
        <color indexed="8"/>
        <rFont val="宋体"/>
        <family val="3"/>
        <charset val="134"/>
      </rPr>
      <t>最大切割管径</t>
    </r>
    <r>
      <rPr>
        <sz val="10"/>
        <color indexed="8"/>
        <rFont val="Times New Roman"/>
        <family val="1"/>
      </rPr>
      <t>Φ250mm</t>
    </r>
  </si>
  <si>
    <r>
      <rPr>
        <sz val="10"/>
        <color indexed="8"/>
        <rFont val="宋体"/>
        <family val="3"/>
        <charset val="134"/>
      </rPr>
      <t>直管自动焊专机</t>
    </r>
  </si>
  <si>
    <r>
      <rPr>
        <sz val="10"/>
        <color indexed="8"/>
        <rFont val="宋体"/>
        <family val="3"/>
        <charset val="134"/>
      </rPr>
      <t>适应管子外径：</t>
    </r>
    <r>
      <rPr>
        <sz val="10"/>
        <color indexed="8"/>
        <rFont val="Times New Roman"/>
        <family val="1"/>
      </rPr>
      <t>φ89</t>
    </r>
    <r>
      <rPr>
        <sz val="10"/>
        <color indexed="8"/>
        <rFont val="宋体"/>
        <family val="3"/>
        <charset val="134"/>
      </rPr>
      <t>～</t>
    </r>
    <r>
      <rPr>
        <sz val="10"/>
        <color indexed="8"/>
        <rFont val="Times New Roman"/>
        <family val="1"/>
      </rPr>
      <t>φ273mm</t>
    </r>
    <r>
      <rPr>
        <sz val="10"/>
        <color indexed="8"/>
        <rFont val="宋体"/>
        <family val="3"/>
        <charset val="134"/>
      </rPr>
      <t>；长度：</t>
    </r>
    <r>
      <rPr>
        <sz val="10"/>
        <color indexed="8"/>
        <rFont val="Times New Roman"/>
        <family val="1"/>
      </rPr>
      <t>1500-6000mm</t>
    </r>
    <r>
      <rPr>
        <sz val="10"/>
        <color indexed="8"/>
        <rFont val="宋体"/>
        <family val="3"/>
        <charset val="134"/>
      </rPr>
      <t>；自动焊炬数量：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宋体"/>
        <family val="3"/>
        <charset val="134"/>
      </rPr>
      <t>把</t>
    </r>
  </si>
  <si>
    <t>2.10</t>
    <phoneticPr fontId="10" type="noConversion"/>
  </si>
  <si>
    <t>2.11</t>
    <phoneticPr fontId="10" type="noConversion"/>
  </si>
  <si>
    <r>
      <rPr>
        <sz val="10"/>
        <color indexed="8"/>
        <rFont val="宋体"/>
        <family val="3"/>
        <charset val="134"/>
      </rPr>
      <t>压辊式管子焊接变位机（中小管径）</t>
    </r>
  </si>
  <si>
    <r>
      <t xml:space="preserve"> </t>
    </r>
    <r>
      <rPr>
        <sz val="10"/>
        <color indexed="8"/>
        <rFont val="宋体"/>
        <family val="3"/>
        <charset val="134"/>
      </rPr>
      <t>最大载荷：</t>
    </r>
    <r>
      <rPr>
        <sz val="10"/>
        <color indexed="8"/>
        <rFont val="Times New Roman"/>
        <family val="1"/>
      </rPr>
      <t>200Kg</t>
    </r>
    <r>
      <rPr>
        <sz val="10"/>
        <color indexed="8"/>
        <rFont val="宋体"/>
        <family val="3"/>
        <charset val="134"/>
      </rPr>
      <t>；托辊线速度：</t>
    </r>
    <r>
      <rPr>
        <sz val="10"/>
        <color indexed="8"/>
        <rFont val="Times New Roman"/>
        <family val="1"/>
      </rPr>
      <t>100-1000mm/min</t>
    </r>
  </si>
  <si>
    <r>
      <rPr>
        <sz val="10"/>
        <color indexed="8"/>
        <rFont val="宋体"/>
        <family val="3"/>
        <charset val="134"/>
      </rPr>
      <t>压紧滚轮架及托架（中小管径）</t>
    </r>
  </si>
  <si>
    <r>
      <t xml:space="preserve"> </t>
    </r>
    <r>
      <rPr>
        <sz val="10"/>
        <color indexed="8"/>
        <rFont val="宋体"/>
        <family val="3"/>
        <charset val="134"/>
      </rPr>
      <t>最大载荷：</t>
    </r>
    <r>
      <rPr>
        <sz val="10"/>
        <color indexed="8"/>
        <rFont val="Times New Roman"/>
        <family val="1"/>
      </rPr>
      <t>200Kg</t>
    </r>
    <r>
      <rPr>
        <sz val="10"/>
        <color indexed="8"/>
        <rFont val="宋体"/>
        <family val="3"/>
        <charset val="134"/>
      </rPr>
      <t>；压辊升降行程：＞</t>
    </r>
    <r>
      <rPr>
        <sz val="10"/>
        <color indexed="8"/>
        <rFont val="Times New Roman"/>
        <family val="1"/>
      </rPr>
      <t>600mm</t>
    </r>
    <r>
      <rPr>
        <sz val="10"/>
        <color indexed="8"/>
        <rFont val="宋体"/>
        <family val="3"/>
        <charset val="134"/>
      </rPr>
      <t>；托辊线速度：</t>
    </r>
    <r>
      <rPr>
        <sz val="10"/>
        <color indexed="8"/>
        <rFont val="Times New Roman"/>
        <family val="1"/>
      </rPr>
      <t>100-1000mm/min</t>
    </r>
  </si>
  <si>
    <r>
      <rPr>
        <sz val="10"/>
        <color indexed="8"/>
        <rFont val="宋体"/>
        <family val="3"/>
        <charset val="134"/>
      </rPr>
      <t>管法兰变位自动焊专机（中小管径）</t>
    </r>
  </si>
  <si>
    <r>
      <rPr>
        <sz val="10"/>
        <color indexed="8"/>
        <rFont val="宋体"/>
        <family val="3"/>
        <charset val="134"/>
      </rPr>
      <t>适用焊丝直径：</t>
    </r>
    <r>
      <rPr>
        <sz val="10"/>
        <color indexed="8"/>
        <rFont val="Times New Roman"/>
        <family val="1"/>
      </rPr>
      <t>Φ1.0mm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Times New Roman"/>
        <family val="1"/>
      </rPr>
      <t>Φ1.2mm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Times New Roman"/>
        <family val="1"/>
      </rPr>
      <t xml:space="preserve"> </t>
    </r>
    <r>
      <rPr>
        <sz val="10"/>
        <color indexed="8"/>
        <rFont val="宋体"/>
        <family val="3"/>
        <charset val="134"/>
      </rPr>
      <t>焊接电源：焊接额定电流：</t>
    </r>
    <r>
      <rPr>
        <sz val="10"/>
        <color indexed="8"/>
        <rFont val="Times New Roman"/>
        <family val="1"/>
      </rPr>
      <t>400A</t>
    </r>
    <r>
      <rPr>
        <sz val="10"/>
        <color indexed="8"/>
        <rFont val="宋体"/>
        <family val="3"/>
        <charset val="134"/>
      </rPr>
      <t>，焊接电源暂载率：</t>
    </r>
    <r>
      <rPr>
        <sz val="10"/>
        <color indexed="8"/>
        <rFont val="Times New Roman"/>
        <family val="1"/>
      </rPr>
      <t>60%</t>
    </r>
    <r>
      <rPr>
        <sz val="10"/>
        <color indexed="8"/>
        <rFont val="宋体"/>
        <family val="3"/>
        <charset val="134"/>
      </rPr>
      <t>；变位机翻转角度：</t>
    </r>
    <r>
      <rPr>
        <sz val="10"/>
        <color indexed="8"/>
        <rFont val="Times New Roman"/>
        <family val="1"/>
      </rPr>
      <t>±90</t>
    </r>
    <r>
      <rPr>
        <sz val="10"/>
        <color indexed="8"/>
        <rFont val="宋体"/>
        <family val="3"/>
        <charset val="134"/>
      </rPr>
      <t>；适应管径：</t>
    </r>
    <r>
      <rPr>
        <sz val="10"/>
        <color indexed="8"/>
        <rFont val="Times New Roman"/>
        <family val="1"/>
      </rPr>
      <t>Φ34-Φ140mm</t>
    </r>
  </si>
  <si>
    <r>
      <rPr>
        <sz val="10"/>
        <color indexed="8"/>
        <rFont val="宋体"/>
        <family val="3"/>
        <charset val="134"/>
      </rPr>
      <t>压辊式变位</t>
    </r>
    <r>
      <rPr>
        <sz val="10"/>
        <color indexed="8"/>
        <rFont val="Times New Roman"/>
        <family val="1"/>
      </rPr>
      <t>TIG+MAG</t>
    </r>
    <r>
      <rPr>
        <sz val="10"/>
        <color indexed="8"/>
        <rFont val="宋体"/>
        <family val="3"/>
        <charset val="134"/>
      </rPr>
      <t>焊接专机（中小管径）</t>
    </r>
  </si>
  <si>
    <r>
      <rPr>
        <sz val="10"/>
        <color indexed="8"/>
        <rFont val="宋体"/>
        <family val="3"/>
        <charset val="134"/>
      </rPr>
      <t>适用焊丝直径：</t>
    </r>
    <r>
      <rPr>
        <sz val="10"/>
        <color indexed="8"/>
        <rFont val="Times New Roman"/>
        <family val="1"/>
      </rPr>
      <t>Φ1.0mm</t>
    </r>
    <r>
      <rPr>
        <sz val="10"/>
        <color indexed="8"/>
        <rFont val="宋体"/>
        <family val="3"/>
        <charset val="134"/>
      </rPr>
      <t>、</t>
    </r>
    <r>
      <rPr>
        <sz val="10"/>
        <color indexed="8"/>
        <rFont val="Times New Roman"/>
        <family val="1"/>
      </rPr>
      <t>Φ1.2mm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Times New Roman"/>
        <family val="1"/>
      </rPr>
      <t xml:space="preserve"> MIG</t>
    </r>
    <r>
      <rPr>
        <sz val="10"/>
        <color indexed="8"/>
        <rFont val="宋体"/>
        <family val="3"/>
        <charset val="134"/>
      </rPr>
      <t>焊接电源：焊接额定电流：</t>
    </r>
    <r>
      <rPr>
        <sz val="10"/>
        <color indexed="8"/>
        <rFont val="Times New Roman"/>
        <family val="1"/>
      </rPr>
      <t>400A</t>
    </r>
    <r>
      <rPr>
        <sz val="10"/>
        <color indexed="8"/>
        <rFont val="宋体"/>
        <family val="3"/>
        <charset val="134"/>
      </rPr>
      <t>，
焊接电源暂载率：</t>
    </r>
    <r>
      <rPr>
        <sz val="10"/>
        <color indexed="8"/>
        <rFont val="Times New Roman"/>
        <family val="1"/>
      </rPr>
      <t>60%</t>
    </r>
    <r>
      <rPr>
        <sz val="10"/>
        <color indexed="8"/>
        <rFont val="宋体"/>
        <family val="3"/>
        <charset val="134"/>
      </rPr>
      <t>；</t>
    </r>
    <r>
      <rPr>
        <sz val="10"/>
        <color indexed="8"/>
        <rFont val="Times New Roman"/>
        <family val="1"/>
      </rPr>
      <t>MAG</t>
    </r>
    <r>
      <rPr>
        <sz val="10"/>
        <color indexed="8"/>
        <rFont val="宋体"/>
        <family val="3"/>
        <charset val="134"/>
      </rPr>
      <t>焊接电源：
焊接额定电流：</t>
    </r>
    <r>
      <rPr>
        <sz val="10"/>
        <color indexed="8"/>
        <rFont val="Times New Roman"/>
        <family val="1"/>
      </rPr>
      <t>400A</t>
    </r>
    <r>
      <rPr>
        <sz val="10"/>
        <color indexed="8"/>
        <rFont val="宋体"/>
        <family val="3"/>
        <charset val="134"/>
      </rPr>
      <t>，焊接电源暂载率：</t>
    </r>
    <r>
      <rPr>
        <sz val="10"/>
        <color indexed="8"/>
        <rFont val="Times New Roman"/>
        <family val="1"/>
      </rPr>
      <t>100%</t>
    </r>
  </si>
  <si>
    <r>
      <rPr>
        <sz val="10"/>
        <color indexed="8"/>
        <rFont val="宋体"/>
        <family val="3"/>
        <charset val="134"/>
      </rPr>
      <t>法兰标识打印机</t>
    </r>
  </si>
  <si>
    <r>
      <rPr>
        <sz val="10"/>
        <color indexed="8"/>
        <rFont val="宋体"/>
        <family val="3"/>
        <charset val="134"/>
      </rPr>
      <t>刻印中文、英文字符、阿拉伯数字、任意图形、自动流水号、自动日期时间、随机码、二维码、国际标准</t>
    </r>
    <r>
      <rPr>
        <sz val="10"/>
        <color indexed="8"/>
        <rFont val="Times New Roman"/>
        <family val="1"/>
      </rPr>
      <t>VIN</t>
    </r>
    <r>
      <rPr>
        <sz val="10"/>
        <color indexed="8"/>
        <rFont val="宋体"/>
        <family val="3"/>
        <charset val="134"/>
      </rPr>
      <t>码、刻度尺等</t>
    </r>
  </si>
  <si>
    <r>
      <rPr>
        <sz val="10"/>
        <color indexed="8"/>
        <rFont val="宋体"/>
        <family val="3"/>
        <charset val="134"/>
      </rPr>
      <t>便携式专业管件测量系统</t>
    </r>
  </si>
  <si>
    <r>
      <rPr>
        <sz val="10"/>
        <color indexed="8"/>
        <rFont val="宋体"/>
        <family val="3"/>
        <charset val="134"/>
      </rPr>
      <t>关节臂测量机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family val="3"/>
        <charset val="134"/>
      </rPr>
      <t>台；配</t>
    </r>
    <r>
      <rPr>
        <sz val="10"/>
        <color indexed="8"/>
        <rFont val="Times New Roman"/>
        <family val="1"/>
      </rPr>
      <t>3mm</t>
    </r>
    <r>
      <rPr>
        <sz val="10"/>
        <color indexed="8"/>
        <rFont val="宋体"/>
        <family val="3"/>
        <charset val="134"/>
      </rPr>
      <t>红宝石测头、</t>
    </r>
    <r>
      <rPr>
        <sz val="10"/>
        <color indexed="8"/>
        <rFont val="Times New Roman"/>
        <family val="1"/>
      </rPr>
      <t>6mm</t>
    </r>
    <r>
      <rPr>
        <sz val="10"/>
        <color indexed="8"/>
        <rFont val="宋体"/>
        <family val="3"/>
        <charset val="134"/>
      </rPr>
      <t>红宝石测头、</t>
    </r>
    <r>
      <rPr>
        <sz val="10"/>
        <color indexed="8"/>
        <rFont val="Times New Roman"/>
        <family val="1"/>
      </rPr>
      <t>15mm</t>
    </r>
    <r>
      <rPr>
        <sz val="10"/>
        <color indexed="8"/>
        <rFont val="宋体"/>
        <family val="3"/>
        <charset val="134"/>
      </rPr>
      <t>不锈钢球测头各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family val="3"/>
        <charset val="134"/>
      </rPr>
      <t>个；</t>
    </r>
    <r>
      <rPr>
        <sz val="10"/>
        <color indexed="8"/>
        <rFont val="Times New Roman"/>
        <family val="1"/>
      </rPr>
      <t>DOCS</t>
    </r>
    <r>
      <rPr>
        <sz val="10"/>
        <color indexed="8"/>
        <rFont val="宋体"/>
        <family val="3"/>
        <charset val="134"/>
      </rPr>
      <t>专业管件测量软件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family val="3"/>
        <charset val="134"/>
      </rPr>
      <t>套；非接触式专用管件测头</t>
    </r>
    <r>
      <rPr>
        <sz val="10"/>
        <color indexed="8"/>
        <rFont val="Times New Roman"/>
        <family val="1"/>
      </rPr>
      <t>75mm</t>
    </r>
    <r>
      <rPr>
        <sz val="10"/>
        <color indexed="8"/>
        <rFont val="宋体"/>
        <family val="3"/>
        <charset val="134"/>
      </rPr>
      <t>和</t>
    </r>
    <r>
      <rPr>
        <sz val="10"/>
        <color indexed="8"/>
        <rFont val="Times New Roman"/>
        <family val="1"/>
      </rPr>
      <t>150mm</t>
    </r>
    <r>
      <rPr>
        <sz val="10"/>
        <color indexed="8"/>
        <rFont val="宋体"/>
        <family val="3"/>
        <charset val="134"/>
      </rPr>
      <t>各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family val="3"/>
        <charset val="134"/>
      </rPr>
      <t>个；管件测头校准工具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family val="3"/>
        <charset val="134"/>
      </rPr>
      <t>个；便携式移动工作平台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family val="3"/>
        <charset val="134"/>
      </rPr>
      <t>个</t>
    </r>
  </si>
  <si>
    <r>
      <rPr>
        <sz val="10"/>
        <color indexed="8"/>
        <rFont val="宋体"/>
        <family val="3"/>
        <charset val="134"/>
      </rPr>
      <t>微电脑控制液压弯管机</t>
    </r>
  </si>
  <si>
    <r>
      <rPr>
        <sz val="10"/>
        <color indexed="8"/>
        <rFont val="宋体"/>
        <family val="3"/>
        <charset val="134"/>
      </rPr>
      <t>最大弯管规格：</t>
    </r>
    <r>
      <rPr>
        <sz val="10"/>
        <color indexed="8"/>
        <rFont val="Times New Roman"/>
        <family val="1"/>
      </rPr>
      <t>Φ89mm×8mm</t>
    </r>
    <r>
      <rPr>
        <sz val="10"/>
        <color indexed="8"/>
        <rFont val="宋体"/>
        <family val="3"/>
        <charset val="134"/>
      </rPr>
      <t>，最大弯曲半径</t>
    </r>
    <r>
      <rPr>
        <sz val="10"/>
        <color indexed="8"/>
        <rFont val="Times New Roman"/>
        <family val="1"/>
      </rPr>
      <t>450mm</t>
    </r>
    <r>
      <rPr>
        <sz val="10"/>
        <color indexed="8"/>
        <rFont val="宋体"/>
        <family val="3"/>
        <charset val="134"/>
      </rPr>
      <t>，最小弯曲半径</t>
    </r>
    <r>
      <rPr>
        <sz val="10"/>
        <color indexed="8"/>
        <rFont val="Times New Roman"/>
        <family val="1"/>
      </rPr>
      <t>50mm</t>
    </r>
    <r>
      <rPr>
        <sz val="10"/>
        <color indexed="8"/>
        <rFont val="宋体"/>
        <family val="3"/>
        <charset val="134"/>
      </rPr>
      <t>，最大弯曲角度</t>
    </r>
    <r>
      <rPr>
        <sz val="10"/>
        <color indexed="8"/>
        <rFont val="Times New Roman"/>
        <family val="1"/>
      </rPr>
      <t>185</t>
    </r>
    <r>
      <rPr>
        <vertAlign val="superscript"/>
        <sz val="10"/>
        <color indexed="8"/>
        <rFont val="Times New Roman"/>
        <family val="1"/>
      </rPr>
      <t>o</t>
    </r>
  </si>
  <si>
    <r>
      <rPr>
        <sz val="10"/>
        <color indexed="8"/>
        <rFont val="宋体"/>
        <family val="3"/>
        <charset val="134"/>
      </rPr>
      <t>最大弯管规格：</t>
    </r>
    <r>
      <rPr>
        <sz val="10"/>
        <color indexed="8"/>
        <rFont val="Times New Roman"/>
        <family val="1"/>
      </rPr>
      <t>Φ63mm×8mm</t>
    </r>
    <r>
      <rPr>
        <sz val="10"/>
        <color indexed="8"/>
        <rFont val="宋体"/>
        <family val="3"/>
        <charset val="134"/>
      </rPr>
      <t>，最大弯曲半径</t>
    </r>
    <r>
      <rPr>
        <sz val="10"/>
        <color indexed="8"/>
        <rFont val="Times New Roman"/>
        <family val="1"/>
      </rPr>
      <t>300mm</t>
    </r>
    <r>
      <rPr>
        <sz val="10"/>
        <color indexed="8"/>
        <rFont val="宋体"/>
        <family val="3"/>
        <charset val="134"/>
      </rPr>
      <t>，最小弯曲半径</t>
    </r>
    <r>
      <rPr>
        <sz val="10"/>
        <color indexed="8"/>
        <rFont val="Times New Roman"/>
        <family val="1"/>
      </rPr>
      <t>30mm</t>
    </r>
    <r>
      <rPr>
        <vertAlign val="superscript"/>
        <sz val="12"/>
        <rFont val="宋体"/>
        <family val="3"/>
        <charset val="134"/>
      </rPr>
      <t/>
    </r>
  </si>
  <si>
    <r>
      <rPr>
        <sz val="10"/>
        <color indexed="8"/>
        <rFont val="宋体"/>
        <family val="3"/>
        <charset val="134"/>
      </rPr>
      <t>可控硅中频弯管机</t>
    </r>
  </si>
  <si>
    <r>
      <rPr>
        <sz val="10"/>
        <color indexed="8"/>
        <rFont val="宋体"/>
        <family val="3"/>
        <charset val="134"/>
      </rPr>
      <t>最大弯管规格：</t>
    </r>
    <r>
      <rPr>
        <sz val="10"/>
        <color indexed="8"/>
        <rFont val="Times New Roman"/>
        <family val="1"/>
      </rPr>
      <t>Φ270mm×20mm</t>
    </r>
    <r>
      <rPr>
        <sz val="10"/>
        <color indexed="8"/>
        <rFont val="宋体"/>
        <family val="3"/>
        <charset val="134"/>
      </rPr>
      <t>，最大弯曲半径</t>
    </r>
    <r>
      <rPr>
        <sz val="10"/>
        <color indexed="8"/>
        <rFont val="Times New Roman"/>
        <family val="1"/>
      </rPr>
      <t>60mm</t>
    </r>
    <r>
      <rPr>
        <vertAlign val="superscript"/>
        <sz val="12"/>
        <rFont val="宋体"/>
        <family val="3"/>
        <charset val="134"/>
      </rPr>
      <t/>
    </r>
  </si>
  <si>
    <r>
      <rPr>
        <sz val="10"/>
        <color indexed="8"/>
        <rFont val="宋体"/>
        <family val="3"/>
        <charset val="134"/>
      </rPr>
      <t>除尘设备</t>
    </r>
  </si>
  <si>
    <r>
      <rPr>
        <sz val="10"/>
        <color indexed="8"/>
        <rFont val="宋体"/>
        <family val="3"/>
        <charset val="134"/>
      </rPr>
      <t>模具</t>
    </r>
  </si>
  <si>
    <r>
      <t>Q=3t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LK=15m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H=4.5m</t>
    </r>
  </si>
  <si>
    <r>
      <rPr>
        <sz val="10"/>
        <color indexed="8"/>
        <rFont val="宋体"/>
        <family val="3"/>
        <charset val="134"/>
      </rPr>
      <t>双梁桥式起重机</t>
    </r>
  </si>
  <si>
    <r>
      <t>Q=10t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LK=22.5m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H=9m</t>
    </r>
  </si>
  <si>
    <r>
      <t>Q=5t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LK=22.5m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H=9m</t>
    </r>
  </si>
  <si>
    <r>
      <rPr>
        <sz val="10"/>
        <color indexed="8"/>
        <rFont val="宋体"/>
        <family val="3"/>
        <charset val="134"/>
      </rPr>
      <t>单梁起重机</t>
    </r>
  </si>
  <si>
    <r>
      <rPr>
        <sz val="10"/>
        <color indexed="8"/>
        <rFont val="宋体"/>
        <family val="3"/>
        <charset val="134"/>
      </rPr>
      <t>电动平车</t>
    </r>
  </si>
  <si>
    <r>
      <rPr>
        <sz val="10"/>
        <color indexed="8"/>
        <rFont val="宋体"/>
        <family val="3"/>
        <charset val="134"/>
      </rPr>
      <t>载重量</t>
    </r>
    <r>
      <rPr>
        <sz val="10"/>
        <color indexed="8"/>
        <rFont val="Times New Roman"/>
        <family val="1"/>
      </rPr>
      <t>5t</t>
    </r>
    <r>
      <rPr>
        <sz val="10"/>
        <color indexed="8"/>
        <rFont val="宋体"/>
        <family val="3"/>
        <charset val="134"/>
      </rPr>
      <t>，轨长：</t>
    </r>
    <r>
      <rPr>
        <sz val="10"/>
        <color indexed="8"/>
        <rFont val="Times New Roman"/>
        <family val="1"/>
      </rPr>
      <t>267m</t>
    </r>
  </si>
  <si>
    <r>
      <rPr>
        <sz val="10"/>
        <color indexed="8"/>
        <rFont val="宋体"/>
        <family val="3"/>
        <charset val="134"/>
      </rPr>
      <t>低压电动平车</t>
    </r>
  </si>
  <si>
    <r>
      <rPr>
        <sz val="10"/>
        <color indexed="8"/>
        <rFont val="宋体"/>
        <family val="3"/>
        <charset val="134"/>
      </rPr>
      <t>载重量</t>
    </r>
    <r>
      <rPr>
        <sz val="10"/>
        <color indexed="8"/>
        <rFont val="Times New Roman"/>
        <family val="1"/>
      </rPr>
      <t>20t</t>
    </r>
    <r>
      <rPr>
        <sz val="10"/>
        <color indexed="8"/>
        <rFont val="宋体"/>
        <family val="3"/>
        <charset val="134"/>
      </rPr>
      <t>，轨长：</t>
    </r>
    <r>
      <rPr>
        <sz val="10"/>
        <color indexed="8"/>
        <rFont val="Times New Roman"/>
        <family val="1"/>
      </rPr>
      <t>131m</t>
    </r>
  </si>
  <si>
    <r>
      <rPr>
        <sz val="10"/>
        <color indexed="8"/>
        <rFont val="宋体"/>
        <family val="3"/>
        <charset val="134"/>
      </rPr>
      <t>变压器</t>
    </r>
  </si>
  <si>
    <r>
      <t>10KVA</t>
    </r>
    <r>
      <rPr>
        <sz val="10"/>
        <color indexed="8"/>
        <rFont val="宋体"/>
        <family val="3"/>
        <charset val="134"/>
      </rPr>
      <t>降变压</t>
    </r>
  </si>
  <si>
    <r>
      <rPr>
        <sz val="10"/>
        <color indexed="8"/>
        <rFont val="宋体"/>
        <family val="3"/>
        <charset val="134"/>
      </rPr>
      <t>叉车</t>
    </r>
  </si>
  <si>
    <r>
      <rPr>
        <sz val="10"/>
        <color indexed="8"/>
        <rFont val="宋体"/>
        <family val="3"/>
        <charset val="134"/>
      </rPr>
      <t>载重量</t>
    </r>
    <r>
      <rPr>
        <sz val="10"/>
        <color indexed="8"/>
        <rFont val="Times New Roman"/>
        <family val="1"/>
      </rPr>
      <t>5t</t>
    </r>
  </si>
  <si>
    <r>
      <rPr>
        <sz val="11"/>
        <color indexed="8"/>
        <rFont val="宋体"/>
        <family val="3"/>
        <charset val="134"/>
      </rPr>
      <t>大管径生产线</t>
    </r>
  </si>
  <si>
    <r>
      <rPr>
        <sz val="11"/>
        <color indexed="8"/>
        <rFont val="宋体"/>
        <family val="3"/>
        <charset val="134"/>
      </rPr>
      <t>中管径生产线</t>
    </r>
  </si>
  <si>
    <r>
      <rPr>
        <sz val="11"/>
        <color indexed="8"/>
        <rFont val="宋体"/>
        <family val="3"/>
        <charset val="134"/>
      </rPr>
      <t>其它设备</t>
    </r>
  </si>
  <si>
    <r>
      <rPr>
        <sz val="10"/>
        <color indexed="8"/>
        <rFont val="宋体"/>
        <family val="3"/>
        <charset val="134"/>
      </rPr>
      <t>电动双梁桥式起重机</t>
    </r>
  </si>
  <si>
    <r>
      <t>Q=32t/10t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LK=22.5m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H=14m</t>
    </r>
  </si>
  <si>
    <r>
      <t>Q=20t/5t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LK=22.5m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H=14m</t>
    </r>
  </si>
  <si>
    <r>
      <t>Q=10t/2t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LK=22.5m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Times New Roman"/>
        <family val="1"/>
      </rPr>
      <t>H=14m</t>
    </r>
  </si>
  <si>
    <r>
      <rPr>
        <sz val="10"/>
        <color indexed="8"/>
        <rFont val="宋体"/>
        <family val="3"/>
        <charset val="134"/>
      </rPr>
      <t>载重量</t>
    </r>
    <r>
      <rPr>
        <sz val="10"/>
        <color indexed="8"/>
        <rFont val="Times New Roman"/>
        <family val="1"/>
      </rPr>
      <t>3t</t>
    </r>
  </si>
  <si>
    <r>
      <rPr>
        <sz val="10"/>
        <color indexed="8"/>
        <rFont val="宋体"/>
        <family val="3"/>
        <charset val="134"/>
      </rPr>
      <t>载重量</t>
    </r>
    <r>
      <rPr>
        <sz val="10"/>
        <color indexed="8"/>
        <rFont val="Times New Roman"/>
        <family val="1"/>
      </rPr>
      <t>1t</t>
    </r>
  </si>
  <si>
    <t>（十）</t>
    <phoneticPr fontId="10" type="noConversion"/>
  </si>
  <si>
    <t>3.23</t>
  </si>
  <si>
    <t>3.24</t>
  </si>
  <si>
    <t>3.25</t>
  </si>
  <si>
    <t>3.26</t>
  </si>
  <si>
    <t>5.14</t>
  </si>
  <si>
    <t>5.15</t>
  </si>
  <si>
    <t>（七）</t>
    <phoneticPr fontId="10" type="noConversion"/>
  </si>
  <si>
    <t>（九）</t>
    <phoneticPr fontId="10" type="noConversion"/>
  </si>
  <si>
    <t>（十一）</t>
    <phoneticPr fontId="10" type="noConversion"/>
  </si>
  <si>
    <t>附表1</t>
    <phoneticPr fontId="11" type="noConversion"/>
  </si>
  <si>
    <r>
      <t>投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资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估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算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表</t>
    </r>
  </si>
  <si>
    <t>安装
工程</t>
    <phoneticPr fontId="10" type="noConversion"/>
  </si>
  <si>
    <t>其他
费用</t>
    <phoneticPr fontId="10" type="noConversion"/>
  </si>
  <si>
    <t>水面产品室内船台及港口设施（海西湾基地）</t>
    <phoneticPr fontId="10" type="noConversion"/>
  </si>
  <si>
    <t>武昌总部技改项目</t>
    <phoneticPr fontId="10" type="noConversion"/>
  </si>
  <si>
    <t>非耐压下料车间</t>
    <phoneticPr fontId="10" type="noConversion"/>
  </si>
  <si>
    <t>消声瓦联合生产厂房</t>
    <phoneticPr fontId="10" type="noConversion"/>
  </si>
  <si>
    <t>消声瓦制造车间</t>
    <phoneticPr fontId="10" type="noConversion"/>
  </si>
  <si>
    <t>舾装中心</t>
    <phoneticPr fontId="10" type="noConversion"/>
  </si>
  <si>
    <t>单元模块制造车间</t>
    <phoneticPr fontId="10" type="noConversion"/>
  </si>
  <si>
    <t>**车间</t>
    <phoneticPr fontId="10" type="noConversion"/>
  </si>
  <si>
    <t>水面产品分段制造厂房</t>
    <phoneticPr fontId="10" type="noConversion"/>
  </si>
  <si>
    <t>板材下料加工车间</t>
    <phoneticPr fontId="10" type="noConversion"/>
  </si>
  <si>
    <t>部件装焊车间</t>
    <phoneticPr fontId="10" type="noConversion"/>
  </si>
  <si>
    <t>自动生产线车间</t>
    <phoneticPr fontId="10" type="noConversion"/>
  </si>
  <si>
    <t>分段装焊车间</t>
    <phoneticPr fontId="10" type="noConversion"/>
  </si>
  <si>
    <r>
      <t>管子加工车间(24m×3跨</t>
    </r>
    <r>
      <rPr>
        <sz val="11"/>
        <color theme="1"/>
        <rFont val="宋体"/>
        <family val="3"/>
        <charset val="134"/>
        <scheme val="minor"/>
      </rPr>
      <t>)</t>
    </r>
    <phoneticPr fontId="10" type="noConversion"/>
  </si>
  <si>
    <t>钛合金加工中心</t>
    <phoneticPr fontId="10" type="noConversion"/>
  </si>
  <si>
    <t>重型结构加工区（B区）</t>
    <phoneticPr fontId="10" type="noConversion"/>
  </si>
  <si>
    <t>备班楼</t>
    <phoneticPr fontId="10" type="noConversion"/>
  </si>
  <si>
    <t>核应急中心</t>
    <phoneticPr fontId="10" type="noConversion"/>
  </si>
  <si>
    <t>核废弃物处置库</t>
    <phoneticPr fontId="10" type="noConversion"/>
  </si>
  <si>
    <t>绿化</t>
    <phoneticPr fontId="10" type="noConversion"/>
  </si>
  <si>
    <r>
      <rPr>
        <b/>
        <sz val="11"/>
        <rFont val="宋体"/>
        <family val="3"/>
        <charset val="134"/>
      </rPr>
      <t>第一部分合计</t>
    </r>
    <phoneticPr fontId="10" type="noConversion"/>
  </si>
  <si>
    <r>
      <rPr>
        <b/>
        <sz val="11"/>
        <rFont val="宋体"/>
        <family val="3"/>
        <charset val="134"/>
      </rPr>
      <t>第二部分：其他费用</t>
    </r>
    <phoneticPr fontId="10" type="noConversion"/>
  </si>
  <si>
    <t>职业卫生评价费</t>
    <phoneticPr fontId="10" type="noConversion"/>
  </si>
  <si>
    <r>
      <rPr>
        <b/>
        <sz val="11"/>
        <rFont val="宋体"/>
        <family val="3"/>
        <charset val="134"/>
      </rPr>
      <t>第一、二部分合计</t>
    </r>
    <phoneticPr fontId="10" type="noConversion"/>
  </si>
  <si>
    <r>
      <t>第三部分：基本预备费(</t>
    </r>
    <r>
      <rPr>
        <b/>
        <sz val="11"/>
        <rFont val="宋体"/>
        <family val="3"/>
        <charset val="134"/>
      </rPr>
      <t>6%)</t>
    </r>
    <phoneticPr fontId="10" type="noConversion"/>
  </si>
  <si>
    <r>
      <rPr>
        <b/>
        <sz val="11"/>
        <rFont val="宋体"/>
        <family val="3"/>
        <charset val="134"/>
      </rPr>
      <t>第一、二、三部分合计</t>
    </r>
    <phoneticPr fontId="10" type="noConversion"/>
  </si>
  <si>
    <t>（40000）</t>
    <phoneticPr fontId="10" type="noConversion"/>
  </si>
  <si>
    <t>（46605）</t>
    <phoneticPr fontId="10" type="noConversion"/>
  </si>
  <si>
    <t>（80000）</t>
    <phoneticPr fontId="10" type="noConversion"/>
  </si>
  <si>
    <t>（30000）</t>
    <phoneticPr fontId="10" type="noConversion"/>
  </si>
</sst>
</file>

<file path=xl/styles.xml><?xml version="1.0" encoding="utf-8"?>
<styleSheet xmlns="http://schemas.openxmlformats.org/spreadsheetml/2006/main">
  <numFmts count="29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_ "/>
    <numFmt numFmtId="177" formatCode="0_);[Red]\(0\)"/>
    <numFmt numFmtId="178" formatCode="0.0_ "/>
    <numFmt numFmtId="179" formatCode="0.0_);[Red]\(0.0\)"/>
    <numFmt numFmtId="180" formatCode="0.00_ "/>
    <numFmt numFmtId="181" formatCode="#,##0.0_);\(#,##0.0\)"/>
    <numFmt numFmtId="182" formatCode="#,##0.0_);[Red]&quot;\&quot;&quot;\&quot;\(#,##0.0&quot;\&quot;&quot;\&quot;\)"/>
    <numFmt numFmtId="183" formatCode="&quot;开&quot;;&quot;开&quot;;&quot;关&quot;"/>
    <numFmt numFmtId="184" formatCode="&quot;\&quot;#,##0.00;[Red]&quot;\&quot;&quot;\&quot;&quot;\&quot;&quot;\&quot;&quot;\&quot;\-#,##0.00"/>
    <numFmt numFmtId="185" formatCode="#,##0;\(#,##0\)"/>
    <numFmt numFmtId="186" formatCode="_-* #,##0.00_-;\-* #,##0.00_-;_-* &quot;-&quot;??_-;_-@_-"/>
    <numFmt numFmtId="187" formatCode="&quot;¥&quot;#,##0_);[Red]\(&quot;¥&quot;#,##0\)"/>
    <numFmt numFmtId="188" formatCode="_-&quot;$&quot;\ * #,##0.00_-;_-&quot;$&quot;\ * #,##0.00\-;_-&quot;$&quot;\ * &quot;-&quot;??_-;_-@_-"/>
    <numFmt numFmtId="189" formatCode="\$#,##0.00;\(\$#,##0.00\)"/>
    <numFmt numFmtId="190" formatCode="\$#,##0;\(\$#,##0\)"/>
    <numFmt numFmtId="191" formatCode="_-&quot;$&quot;\ * #,##0_-;_-&quot;$&quot;\ * #,##0\-;_-&quot;$&quot;\ * &quot;-&quot;_-;_-@_-"/>
    <numFmt numFmtId="192" formatCode="&quot;$&quot;\ #,##0.00_-;[Red]&quot;$&quot;\ #,##0.00\-"/>
    <numFmt numFmtId="193" formatCode="###,###,###"/>
    <numFmt numFmtId="194" formatCode="_(&quot;$&quot;* #,##0.00_);_(&quot;$&quot;* \(#,##0.00\);_(&quot;$&quot;* &quot;-&quot;??_);_(@_)"/>
    <numFmt numFmtId="195" formatCode="_(&quot;$&quot;* #,##0_);_(&quot;$&quot;* \(#,##0\);_(&quot;$&quot;* &quot;-&quot;_);_(@_)"/>
    <numFmt numFmtId="196" formatCode="_ &quot;¥&quot;* #,##0.00_ ;_ &quot;¥&quot;* \-#,##0.00_ ;_ &quot;¥&quot;* \-??_ ;_ @_ "/>
    <numFmt numFmtId="197" formatCode="_(&quot;$&quot;* #,##0_);_(&quot;$&quot;* \(#,##0\);_(&quot;$&quot;* &quot;-&quot;??_);_(@_)"/>
    <numFmt numFmtId="198" formatCode="mmm\ dd\,\ yy"/>
    <numFmt numFmtId="199" formatCode="_(&quot;$&quot;* #,##0.0_);_(&quot;$&quot;* \(#,##0.0\);_(&quot;$&quot;* &quot;-&quot;??_);_(@_)"/>
    <numFmt numFmtId="200" formatCode="mm/dd/yy_)"/>
    <numFmt numFmtId="201" formatCode="yy\.mm\.dd"/>
  </numFmts>
  <fonts count="80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sz val="10"/>
      <name val="宋体"/>
      <family val="3"/>
      <charset val="134"/>
    </font>
    <font>
      <b/>
      <vertAlign val="superscript"/>
      <sz val="10"/>
      <name val="Times New Roman"/>
      <family val="1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vertAlign val="superscript"/>
      <sz val="10"/>
      <name val="宋体"/>
      <family val="3"/>
      <charset val="134"/>
      <scheme val="minor"/>
    </font>
    <font>
      <b/>
      <vertAlign val="superscript"/>
      <sz val="10"/>
      <color indexed="8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vertAlign val="superscript"/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MS Sans Serif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name val="Helv"/>
      <family val="2"/>
    </font>
    <font>
      <sz val="10"/>
      <name val="Geneva"/>
      <family val="2"/>
    </font>
    <font>
      <sz val="10"/>
      <name val="Arial"/>
      <family val="2"/>
    </font>
    <font>
      <sz val="11"/>
      <name val="µ¸¿ò"/>
      <family val="3"/>
    </font>
    <font>
      <sz val="8"/>
      <name val="Times New Roman"/>
      <family val="1"/>
    </font>
    <font>
      <sz val="12"/>
      <name val="Tms Rmn"/>
      <family val="1"/>
    </font>
    <font>
      <sz val="8"/>
      <name val="Arial"/>
      <family val="2"/>
    </font>
    <font>
      <sz val="12"/>
      <name val="¹ÙÅÁÃ¼"/>
      <family val="1"/>
    </font>
    <font>
      <sz val="10"/>
      <name val="BERNHARD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2"/>
      <name val="Helv"/>
      <family val="2"/>
    </font>
    <font>
      <b/>
      <sz val="12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10"/>
      <name val="Tms Rmn"/>
      <family val="1"/>
    </font>
    <font>
      <b/>
      <sz val="28"/>
      <name val="Arial"/>
      <family val="2"/>
    </font>
    <font>
      <sz val="14"/>
      <name val="AngsanaUPC"/>
      <family val="1"/>
    </font>
    <font>
      <b/>
      <sz val="14"/>
      <name val="楷体"/>
      <family val="3"/>
      <charset val="134"/>
    </font>
    <font>
      <sz val="11"/>
      <name val="ＭＳ Ｐゴシック"/>
      <family val="2"/>
    </font>
    <font>
      <sz val="10"/>
      <name val="楷体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0"/>
      <name val="宋体"/>
      <family val="3"/>
      <charset val="134"/>
    </font>
    <font>
      <u/>
      <sz val="10"/>
      <color indexed="12"/>
      <name val="Arial"/>
      <family val="2"/>
    </font>
    <font>
      <u/>
      <sz val="12"/>
      <color indexed="12"/>
      <name val="宋体"/>
      <family val="3"/>
      <charset val="134"/>
    </font>
    <font>
      <b/>
      <sz val="9"/>
      <name val="Arial"/>
      <family val="2"/>
    </font>
    <font>
      <b/>
      <sz val="10"/>
      <name val="Arial"/>
      <family val="2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0"/>
      <color indexed="36"/>
      <name val="Arial"/>
      <family val="2"/>
    </font>
    <font>
      <sz val="12"/>
      <name val="바탕체"/>
      <family val="3"/>
    </font>
    <font>
      <sz val="11"/>
      <name val="蹈框"/>
      <charset val="134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b/>
      <sz val="10"/>
      <color indexed="8"/>
      <name val="宋体"/>
      <family val="3"/>
      <charset val="134"/>
    </font>
    <font>
      <b/>
      <sz val="10"/>
      <color indexed="8"/>
      <name val="Times New Roman"/>
      <family val="1"/>
    </font>
    <font>
      <sz val="9"/>
      <color indexed="8"/>
      <name val="Times New Roman"/>
      <family val="1"/>
    </font>
    <font>
      <sz val="10"/>
      <color theme="1"/>
      <name val="宋体"/>
      <family val="3"/>
      <charset val="134"/>
      <scheme val="minor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宋体"/>
      <family val="3"/>
      <charset val="134"/>
    </font>
    <font>
      <vertAlign val="superscript"/>
      <sz val="10"/>
      <color indexed="8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solid">
        <fgColor indexed="9"/>
        <bgColor indexed="13"/>
      </patternFill>
    </fill>
    <fill>
      <patternFill patternType="gray0625"/>
    </fill>
    <fill>
      <patternFill patternType="solid">
        <fgColor indexed="9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69">
    <xf numFmtId="0" fontId="0" fillId="0" borderId="0">
      <alignment vertical="center"/>
    </xf>
    <xf numFmtId="0" fontId="27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49" fontId="30" fillId="0" borderId="0" applyFont="0" applyFill="0" applyBorder="0" applyAlignment="0" applyProtection="0"/>
    <xf numFmtId="0" fontId="2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7" fillId="0" borderId="0"/>
    <xf numFmtId="0" fontId="30" fillId="0" borderId="0" applyBorder="0"/>
    <xf numFmtId="0" fontId="27" fillId="0" borderId="0"/>
    <xf numFmtId="0" fontId="27" fillId="0" borderId="0"/>
    <xf numFmtId="0" fontId="27" fillId="0" borderId="0"/>
    <xf numFmtId="0" fontId="27" fillId="0" borderId="0"/>
    <xf numFmtId="0" fontId="30" fillId="0" borderId="0"/>
    <xf numFmtId="0" fontId="27" fillId="0" borderId="0"/>
    <xf numFmtId="0" fontId="30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9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7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8" fillId="0" borderId="0">
      <protection locked="0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2" fontId="34" fillId="0" borderId="0" applyNumberFormat="0" applyFont="0" applyFill="0" applyAlignment="0" applyProtection="0">
      <alignment horizontal="center"/>
    </xf>
    <xf numFmtId="0" fontId="35" fillId="0" borderId="0"/>
    <xf numFmtId="182" fontId="30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3" fontId="2" fillId="0" borderId="0" applyFill="0" applyBorder="0" applyAlignment="0"/>
    <xf numFmtId="184" fontId="26" fillId="0" borderId="0"/>
    <xf numFmtId="184" fontId="26" fillId="0" borderId="0"/>
    <xf numFmtId="184" fontId="26" fillId="0" borderId="0"/>
    <xf numFmtId="184" fontId="26" fillId="0" borderId="0"/>
    <xf numFmtId="184" fontId="26" fillId="0" borderId="0"/>
    <xf numFmtId="184" fontId="26" fillId="0" borderId="0"/>
    <xf numFmtId="184" fontId="26" fillId="0" borderId="0"/>
    <xf numFmtId="184" fontId="26" fillId="0" borderId="0"/>
    <xf numFmtId="38" fontId="25" fillId="0" borderId="0" applyFont="0" applyFill="0" applyBorder="0" applyAlignment="0" applyProtection="0"/>
    <xf numFmtId="185" fontId="26" fillId="0" borderId="0"/>
    <xf numFmtId="186" fontId="3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187" fontId="25" fillId="0" borderId="0" applyFont="0" applyFill="0" applyBorder="0" applyAlignment="0" applyProtection="0"/>
    <xf numFmtId="188" fontId="30" fillId="0" borderId="0" applyFont="0" applyFill="0" applyBorder="0" applyAlignment="0" applyProtection="0"/>
    <xf numFmtId="189" fontId="26" fillId="0" borderId="0"/>
    <xf numFmtId="15" fontId="25" fillId="0" borderId="0"/>
    <xf numFmtId="0" fontId="37" fillId="0" borderId="0">
      <protection locked="0"/>
    </xf>
    <xf numFmtId="190" fontId="26" fillId="0" borderId="0"/>
    <xf numFmtId="0" fontId="38" fillId="0" borderId="0">
      <protection locked="0"/>
    </xf>
    <xf numFmtId="0" fontId="38" fillId="0" borderId="0">
      <protection locked="0"/>
    </xf>
    <xf numFmtId="0" fontId="34" fillId="4" borderId="1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38" fontId="34" fillId="5" borderId="0" applyNumberFormat="0" applyBorder="0" applyAlignment="0" applyProtection="0"/>
    <xf numFmtId="0" fontId="39" fillId="0" borderId="0">
      <alignment horizontal="left"/>
    </xf>
    <xf numFmtId="0" fontId="40" fillId="0" borderId="3" applyNumberFormat="0" applyAlignment="0" applyProtection="0">
      <alignment horizontal="left" vertical="center"/>
    </xf>
    <xf numFmtId="0" fontId="40" fillId="0" borderId="4">
      <alignment horizontal="left" vertical="center"/>
    </xf>
    <xf numFmtId="10" fontId="34" fillId="6" borderId="1" applyNumberFormat="0" applyBorder="0" applyAlignment="0" applyProtection="0"/>
    <xf numFmtId="181" fontId="41" fillId="7" borderId="0"/>
    <xf numFmtId="0" fontId="29" fillId="0" borderId="0"/>
    <xf numFmtId="181" fontId="42" fillId="8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3" fillId="0" borderId="5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7" fillId="0" borderId="0">
      <protection locked="0"/>
    </xf>
    <xf numFmtId="192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26" fillId="0" borderId="0"/>
    <xf numFmtId="37" fontId="44" fillId="0" borderId="0"/>
    <xf numFmtId="193" fontId="26" fillId="0" borderId="0"/>
    <xf numFmtId="0" fontId="28" fillId="0" borderId="0"/>
    <xf numFmtId="0" fontId="45" fillId="0" borderId="0"/>
    <xf numFmtId="0" fontId="34" fillId="0" borderId="0">
      <alignment horizontal="left" vertical="center" wrapText="1"/>
    </xf>
    <xf numFmtId="14" fontId="32" fillId="0" borderId="0">
      <alignment horizontal="center" wrapText="1"/>
      <protection locked="0"/>
    </xf>
    <xf numFmtId="10" fontId="3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37" fillId="0" borderId="0">
      <protection locked="0"/>
    </xf>
    <xf numFmtId="13" fontId="30" fillId="0" borderId="0" applyFont="0" applyFill="0" applyProtection="0"/>
    <xf numFmtId="0" fontId="34" fillId="5" borderId="1"/>
    <xf numFmtId="0" fontId="46" fillId="0" borderId="0"/>
    <xf numFmtId="0" fontId="25" fillId="0" borderId="0" applyNumberFormat="0" applyFont="0" applyFill="0" applyBorder="0" applyAlignment="0" applyProtection="0">
      <alignment horizontal="left"/>
    </xf>
    <xf numFmtId="15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0" fontId="46" fillId="0" borderId="5">
      <alignment horizontal="center"/>
    </xf>
    <xf numFmtId="3" fontId="25" fillId="0" borderId="0" applyFont="0" applyFill="0" applyBorder="0" applyAlignment="0" applyProtection="0"/>
    <xf numFmtId="0" fontId="25" fillId="9" borderId="0" applyNumberFormat="0" applyFont="0" applyBorder="0" applyAlignment="0" applyProtection="0"/>
    <xf numFmtId="38" fontId="47" fillId="0" borderId="0"/>
    <xf numFmtId="0" fontId="25" fillId="10" borderId="0"/>
    <xf numFmtId="0" fontId="48" fillId="11" borderId="6">
      <protection locked="0"/>
    </xf>
    <xf numFmtId="0" fontId="49" fillId="12" borderId="0" applyNumberFormat="0" applyFont="0" applyFill="0" applyBorder="0" applyAlignment="0" applyProtection="0">
      <alignment horizontal="center"/>
    </xf>
    <xf numFmtId="0" fontId="45" fillId="0" borderId="0"/>
    <xf numFmtId="0" fontId="43" fillId="0" borderId="0"/>
    <xf numFmtId="0" fontId="48" fillId="11" borderId="6">
      <protection locked="0"/>
    </xf>
    <xf numFmtId="0" fontId="48" fillId="11" borderId="6">
      <protection locked="0"/>
    </xf>
    <xf numFmtId="0" fontId="37" fillId="0" borderId="7">
      <protection locked="0"/>
    </xf>
    <xf numFmtId="0" fontId="50" fillId="0" borderId="0"/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94" fontId="30" fillId="0" borderId="0" applyFont="0" applyFill="0" applyBorder="0" applyAlignment="0" applyProtection="0"/>
    <xf numFmtId="195" fontId="30" fillId="0" borderId="0" applyFont="0" applyFill="0" applyBorder="0" applyAlignment="0" applyProtection="0"/>
    <xf numFmtId="0" fontId="30" fillId="0" borderId="8" applyNumberFormat="0" applyFill="0" applyProtection="0">
      <alignment horizontal="right"/>
    </xf>
    <xf numFmtId="0" fontId="51" fillId="0" borderId="8" applyNumberFormat="0" applyFill="0" applyProtection="0">
      <alignment horizontal="center"/>
    </xf>
    <xf numFmtId="0" fontId="52" fillId="0" borderId="0"/>
    <xf numFmtId="0" fontId="53" fillId="0" borderId="9" applyNumberFormat="0" applyFill="0" applyProtection="0">
      <alignment horizont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NumberFormat="0" applyBorder="0" applyProtection="0">
      <alignment vertical="center"/>
    </xf>
    <xf numFmtId="0" fontId="56" fillId="0" borderId="0" applyNumberFormat="0" applyBorder="0" applyProtection="0">
      <alignment vertical="center"/>
    </xf>
    <xf numFmtId="0" fontId="56" fillId="0" borderId="0" applyNumberFormat="0" applyBorder="0" applyProtection="0">
      <alignment vertical="center"/>
    </xf>
    <xf numFmtId="0" fontId="56" fillId="0" borderId="0" applyNumberFormat="0" applyBorder="0" applyProtection="0">
      <alignment vertical="center"/>
    </xf>
    <xf numFmtId="0" fontId="56" fillId="0" borderId="0" applyNumberFormat="0" applyBorder="0" applyProtection="0">
      <alignment vertical="center"/>
    </xf>
    <xf numFmtId="0" fontId="56" fillId="0" borderId="0" applyNumberFormat="0" applyBorder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3" fontId="6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3" fillId="0" borderId="9" applyNumberFormat="0" applyFill="0" applyProtection="0">
      <alignment horizontal="left"/>
    </xf>
    <xf numFmtId="197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0" fontId="26" fillId="0" borderId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5" fillId="0" borderId="0"/>
    <xf numFmtId="201" fontId="30" fillId="0" borderId="9" applyFill="0" applyProtection="0">
      <alignment horizontal="right"/>
    </xf>
    <xf numFmtId="0" fontId="30" fillId="0" borderId="8" applyNumberFormat="0" applyFill="0" applyProtection="0">
      <alignment horizontal="left"/>
    </xf>
    <xf numFmtId="1" fontId="30" fillId="0" borderId="9" applyFill="0" applyProtection="0">
      <alignment horizontal="center"/>
    </xf>
    <xf numFmtId="0" fontId="27" fillId="0" borderId="0"/>
    <xf numFmtId="0" fontId="2" fillId="0" borderId="0"/>
    <xf numFmtId="0" fontId="25" fillId="0" borderId="0"/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64" fillId="0" borderId="0"/>
    <xf numFmtId="0" fontId="2" fillId="0" borderId="0"/>
  </cellStyleXfs>
  <cellXfs count="83">
    <xf numFmtId="0" fontId="0" fillId="0" borderId="0" xfId="0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22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22" fillId="0" borderId="1" xfId="0" applyNumberFormat="1" applyFont="1" applyBorder="1" applyAlignment="1">
      <alignment horizontal="center" vertical="center"/>
    </xf>
    <xf numFmtId="0" fontId="71" fillId="0" borderId="1" xfId="0" applyNumberFormat="1" applyFont="1" applyBorder="1" applyAlignment="1">
      <alignment horizontal="center" vertical="center"/>
    </xf>
    <xf numFmtId="0" fontId="67" fillId="0" borderId="1" xfId="488" applyFont="1" applyFill="1" applyBorder="1" applyAlignment="1">
      <alignment horizontal="center" vertical="center"/>
    </xf>
    <xf numFmtId="0" fontId="66" fillId="0" borderId="1" xfId="488" applyFont="1" applyFill="1" applyBorder="1" applyAlignment="1">
      <alignment horizontal="center" vertical="center"/>
    </xf>
    <xf numFmtId="0" fontId="68" fillId="0" borderId="1" xfId="488" applyFont="1" applyFill="1" applyBorder="1" applyAlignment="1">
      <alignment horizontal="center" vertical="center"/>
    </xf>
    <xf numFmtId="0" fontId="69" fillId="0" borderId="1" xfId="488" applyFont="1" applyFill="1" applyBorder="1" applyAlignment="1">
      <alignment horizontal="center" vertical="center"/>
    </xf>
    <xf numFmtId="0" fontId="66" fillId="0" borderId="1" xfId="488" applyFont="1" applyFill="1" applyBorder="1" applyAlignment="1">
      <alignment horizontal="left" vertical="center" wrapText="1"/>
    </xf>
    <xf numFmtId="0" fontId="5" fillId="15" borderId="1" xfId="758" applyFont="1" applyFill="1" applyBorder="1" applyAlignment="1">
      <alignment horizontal="left" vertical="center" wrapText="1"/>
    </xf>
    <xf numFmtId="179" fontId="67" fillId="0" borderId="1" xfId="488" applyNumberFormat="1" applyFont="1" applyFill="1" applyBorder="1" applyAlignment="1">
      <alignment horizontal="center" vertical="center"/>
    </xf>
    <xf numFmtId="179" fontId="69" fillId="0" borderId="1" xfId="488" applyNumberFormat="1" applyFont="1" applyFill="1" applyBorder="1" applyAlignment="1">
      <alignment horizontal="center" vertical="center"/>
    </xf>
    <xf numFmtId="0" fontId="68" fillId="0" borderId="1" xfId="488" applyFont="1" applyFill="1" applyBorder="1" applyAlignment="1">
      <alignment horizontal="left" vertical="center" wrapText="1"/>
    </xf>
    <xf numFmtId="177" fontId="67" fillId="0" borderId="1" xfId="488" applyNumberFormat="1" applyFont="1" applyFill="1" applyBorder="1" applyAlignment="1">
      <alignment horizontal="center" vertical="center"/>
    </xf>
    <xf numFmtId="177" fontId="69" fillId="0" borderId="1" xfId="488" applyNumberFormat="1" applyFont="1" applyFill="1" applyBorder="1" applyAlignment="1">
      <alignment horizontal="center" vertical="center"/>
    </xf>
    <xf numFmtId="177" fontId="70" fillId="15" borderId="1" xfId="488" applyNumberFormat="1" applyFont="1" applyFill="1" applyBorder="1" applyAlignment="1">
      <alignment horizontal="center" vertical="center"/>
    </xf>
    <xf numFmtId="0" fontId="3" fillId="15" borderId="1" xfId="758" applyFont="1" applyFill="1" applyBorder="1" applyAlignment="1">
      <alignment horizontal="left" vertical="center" wrapText="1"/>
    </xf>
    <xf numFmtId="0" fontId="69" fillId="0" borderId="10" xfId="488" applyNumberFormat="1" applyFont="1" applyFill="1" applyBorder="1" applyAlignment="1">
      <alignment horizontal="center" vertical="center"/>
    </xf>
    <xf numFmtId="0" fontId="66" fillId="0" borderId="11" xfId="488" applyFont="1" applyFill="1" applyBorder="1" applyAlignment="1">
      <alignment vertical="center"/>
    </xf>
    <xf numFmtId="0" fontId="67" fillId="0" borderId="10" xfId="488" applyNumberFormat="1" applyFont="1" applyFill="1" applyBorder="1" applyAlignment="1">
      <alignment horizontal="center" vertical="center"/>
    </xf>
    <xf numFmtId="0" fontId="68" fillId="0" borderId="11" xfId="488" applyFont="1" applyFill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3" fillId="0" borderId="0" xfId="0" applyNumberFormat="1" applyFont="1" applyAlignment="1">
      <alignment horizontal="right" vertical="center"/>
    </xf>
    <xf numFmtId="177" fontId="0" fillId="0" borderId="2" xfId="0" applyNumberFormat="1" applyBorder="1" applyAlignment="1">
      <alignment horizontal="left" vertical="center"/>
    </xf>
    <xf numFmtId="0" fontId="22" fillId="0" borderId="1" xfId="0" applyNumberFormat="1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7" fontId="71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177" fontId="71" fillId="0" borderId="0" xfId="0" applyNumberFormat="1" applyFont="1" applyAlignment="1">
      <alignment horizontal="center" vertical="center"/>
    </xf>
    <xf numFmtId="49" fontId="71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66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177" fontId="22" fillId="0" borderId="1" xfId="0" applyNumberFormat="1" applyFont="1" applyBorder="1" applyAlignment="1">
      <alignment horizontal="center" vertical="center" wrapText="1"/>
    </xf>
    <xf numFmtId="177" fontId="22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71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 wrapText="1"/>
    </xf>
    <xf numFmtId="49" fontId="67" fillId="0" borderId="10" xfId="488" applyNumberFormat="1" applyFont="1" applyFill="1" applyBorder="1" applyAlignment="1">
      <alignment horizontal="center" vertical="center"/>
    </xf>
    <xf numFmtId="176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0" fillId="0" borderId="2" xfId="0" applyNumberFormat="1" applyFont="1" applyBorder="1" applyAlignment="1">
      <alignment horizontal="left" vertical="center"/>
    </xf>
    <xf numFmtId="178" fontId="0" fillId="0" borderId="0" xfId="0" applyNumberFormat="1" applyFon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178" fontId="79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179" fontId="79" fillId="0" borderId="1" xfId="0" applyNumberFormat="1" applyFont="1" applyBorder="1" applyAlignment="1">
      <alignment horizontal="center" vertical="center" wrapText="1"/>
    </xf>
    <xf numFmtId="179" fontId="79" fillId="0" borderId="1" xfId="0" applyNumberFormat="1" applyFont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</cellXfs>
  <cellStyles count="769">
    <cellStyle name=" 1" xfId="1"/>
    <cellStyle name="_☆403概算3" xfId="2"/>
    <cellStyle name="_10(1)(1).23材料表(浓缩)" xfId="3"/>
    <cellStyle name="_432&amp;429总表" xfId="4"/>
    <cellStyle name="_432工艺设备表1" xfId="5"/>
    <cellStyle name="_453工艺招标表" xfId="6"/>
    <cellStyle name="_703（481）11概算" xfId="7"/>
    <cellStyle name="_703（481）概算" xfId="8"/>
    <cellStyle name="_703(481)哈尔滨" xfId="9"/>
    <cellStyle name="_703(951)概算" xfId="10"/>
    <cellStyle name="_705三表" xfId="11"/>
    <cellStyle name="_705三表 2" xfId="12"/>
    <cellStyle name="_705三表 3" xfId="13"/>
    <cellStyle name="_705三表 4" xfId="14"/>
    <cellStyle name="_705三表 5" xfId="15"/>
    <cellStyle name="_705三表 6" xfId="16"/>
    <cellStyle name="_705三表_705三表1" xfId="17"/>
    <cellStyle name="_705三表_705三表1 2" xfId="18"/>
    <cellStyle name="_705三表_705三表1 3" xfId="19"/>
    <cellStyle name="_705三表_705三表1 4" xfId="20"/>
    <cellStyle name="_705三表_705三表1 5" xfId="21"/>
    <cellStyle name="_705三表_705三表1 6" xfId="22"/>
    <cellStyle name="_712－951初设设备表（小胡gai-1）" xfId="23"/>
    <cellStyle name="_712－援潜926初设设备表1.3" xfId="24"/>
    <cellStyle name="_716电" xfId="25"/>
    <cellStyle name="_716概算表" xfId="26"/>
    <cellStyle name="_716概算表-报集团" xfId="27"/>
    <cellStyle name="_716锅、动" xfId="28"/>
    <cellStyle name="_716暖" xfId="29"/>
    <cellStyle name="_716水" xfId="30"/>
    <cellStyle name="_717概算" xfId="31"/>
    <cellStyle name="_723室外工程" xfId="32"/>
    <cellStyle name="_Book1" xfId="33"/>
    <cellStyle name="_Book1_1" xfId="34"/>
    <cellStyle name="_Book1_2" xfId="35"/>
    <cellStyle name="_COGAG全燃动力装置关键技术基础研究与验" xfId="36"/>
    <cellStyle name="_Cover" xfId="37"/>
    <cellStyle name="_CY403.13A-01" xfId="38"/>
    <cellStyle name="_CY403.21A-01" xfId="39"/>
    <cellStyle name="_CY403.602-01" xfId="40"/>
    <cellStyle name="_CY403.G24-01" xfId="41"/>
    <cellStyle name="_CY403.YAN-01" xfId="42"/>
    <cellStyle name="_CY403.YUN-01" xfId="43"/>
    <cellStyle name="_ET_STYLE_NoName_00_" xfId="44"/>
    <cellStyle name="_ET_STYLE_NoName_00__Book1" xfId="45"/>
    <cellStyle name="_ET_STYLE_NoName_00__Sheet3" xfId="46"/>
    <cellStyle name="_ET_STYLE_NoName_01_" xfId="47"/>
    <cellStyle name="_L2-Summary by Element" xfId="48"/>
    <cellStyle name="_SMQ布线" xfId="49"/>
    <cellStyle name="_报价表格" xfId="50"/>
    <cellStyle name="_初步设计设备表" xfId="51"/>
    <cellStyle name="_电磁兼容试验场工艺设备" xfId="52"/>
    <cellStyle name="_电气工程" xfId="53"/>
    <cellStyle name="_电气接入系统090131－给概算" xfId="54"/>
    <cellStyle name="_附表1、4 投资估算+公用5.21" xfId="55"/>
    <cellStyle name="_附表1、4估算、公用" xfId="56"/>
    <cellStyle name="_附表1、4估算、公用 2" xfId="57"/>
    <cellStyle name="_附表1、4估算、公用 3" xfId="58"/>
    <cellStyle name="_附表1、4估算、公用 4" xfId="59"/>
    <cellStyle name="_附表1、4估算、公用 5" xfId="60"/>
    <cellStyle name="_附表1、4估算、公用 6" xfId="61"/>
    <cellStyle name="_附表1、4估算、公用 7" xfId="62"/>
    <cellStyle name="_附表1、4估算、公用 8" xfId="63"/>
    <cellStyle name="_附表2、3、6设备、进口、招标" xfId="64"/>
    <cellStyle name="_附表2、3、6设备、进口、招标 2" xfId="65"/>
    <cellStyle name="_附表2、3、6设备、进口、招标 3" xfId="66"/>
    <cellStyle name="_附表2、3、6设备、进口、招标 4" xfId="67"/>
    <cellStyle name="_附表2、3、6设备、进口、招标 5" xfId="68"/>
    <cellStyle name="_附表2、3、6设备、进口、招标 6" xfId="69"/>
    <cellStyle name="_附表2、3、6设备、进口、招标 7" xfId="70"/>
    <cellStyle name="_附表2、3、6设备、进口、招标 8" xfId="71"/>
    <cellStyle name="_附表2、3、6设备、进口、招标_705三表1" xfId="72"/>
    <cellStyle name="_附表2、3、6设备、进口、招标_705三表1 2" xfId="73"/>
    <cellStyle name="_附表2、3、6设备、进口、招标_705三表1 3" xfId="74"/>
    <cellStyle name="_附表2、3、6设备、进口、招标_705三表1 4" xfId="75"/>
    <cellStyle name="_附表2、3、6设备、进口、招标_705三表1 5" xfId="76"/>
    <cellStyle name="_附表2、3、6设备、进口、招标_705三表1 6" xfId="77"/>
    <cellStyle name="_附表2、3、6设备、进口及招标表" xfId="78"/>
    <cellStyle name="_附表2、3设备、进口表" xfId="79"/>
    <cellStyle name="_概 算" xfId="80"/>
    <cellStyle name="_概 算书" xfId="81"/>
    <cellStyle name="_概算" xfId="82"/>
    <cellStyle name="_概算（951）6" xfId="83"/>
    <cellStyle name="_概算（燃机）2007  1105调整" xfId="84"/>
    <cellStyle name="_概算（燃机）5" xfId="85"/>
    <cellStyle name="_概算（燃机）8" xfId="86"/>
    <cellStyle name="_概算4" xfId="87"/>
    <cellStyle name="_概算56" xfId="88"/>
    <cellStyle name="_概算－7" xfId="89"/>
    <cellStyle name="_概算表" xfId="90"/>
    <cellStyle name="_公用系统" xfId="91"/>
    <cellStyle name="_可研工艺设备汇总表" xfId="92"/>
    <cellStyle name="_燃机研究设计平台设备表-初设" xfId="93"/>
    <cellStyle name="_设备表(A3)12" xfId="94"/>
    <cellStyle name="_设备表（最新样表）" xfId="95"/>
    <cellStyle name="_设备表-12.18" xfId="96"/>
    <cellStyle name="_设备表－已排版(总04.10)" xfId="97"/>
    <cellStyle name="_无锡分部" xfId="98"/>
    <cellStyle name="_新增工艺设备表090415" xfId="99"/>
    <cellStyle name="_新增工艺设备表090415 2" xfId="100"/>
    <cellStyle name="_新增工艺设备表090415 3" xfId="101"/>
    <cellStyle name="_新增工艺设备表090415 4" xfId="102"/>
    <cellStyle name="_新增工艺设备表090415 5" xfId="103"/>
    <cellStyle name="_新增工艺设备表090415 6" xfId="104"/>
    <cellStyle name="_新增工艺设备表090415 7" xfId="105"/>
    <cellStyle name="_新增工艺设备表090415 8" xfId="106"/>
    <cellStyle name="_新增工艺设备表090415_705三表1" xfId="107"/>
    <cellStyle name="_新增工艺设备表090415_705三表1 2" xfId="108"/>
    <cellStyle name="_新增工艺设备表090415_705三表1 3" xfId="109"/>
    <cellStyle name="_新增工艺设备表090415_705三表1 4" xfId="110"/>
    <cellStyle name="_新增工艺设备表090415_705三表1 5" xfId="111"/>
    <cellStyle name="_新增工艺设备表090415_705三表1 6" xfId="112"/>
    <cellStyle name="_诱饵三表" xfId="113"/>
    <cellStyle name="_总概算" xfId="114"/>
    <cellStyle name="_总设备表071107" xfId="115"/>
    <cellStyle name="0,0_x000d__x000a_NA_x000d__x000a_" xfId="116"/>
    <cellStyle name="0,0_x000d__x000a_NA_x000d__x000a_ 10" xfId="117"/>
    <cellStyle name="0,0_x000d__x000a_NA_x000d__x000a_ 10 2" xfId="118"/>
    <cellStyle name="0,0_x000d__x000a_NA_x000d__x000a_ 10 3" xfId="119"/>
    <cellStyle name="0,0_x000d__x000a_NA_x000d__x000a_ 10 4" xfId="120"/>
    <cellStyle name="0,0_x000d__x000a_NA_x000d__x000a_ 10 5" xfId="121"/>
    <cellStyle name="0,0_x000d__x000a_NA_x000d__x000a_ 10 6" xfId="122"/>
    <cellStyle name="0,0_x000d__x000a_NA_x000d__x000a_ 10 7" xfId="123"/>
    <cellStyle name="0,0_x000d__x000a_NA_x000d__x000a_ 10 8" xfId="124"/>
    <cellStyle name="0,0_x000d__x000a_NA_x000d__x000a_ 11" xfId="125"/>
    <cellStyle name="0,0_x000d__x000a_NA_x000d__x000a_ 12" xfId="126"/>
    <cellStyle name="0,0_x000d__x000a_NA_x000d__x000a_ 13" xfId="127"/>
    <cellStyle name="0,0_x000d__x000a_NA_x000d__x000a_ 14" xfId="128"/>
    <cellStyle name="0,0_x000d__x000a_NA_x000d__x000a_ 15" xfId="129"/>
    <cellStyle name="0,0_x000d__x000a_NA_x000d__x000a_ 16" xfId="130"/>
    <cellStyle name="0,0_x000d__x000a_NA_x000d__x000a_ 17" xfId="131"/>
    <cellStyle name="0,0_x000d__x000a_NA_x000d__x000a_ 2" xfId="132"/>
    <cellStyle name="0,0_x000d__x000a_NA_x000d__x000a_ 2 2" xfId="133"/>
    <cellStyle name="0,0_x000d__x000a_NA_x000d__x000a_ 2 3" xfId="134"/>
    <cellStyle name="0,0_x000d__x000a_NA_x000d__x000a_ 2 4" xfId="135"/>
    <cellStyle name="0,0_x000d__x000a_NA_x000d__x000a_ 2 5" xfId="136"/>
    <cellStyle name="0,0_x000d__x000a_NA_x000d__x000a_ 2 6" xfId="137"/>
    <cellStyle name="0,0_x000d__x000a_NA_x000d__x000a_ 2 7" xfId="138"/>
    <cellStyle name="0,0_x000d__x000a_NA_x000d__x000a_ 2 8" xfId="139"/>
    <cellStyle name="0,0_x000d__x000a_NA_x000d__x000a_ 3" xfId="140"/>
    <cellStyle name="0,0_x000d__x000a_NA_x000d__x000a_ 3 2" xfId="141"/>
    <cellStyle name="0,0_x000d__x000a_NA_x000d__x000a_ 3 2 2 2 2 2 2 5 2" xfId="142"/>
    <cellStyle name="0,0_x000d__x000a_NA_x000d__x000a_ 3 2 2 2 2 2 2 5 2 2" xfId="143"/>
    <cellStyle name="0,0_x000d__x000a_NA_x000d__x000a_ 3 2 2 2 2 2 2 5 2 3" xfId="144"/>
    <cellStyle name="0,0_x000d__x000a_NA_x000d__x000a_ 3 2 2 2 2 2 2 5 2 4" xfId="145"/>
    <cellStyle name="0,0_x000d__x000a_NA_x000d__x000a_ 3 2 2 2 2 2 2 5 2 5" xfId="146"/>
    <cellStyle name="0,0_x000d__x000a_NA_x000d__x000a_ 3 2 2 2 2 2 2 5 2 6" xfId="147"/>
    <cellStyle name="0,0_x000d__x000a_NA_x000d__x000a_ 3 2 2 2 2 2 2 5 2 7" xfId="148"/>
    <cellStyle name="0,0_x000d__x000a_NA_x000d__x000a_ 3 2 2 2 2 2 2 5 2 8" xfId="149"/>
    <cellStyle name="0,0_x000d__x000a_NA_x000d__x000a_ 3 3" xfId="150"/>
    <cellStyle name="0,0_x000d__x000a_NA_x000d__x000a_ 3 4" xfId="151"/>
    <cellStyle name="0,0_x000d__x000a_NA_x000d__x000a_ 3 5" xfId="152"/>
    <cellStyle name="0,0_x000d__x000a_NA_x000d__x000a_ 3 6" xfId="153"/>
    <cellStyle name="0,0_x000d__x000a_NA_x000d__x000a_ 3 7" xfId="154"/>
    <cellStyle name="0,0_x000d__x000a_NA_x000d__x000a_ 3 8" xfId="155"/>
    <cellStyle name="0,0_x000d__x000a_NA_x000d__x000a_ 4" xfId="156"/>
    <cellStyle name="0,0_x000d__x000a_NA_x000d__x000a_ 4 2" xfId="157"/>
    <cellStyle name="0,0_x000d__x000a_NA_x000d__x000a_ 4 3" xfId="158"/>
    <cellStyle name="0,0_x000d__x000a_NA_x000d__x000a_ 4 4" xfId="159"/>
    <cellStyle name="0,0_x000d__x000a_NA_x000d__x000a_ 4 5" xfId="160"/>
    <cellStyle name="0,0_x000d__x000a_NA_x000d__x000a_ 4 6" xfId="161"/>
    <cellStyle name="0,0_x000d__x000a_NA_x000d__x000a_ 4 7" xfId="162"/>
    <cellStyle name="0,0_x000d__x000a_NA_x000d__x000a_ 4 8" xfId="163"/>
    <cellStyle name="0,0_x000d__x000a_NA_x000d__x000a_ 5" xfId="164"/>
    <cellStyle name="0,0_x000d__x000a_NA_x000d__x000a_ 5 2" xfId="165"/>
    <cellStyle name="0,0_x000d__x000a_NA_x000d__x000a_ 5 3" xfId="166"/>
    <cellStyle name="0,0_x000d__x000a_NA_x000d__x000a_ 5 4" xfId="167"/>
    <cellStyle name="0,0_x000d__x000a_NA_x000d__x000a_ 5 5" xfId="168"/>
    <cellStyle name="0,0_x000d__x000a_NA_x000d__x000a_ 5 6" xfId="169"/>
    <cellStyle name="0,0_x000d__x000a_NA_x000d__x000a_ 5 7" xfId="170"/>
    <cellStyle name="0,0_x000d__x000a_NA_x000d__x000a_ 5 8" xfId="171"/>
    <cellStyle name="0,0_x000d__x000a_NA_x000d__x000a_ 6" xfId="172"/>
    <cellStyle name="0,0_x000d__x000a_NA_x000d__x000a_ 6 2" xfId="173"/>
    <cellStyle name="0,0_x000d__x000a_NA_x000d__x000a_ 6 3" xfId="174"/>
    <cellStyle name="0,0_x000d__x000a_NA_x000d__x000a_ 6 4" xfId="175"/>
    <cellStyle name="0,0_x000d__x000a_NA_x000d__x000a_ 6 5" xfId="176"/>
    <cellStyle name="0,0_x000d__x000a_NA_x000d__x000a_ 6 6" xfId="177"/>
    <cellStyle name="0,0_x000d__x000a_NA_x000d__x000a_ 6 7" xfId="178"/>
    <cellStyle name="0,0_x000d__x000a_NA_x000d__x000a_ 6 8" xfId="179"/>
    <cellStyle name="0,0_x000d__x000a_NA_x000d__x000a_ 7" xfId="180"/>
    <cellStyle name="0,0_x000d__x000a_NA_x000d__x000a_ 7 2" xfId="181"/>
    <cellStyle name="0,0_x000d__x000a_NA_x000d__x000a_ 7 3" xfId="182"/>
    <cellStyle name="0,0_x000d__x000a_NA_x000d__x000a_ 7 4" xfId="183"/>
    <cellStyle name="0,0_x000d__x000a_NA_x000d__x000a_ 7 5" xfId="184"/>
    <cellStyle name="0,0_x000d__x000a_NA_x000d__x000a_ 7 6" xfId="185"/>
    <cellStyle name="0,0_x000d__x000a_NA_x000d__x000a_ 7 7" xfId="186"/>
    <cellStyle name="0,0_x000d__x000a_NA_x000d__x000a_ 7 8" xfId="187"/>
    <cellStyle name="0,0_x000d__x000a_NA_x000d__x000a_ 8" xfId="188"/>
    <cellStyle name="0,0_x000d__x000a_NA_x000d__x000a_ 8 2" xfId="189"/>
    <cellStyle name="0,0_x000d__x000a_NA_x000d__x000a_ 8 3" xfId="190"/>
    <cellStyle name="0,0_x000d__x000a_NA_x000d__x000a_ 8 4" xfId="191"/>
    <cellStyle name="0,0_x000d__x000a_NA_x000d__x000a_ 8 5" xfId="192"/>
    <cellStyle name="0,0_x000d__x000a_NA_x000d__x000a_ 8 6" xfId="193"/>
    <cellStyle name="0,0_x000d__x000a_NA_x000d__x000a_ 8 7" xfId="194"/>
    <cellStyle name="0,0_x000d__x000a_NA_x000d__x000a_ 8 8" xfId="195"/>
    <cellStyle name="0,0_x000d__x000a_NA_x000d__x000a_ 9" xfId="196"/>
    <cellStyle name="0,0_x000d__x000a_NA_x000d__x000a_ 9 2" xfId="197"/>
    <cellStyle name="0,0_x000d__x000a_NA_x000d__x000a_ 9 3" xfId="198"/>
    <cellStyle name="0,0_x000d__x000a_NA_x000d__x000a_ 9 4" xfId="199"/>
    <cellStyle name="0,0_x000d__x000a_NA_x000d__x000a_ 9 5" xfId="200"/>
    <cellStyle name="0,0_x000d__x000a_NA_x000d__x000a_ 9 6" xfId="201"/>
    <cellStyle name="0,0_x000d__x000a_NA_x000d__x000a_ 9 7" xfId="202"/>
    <cellStyle name="0,0_x000d__x000a_NA_x000d__x000a_ 9 8" xfId="203"/>
    <cellStyle name="0,0_x000d__x000a_NA_x000d__x000a__1" xfId="204"/>
    <cellStyle name="6mal" xfId="205"/>
    <cellStyle name="ÅëÈ­ [0]_laroux" xfId="206"/>
    <cellStyle name="ÅëÈ­_laroux" xfId="207"/>
    <cellStyle name="args.style" xfId="208"/>
    <cellStyle name="ÄÞ¸¶ [0]_laroux" xfId="209"/>
    <cellStyle name="ÄÞ¸¶_laroux" xfId="210"/>
    <cellStyle name="Body" xfId="211"/>
    <cellStyle name="BORDERS" xfId="212"/>
    <cellStyle name="Ç¥ÁØ_ÀÎÀç°³¹ß¿ø" xfId="213"/>
    <cellStyle name="Calc Currency (0)" xfId="214"/>
    <cellStyle name="Calc Currency (0) 2" xfId="215"/>
    <cellStyle name="Calc Currency (0) 2 2" xfId="216"/>
    <cellStyle name="Calc Currency (0) 2 3" xfId="217"/>
    <cellStyle name="Calc Currency (0) 2 4" xfId="218"/>
    <cellStyle name="Calc Currency (0) 2 5" xfId="219"/>
    <cellStyle name="Calc Currency (0) 2 6" xfId="220"/>
    <cellStyle name="Calc Currency (0) 2 7" xfId="221"/>
    <cellStyle name="Calc Currency (0) 2 8" xfId="222"/>
    <cellStyle name="Calc Currency (0) 3" xfId="223"/>
    <cellStyle name="Calc Currency (0) 3 2" xfId="224"/>
    <cellStyle name="Calc Currency (0) 3 3" xfId="225"/>
    <cellStyle name="Calc Currency (0) 3 4" xfId="226"/>
    <cellStyle name="Calc Currency (0) 3 5" xfId="227"/>
    <cellStyle name="Calc Currency (0) 3 6" xfId="228"/>
    <cellStyle name="Calc Currency (0) 3 7" xfId="229"/>
    <cellStyle name="Calc Currency (0) 3 8" xfId="230"/>
    <cellStyle name="Calc Currency (0) 4" xfId="231"/>
    <cellStyle name="Calc Currency (0) 4 2" xfId="232"/>
    <cellStyle name="Calc Currency (0) 4 3" xfId="233"/>
    <cellStyle name="Calc Currency (0) 4 4" xfId="234"/>
    <cellStyle name="Calc Currency (0) 4 5" xfId="235"/>
    <cellStyle name="Calc Currency (0) 4 6" xfId="236"/>
    <cellStyle name="Calc Currency (0) 4 7" xfId="237"/>
    <cellStyle name="Calc Currency (0) 4 8" xfId="238"/>
    <cellStyle name="Calc Currency (0)_716投资估算10-08-05" xfId="239"/>
    <cellStyle name="Comma  - Style1" xfId="240"/>
    <cellStyle name="Comma  - Style2" xfId="241"/>
    <cellStyle name="Comma  - Style3" xfId="242"/>
    <cellStyle name="Comma  - Style4" xfId="243"/>
    <cellStyle name="Comma  - Style5" xfId="244"/>
    <cellStyle name="Comma  - Style6" xfId="245"/>
    <cellStyle name="Comma  - Style7" xfId="246"/>
    <cellStyle name="Comma  - Style8" xfId="247"/>
    <cellStyle name="Comma [0]" xfId="248"/>
    <cellStyle name="comma zerodec" xfId="249"/>
    <cellStyle name="Comma_!!!GO" xfId="250"/>
    <cellStyle name="Comma0 - Modelo1" xfId="251"/>
    <cellStyle name="Comma0 - Modelo1 2" xfId="252"/>
    <cellStyle name="Comma0 - Modelo1 3" xfId="253"/>
    <cellStyle name="Comma0 - Modelo1 4" xfId="254"/>
    <cellStyle name="Comma0 - Modelo1 5" xfId="255"/>
    <cellStyle name="Comma0 - Modelo1 6" xfId="256"/>
    <cellStyle name="Comma0 - Modelo1 7" xfId="257"/>
    <cellStyle name="Comma0 - Modelo1 8" xfId="258"/>
    <cellStyle name="Comma0 - Style1" xfId="259"/>
    <cellStyle name="Comma1 - Modelo2" xfId="260"/>
    <cellStyle name="Comma1 - Modelo2 2" xfId="261"/>
    <cellStyle name="Comma1 - Modelo2 3" xfId="262"/>
    <cellStyle name="Comma1 - Modelo2 4" xfId="263"/>
    <cellStyle name="Comma1 - Modelo2 5" xfId="264"/>
    <cellStyle name="Comma1 - Modelo2 6" xfId="265"/>
    <cellStyle name="Comma1 - Modelo2 7" xfId="266"/>
    <cellStyle name="Comma1 - Modelo2 8" xfId="267"/>
    <cellStyle name="Comma1 - Style2" xfId="268"/>
    <cellStyle name="Currency [0]" xfId="269"/>
    <cellStyle name="Currency_!!!GO" xfId="270"/>
    <cellStyle name="Currency1" xfId="271"/>
    <cellStyle name="Date" xfId="272"/>
    <cellStyle name="Dia" xfId="273"/>
    <cellStyle name="Dollar (zero dec)" xfId="274"/>
    <cellStyle name="Encabez1" xfId="275"/>
    <cellStyle name="Encabez2" xfId="276"/>
    <cellStyle name="entry box" xfId="277"/>
    <cellStyle name="F2" xfId="278"/>
    <cellStyle name="F3" xfId="279"/>
    <cellStyle name="F4" xfId="280"/>
    <cellStyle name="F5" xfId="281"/>
    <cellStyle name="F6" xfId="282"/>
    <cellStyle name="F7" xfId="283"/>
    <cellStyle name="F8" xfId="284"/>
    <cellStyle name="Fijo" xfId="285"/>
    <cellStyle name="Financiero" xfId="286"/>
    <cellStyle name="Grey" xfId="287"/>
    <cellStyle name="HEADER" xfId="288"/>
    <cellStyle name="Header1" xfId="289"/>
    <cellStyle name="Header2" xfId="290"/>
    <cellStyle name="Input [yellow]" xfId="291"/>
    <cellStyle name="Input Cells" xfId="292"/>
    <cellStyle name="Jun" xfId="293"/>
    <cellStyle name="Linked Cells" xfId="294"/>
    <cellStyle name="Millares [0]_10 AVERIAS MASIVAS + ANT" xfId="295"/>
    <cellStyle name="Millares_10 AVERIAS MASIVAS + ANT" xfId="296"/>
    <cellStyle name="Milliers [0]_!!!GO" xfId="297"/>
    <cellStyle name="Milliers_!!!GO" xfId="298"/>
    <cellStyle name="Model" xfId="299"/>
    <cellStyle name="Moneda [0]_10 AVERIAS MASIVAS + ANT" xfId="300"/>
    <cellStyle name="Moneda_10 AVERIAS MASIVAS + ANT" xfId="301"/>
    <cellStyle name="Monetario" xfId="302"/>
    <cellStyle name="Mon閠aire [0]_!!!GO" xfId="303"/>
    <cellStyle name="Mon閠aire_!!!GO" xfId="304"/>
    <cellStyle name="New Times Roman" xfId="305"/>
    <cellStyle name="no dec" xfId="306"/>
    <cellStyle name="Normal - Style1" xfId="307"/>
    <cellStyle name="Normal_!!!GO" xfId="308"/>
    <cellStyle name="Normalny_Arkusz1" xfId="309"/>
    <cellStyle name="Note" xfId="310"/>
    <cellStyle name="per.style" xfId="311"/>
    <cellStyle name="Percent [2]" xfId="312"/>
    <cellStyle name="Percent_!!!GO" xfId="313"/>
    <cellStyle name="Porcentaje" xfId="314"/>
    <cellStyle name="Pourcentage_pldt" xfId="315"/>
    <cellStyle name="Prefilled" xfId="316"/>
    <cellStyle name="prods" xfId="317"/>
    <cellStyle name="PSChar" xfId="318"/>
    <cellStyle name="PSDate" xfId="319"/>
    <cellStyle name="PSDec" xfId="320"/>
    <cellStyle name="PSHeading" xfId="321"/>
    <cellStyle name="PSInt" xfId="322"/>
    <cellStyle name="PSSpacer" xfId="323"/>
    <cellStyle name="RM" xfId="324"/>
    <cellStyle name="shade" xfId="325"/>
    <cellStyle name="sstot" xfId="326"/>
    <cellStyle name="ST_01" xfId="327"/>
    <cellStyle name="Standard_AREAS" xfId="328"/>
    <cellStyle name="subhead" xfId="329"/>
    <cellStyle name="t" xfId="330"/>
    <cellStyle name="t_HVAC Equipment (3)" xfId="331"/>
    <cellStyle name="Total" xfId="332"/>
    <cellStyle name="ปกติ_11wq42" xfId="333"/>
    <cellStyle name="百分比 2" xfId="334"/>
    <cellStyle name="百分比 2 2" xfId="335"/>
    <cellStyle name="百分比 2 3" xfId="336"/>
    <cellStyle name="百分比 2 4" xfId="337"/>
    <cellStyle name="百分比 2 5" xfId="338"/>
    <cellStyle name="百分比 2 6" xfId="339"/>
    <cellStyle name="百分比 2 7" xfId="340"/>
    <cellStyle name="百分比 2 8" xfId="341"/>
    <cellStyle name="百分比 3" xfId="342"/>
    <cellStyle name="百分比 4" xfId="343"/>
    <cellStyle name="百分比 4 2" xfId="344"/>
    <cellStyle name="百分比 4 3" xfId="345"/>
    <cellStyle name="百分比 4 4" xfId="346"/>
    <cellStyle name="百分比 4 5" xfId="347"/>
    <cellStyle name="百分比 4 6" xfId="348"/>
    <cellStyle name="百分比 4 7" xfId="349"/>
    <cellStyle name="百分比 4 8" xfId="350"/>
    <cellStyle name="捠壿 [0.00]_Region Orders (2)" xfId="351"/>
    <cellStyle name="捠壿_Region Orders (2)" xfId="352"/>
    <cellStyle name="编号" xfId="353"/>
    <cellStyle name="标题1" xfId="354"/>
    <cellStyle name="標準_APCO BQ_0312_BQ_BQ-2" xfId="355"/>
    <cellStyle name="部门" xfId="356"/>
    <cellStyle name="差_6A项目建议书设备、概算表（调整对照表）" xfId="357"/>
    <cellStyle name="差_6A项目建议书设备、概算表（调整对照表） 2" xfId="358"/>
    <cellStyle name="差_6A项目建议书设备、概算表（调整对照表） 3" xfId="359"/>
    <cellStyle name="差_6A项目建议书设备、概算表（调整对照表） 4" xfId="360"/>
    <cellStyle name="差_6A项目建议书设备、概算表（调整对照表） 5" xfId="361"/>
    <cellStyle name="差_6A项目建议书设备、概算表（调整对照表） 6" xfId="362"/>
    <cellStyle name="差_Book1" xfId="363"/>
    <cellStyle name="差_Book1 2" xfId="364"/>
    <cellStyle name="差_Book1 3" xfId="365"/>
    <cellStyle name="差_Book1 4" xfId="366"/>
    <cellStyle name="差_Book1 5" xfId="367"/>
    <cellStyle name="差_Book1 6" xfId="368"/>
    <cellStyle name="差_附表-08-11  " xfId="369"/>
    <cellStyle name="差_附表-08-11   2" xfId="370"/>
    <cellStyle name="差_附表-08-11   3" xfId="371"/>
    <cellStyle name="差_附表-08-11   4" xfId="372"/>
    <cellStyle name="差_附表-08-11   5" xfId="373"/>
    <cellStyle name="差_附表-08-11   6" xfId="374"/>
    <cellStyle name="差_可研工艺设备汇总表" xfId="375"/>
    <cellStyle name="差_可研工艺设备汇总表 2" xfId="376"/>
    <cellStyle name="差_可研工艺设备汇总表 3" xfId="377"/>
    <cellStyle name="差_可研工艺设备汇总表 4" xfId="378"/>
    <cellStyle name="差_可研工艺设备汇总表 5" xfId="379"/>
    <cellStyle name="差_可研工艺设备汇总表 6" xfId="380"/>
    <cellStyle name="差_可研工艺设备汇总表 7" xfId="381"/>
    <cellStyle name="差_设备表" xfId="382"/>
    <cellStyle name="差_设备表 2" xfId="383"/>
    <cellStyle name="差_设备表 3" xfId="384"/>
    <cellStyle name="差_设备表 4" xfId="385"/>
    <cellStyle name="差_设备表 5" xfId="386"/>
    <cellStyle name="差_设备表 6" xfId="387"/>
    <cellStyle name="差_设备表 7" xfId="388"/>
    <cellStyle name="差_设备表 8" xfId="389"/>
    <cellStyle name="常规" xfId="0" builtinId="0"/>
    <cellStyle name="常规 10" xfId="390"/>
    <cellStyle name="常规 10 2" xfId="391"/>
    <cellStyle name="常规 10 2 2" xfId="392"/>
    <cellStyle name="常规 10 3" xfId="393"/>
    <cellStyle name="常规 10 4" xfId="394"/>
    <cellStyle name="常规 10 5" xfId="395"/>
    <cellStyle name="常规 10 6" xfId="396"/>
    <cellStyle name="常规 10 7" xfId="397"/>
    <cellStyle name="常规 10 8" xfId="398"/>
    <cellStyle name="常规 10 9" xfId="399"/>
    <cellStyle name="常规 11" xfId="400"/>
    <cellStyle name="常规 11 2" xfId="401"/>
    <cellStyle name="常规 11 3" xfId="402"/>
    <cellStyle name="常规 11 4" xfId="403"/>
    <cellStyle name="常规 11 5" xfId="404"/>
    <cellStyle name="常规 11 6" xfId="405"/>
    <cellStyle name="常规 11 7" xfId="406"/>
    <cellStyle name="常规 11 8" xfId="407"/>
    <cellStyle name="常规 12" xfId="408"/>
    <cellStyle name="常规 12 2" xfId="409"/>
    <cellStyle name="常规 12 3" xfId="410"/>
    <cellStyle name="常规 12 4" xfId="411"/>
    <cellStyle name="常规 12 5" xfId="412"/>
    <cellStyle name="常规 12 6" xfId="413"/>
    <cellStyle name="常规 12 7" xfId="414"/>
    <cellStyle name="常规 12 8" xfId="415"/>
    <cellStyle name="常规 13" xfId="416"/>
    <cellStyle name="常规 13 2" xfId="417"/>
    <cellStyle name="常规 13 3" xfId="418"/>
    <cellStyle name="常规 13 4" xfId="419"/>
    <cellStyle name="常规 13 5" xfId="420"/>
    <cellStyle name="常规 13 6" xfId="421"/>
    <cellStyle name="常规 13 7" xfId="422"/>
    <cellStyle name="常规 13 8" xfId="423"/>
    <cellStyle name="常规 14" xfId="424"/>
    <cellStyle name="常规 14 2" xfId="425"/>
    <cellStyle name="常规 14 3" xfId="426"/>
    <cellStyle name="常规 14 4" xfId="427"/>
    <cellStyle name="常规 14 5" xfId="428"/>
    <cellStyle name="常规 14 6" xfId="429"/>
    <cellStyle name="常规 14 7" xfId="430"/>
    <cellStyle name="常规 14 8" xfId="431"/>
    <cellStyle name="常规 15" xfId="432"/>
    <cellStyle name="常规 15 2" xfId="433"/>
    <cellStyle name="常规 15 3" xfId="434"/>
    <cellStyle name="常规 15 4" xfId="435"/>
    <cellStyle name="常规 15 5" xfId="436"/>
    <cellStyle name="常规 15 6" xfId="437"/>
    <cellStyle name="常规 15 7" xfId="438"/>
    <cellStyle name="常规 15 8" xfId="439"/>
    <cellStyle name="常规 16" xfId="440"/>
    <cellStyle name="常规 16 2" xfId="441"/>
    <cellStyle name="常规 16 3" xfId="442"/>
    <cellStyle name="常规 16 4" xfId="443"/>
    <cellStyle name="常规 16 5" xfId="444"/>
    <cellStyle name="常规 16 6" xfId="445"/>
    <cellStyle name="常规 16 7" xfId="446"/>
    <cellStyle name="常规 16 8" xfId="447"/>
    <cellStyle name="常规 17" xfId="448"/>
    <cellStyle name="常规 17 2" xfId="449"/>
    <cellStyle name="常规 17 3" xfId="450"/>
    <cellStyle name="常规 17 4" xfId="451"/>
    <cellStyle name="常规 17 5" xfId="452"/>
    <cellStyle name="常规 17 6" xfId="453"/>
    <cellStyle name="常规 17 7" xfId="454"/>
    <cellStyle name="常规 17 8" xfId="455"/>
    <cellStyle name="常规 18" xfId="456"/>
    <cellStyle name="常规 18 2" xfId="457"/>
    <cellStyle name="常规 18 3" xfId="458"/>
    <cellStyle name="常规 18 4" xfId="459"/>
    <cellStyle name="常规 18 5" xfId="460"/>
    <cellStyle name="常规 18 6" xfId="461"/>
    <cellStyle name="常规 18 7" xfId="462"/>
    <cellStyle name="常规 18 8" xfId="463"/>
    <cellStyle name="常规 19" xfId="464"/>
    <cellStyle name="常规 19 2" xfId="465"/>
    <cellStyle name="常规 19 3" xfId="466"/>
    <cellStyle name="常规 19 4" xfId="467"/>
    <cellStyle name="常规 19 5" xfId="468"/>
    <cellStyle name="常规 19 6" xfId="469"/>
    <cellStyle name="常规 19 7" xfId="470"/>
    <cellStyle name="常规 19 8" xfId="471"/>
    <cellStyle name="常规 2 10" xfId="473"/>
    <cellStyle name="常规 2 10 2" xfId="474"/>
    <cellStyle name="常规 2 10 3" xfId="475"/>
    <cellStyle name="常规 2 10 4" xfId="476"/>
    <cellStyle name="常规 2 10 5" xfId="477"/>
    <cellStyle name="常规 2 10 6" xfId="478"/>
    <cellStyle name="常规 2 10 7" xfId="479"/>
    <cellStyle name="常规 2 10 8" xfId="480"/>
    <cellStyle name="常规 2 11" xfId="481"/>
    <cellStyle name="常规 2 12" xfId="482"/>
    <cellStyle name="常规 2 13" xfId="483"/>
    <cellStyle name="常规 2 14" xfId="484"/>
    <cellStyle name="常规 2 15" xfId="485"/>
    <cellStyle name="常规 2 16" xfId="486"/>
    <cellStyle name="常规 2 17" xfId="487"/>
    <cellStyle name="常规 2 18" xfId="768"/>
    <cellStyle name="常规 2 2" xfId="472"/>
    <cellStyle name="常规 2 2 2" xfId="489"/>
    <cellStyle name="常规 2 2 3" xfId="490"/>
    <cellStyle name="常规 2 2 4" xfId="491"/>
    <cellStyle name="常规 2 2 5" xfId="492"/>
    <cellStyle name="常规 2 2 6" xfId="493"/>
    <cellStyle name="常规 2 2 7" xfId="494"/>
    <cellStyle name="常规 2 2 8" xfId="495"/>
    <cellStyle name="常规 2 3" xfId="496"/>
    <cellStyle name="常规 2 3 2" xfId="497"/>
    <cellStyle name="常规 2 3 3" xfId="498"/>
    <cellStyle name="常规 2 3 4" xfId="499"/>
    <cellStyle name="常规 2 3 5" xfId="500"/>
    <cellStyle name="常规 2 3 6" xfId="501"/>
    <cellStyle name="常规 2 3 7" xfId="502"/>
    <cellStyle name="常规 2 3 8" xfId="503"/>
    <cellStyle name="常规 2 4" xfId="504"/>
    <cellStyle name="常规 2 4 2" xfId="505"/>
    <cellStyle name="常规 2 4 3" xfId="506"/>
    <cellStyle name="常规 2 4 4" xfId="507"/>
    <cellStyle name="常规 2 4 5" xfId="508"/>
    <cellStyle name="常规 2 4 6" xfId="509"/>
    <cellStyle name="常规 2 4 7" xfId="510"/>
    <cellStyle name="常规 2 4 8" xfId="511"/>
    <cellStyle name="常规 2 5" xfId="512"/>
    <cellStyle name="常规 2 5 2" xfId="513"/>
    <cellStyle name="常规 2 5 3" xfId="514"/>
    <cellStyle name="常规 2 5 4" xfId="515"/>
    <cellStyle name="常规 2 5 5" xfId="516"/>
    <cellStyle name="常规 2 5 6" xfId="517"/>
    <cellStyle name="常规 2 5 7" xfId="518"/>
    <cellStyle name="常规 2 5 8" xfId="519"/>
    <cellStyle name="常规 2 6" xfId="520"/>
    <cellStyle name="常规 2 6 2" xfId="521"/>
    <cellStyle name="常规 2 6 3" xfId="522"/>
    <cellStyle name="常规 2 6 4" xfId="523"/>
    <cellStyle name="常规 2 6 5" xfId="524"/>
    <cellStyle name="常规 2 6 6" xfId="525"/>
    <cellStyle name="常规 2 6 7" xfId="526"/>
    <cellStyle name="常规 2 6 8" xfId="527"/>
    <cellStyle name="常规 2 7" xfId="528"/>
    <cellStyle name="常规 2 7 2" xfId="529"/>
    <cellStyle name="常规 2 7 3" xfId="530"/>
    <cellStyle name="常规 2 7 4" xfId="531"/>
    <cellStyle name="常规 2 7 5" xfId="532"/>
    <cellStyle name="常规 2 7 6" xfId="533"/>
    <cellStyle name="常规 2 7 7" xfId="534"/>
    <cellStyle name="常规 2 7 8" xfId="535"/>
    <cellStyle name="常规 2 8" xfId="536"/>
    <cellStyle name="常规 2 8 2" xfId="537"/>
    <cellStyle name="常规 2 8 3" xfId="538"/>
    <cellStyle name="常规 2 8 4" xfId="539"/>
    <cellStyle name="常规 2 8 5" xfId="540"/>
    <cellStyle name="常规 2 8 6" xfId="541"/>
    <cellStyle name="常规 2 8 7" xfId="542"/>
    <cellStyle name="常规 2 8 8" xfId="543"/>
    <cellStyle name="常规 2 9" xfId="544"/>
    <cellStyle name="常规 2 9 2" xfId="545"/>
    <cellStyle name="常规 2 9 3" xfId="546"/>
    <cellStyle name="常规 2 9 4" xfId="547"/>
    <cellStyle name="常规 2 9 5" xfId="548"/>
    <cellStyle name="常规 2 9 6" xfId="549"/>
    <cellStyle name="常规 2 9 7" xfId="550"/>
    <cellStyle name="常规 2 9 8" xfId="551"/>
    <cellStyle name="常规 20" xfId="552"/>
    <cellStyle name="常规 20 2" xfId="553"/>
    <cellStyle name="常规 20 3" xfId="554"/>
    <cellStyle name="常规 20 4" xfId="555"/>
    <cellStyle name="常规 20 5" xfId="556"/>
    <cellStyle name="常规 20 6" xfId="557"/>
    <cellStyle name="常规 20 7" xfId="558"/>
    <cellStyle name="常规 20 8" xfId="559"/>
    <cellStyle name="常规 21" xfId="560"/>
    <cellStyle name="常规 22" xfId="561"/>
    <cellStyle name="常规 23" xfId="562"/>
    <cellStyle name="常规 23 2" xfId="563"/>
    <cellStyle name="常规 23 2 2" xfId="564"/>
    <cellStyle name="常规 23 2 3" xfId="565"/>
    <cellStyle name="常规 23 3" xfId="566"/>
    <cellStyle name="常规 23 4" xfId="567"/>
    <cellStyle name="常规 23 5" xfId="568"/>
    <cellStyle name="常规 23 6" xfId="569"/>
    <cellStyle name="常规 23 7" xfId="570"/>
    <cellStyle name="常规 24" xfId="571"/>
    <cellStyle name="常规 24 2" xfId="572"/>
    <cellStyle name="常规 24 3" xfId="573"/>
    <cellStyle name="常规 24 4" xfId="574"/>
    <cellStyle name="常规 24 5" xfId="575"/>
    <cellStyle name="常规 24 6" xfId="576"/>
    <cellStyle name="常规 24 7" xfId="577"/>
    <cellStyle name="常规 25" xfId="578"/>
    <cellStyle name="常规 26" xfId="579"/>
    <cellStyle name="常规 27" xfId="580"/>
    <cellStyle name="常规 28" xfId="488"/>
    <cellStyle name="常规 3" xfId="581"/>
    <cellStyle name="常规 3 2" xfId="582"/>
    <cellStyle name="常规 3 2 2" xfId="583"/>
    <cellStyle name="常规 3 2 3" xfId="584"/>
    <cellStyle name="常规 3 2 4" xfId="585"/>
    <cellStyle name="常规 3 2 5" xfId="586"/>
    <cellStyle name="常规 3 2 6" xfId="587"/>
    <cellStyle name="常规 3 3" xfId="588"/>
    <cellStyle name="常规 3 4" xfId="589"/>
    <cellStyle name="常规 3 5" xfId="590"/>
    <cellStyle name="常规 3 6" xfId="591"/>
    <cellStyle name="常规 3 7" xfId="592"/>
    <cellStyle name="常规 3 8" xfId="593"/>
    <cellStyle name="常规 3 9" xfId="594"/>
    <cellStyle name="常规 33" xfId="595"/>
    <cellStyle name="常规 37" xfId="596"/>
    <cellStyle name="常规 38" xfId="597"/>
    <cellStyle name="常规 4" xfId="598"/>
    <cellStyle name="常规 4 2" xfId="599"/>
    <cellStyle name="常规 4 3" xfId="600"/>
    <cellStyle name="常规 4 4" xfId="601"/>
    <cellStyle name="常规 4 5" xfId="602"/>
    <cellStyle name="常规 4 6" xfId="603"/>
    <cellStyle name="常规 4 7" xfId="604"/>
    <cellStyle name="常规 4 8" xfId="605"/>
    <cellStyle name="常规 43" xfId="606"/>
    <cellStyle name="常规 5" xfId="607"/>
    <cellStyle name="常规 5 2" xfId="608"/>
    <cellStyle name="常规 5 3" xfId="609"/>
    <cellStyle name="常规 5 4" xfId="610"/>
    <cellStyle name="常规 5 5" xfId="611"/>
    <cellStyle name="常规 5 6" xfId="612"/>
    <cellStyle name="常规 5 7" xfId="613"/>
    <cellStyle name="常规 5 8" xfId="614"/>
    <cellStyle name="常规 6" xfId="615"/>
    <cellStyle name="常规 6 2" xfId="616"/>
    <cellStyle name="常规 6 3" xfId="617"/>
    <cellStyle name="常规 6 4" xfId="618"/>
    <cellStyle name="常规 6 5" xfId="619"/>
    <cellStyle name="常规 6 6" xfId="620"/>
    <cellStyle name="常规 6 7" xfId="621"/>
    <cellStyle name="常规 6 8" xfId="622"/>
    <cellStyle name="常规 7" xfId="623"/>
    <cellStyle name="常规 7 2" xfId="624"/>
    <cellStyle name="常规 7 3" xfId="625"/>
    <cellStyle name="常规 7 4" xfId="626"/>
    <cellStyle name="常规 7 5" xfId="627"/>
    <cellStyle name="常规 7 6" xfId="628"/>
    <cellStyle name="常规 7 7" xfId="629"/>
    <cellStyle name="常规 7 8" xfId="630"/>
    <cellStyle name="常规 8" xfId="631"/>
    <cellStyle name="常规 8 2" xfId="632"/>
    <cellStyle name="常规 8 3" xfId="633"/>
    <cellStyle name="常规 8 4" xfId="634"/>
    <cellStyle name="常规 8 5" xfId="635"/>
    <cellStyle name="常规 8 6" xfId="636"/>
    <cellStyle name="常规 8 7" xfId="637"/>
    <cellStyle name="常规 8 8" xfId="638"/>
    <cellStyle name="常规 9" xfId="639"/>
    <cellStyle name="常规 9 2" xfId="640"/>
    <cellStyle name="常规 9 2 10" xfId="641"/>
    <cellStyle name="常规 9 2 2" xfId="642"/>
    <cellStyle name="常规 9 2 2 2" xfId="643"/>
    <cellStyle name="常规 9 2 2 3" xfId="644"/>
    <cellStyle name="常规 9 2 3" xfId="645"/>
    <cellStyle name="常规 9 2 4" xfId="646"/>
    <cellStyle name="常规 9 2 5" xfId="647"/>
    <cellStyle name="常规 9 2 6" xfId="648"/>
    <cellStyle name="常规 9 2 7" xfId="649"/>
    <cellStyle name="常规 9 2 8" xfId="650"/>
    <cellStyle name="常规 9 2 9" xfId="651"/>
    <cellStyle name="常规 9 3" xfId="652"/>
    <cellStyle name="常规 9 4" xfId="653"/>
    <cellStyle name="常规 9 5" xfId="654"/>
    <cellStyle name="常规 9 6" xfId="655"/>
    <cellStyle name="常规 9 7" xfId="656"/>
    <cellStyle name="常规 9 8" xfId="657"/>
    <cellStyle name="超级链接_PERSONAL" xfId="658"/>
    <cellStyle name="超链接 2" xfId="659"/>
    <cellStyle name="超链接 2 2" xfId="660"/>
    <cellStyle name="超链接 2 3" xfId="661"/>
    <cellStyle name="超链接 2 4" xfId="662"/>
    <cellStyle name="超链接 2 5" xfId="663"/>
    <cellStyle name="超链接 2 6" xfId="664"/>
    <cellStyle name="超链接 2 7" xfId="665"/>
    <cellStyle name="超链接 3" xfId="666"/>
    <cellStyle name="超链接 3 2" xfId="667"/>
    <cellStyle name="超链接 3 3" xfId="668"/>
    <cellStyle name="超链接 3 4" xfId="669"/>
    <cellStyle name="超链接 3 5" xfId="670"/>
    <cellStyle name="超链接 3 6" xfId="671"/>
    <cellStyle name="超链接 3 7" xfId="672"/>
    <cellStyle name="超链接 4" xfId="673"/>
    <cellStyle name="超链接 4 2" xfId="674"/>
    <cellStyle name="超链接 4 3" xfId="675"/>
    <cellStyle name="超链接 4 4" xfId="676"/>
    <cellStyle name="超链接 4 5" xfId="677"/>
    <cellStyle name="超链接 4 6" xfId="678"/>
    <cellStyle name="超链接 4 7" xfId="679"/>
    <cellStyle name="分级显示行_1_Book1" xfId="680"/>
    <cellStyle name="分级显示列_1_Book1" xfId="681"/>
    <cellStyle name="好_6A项目建议书设备、概算表（调整对照表）" xfId="682"/>
    <cellStyle name="好_6A项目建议书设备、概算表（调整对照表） 2" xfId="683"/>
    <cellStyle name="好_6A项目建议书设备、概算表（调整对照表） 3" xfId="684"/>
    <cellStyle name="好_6A项目建议书设备、概算表（调整对照表） 4" xfId="685"/>
    <cellStyle name="好_6A项目建议书设备、概算表（调整对照表） 5" xfId="686"/>
    <cellStyle name="好_6A项目建议书设备、概算表（调整对照表） 6" xfId="687"/>
    <cellStyle name="好_Book1" xfId="688"/>
    <cellStyle name="好_Book1 2" xfId="689"/>
    <cellStyle name="好_Book1 3" xfId="690"/>
    <cellStyle name="好_Book1 4" xfId="691"/>
    <cellStyle name="好_Book1 5" xfId="692"/>
    <cellStyle name="好_Book1 6" xfId="693"/>
    <cellStyle name="好_附表-08-11  " xfId="694"/>
    <cellStyle name="好_附表-08-11   2" xfId="695"/>
    <cellStyle name="好_附表-08-11   3" xfId="696"/>
    <cellStyle name="好_附表-08-11   4" xfId="697"/>
    <cellStyle name="好_附表-08-11   5" xfId="698"/>
    <cellStyle name="好_附表-08-11   6" xfId="699"/>
    <cellStyle name="好_可研工艺设备汇总表" xfId="700"/>
    <cellStyle name="好_可研工艺设备汇总表 2" xfId="701"/>
    <cellStyle name="好_可研工艺设备汇总表 3" xfId="702"/>
    <cellStyle name="好_可研工艺设备汇总表 4" xfId="703"/>
    <cellStyle name="好_可研工艺设备汇总表 5" xfId="704"/>
    <cellStyle name="好_可研工艺设备汇总表 6" xfId="705"/>
    <cellStyle name="好_可研工艺设备汇总表 7" xfId="706"/>
    <cellStyle name="好_设备表" xfId="707"/>
    <cellStyle name="好_设备表 2" xfId="708"/>
    <cellStyle name="好_设备表 3" xfId="709"/>
    <cellStyle name="好_设备表 4" xfId="710"/>
    <cellStyle name="好_设备表 5" xfId="711"/>
    <cellStyle name="好_设备表 6" xfId="712"/>
    <cellStyle name="好_设备表 7" xfId="713"/>
    <cellStyle name="好_设备表 8" xfId="714"/>
    <cellStyle name="后继超级链接_PERSONAL" xfId="715"/>
    <cellStyle name="货币 2" xfId="716"/>
    <cellStyle name="货币 2 10" xfId="717"/>
    <cellStyle name="货币 2 2" xfId="718"/>
    <cellStyle name="货币 2 2 2" xfId="719"/>
    <cellStyle name="货币 2 2 3" xfId="720"/>
    <cellStyle name="货币 2 3" xfId="721"/>
    <cellStyle name="货币 2 4" xfId="722"/>
    <cellStyle name="货币 2 5" xfId="723"/>
    <cellStyle name="货币 2 6" xfId="724"/>
    <cellStyle name="货币 2 7" xfId="725"/>
    <cellStyle name="货币 2 8" xfId="726"/>
    <cellStyle name="货币 2 9" xfId="727"/>
    <cellStyle name="借出原因" xfId="728"/>
    <cellStyle name="霓付 [0]_97MBO" xfId="729"/>
    <cellStyle name="霓付_97MBO" xfId="730"/>
    <cellStyle name="烹拳 [0]_97MBO" xfId="731"/>
    <cellStyle name="烹拳_97MBO" xfId="732"/>
    <cellStyle name="普通_ 白土" xfId="733"/>
    <cellStyle name="千分位[0]_ 白土" xfId="734"/>
    <cellStyle name="千分位_ 白土" xfId="735"/>
    <cellStyle name="千位[0]_ 方正PC" xfId="736"/>
    <cellStyle name="千位_ 方正PC" xfId="737"/>
    <cellStyle name="千位分隔 2" xfId="738"/>
    <cellStyle name="千位分隔 2 2" xfId="739"/>
    <cellStyle name="千位分隔 2 3" xfId="740"/>
    <cellStyle name="千位分隔 2 4" xfId="741"/>
    <cellStyle name="千位分隔 2 5" xfId="742"/>
    <cellStyle name="千位分隔 2 6" xfId="743"/>
    <cellStyle name="千位分隔 2 7" xfId="744"/>
    <cellStyle name="千位分隔 2 8" xfId="745"/>
    <cellStyle name="千位分隔 3" xfId="746"/>
    <cellStyle name="千位分隔 3 2" xfId="747"/>
    <cellStyle name="千位分隔 3 3" xfId="748"/>
    <cellStyle name="千位分隔 3 4" xfId="749"/>
    <cellStyle name="千位分隔 3 5" xfId="750"/>
    <cellStyle name="千位分隔 3 6" xfId="751"/>
    <cellStyle name="千位分隔 3 7" xfId="752"/>
    <cellStyle name="千位分隔 3 8" xfId="753"/>
    <cellStyle name="钎霖_laroux" xfId="754"/>
    <cellStyle name="日期" xfId="755"/>
    <cellStyle name="商品名称" xfId="756"/>
    <cellStyle name="数量" xfId="757"/>
    <cellStyle name="样式 1" xfId="758"/>
    <cellStyle name="一般_D-Link 產品 一月份價格表 -(全總版）" xfId="759"/>
    <cellStyle name="昗弨_Pacific Region P&amp;L" xfId="760"/>
    <cellStyle name="寘嬫愗傝 [0.00]_Region Orders (2)" xfId="761"/>
    <cellStyle name="寘嬫愗傝_Region Orders (2)" xfId="762"/>
    <cellStyle name="콤마 [0]_BOILER-CO1" xfId="763"/>
    <cellStyle name="콤마_BOILER-CO1" xfId="764"/>
    <cellStyle name="통화 [0]_BOILER-CO1" xfId="765"/>
    <cellStyle name="통화_BOILER-CO1" xfId="766"/>
    <cellStyle name="표준_0N-HANDLING " xfId="76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41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Documents%20and%20Settings/Administratorgys/&#26700;&#38754;/438%20QH%209.24%20&#23494;/&#22522;&#30784;&#36164;&#26009;/&#21704;&#21487;&#30740;/0506&#25237;&#36164;&#20272;&#31639;-&#21704;&#24037;&#31243;dgx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Documents%20and%20Settings/Administratorgys/&#26700;&#38754;/438%20QH%209.24%20&#23494;/&#22522;&#30784;&#36164;&#26009;/&#21704;&#21487;&#30740;/0506&#25237;&#36164;&#20272;&#31639;-&#21704;&#24037;&#31243;dg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GP\GP_Ph1\SBB-OIs\Hel-OI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work/WORK2/705/&#32479;&#31609;/705&#32479;&#31609;&#21487;&#30740;090820/&#21103;&#26412;705&#25237;&#36164;&#20272;&#31639;&#34920;9.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work/WORK2/705/&#32479;&#31609;/705&#32479;&#31609;&#21487;&#30740;090820/&#21103;&#26412;705&#25237;&#36164;&#20272;&#31639;&#34920;9.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REFE&#65288;&#26426;&#23494;&#65289;/&#21021;&#27493;&#35774;&#35745;/&#27665;_&#32473;&#27700;&#21378;/&#23450;&#20852;&#21439;&#22478;&#20379;&#27700;&#24037;&#31243;_10000t/&#40481;&#27901;&#32473;&#27700;_/&#19968;&#32423;&#27893;&#2515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REFE&#65288;&#26426;&#23494;&#65289;/&#21021;&#27493;&#35774;&#35745;/&#27665;_&#32473;&#27700;&#21378;/&#23450;&#20852;&#21439;&#22478;&#20379;&#27700;&#24037;&#31243;_10000t/&#40481;&#27901;&#32473;&#27700;_/&#19968;&#32423;&#27893;&#25151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GP\tamer\WINDOWS\GP_A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09&#24180;&#24453;&#12290;&#12290;&#12290;/481/&#20272;&#31639;%20&#23450;&#31295;/&#24052;&#24037;/408&#26680;&#30005;&#27010;&#31639;(&#21435;&#25481;&#28938;&#25509;&#22303;&#24314;)07.1.31--/DOCUME~1/TIMWAN~1/LOCALS~1/Temp/&#22797;&#20214;%20408&#27010;&#31639;07.1.19.zip%20&#30340;&#20020;&#26102;&#30446;&#24405;%201/&#22797;&#20214;%20408&#27010;&#31639;07.1.19/Documents%20and%20Settings/Administrator/&#26700;&#38754;/713&#24037;&#33402;&#35774;&#22791;&#34920;(&#25152;&#25552;&#20379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09&#24180;&#24453;&#12290;&#12290;&#12290;/481/&#20272;&#31639;%20&#23450;&#31295;/&#24052;&#24037;/408&#26680;&#30005;&#27010;&#31639;(&#21435;&#25481;&#28938;&#25509;&#22303;&#24314;)07.1.31--/DOCUME~1/TIMWAN~1/LOCALS~1/Temp/&#22797;&#20214;%20408&#27010;&#31639;07.1.19.zip%20&#30340;&#20020;&#26102;&#30446;&#24405;%201/&#22797;&#20214;%20408&#27010;&#31639;07.1.19/Documents%20and%20Settings/Administrator/&#26700;&#38754;/713&#24037;&#33402;&#35774;&#22791;&#34920;(&#25152;&#25552;&#20379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CHR\ARBEJDE\Q4D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426/&#26032;&#24314;&#25991;&#20214;&#22841;/426&#21378;08&#25216;&#25514;&#39033;&#30446;-&#21487;&#30740;2008042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426/&#26032;&#24314;&#25991;&#20214;&#22841;/426&#21378;08&#25216;&#25514;&#39033;&#30446;-&#21487;&#30740;2008042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452;&#26611;/&#21487;&#30740;&#25253;&#21578;/junmao&#31185;&#30740;&#39033;&#30446;/JM&#31185;&#30740;20131222/&#20986;&#24046;&#36164;&#26009;/6-3-lwg/&#27494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Documents%20and%20Settings/ying/&#26700;&#38754;/109/462-2007-12-16&#25913;/&#38138;&#24213;&#27969;&#21160;&#36164;&#37329;&#29256;(yan&#31295;)/Documents%20and%20Settings/Administrator.913CD0BB8A7B47D/&#26700;&#38754;/Documents%20and%20Settings/ying/My%20Documents/462-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Documents%20and%20Settings/ying/&#26700;&#38754;/109/462-2007-12-16&#25913;/&#38138;&#24213;&#27969;&#21160;&#36164;&#37329;&#29256;(yan&#31295;)/Documents%20and%20Settings/Administrator.913CD0BB8A7B47D/&#26700;&#38754;/Documents%20and%20Settings/ying/My%20Documents/462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Backup%20of%20Backup%20of%20LINDA%20LISTONE.xlk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work/WORK2/705/&#32479;&#31609;/705&#32479;&#31609;&#21487;&#30740;090820/&#35780;&#23457;/705&#25237;&#36164;&#20272;&#31639;&#34920;%2010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work/WORK2/705/&#32479;&#31609;/705&#32479;&#31609;&#21487;&#30740;090820/&#35780;&#23457;/705&#25237;&#36164;&#20272;&#31639;&#34920;%20101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GOLDPYR4\ARENTO\TOOLBOX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fnl-gp2\ToolboxGP\Kor\OSP_Becht_Fi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WER%20ASSUMPTION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GP\tamer\DOS\TEMP\GPTLBX9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2797;&#20214;%20713&#20462;&#25913;&#29256;&#65288;06.3.17&#65289;-&#30707;\713&#24037;&#33402;&#35774;&#22791;&#34920;(&#25152;&#25552;&#20379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09&#24180;&#24453;&#12290;&#12290;&#12290;/481/&#20272;&#31639;%20&#23450;&#31295;/&#24052;&#24037;/06.11&#26700;&#38754;/408&#27010;&#31639;06.11.14&#30707;/408&#26680;&#30005;&#21333;&#20307;&#27010;&#31639;07.1.12/Documents%20and%20Settings/Administrator/&#26700;&#38754;/713&#24037;&#33402;&#35774;&#22791;&#34920;(&#25152;&#25552;&#20379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09&#24180;&#24453;&#12290;&#12290;&#12290;/481/&#20272;&#31639;%20&#23450;&#31295;/&#24052;&#24037;/06.11&#26700;&#38754;/408&#27010;&#31639;06.11.14&#30707;/408&#26680;&#30005;&#21333;&#20307;&#27010;&#31639;07.1.12/Documents%20and%20Settings/Administrator/&#26700;&#38754;/713&#24037;&#33402;&#35774;&#22791;&#34920;(&#25152;&#25552;&#20379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09&#24180;&#24453;&#12290;&#12290;&#12290;/481/&#20272;&#31639;%20&#23450;&#31295;/&#24052;&#24037;/06.11&#26700;&#38754;/408&#27010;&#31639;06.11.14&#30707;/408&#27010;&#31639;06.11.14/Documents%20and%20Settings/Administrator/&#26700;&#38754;/713&#24037;&#33402;&#35774;&#22791;&#34920;(&#25152;&#25552;&#20379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09&#24180;&#24453;&#12290;&#12290;&#12290;/481/&#20272;&#31639;%20&#23450;&#31295;/&#24052;&#24037;/06.11&#26700;&#38754;/408&#27010;&#31639;06.11.14&#30707;/408&#27010;&#31639;06.11.14/Documents%20and%20Settings/Administrator/&#26700;&#38754;/713&#24037;&#33402;&#35774;&#22791;&#34920;(&#25152;&#25552;&#20379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09&#24180;&#24453;&#12290;&#12290;&#12290;/481/&#20272;&#31639;%20&#23450;&#31295;/DOCUME~1/TIMWAN~1/LOCALS~1/Temp/&#22797;&#20214;%20408&#27010;&#31639;07.1.19.zip%20&#30340;&#20020;&#26102;&#30446;&#24405;%201/&#22797;&#20214;%20408&#27010;&#31639;07.1.19/Documents%20and%20Settings/Administrator/&#26700;&#38754;/713&#24037;&#33402;&#35774;&#22791;&#34920;(&#25152;&#25552;&#20379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09&#24180;&#24453;&#12290;&#12290;&#12290;/481/&#20272;&#31639;%20&#23450;&#31295;/DOCUME~1/TIMWAN~1/LOCALS~1/Temp/&#22797;&#20214;%20408&#27010;&#31639;07.1.19.zip%20&#30340;&#20020;&#26102;&#30446;&#24405;%201/&#22797;&#20214;%20408&#27010;&#31639;07.1.19/Documents%20and%20Settings/Administrator/&#26700;&#38754;/713&#24037;&#33402;&#35774;&#22791;&#34920;(&#25152;&#25552;&#20379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REFE&#65288;&#26426;&#23494;&#65289;/&#21021;&#27493;&#35774;&#35745;/&#27665;_&#32473;&#27700;&#21378;/&#23450;&#20852;&#21439;&#22478;&#20379;&#27700;&#24037;&#31243;_10000t/&#20020;&#26102;&#25991;&#20214;/09_&#21378;&#21306;&#32508;&#21512;&#31649;&#3244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REFE&#65288;&#26426;&#23494;&#65289;/&#21021;&#27493;&#35774;&#35745;/&#27665;_&#32473;&#27700;&#21378;/&#23450;&#20852;&#21439;&#22478;&#20379;&#27700;&#24037;&#31243;_10000t/&#20020;&#26102;&#25991;&#20214;/09_&#21378;&#21306;&#32508;&#21512;&#31649;&#32447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71\&#26446;&#28976;\&#36196;&#23792;&#39044;&#31639;\&#36196;&#23792;--&#31934;&#24178;&#21253;&#21378;&#2515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86;&#24046;&#36164;&#26009;/6-3-lgl/&#24037;&#20316;2007.1.24/&#39033;&#30446;/&#22823;&#36830;760/9/760&#35268;&#21010;&#21487;&#30740;060929/760&#35774;&#22791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438/438&#30003;&#35831;&#25253;&#21578;&#26368;&#26032;&#29256;0726/438&#21378;&#20891;&#36152;&#33328;&#33337;&#30003;&#35831;&#25253;&#21578;20130725&#65288;&#26368;&#26032;&#65289;/&#24037;&#20316;2007.1.24/&#39033;&#30446;/&#22823;&#36830;760/9/760&#35268;&#21010;&#21487;&#30740;060929/760&#35774;&#2279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01026\&#24037;&#31243;&#27010;&#31639;\2002&#24180;&#24037;&#31243;\&#24037;&#31243;&#27010;&#31639;\&#21704;&#33647;&#24635;&#21378;\&#21704;&#33647;&#24635;&#21378;&#31881;&#38024;&#21450;&#32508;&#21512;&#21046;&#21058;&#36710;&#38388;\&#21704;&#33647;&#19977;&#21378;&#31881;&#38024;&#21450;&#32508;&#21512;&#21046;&#21058;&#36710;&#3838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投资估算"/>
      <sheetName val="室内"/>
      <sheetName val="其他费用表"/>
      <sheetName val="公用设备"/>
      <sheetName val="工艺设备"/>
      <sheetName val="新增工艺设备表"/>
      <sheetName val="招标情况一览表"/>
      <sheetName val="进口工艺设备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投资估算"/>
      <sheetName val="室内"/>
      <sheetName val="其他费用表"/>
      <sheetName val="公用设备"/>
      <sheetName val="工艺设备"/>
      <sheetName val="新增工艺设备表"/>
      <sheetName val="招标情况一览表"/>
      <sheetName val="进口工艺设备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W-TE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heet1"/>
      <sheetName val="估算"/>
      <sheetName val="工艺设备2 (2)"/>
      <sheetName val="室内工程"/>
      <sheetName val="室外工程"/>
      <sheetName val="其他"/>
      <sheetName val="公用设备"/>
      <sheetName val="说明(不打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heet1"/>
      <sheetName val="估算"/>
      <sheetName val="工艺设备2 (2)"/>
      <sheetName val="室内工程"/>
      <sheetName val="室外工程"/>
      <sheetName val="其他"/>
      <sheetName val="公用设备"/>
      <sheetName val="说明(不打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一级泵房"/>
      <sheetName val="联络管道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一级泵房"/>
      <sheetName val="联络管道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Financ. Overview"/>
      <sheetName val="Toolbox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投资"/>
      <sheetName val="室内"/>
      <sheetName val="取费"/>
      <sheetName val="工艺设备"/>
      <sheetName val="新增工艺设备明细表"/>
      <sheetName val="新增进口工艺设备明细表"/>
      <sheetName val="公用"/>
      <sheetName val="进口设备购置费"/>
      <sheetName val="招标"/>
      <sheetName val="Sheet1"/>
      <sheetName val="Sheet2"/>
      <sheetName val="Sheet4"/>
      <sheetName val="Sheet1 (2)"/>
      <sheetName val="Sheet5"/>
      <sheetName val="设备表"/>
      <sheetName val="进口工艺"/>
    </sheetNames>
    <sheetDataSet>
      <sheetData sheetId="0" refreshError="1">
        <row r="1">
          <cell r="B1" t="str">
            <v>一工场200T吊北小组立场地西扩</v>
          </cell>
        </row>
        <row r="2">
          <cell r="B2" t="str">
            <v>一工场非船机加车间改造部件装焊车间</v>
          </cell>
        </row>
        <row r="3">
          <cell r="B3" t="str">
            <v>一工场300吨吊下总组场地西扩</v>
          </cell>
        </row>
        <row r="4">
          <cell r="B4" t="str">
            <v>一工场生产大楼拆除后场地改造为分段舾装场地</v>
          </cell>
        </row>
        <row r="5">
          <cell r="B5" t="str">
            <v>一工场填海区域新建分段堆场</v>
          </cell>
        </row>
        <row r="6">
          <cell r="B6" t="str">
            <v>一工场管加车间南跨改造机修车间</v>
          </cell>
        </row>
        <row r="7">
          <cell r="B7" t="str">
            <v>一工场第二空压站设备移址至第三空压站</v>
          </cell>
        </row>
        <row r="8">
          <cell r="B8" t="str">
            <v>一工场主动能（电力）管网改造</v>
          </cell>
        </row>
        <row r="9">
          <cell r="B9" t="str">
            <v>一工场西门岗运输通道建设</v>
          </cell>
        </row>
        <row r="10">
          <cell r="B10" t="str">
            <v>新建一工场垃圾场及废油桶储存场</v>
          </cell>
        </row>
        <row r="11">
          <cell r="B11" t="str">
            <v>二工场等离子切割机安装工程（二单元厂房内）</v>
          </cell>
        </row>
        <row r="12">
          <cell r="B12" t="str">
            <v>二工场钢加车间改造部件装焊车间</v>
          </cell>
        </row>
        <row r="13">
          <cell r="B13" t="str">
            <v>二工场钢料堆场改造部件装焊场地</v>
          </cell>
        </row>
        <row r="14">
          <cell r="B14" t="str">
            <v>二工场船坞区（600t）总装场地新增300t门式起重机轨道</v>
          </cell>
        </row>
        <row r="15">
          <cell r="B15" t="str">
            <v>二工场船坞区总组场地改造（F4-8）</v>
          </cell>
        </row>
        <row r="16">
          <cell r="B16" t="str">
            <v>二工场H3船台改造（20t门式起重机1台）</v>
          </cell>
        </row>
        <row r="17">
          <cell r="B17" t="str">
            <v>二工场2-1船台改造</v>
          </cell>
        </row>
        <row r="18">
          <cell r="B18" t="str">
            <v>钢配中心至二工场运输通道建设</v>
          </cell>
        </row>
        <row r="19">
          <cell r="B19" t="str">
            <v>三维同步调整顶升装置（引进）</v>
          </cell>
        </row>
        <row r="20">
          <cell r="B20" t="str">
            <v>工作艇</v>
          </cell>
        </row>
        <row r="21">
          <cell r="B21" t="str">
            <v>重点项目预备费</v>
          </cell>
        </row>
        <row r="22">
          <cell r="B22" t="str">
            <v>数码相机</v>
          </cell>
        </row>
        <row r="23">
          <cell r="B23" t="str">
            <v>数码摄像机</v>
          </cell>
        </row>
        <row r="24">
          <cell r="B24" t="str">
            <v>手工电弧焊机</v>
          </cell>
        </row>
        <row r="25">
          <cell r="B25" t="str">
            <v>CO2气体保护焊机</v>
          </cell>
        </row>
        <row r="26">
          <cell r="B26" t="str">
            <v>远红外高低温程控焊条烘干箱</v>
          </cell>
        </row>
        <row r="27">
          <cell r="B27" t="str">
            <v>鼓风型自动焊剂烘箱</v>
          </cell>
        </row>
        <row r="28">
          <cell r="B28" t="str">
            <v>仓储货架及搬运设备</v>
          </cell>
        </row>
        <row r="29">
          <cell r="B29" t="str">
            <v>信息化、现代化立体仓库</v>
          </cell>
        </row>
        <row r="30">
          <cell r="B30" t="str">
            <v>超声波探伤仪检定装置</v>
          </cell>
        </row>
        <row r="31">
          <cell r="B31" t="str">
            <v>直流电阻仪器智能化检定装置</v>
          </cell>
        </row>
        <row r="32">
          <cell r="B32" t="str">
            <v>盐分测试工具包</v>
          </cell>
        </row>
        <row r="33">
          <cell r="B33" t="str">
            <v>盐分测试工具包</v>
          </cell>
        </row>
        <row r="34">
          <cell r="B34" t="str">
            <v>噪声测量仪</v>
          </cell>
        </row>
        <row r="35">
          <cell r="B35" t="str">
            <v>化学分析中央试验台</v>
          </cell>
        </row>
        <row r="36">
          <cell r="B36" t="str">
            <v>布氏硬度计</v>
          </cell>
        </row>
        <row r="37">
          <cell r="B37" t="str">
            <v>一工场外网系统改造</v>
          </cell>
        </row>
        <row r="38">
          <cell r="B38" t="str">
            <v>一工场网络系统改造</v>
          </cell>
        </row>
        <row r="39">
          <cell r="B39" t="str">
            <v>二工场网络信息平台扩建/公司计算机终端及外设扩充</v>
          </cell>
        </row>
        <row r="40">
          <cell r="B40" t="str">
            <v>JCI-04——双丝埋弧焊设备</v>
          </cell>
        </row>
        <row r="41">
          <cell r="B41" t="str">
            <v>数码相机</v>
          </cell>
        </row>
        <row r="42">
          <cell r="B42" t="str">
            <v>台式对讲机</v>
          </cell>
        </row>
        <row r="43">
          <cell r="B43" t="str">
            <v>风向、风速仪</v>
          </cell>
        </row>
        <row r="44">
          <cell r="B44" t="str">
            <v>复印机</v>
          </cell>
        </row>
        <row r="45">
          <cell r="B45" t="str">
            <v>OmniScan便携式检测仪</v>
          </cell>
        </row>
        <row r="46">
          <cell r="B46" t="str">
            <v>数字式超声波探伤仪</v>
          </cell>
        </row>
        <row r="47">
          <cell r="B47" t="str">
            <v>工业X射线探伤机</v>
          </cell>
        </row>
        <row r="48">
          <cell r="B48" t="str">
            <v>工业X射线探伤机</v>
          </cell>
        </row>
        <row r="49">
          <cell r="B49" t="str">
            <v>磁粉探伤机</v>
          </cell>
        </row>
        <row r="50">
          <cell r="B50" t="str">
            <v>观片灯</v>
          </cell>
        </row>
        <row r="51">
          <cell r="B51" t="str">
            <v>底片黑度计</v>
          </cell>
        </row>
        <row r="52">
          <cell r="B52" t="str">
            <v>测厚探头</v>
          </cell>
        </row>
        <row r="53">
          <cell r="B53" t="str">
            <v>工业X射线探伤机</v>
          </cell>
        </row>
        <row r="54">
          <cell r="B54" t="str">
            <v>数字式超声波探伤仪</v>
          </cell>
        </row>
        <row r="55">
          <cell r="B55" t="str">
            <v>惠普多媒体投影机（HP）</v>
          </cell>
        </row>
        <row r="56">
          <cell r="B56" t="str">
            <v>工业X射线机</v>
          </cell>
        </row>
        <row r="57">
          <cell r="B57" t="str">
            <v>磁粉探伤仪</v>
          </cell>
        </row>
        <row r="58">
          <cell r="B58" t="str">
            <v>超声波探伤仪</v>
          </cell>
        </row>
        <row r="59">
          <cell r="B59" t="str">
            <v>超声波探伤仪</v>
          </cell>
        </row>
        <row r="60">
          <cell r="B60" t="str">
            <v>射线曝光间电动大门</v>
          </cell>
        </row>
        <row r="61">
          <cell r="B61" t="str">
            <v>火警调度台</v>
          </cell>
        </row>
        <row r="62">
          <cell r="B62" t="str">
            <v>数码相机</v>
          </cell>
        </row>
        <row r="63">
          <cell r="B63" t="str">
            <v>复印机</v>
          </cell>
        </row>
        <row r="64">
          <cell r="B64" t="str">
            <v>投影仪</v>
          </cell>
        </row>
        <row r="65">
          <cell r="B65" t="str">
            <v>气相色谱仪</v>
          </cell>
        </row>
        <row r="66">
          <cell r="B66" t="str">
            <v>投影机</v>
          </cell>
        </row>
        <row r="67">
          <cell r="B67" t="str">
            <v>数码照相机</v>
          </cell>
        </row>
        <row r="68">
          <cell r="B68" t="str">
            <v>隔绝式正压氧气呼吸器</v>
          </cell>
        </row>
        <row r="69">
          <cell r="B69" t="str">
            <v>骨骼传导佩戴受送话器</v>
          </cell>
        </row>
        <row r="70">
          <cell r="B70" t="str">
            <v>红外热像仪</v>
          </cell>
        </row>
        <row r="71">
          <cell r="B71" t="str">
            <v>强制呼吸复苏器</v>
          </cell>
        </row>
        <row r="72">
          <cell r="B72" t="str">
            <v>车载正压式长管空气呼吸器</v>
          </cell>
        </row>
        <row r="73">
          <cell r="B73" t="str">
            <v>消防车</v>
          </cell>
        </row>
        <row r="74">
          <cell r="B74" t="str">
            <v>CO2焊机</v>
          </cell>
        </row>
        <row r="75">
          <cell r="B75" t="str">
            <v>组合式电磁吸盘</v>
          </cell>
        </row>
        <row r="76">
          <cell r="B76" t="str">
            <v>电磁吸盘</v>
          </cell>
        </row>
        <row r="77">
          <cell r="B77" t="str">
            <v>电磁吸盘</v>
          </cell>
        </row>
        <row r="78">
          <cell r="B78" t="str">
            <v>曲型板用电磁吸盘</v>
          </cell>
        </row>
        <row r="79">
          <cell r="B79" t="str">
            <v>全方位切割机</v>
          </cell>
        </row>
        <row r="80">
          <cell r="B80" t="str">
            <v>埋弧自动焊机送丝机头</v>
          </cell>
        </row>
        <row r="81">
          <cell r="B81" t="str">
            <v>自动切割机</v>
          </cell>
        </row>
        <row r="82">
          <cell r="B82" t="str">
            <v>手扶切割机</v>
          </cell>
        </row>
        <row r="83">
          <cell r="B83" t="str">
            <v>CO2焊机</v>
          </cell>
        </row>
        <row r="84">
          <cell r="B84" t="str">
            <v>CO2角焊机</v>
          </cell>
        </row>
        <row r="85">
          <cell r="B85" t="str">
            <v>电子经纬仪</v>
          </cell>
        </row>
        <row r="86">
          <cell r="B86" t="str">
            <v>电子水准仪</v>
          </cell>
        </row>
        <row r="87">
          <cell r="B87" t="str">
            <v>硅整流焊机</v>
          </cell>
        </row>
        <row r="88">
          <cell r="B88" t="str">
            <v>电动平车</v>
          </cell>
        </row>
        <row r="89">
          <cell r="B89" t="str">
            <v>除湿机正式管道改造</v>
          </cell>
        </row>
        <row r="90">
          <cell r="B90" t="str">
            <v>喷漆泵</v>
          </cell>
        </row>
        <row r="91">
          <cell r="B91" t="str">
            <v>滑移装载机</v>
          </cell>
        </row>
        <row r="92">
          <cell r="B92" t="str">
            <v>漆膜测厚仪</v>
          </cell>
        </row>
        <row r="93">
          <cell r="B93" t="str">
            <v>移动式真空吸砂机</v>
          </cell>
        </row>
        <row r="94">
          <cell r="B94" t="str">
            <v>大型风动吸砂机</v>
          </cell>
        </row>
        <row r="95">
          <cell r="B95" t="str">
            <v>粗糙度检测仪</v>
          </cell>
        </row>
        <row r="96">
          <cell r="B96" t="str">
            <v>测盐份工具包</v>
          </cell>
        </row>
        <row r="97">
          <cell r="B97" t="str">
            <v>箱式加温机</v>
          </cell>
        </row>
        <row r="98">
          <cell r="B98" t="str">
            <v>碳弧气刨机</v>
          </cell>
        </row>
        <row r="99">
          <cell r="B99" t="str">
            <v>CO2气体保护焊机</v>
          </cell>
        </row>
        <row r="100">
          <cell r="B100" t="str">
            <v>硅整流焊机</v>
          </cell>
        </row>
        <row r="101">
          <cell r="B101" t="str">
            <v>经纬仪</v>
          </cell>
        </row>
        <row r="102">
          <cell r="B102" t="str">
            <v>数字水准仪</v>
          </cell>
        </row>
        <row r="103">
          <cell r="B103" t="str">
            <v>超声波测厚仪</v>
          </cell>
        </row>
        <row r="104">
          <cell r="B104" t="str">
            <v>电动高压泵</v>
          </cell>
        </row>
        <row r="105">
          <cell r="B105" t="str">
            <v>超高压电动泵</v>
          </cell>
        </row>
        <row r="106">
          <cell r="B106" t="str">
            <v>风动高压泵</v>
          </cell>
        </row>
        <row r="107">
          <cell r="B107" t="str">
            <v>风动磅压泵</v>
          </cell>
        </row>
        <row r="108">
          <cell r="B108" t="str">
            <v>扭矩拉伸器</v>
          </cell>
        </row>
        <row r="109">
          <cell r="B109" t="str">
            <v>移动式弯管机</v>
          </cell>
        </row>
        <row r="110">
          <cell r="B110" t="str">
            <v>移动式弯管机</v>
          </cell>
        </row>
        <row r="111">
          <cell r="B111" t="str">
            <v>全方位切割机</v>
          </cell>
        </row>
        <row r="112">
          <cell r="B112" t="str">
            <v>真空泵</v>
          </cell>
        </row>
        <row r="113">
          <cell r="B113" t="str">
            <v>电动液压弯管机</v>
          </cell>
        </row>
        <row r="114">
          <cell r="B114" t="str">
            <v>电动液压切缆机</v>
          </cell>
        </row>
        <row r="115">
          <cell r="B115" t="str">
            <v>电动液压压接机</v>
          </cell>
        </row>
        <row r="116">
          <cell r="B116" t="str">
            <v>C02焊机</v>
          </cell>
        </row>
        <row r="117">
          <cell r="B117" t="str">
            <v>逆变式直流焊机</v>
          </cell>
        </row>
        <row r="118">
          <cell r="B118" t="str">
            <v>气电立焊自动焊机</v>
          </cell>
        </row>
        <row r="119">
          <cell r="B119" t="str">
            <v>等离子切割机</v>
          </cell>
        </row>
        <row r="120">
          <cell r="B120" t="str">
            <v>碳弧气刨机</v>
          </cell>
        </row>
        <row r="121">
          <cell r="B121" t="str">
            <v>风速仪</v>
          </cell>
        </row>
        <row r="122">
          <cell r="B122" t="str">
            <v xml:space="preserve">多头焊机 </v>
          </cell>
        </row>
        <row r="123">
          <cell r="B123" t="str">
            <v>埋弧自动焊机</v>
          </cell>
        </row>
        <row r="124">
          <cell r="B124" t="str">
            <v>风动往复泵</v>
          </cell>
        </row>
        <row r="125">
          <cell r="B125" t="str">
            <v>温度较准仪</v>
          </cell>
        </row>
        <row r="126">
          <cell r="B126" t="str">
            <v>主机示功器</v>
          </cell>
        </row>
        <row r="127">
          <cell r="B127" t="str">
            <v>卡套预装扩口机</v>
          </cell>
        </row>
        <row r="128">
          <cell r="B128" t="str">
            <v>压力较准仪</v>
          </cell>
        </row>
        <row r="129">
          <cell r="B129" t="str">
            <v>挠度测量仪</v>
          </cell>
        </row>
        <row r="130">
          <cell r="B130" t="str">
            <v>数码复印机</v>
          </cell>
        </row>
        <row r="131">
          <cell r="B131" t="str">
            <v>光电激光电子转速仪</v>
          </cell>
        </row>
        <row r="132">
          <cell r="B132" t="str">
            <v>红外线测温仪</v>
          </cell>
        </row>
        <row r="133">
          <cell r="B133" t="str">
            <v>线号打字机</v>
          </cell>
        </row>
        <row r="134">
          <cell r="B134" t="str">
            <v>皮卡雕刻机</v>
          </cell>
        </row>
        <row r="135">
          <cell r="B135" t="str">
            <v>隔离变压器</v>
          </cell>
        </row>
        <row r="136">
          <cell r="B136" t="str">
            <v>晶闸管控制弧焊机</v>
          </cell>
        </row>
        <row r="137">
          <cell r="B137" t="str">
            <v>爆发压力表</v>
          </cell>
        </row>
        <row r="138">
          <cell r="B138" t="str">
            <v>轴负荷压力传感器/显示器</v>
          </cell>
        </row>
        <row r="139">
          <cell r="B139" t="str">
            <v>磁力座钻</v>
          </cell>
        </row>
        <row r="140">
          <cell r="B140" t="str">
            <v>螺母劈开器</v>
          </cell>
        </row>
        <row r="141">
          <cell r="B141" t="str">
            <v>风量风速仪</v>
          </cell>
        </row>
        <row r="142">
          <cell r="B142" t="str">
            <v>法兰分离器分离</v>
          </cell>
        </row>
        <row r="143">
          <cell r="B143" t="str">
            <v>风动扭矩扳手</v>
          </cell>
        </row>
        <row r="144">
          <cell r="B144" t="str">
            <v>风动磅压泵</v>
          </cell>
        </row>
        <row r="145">
          <cell r="B145" t="str">
            <v>喷涂机(进口)</v>
          </cell>
        </row>
        <row r="146">
          <cell r="B146" t="str">
            <v>液压扳手工作头</v>
          </cell>
        </row>
        <row r="147">
          <cell r="B147" t="str">
            <v>便携式喷砂枪</v>
          </cell>
        </row>
        <row r="148">
          <cell r="B148" t="str">
            <v>无极碳弧气刨机</v>
          </cell>
        </row>
        <row r="149">
          <cell r="B149" t="str">
            <v>便携压弧焊机</v>
          </cell>
        </row>
        <row r="150">
          <cell r="B150" t="str">
            <v>电动上油机</v>
          </cell>
        </row>
        <row r="151">
          <cell r="B151" t="str">
            <v>工业吸尘器</v>
          </cell>
        </row>
        <row r="152">
          <cell r="B152" t="str">
            <v>电动高压泵</v>
          </cell>
        </row>
        <row r="153">
          <cell r="B153" t="str">
            <v>真空泵</v>
          </cell>
        </row>
        <row r="154">
          <cell r="B154" t="str">
            <v>超薄千斤顶</v>
          </cell>
        </row>
        <row r="155">
          <cell r="B155" t="str">
            <v>埋弧自动焊机</v>
          </cell>
        </row>
        <row r="156">
          <cell r="B156" t="str">
            <v>逆变直流手弧焊机</v>
          </cell>
        </row>
        <row r="157">
          <cell r="B157" t="str">
            <v>CO2保护焊机</v>
          </cell>
        </row>
        <row r="158">
          <cell r="B158" t="str">
            <v>风动葫芦(5T)</v>
          </cell>
        </row>
        <row r="159">
          <cell r="B159" t="str">
            <v>充电式压接/切割/冲孔一体机</v>
          </cell>
        </row>
        <row r="160">
          <cell r="B160" t="str">
            <v>定位定距气焊切割机</v>
          </cell>
        </row>
        <row r="161">
          <cell r="B161" t="str">
            <v>风动扭矩扳手</v>
          </cell>
        </row>
        <row r="162">
          <cell r="B162" t="str">
            <v>扭距拉伸枪</v>
          </cell>
        </row>
        <row r="163">
          <cell r="B163" t="str">
            <v>超声波单通道流量计</v>
          </cell>
        </row>
        <row r="164">
          <cell r="B164" t="str">
            <v>压力校验仪</v>
          </cell>
        </row>
        <row r="165">
          <cell r="B165" t="str">
            <v>垂直自动焊机</v>
          </cell>
        </row>
        <row r="166">
          <cell r="B166" t="str">
            <v>埋弧自动焊机</v>
          </cell>
        </row>
        <row r="167">
          <cell r="B167" t="str">
            <v>电动高压泵</v>
          </cell>
        </row>
        <row r="168">
          <cell r="B168" t="str">
            <v>高压电动泵</v>
          </cell>
        </row>
        <row r="169">
          <cell r="B169" t="str">
            <v>风动高压泵</v>
          </cell>
        </row>
        <row r="170">
          <cell r="B170" t="str">
            <v>主机示功器</v>
          </cell>
        </row>
        <row r="171">
          <cell r="B171" t="str">
            <v>主机挠度测量仪</v>
          </cell>
        </row>
        <row r="172">
          <cell r="B172" t="str">
            <v>电子拐挡测量装置</v>
          </cell>
        </row>
        <row r="173">
          <cell r="B173" t="str">
            <v>爆发压力表</v>
          </cell>
        </row>
        <row r="174">
          <cell r="B174" t="str">
            <v>全方位切割机</v>
          </cell>
        </row>
        <row r="175">
          <cell r="B175" t="str">
            <v>CO2焊机</v>
          </cell>
        </row>
        <row r="176">
          <cell r="B176" t="str">
            <v>弯管机</v>
          </cell>
        </row>
        <row r="177">
          <cell r="B177" t="str">
            <v>风动磅压泵</v>
          </cell>
        </row>
        <row r="178">
          <cell r="B178" t="str">
            <v>法兰分离器</v>
          </cell>
        </row>
        <row r="179">
          <cell r="B179" t="str">
            <v>风动扭矩紧固器</v>
          </cell>
        </row>
        <row r="180">
          <cell r="B180" t="str">
            <v>接地电阻测试仪</v>
          </cell>
        </row>
        <row r="181">
          <cell r="B181" t="str">
            <v>绝缘电阻测试仪</v>
          </cell>
        </row>
        <row r="182">
          <cell r="B182" t="str">
            <v>电缆液压切缆机</v>
          </cell>
        </row>
        <row r="183">
          <cell r="B183" t="str">
            <v>全能多用机</v>
          </cell>
        </row>
        <row r="184">
          <cell r="B184" t="str">
            <v>电缆液压压接机</v>
          </cell>
        </row>
        <row r="185">
          <cell r="B185" t="str">
            <v>薄铁液压冲孔机</v>
          </cell>
        </row>
        <row r="186">
          <cell r="B186" t="str">
            <v>风速仪</v>
          </cell>
        </row>
        <row r="187">
          <cell r="B187" t="str">
            <v>高压兆欧表</v>
          </cell>
        </row>
        <row r="188">
          <cell r="B188" t="str">
            <v>水平测量仪</v>
          </cell>
        </row>
        <row r="189">
          <cell r="B189" t="str">
            <v>埋弧自动焊机</v>
          </cell>
        </row>
        <row r="190">
          <cell r="B190" t="str">
            <v>喷漆泵</v>
          </cell>
        </row>
        <row r="191">
          <cell r="B191" t="str">
            <v>测氧仪</v>
          </cell>
        </row>
        <row r="192">
          <cell r="B192" t="str">
            <v>涂装漆膜表</v>
          </cell>
        </row>
        <row r="193">
          <cell r="B193" t="str">
            <v>多功能测试仪</v>
          </cell>
        </row>
        <row r="194">
          <cell r="B194" t="str">
            <v>900t吊车空调</v>
          </cell>
        </row>
        <row r="195">
          <cell r="B195" t="str">
            <v>T-930船用多功能手泵（空气泵)</v>
          </cell>
        </row>
        <row r="196">
          <cell r="B196" t="str">
            <v>轴系校中用传感器和显示器</v>
          </cell>
        </row>
        <row r="197">
          <cell r="B197" t="str">
            <v>高压电动泵</v>
          </cell>
        </row>
        <row r="198">
          <cell r="B198" t="str">
            <v>矮型油缸组</v>
          </cell>
        </row>
        <row r="199">
          <cell r="B199" t="str">
            <v>气割开孔机</v>
          </cell>
        </row>
        <row r="200">
          <cell r="B200" t="str">
            <v>红外线测温仪</v>
          </cell>
        </row>
        <row r="201">
          <cell r="B201" t="str">
            <v>露点仪</v>
          </cell>
        </row>
        <row r="202">
          <cell r="B202" t="str">
            <v>气动扳手</v>
          </cell>
        </row>
        <row r="203">
          <cell r="B203" t="str">
            <v>电动甘油枪</v>
          </cell>
        </row>
        <row r="204">
          <cell r="B204" t="str">
            <v>CO2半自动气体保护焊机</v>
          </cell>
        </row>
        <row r="205">
          <cell r="B205" t="str">
            <v>真空泵</v>
          </cell>
        </row>
        <row r="206">
          <cell r="B206" t="str">
            <v>气动扭矩扳手</v>
          </cell>
        </row>
        <row r="207">
          <cell r="B207" t="str">
            <v>三头晶闸管整流弧焊机</v>
          </cell>
        </row>
        <row r="208">
          <cell r="B208" t="str">
            <v>中空液压扳手</v>
          </cell>
        </row>
        <row r="209">
          <cell r="B209" t="str">
            <v>碳弧气刨机</v>
          </cell>
        </row>
        <row r="210">
          <cell r="B210" t="str">
            <v>法兰分离器</v>
          </cell>
        </row>
        <row r="211">
          <cell r="B211" t="str">
            <v>三区至六区低压供电系统改造</v>
          </cell>
        </row>
        <row r="212">
          <cell r="B212" t="str">
            <v>板式换热器</v>
          </cell>
        </row>
        <row r="213">
          <cell r="B213" t="str">
            <v>温水循环泵</v>
          </cell>
        </row>
        <row r="214">
          <cell r="B214" t="str">
            <v>柴油发电机组</v>
          </cell>
        </row>
        <row r="215">
          <cell r="B215" t="str">
            <v>36伏变压器</v>
          </cell>
        </row>
        <row r="216">
          <cell r="B216" t="str">
            <v>低压电容器组</v>
          </cell>
        </row>
        <row r="217">
          <cell r="B217" t="str">
            <v>计算机</v>
          </cell>
        </row>
        <row r="218">
          <cell r="B218" t="str">
            <v>复合式气体检测仪</v>
          </cell>
        </row>
        <row r="219">
          <cell r="B219" t="str">
            <v>防爆风机</v>
          </cell>
        </row>
        <row r="220">
          <cell r="B220" t="str">
            <v>转轮混合型风冷除湿机</v>
          </cell>
        </row>
        <row r="221">
          <cell r="B221" t="str">
            <v>真空吸砂机</v>
          </cell>
        </row>
        <row r="222">
          <cell r="B222" t="str">
            <v>存储记录仪</v>
          </cell>
        </row>
        <row r="223">
          <cell r="B223" t="str">
            <v>柴油加温机</v>
          </cell>
        </row>
        <row r="224">
          <cell r="B224" t="str">
            <v>喷漆泵</v>
          </cell>
        </row>
        <row r="225">
          <cell r="B225" t="str">
            <v>除湿机</v>
          </cell>
        </row>
        <row r="226">
          <cell r="B226" t="str">
            <v>大型风动吸砂机</v>
          </cell>
        </row>
        <row r="227">
          <cell r="B227" t="str">
            <v>移动式空压机</v>
          </cell>
        </row>
        <row r="228">
          <cell r="B228" t="str">
            <v>焊条干燥箱</v>
          </cell>
        </row>
        <row r="229">
          <cell r="B229" t="str">
            <v>等离子切割机</v>
          </cell>
        </row>
        <row r="230">
          <cell r="B230" t="str">
            <v>焊接滚轮架</v>
          </cell>
        </row>
        <row r="231">
          <cell r="B231" t="str">
            <v>风动磅压泵</v>
          </cell>
        </row>
        <row r="232">
          <cell r="B232" t="str">
            <v>碳弧气刨机</v>
          </cell>
        </row>
        <row r="233">
          <cell r="B233" t="str">
            <v>氩弧焊机</v>
          </cell>
        </row>
        <row r="234">
          <cell r="B234" t="str">
            <v>CO2焊机</v>
          </cell>
        </row>
        <row r="235">
          <cell r="B235" t="str">
            <v>建造多功能机动艇</v>
          </cell>
        </row>
        <row r="236">
          <cell r="B236" t="str">
            <v>舢板船</v>
          </cell>
        </row>
        <row r="237">
          <cell r="B237" t="str">
            <v>复印机</v>
          </cell>
        </row>
        <row r="238">
          <cell r="B238" t="str">
            <v>传真机</v>
          </cell>
        </row>
        <row r="239">
          <cell r="B239" t="str">
            <v>手持GPS</v>
          </cell>
        </row>
        <row r="240">
          <cell r="B240" t="str">
            <v>高压热水洗水机</v>
          </cell>
        </row>
        <row r="241">
          <cell r="B241" t="str">
            <v>转轮式除湿机</v>
          </cell>
        </row>
        <row r="242">
          <cell r="B242" t="str">
            <v>气动加油机</v>
          </cell>
        </row>
        <row r="243">
          <cell r="B243" t="str">
            <v>全自动正反吸式除尘器</v>
          </cell>
        </row>
        <row r="244">
          <cell r="B244" t="str">
            <v>南坞闸门</v>
          </cell>
        </row>
        <row r="245">
          <cell r="B245" t="str">
            <v>气体压缩机</v>
          </cell>
        </row>
        <row r="246">
          <cell r="B246" t="str">
            <v>高压热水清洗机</v>
          </cell>
        </row>
        <row r="247">
          <cell r="B247" t="str">
            <v>喷砂机</v>
          </cell>
        </row>
        <row r="248">
          <cell r="B248" t="str">
            <v>可燃气体测爆仪</v>
          </cell>
        </row>
        <row r="249">
          <cell r="B249" t="str">
            <v>7吨集装箱叉车</v>
          </cell>
        </row>
        <row r="250">
          <cell r="B250" t="str">
            <v>3吨万能叉车</v>
          </cell>
        </row>
        <row r="251">
          <cell r="B251" t="str">
            <v>6吨万能叉车</v>
          </cell>
        </row>
        <row r="252">
          <cell r="B252" t="str">
            <v>5吨装载机</v>
          </cell>
        </row>
        <row r="253">
          <cell r="B253" t="str">
            <v>斯太尔自卸车</v>
          </cell>
        </row>
        <row r="254">
          <cell r="B254" t="str">
            <v>汽车吊</v>
          </cell>
        </row>
        <row r="255">
          <cell r="B255" t="str">
            <v>10吨叉车</v>
          </cell>
        </row>
        <row r="256">
          <cell r="B256" t="str">
            <v>6吨叉车</v>
          </cell>
        </row>
        <row r="257">
          <cell r="B257" t="str">
            <v>3吨叉车</v>
          </cell>
        </row>
        <row r="258">
          <cell r="B258" t="str">
            <v>6吨集装箱叉车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投资"/>
      <sheetName val="室内"/>
      <sheetName val="取费"/>
      <sheetName val="工艺设备"/>
      <sheetName val="新增工艺设备明细表"/>
      <sheetName val="新增进口工艺设备明细表"/>
      <sheetName val="公用"/>
      <sheetName val="进口设备购置费"/>
      <sheetName val="招标"/>
      <sheetName val="Sheet1"/>
      <sheetName val="Sheet2"/>
      <sheetName val="Sheet4"/>
      <sheetName val="Sheet1 (2)"/>
      <sheetName val="Sheet5"/>
      <sheetName val="设备表"/>
      <sheetName val="进口工艺"/>
    </sheetNames>
    <sheetDataSet>
      <sheetData sheetId="0" refreshError="1">
        <row r="1">
          <cell r="B1" t="str">
            <v>一工场200T吊北小组立场地西扩</v>
          </cell>
        </row>
        <row r="2">
          <cell r="B2" t="str">
            <v>一工场非船机加车间改造部件装焊车间</v>
          </cell>
        </row>
        <row r="3">
          <cell r="B3" t="str">
            <v>一工场300吨吊下总组场地西扩</v>
          </cell>
        </row>
        <row r="4">
          <cell r="B4" t="str">
            <v>一工场生产大楼拆除后场地改造为分段舾装场地</v>
          </cell>
        </row>
        <row r="5">
          <cell r="B5" t="str">
            <v>一工场填海区域新建分段堆场</v>
          </cell>
        </row>
        <row r="6">
          <cell r="B6" t="str">
            <v>一工场管加车间南跨改造机修车间</v>
          </cell>
        </row>
        <row r="7">
          <cell r="B7" t="str">
            <v>一工场第二空压站设备移址至第三空压站</v>
          </cell>
        </row>
        <row r="8">
          <cell r="B8" t="str">
            <v>一工场主动能（电力）管网改造</v>
          </cell>
        </row>
        <row r="9">
          <cell r="B9" t="str">
            <v>一工场西门岗运输通道建设</v>
          </cell>
        </row>
        <row r="10">
          <cell r="B10" t="str">
            <v>新建一工场垃圾场及废油桶储存场</v>
          </cell>
        </row>
        <row r="11">
          <cell r="B11" t="str">
            <v>二工场等离子切割机安装工程（二单元厂房内）</v>
          </cell>
        </row>
        <row r="12">
          <cell r="B12" t="str">
            <v>二工场钢加车间改造部件装焊车间</v>
          </cell>
        </row>
        <row r="13">
          <cell r="B13" t="str">
            <v>二工场钢料堆场改造部件装焊场地</v>
          </cell>
        </row>
        <row r="14">
          <cell r="B14" t="str">
            <v>二工场船坞区（600t）总装场地新增300t门式起重机轨道</v>
          </cell>
        </row>
        <row r="15">
          <cell r="B15" t="str">
            <v>二工场船坞区总组场地改造（F4-8）</v>
          </cell>
        </row>
        <row r="16">
          <cell r="B16" t="str">
            <v>二工场H3船台改造（20t门式起重机1台）</v>
          </cell>
        </row>
        <row r="17">
          <cell r="B17" t="str">
            <v>二工场2-1船台改造</v>
          </cell>
        </row>
        <row r="18">
          <cell r="B18" t="str">
            <v>钢配中心至二工场运输通道建设</v>
          </cell>
        </row>
        <row r="19">
          <cell r="B19" t="str">
            <v>三维同步调整顶升装置（引进）</v>
          </cell>
        </row>
        <row r="20">
          <cell r="B20" t="str">
            <v>工作艇</v>
          </cell>
        </row>
        <row r="21">
          <cell r="B21" t="str">
            <v>重点项目预备费</v>
          </cell>
        </row>
        <row r="22">
          <cell r="B22" t="str">
            <v>数码相机</v>
          </cell>
        </row>
        <row r="23">
          <cell r="B23" t="str">
            <v>数码摄像机</v>
          </cell>
        </row>
        <row r="24">
          <cell r="B24" t="str">
            <v>手工电弧焊机</v>
          </cell>
        </row>
        <row r="25">
          <cell r="B25" t="str">
            <v>CO2气体保护焊机</v>
          </cell>
        </row>
        <row r="26">
          <cell r="B26" t="str">
            <v>远红外高低温程控焊条烘干箱</v>
          </cell>
        </row>
        <row r="27">
          <cell r="B27" t="str">
            <v>鼓风型自动焊剂烘箱</v>
          </cell>
        </row>
        <row r="28">
          <cell r="B28" t="str">
            <v>仓储货架及搬运设备</v>
          </cell>
        </row>
        <row r="29">
          <cell r="B29" t="str">
            <v>信息化、现代化立体仓库</v>
          </cell>
        </row>
        <row r="30">
          <cell r="B30" t="str">
            <v>超声波探伤仪检定装置</v>
          </cell>
        </row>
        <row r="31">
          <cell r="B31" t="str">
            <v>直流电阻仪器智能化检定装置</v>
          </cell>
        </row>
        <row r="32">
          <cell r="B32" t="str">
            <v>盐分测试工具包</v>
          </cell>
        </row>
        <row r="33">
          <cell r="B33" t="str">
            <v>盐分测试工具包</v>
          </cell>
        </row>
        <row r="34">
          <cell r="B34" t="str">
            <v>噪声测量仪</v>
          </cell>
        </row>
        <row r="35">
          <cell r="B35" t="str">
            <v>化学分析中央试验台</v>
          </cell>
        </row>
        <row r="36">
          <cell r="B36" t="str">
            <v>布氏硬度计</v>
          </cell>
        </row>
        <row r="37">
          <cell r="B37" t="str">
            <v>一工场外网系统改造</v>
          </cell>
        </row>
        <row r="38">
          <cell r="B38" t="str">
            <v>一工场网络系统改造</v>
          </cell>
        </row>
        <row r="39">
          <cell r="B39" t="str">
            <v>二工场网络信息平台扩建/公司计算机终端及外设扩充</v>
          </cell>
        </row>
        <row r="40">
          <cell r="B40" t="str">
            <v>JCI-04——双丝埋弧焊设备</v>
          </cell>
        </row>
        <row r="41">
          <cell r="B41" t="str">
            <v>数码相机</v>
          </cell>
        </row>
        <row r="42">
          <cell r="B42" t="str">
            <v>台式对讲机</v>
          </cell>
        </row>
        <row r="43">
          <cell r="B43" t="str">
            <v>风向、风速仪</v>
          </cell>
        </row>
        <row r="44">
          <cell r="B44" t="str">
            <v>复印机</v>
          </cell>
        </row>
        <row r="45">
          <cell r="B45" t="str">
            <v>OmniScan便携式检测仪</v>
          </cell>
        </row>
        <row r="46">
          <cell r="B46" t="str">
            <v>数字式超声波探伤仪</v>
          </cell>
        </row>
        <row r="47">
          <cell r="B47" t="str">
            <v>工业X射线探伤机</v>
          </cell>
        </row>
        <row r="48">
          <cell r="B48" t="str">
            <v>工业X射线探伤机</v>
          </cell>
        </row>
        <row r="49">
          <cell r="B49" t="str">
            <v>磁粉探伤机</v>
          </cell>
        </row>
        <row r="50">
          <cell r="B50" t="str">
            <v>观片灯</v>
          </cell>
        </row>
        <row r="51">
          <cell r="B51" t="str">
            <v>底片黑度计</v>
          </cell>
        </row>
        <row r="52">
          <cell r="B52" t="str">
            <v>测厚探头</v>
          </cell>
        </row>
        <row r="53">
          <cell r="B53" t="str">
            <v>工业X射线探伤机</v>
          </cell>
        </row>
        <row r="54">
          <cell r="B54" t="str">
            <v>数字式超声波探伤仪</v>
          </cell>
        </row>
        <row r="55">
          <cell r="B55" t="str">
            <v>惠普多媒体投影机（HP）</v>
          </cell>
        </row>
        <row r="56">
          <cell r="B56" t="str">
            <v>工业X射线机</v>
          </cell>
        </row>
        <row r="57">
          <cell r="B57" t="str">
            <v>磁粉探伤仪</v>
          </cell>
        </row>
        <row r="58">
          <cell r="B58" t="str">
            <v>超声波探伤仪</v>
          </cell>
        </row>
        <row r="59">
          <cell r="B59" t="str">
            <v>超声波探伤仪</v>
          </cell>
        </row>
        <row r="60">
          <cell r="B60" t="str">
            <v>射线曝光间电动大门</v>
          </cell>
        </row>
        <row r="61">
          <cell r="B61" t="str">
            <v>火警调度台</v>
          </cell>
        </row>
        <row r="62">
          <cell r="B62" t="str">
            <v>数码相机</v>
          </cell>
        </row>
        <row r="63">
          <cell r="B63" t="str">
            <v>复印机</v>
          </cell>
        </row>
        <row r="64">
          <cell r="B64" t="str">
            <v>投影仪</v>
          </cell>
        </row>
        <row r="65">
          <cell r="B65" t="str">
            <v>气相色谱仪</v>
          </cell>
        </row>
        <row r="66">
          <cell r="B66" t="str">
            <v>投影机</v>
          </cell>
        </row>
        <row r="67">
          <cell r="B67" t="str">
            <v>数码照相机</v>
          </cell>
        </row>
        <row r="68">
          <cell r="B68" t="str">
            <v>隔绝式正压氧气呼吸器</v>
          </cell>
        </row>
        <row r="69">
          <cell r="B69" t="str">
            <v>骨骼传导佩戴受送话器</v>
          </cell>
        </row>
        <row r="70">
          <cell r="B70" t="str">
            <v>红外热像仪</v>
          </cell>
        </row>
        <row r="71">
          <cell r="B71" t="str">
            <v>强制呼吸复苏器</v>
          </cell>
        </row>
        <row r="72">
          <cell r="B72" t="str">
            <v>车载正压式长管空气呼吸器</v>
          </cell>
        </row>
        <row r="73">
          <cell r="B73" t="str">
            <v>消防车</v>
          </cell>
        </row>
        <row r="74">
          <cell r="B74" t="str">
            <v>CO2焊机</v>
          </cell>
        </row>
        <row r="75">
          <cell r="B75" t="str">
            <v>组合式电磁吸盘</v>
          </cell>
        </row>
        <row r="76">
          <cell r="B76" t="str">
            <v>电磁吸盘</v>
          </cell>
        </row>
        <row r="77">
          <cell r="B77" t="str">
            <v>电磁吸盘</v>
          </cell>
        </row>
        <row r="78">
          <cell r="B78" t="str">
            <v>曲型板用电磁吸盘</v>
          </cell>
        </row>
        <row r="79">
          <cell r="B79" t="str">
            <v>全方位切割机</v>
          </cell>
        </row>
        <row r="80">
          <cell r="B80" t="str">
            <v>埋弧自动焊机送丝机头</v>
          </cell>
        </row>
        <row r="81">
          <cell r="B81" t="str">
            <v>自动切割机</v>
          </cell>
        </row>
        <row r="82">
          <cell r="B82" t="str">
            <v>手扶切割机</v>
          </cell>
        </row>
        <row r="83">
          <cell r="B83" t="str">
            <v>CO2焊机</v>
          </cell>
        </row>
        <row r="84">
          <cell r="B84" t="str">
            <v>CO2角焊机</v>
          </cell>
        </row>
        <row r="85">
          <cell r="B85" t="str">
            <v>电子经纬仪</v>
          </cell>
        </row>
        <row r="86">
          <cell r="B86" t="str">
            <v>电子水准仪</v>
          </cell>
        </row>
        <row r="87">
          <cell r="B87" t="str">
            <v>硅整流焊机</v>
          </cell>
        </row>
        <row r="88">
          <cell r="B88" t="str">
            <v>电动平车</v>
          </cell>
        </row>
        <row r="89">
          <cell r="B89" t="str">
            <v>除湿机正式管道改造</v>
          </cell>
        </row>
        <row r="90">
          <cell r="B90" t="str">
            <v>喷漆泵</v>
          </cell>
        </row>
        <row r="91">
          <cell r="B91" t="str">
            <v>滑移装载机</v>
          </cell>
        </row>
        <row r="92">
          <cell r="B92" t="str">
            <v>漆膜测厚仪</v>
          </cell>
        </row>
        <row r="93">
          <cell r="B93" t="str">
            <v>移动式真空吸砂机</v>
          </cell>
        </row>
        <row r="94">
          <cell r="B94" t="str">
            <v>大型风动吸砂机</v>
          </cell>
        </row>
        <row r="95">
          <cell r="B95" t="str">
            <v>粗糙度检测仪</v>
          </cell>
        </row>
        <row r="96">
          <cell r="B96" t="str">
            <v>测盐份工具包</v>
          </cell>
        </row>
        <row r="97">
          <cell r="B97" t="str">
            <v>箱式加温机</v>
          </cell>
        </row>
        <row r="98">
          <cell r="B98" t="str">
            <v>碳弧气刨机</v>
          </cell>
        </row>
        <row r="99">
          <cell r="B99" t="str">
            <v>CO2气体保护焊机</v>
          </cell>
        </row>
        <row r="100">
          <cell r="B100" t="str">
            <v>硅整流焊机</v>
          </cell>
        </row>
        <row r="101">
          <cell r="B101" t="str">
            <v>经纬仪</v>
          </cell>
        </row>
        <row r="102">
          <cell r="B102" t="str">
            <v>数字水准仪</v>
          </cell>
        </row>
        <row r="103">
          <cell r="B103" t="str">
            <v>超声波测厚仪</v>
          </cell>
        </row>
        <row r="104">
          <cell r="B104" t="str">
            <v>电动高压泵</v>
          </cell>
        </row>
        <row r="105">
          <cell r="B105" t="str">
            <v>超高压电动泵</v>
          </cell>
        </row>
        <row r="106">
          <cell r="B106" t="str">
            <v>风动高压泵</v>
          </cell>
        </row>
        <row r="107">
          <cell r="B107" t="str">
            <v>风动磅压泵</v>
          </cell>
        </row>
        <row r="108">
          <cell r="B108" t="str">
            <v>扭矩拉伸器</v>
          </cell>
        </row>
        <row r="109">
          <cell r="B109" t="str">
            <v>移动式弯管机</v>
          </cell>
        </row>
        <row r="110">
          <cell r="B110" t="str">
            <v>移动式弯管机</v>
          </cell>
        </row>
        <row r="111">
          <cell r="B111" t="str">
            <v>全方位切割机</v>
          </cell>
        </row>
        <row r="112">
          <cell r="B112" t="str">
            <v>真空泵</v>
          </cell>
        </row>
        <row r="113">
          <cell r="B113" t="str">
            <v>电动液压弯管机</v>
          </cell>
        </row>
        <row r="114">
          <cell r="B114" t="str">
            <v>电动液压切缆机</v>
          </cell>
        </row>
        <row r="115">
          <cell r="B115" t="str">
            <v>电动液压压接机</v>
          </cell>
        </row>
        <row r="116">
          <cell r="B116" t="str">
            <v>C02焊机</v>
          </cell>
        </row>
        <row r="117">
          <cell r="B117" t="str">
            <v>逆变式直流焊机</v>
          </cell>
        </row>
        <row r="118">
          <cell r="B118" t="str">
            <v>气电立焊自动焊机</v>
          </cell>
        </row>
        <row r="119">
          <cell r="B119" t="str">
            <v>等离子切割机</v>
          </cell>
        </row>
        <row r="120">
          <cell r="B120" t="str">
            <v>碳弧气刨机</v>
          </cell>
        </row>
        <row r="121">
          <cell r="B121" t="str">
            <v>风速仪</v>
          </cell>
        </row>
        <row r="122">
          <cell r="B122" t="str">
            <v xml:space="preserve">多头焊机 </v>
          </cell>
        </row>
        <row r="123">
          <cell r="B123" t="str">
            <v>埋弧自动焊机</v>
          </cell>
        </row>
        <row r="124">
          <cell r="B124" t="str">
            <v>风动往复泵</v>
          </cell>
        </row>
        <row r="125">
          <cell r="B125" t="str">
            <v>温度较准仪</v>
          </cell>
        </row>
        <row r="126">
          <cell r="B126" t="str">
            <v>主机示功器</v>
          </cell>
        </row>
        <row r="127">
          <cell r="B127" t="str">
            <v>卡套预装扩口机</v>
          </cell>
        </row>
        <row r="128">
          <cell r="B128" t="str">
            <v>压力较准仪</v>
          </cell>
        </row>
        <row r="129">
          <cell r="B129" t="str">
            <v>挠度测量仪</v>
          </cell>
        </row>
        <row r="130">
          <cell r="B130" t="str">
            <v>数码复印机</v>
          </cell>
        </row>
        <row r="131">
          <cell r="B131" t="str">
            <v>光电激光电子转速仪</v>
          </cell>
        </row>
        <row r="132">
          <cell r="B132" t="str">
            <v>红外线测温仪</v>
          </cell>
        </row>
        <row r="133">
          <cell r="B133" t="str">
            <v>线号打字机</v>
          </cell>
        </row>
        <row r="134">
          <cell r="B134" t="str">
            <v>皮卡雕刻机</v>
          </cell>
        </row>
        <row r="135">
          <cell r="B135" t="str">
            <v>隔离变压器</v>
          </cell>
        </row>
        <row r="136">
          <cell r="B136" t="str">
            <v>晶闸管控制弧焊机</v>
          </cell>
        </row>
        <row r="137">
          <cell r="B137" t="str">
            <v>爆发压力表</v>
          </cell>
        </row>
        <row r="138">
          <cell r="B138" t="str">
            <v>轴负荷压力传感器/显示器</v>
          </cell>
        </row>
        <row r="139">
          <cell r="B139" t="str">
            <v>磁力座钻</v>
          </cell>
        </row>
        <row r="140">
          <cell r="B140" t="str">
            <v>螺母劈开器</v>
          </cell>
        </row>
        <row r="141">
          <cell r="B141" t="str">
            <v>风量风速仪</v>
          </cell>
        </row>
        <row r="142">
          <cell r="B142" t="str">
            <v>法兰分离器分离</v>
          </cell>
        </row>
        <row r="143">
          <cell r="B143" t="str">
            <v>风动扭矩扳手</v>
          </cell>
        </row>
        <row r="144">
          <cell r="B144" t="str">
            <v>风动磅压泵</v>
          </cell>
        </row>
        <row r="145">
          <cell r="B145" t="str">
            <v>喷涂机(进口)</v>
          </cell>
        </row>
        <row r="146">
          <cell r="B146" t="str">
            <v>液压扳手工作头</v>
          </cell>
        </row>
        <row r="147">
          <cell r="B147" t="str">
            <v>便携式喷砂枪</v>
          </cell>
        </row>
        <row r="148">
          <cell r="B148" t="str">
            <v>无极碳弧气刨机</v>
          </cell>
        </row>
        <row r="149">
          <cell r="B149" t="str">
            <v>便携压弧焊机</v>
          </cell>
        </row>
        <row r="150">
          <cell r="B150" t="str">
            <v>电动上油机</v>
          </cell>
        </row>
        <row r="151">
          <cell r="B151" t="str">
            <v>工业吸尘器</v>
          </cell>
        </row>
        <row r="152">
          <cell r="B152" t="str">
            <v>电动高压泵</v>
          </cell>
        </row>
        <row r="153">
          <cell r="B153" t="str">
            <v>真空泵</v>
          </cell>
        </row>
        <row r="154">
          <cell r="B154" t="str">
            <v>超薄千斤顶</v>
          </cell>
        </row>
        <row r="155">
          <cell r="B155" t="str">
            <v>埋弧自动焊机</v>
          </cell>
        </row>
        <row r="156">
          <cell r="B156" t="str">
            <v>逆变直流手弧焊机</v>
          </cell>
        </row>
        <row r="157">
          <cell r="B157" t="str">
            <v>CO2保护焊机</v>
          </cell>
        </row>
        <row r="158">
          <cell r="B158" t="str">
            <v>风动葫芦(5T)</v>
          </cell>
        </row>
        <row r="159">
          <cell r="B159" t="str">
            <v>充电式压接/切割/冲孔一体机</v>
          </cell>
        </row>
        <row r="160">
          <cell r="B160" t="str">
            <v>定位定距气焊切割机</v>
          </cell>
        </row>
        <row r="161">
          <cell r="B161" t="str">
            <v>风动扭矩扳手</v>
          </cell>
        </row>
        <row r="162">
          <cell r="B162" t="str">
            <v>扭距拉伸枪</v>
          </cell>
        </row>
        <row r="163">
          <cell r="B163" t="str">
            <v>超声波单通道流量计</v>
          </cell>
        </row>
        <row r="164">
          <cell r="B164" t="str">
            <v>压力校验仪</v>
          </cell>
        </row>
        <row r="165">
          <cell r="B165" t="str">
            <v>垂直自动焊机</v>
          </cell>
        </row>
        <row r="166">
          <cell r="B166" t="str">
            <v>埋弧自动焊机</v>
          </cell>
        </row>
        <row r="167">
          <cell r="B167" t="str">
            <v>电动高压泵</v>
          </cell>
        </row>
        <row r="168">
          <cell r="B168" t="str">
            <v>高压电动泵</v>
          </cell>
        </row>
        <row r="169">
          <cell r="B169" t="str">
            <v>风动高压泵</v>
          </cell>
        </row>
        <row r="170">
          <cell r="B170" t="str">
            <v>主机示功器</v>
          </cell>
        </row>
        <row r="171">
          <cell r="B171" t="str">
            <v>主机挠度测量仪</v>
          </cell>
        </row>
        <row r="172">
          <cell r="B172" t="str">
            <v>电子拐挡测量装置</v>
          </cell>
        </row>
        <row r="173">
          <cell r="B173" t="str">
            <v>爆发压力表</v>
          </cell>
        </row>
        <row r="174">
          <cell r="B174" t="str">
            <v>全方位切割机</v>
          </cell>
        </row>
        <row r="175">
          <cell r="B175" t="str">
            <v>CO2焊机</v>
          </cell>
        </row>
        <row r="176">
          <cell r="B176" t="str">
            <v>弯管机</v>
          </cell>
        </row>
        <row r="177">
          <cell r="B177" t="str">
            <v>风动磅压泵</v>
          </cell>
        </row>
        <row r="178">
          <cell r="B178" t="str">
            <v>法兰分离器</v>
          </cell>
        </row>
        <row r="179">
          <cell r="B179" t="str">
            <v>风动扭矩紧固器</v>
          </cell>
        </row>
        <row r="180">
          <cell r="B180" t="str">
            <v>接地电阻测试仪</v>
          </cell>
        </row>
        <row r="181">
          <cell r="B181" t="str">
            <v>绝缘电阻测试仪</v>
          </cell>
        </row>
        <row r="182">
          <cell r="B182" t="str">
            <v>电缆液压切缆机</v>
          </cell>
        </row>
        <row r="183">
          <cell r="B183" t="str">
            <v>全能多用机</v>
          </cell>
        </row>
        <row r="184">
          <cell r="B184" t="str">
            <v>电缆液压压接机</v>
          </cell>
        </row>
        <row r="185">
          <cell r="B185" t="str">
            <v>薄铁液压冲孔机</v>
          </cell>
        </row>
        <row r="186">
          <cell r="B186" t="str">
            <v>风速仪</v>
          </cell>
        </row>
        <row r="187">
          <cell r="B187" t="str">
            <v>高压兆欧表</v>
          </cell>
        </row>
        <row r="188">
          <cell r="B188" t="str">
            <v>水平测量仪</v>
          </cell>
        </row>
        <row r="189">
          <cell r="B189" t="str">
            <v>埋弧自动焊机</v>
          </cell>
        </row>
        <row r="190">
          <cell r="B190" t="str">
            <v>喷漆泵</v>
          </cell>
        </row>
        <row r="191">
          <cell r="B191" t="str">
            <v>测氧仪</v>
          </cell>
        </row>
        <row r="192">
          <cell r="B192" t="str">
            <v>涂装漆膜表</v>
          </cell>
        </row>
        <row r="193">
          <cell r="B193" t="str">
            <v>多功能测试仪</v>
          </cell>
        </row>
        <row r="194">
          <cell r="B194" t="str">
            <v>900t吊车空调</v>
          </cell>
        </row>
        <row r="195">
          <cell r="B195" t="str">
            <v>T-930船用多功能手泵（空气泵)</v>
          </cell>
        </row>
        <row r="196">
          <cell r="B196" t="str">
            <v>轴系校中用传感器和显示器</v>
          </cell>
        </row>
        <row r="197">
          <cell r="B197" t="str">
            <v>高压电动泵</v>
          </cell>
        </row>
        <row r="198">
          <cell r="B198" t="str">
            <v>矮型油缸组</v>
          </cell>
        </row>
        <row r="199">
          <cell r="B199" t="str">
            <v>气割开孔机</v>
          </cell>
        </row>
        <row r="200">
          <cell r="B200" t="str">
            <v>红外线测温仪</v>
          </cell>
        </row>
        <row r="201">
          <cell r="B201" t="str">
            <v>露点仪</v>
          </cell>
        </row>
        <row r="202">
          <cell r="B202" t="str">
            <v>气动扳手</v>
          </cell>
        </row>
        <row r="203">
          <cell r="B203" t="str">
            <v>电动甘油枪</v>
          </cell>
        </row>
        <row r="204">
          <cell r="B204" t="str">
            <v>CO2半自动气体保护焊机</v>
          </cell>
        </row>
        <row r="205">
          <cell r="B205" t="str">
            <v>真空泵</v>
          </cell>
        </row>
        <row r="206">
          <cell r="B206" t="str">
            <v>气动扭矩扳手</v>
          </cell>
        </row>
        <row r="207">
          <cell r="B207" t="str">
            <v>三头晶闸管整流弧焊机</v>
          </cell>
        </row>
        <row r="208">
          <cell r="B208" t="str">
            <v>中空液压扳手</v>
          </cell>
        </row>
        <row r="209">
          <cell r="B209" t="str">
            <v>碳弧气刨机</v>
          </cell>
        </row>
        <row r="210">
          <cell r="B210" t="str">
            <v>法兰分离器</v>
          </cell>
        </row>
        <row r="211">
          <cell r="B211" t="str">
            <v>三区至六区低压供电系统改造</v>
          </cell>
        </row>
        <row r="212">
          <cell r="B212" t="str">
            <v>板式换热器</v>
          </cell>
        </row>
        <row r="213">
          <cell r="B213" t="str">
            <v>温水循环泵</v>
          </cell>
        </row>
        <row r="214">
          <cell r="B214" t="str">
            <v>柴油发电机组</v>
          </cell>
        </row>
        <row r="215">
          <cell r="B215" t="str">
            <v>36伏变压器</v>
          </cell>
        </row>
        <row r="216">
          <cell r="B216" t="str">
            <v>低压电容器组</v>
          </cell>
        </row>
        <row r="217">
          <cell r="B217" t="str">
            <v>计算机</v>
          </cell>
        </row>
        <row r="218">
          <cell r="B218" t="str">
            <v>复合式气体检测仪</v>
          </cell>
        </row>
        <row r="219">
          <cell r="B219" t="str">
            <v>防爆风机</v>
          </cell>
        </row>
        <row r="220">
          <cell r="B220" t="str">
            <v>转轮混合型风冷除湿机</v>
          </cell>
        </row>
        <row r="221">
          <cell r="B221" t="str">
            <v>真空吸砂机</v>
          </cell>
        </row>
        <row r="222">
          <cell r="B222" t="str">
            <v>存储记录仪</v>
          </cell>
        </row>
        <row r="223">
          <cell r="B223" t="str">
            <v>柴油加温机</v>
          </cell>
        </row>
        <row r="224">
          <cell r="B224" t="str">
            <v>喷漆泵</v>
          </cell>
        </row>
        <row r="225">
          <cell r="B225" t="str">
            <v>除湿机</v>
          </cell>
        </row>
        <row r="226">
          <cell r="B226" t="str">
            <v>大型风动吸砂机</v>
          </cell>
        </row>
        <row r="227">
          <cell r="B227" t="str">
            <v>移动式空压机</v>
          </cell>
        </row>
        <row r="228">
          <cell r="B228" t="str">
            <v>焊条干燥箱</v>
          </cell>
        </row>
        <row r="229">
          <cell r="B229" t="str">
            <v>等离子切割机</v>
          </cell>
        </row>
        <row r="230">
          <cell r="B230" t="str">
            <v>焊接滚轮架</v>
          </cell>
        </row>
        <row r="231">
          <cell r="B231" t="str">
            <v>风动磅压泵</v>
          </cell>
        </row>
        <row r="232">
          <cell r="B232" t="str">
            <v>碳弧气刨机</v>
          </cell>
        </row>
        <row r="233">
          <cell r="B233" t="str">
            <v>氩弧焊机</v>
          </cell>
        </row>
        <row r="234">
          <cell r="B234" t="str">
            <v>CO2焊机</v>
          </cell>
        </row>
        <row r="235">
          <cell r="B235" t="str">
            <v>建造多功能机动艇</v>
          </cell>
        </row>
        <row r="236">
          <cell r="B236" t="str">
            <v>舢板船</v>
          </cell>
        </row>
        <row r="237">
          <cell r="B237" t="str">
            <v>复印机</v>
          </cell>
        </row>
        <row r="238">
          <cell r="B238" t="str">
            <v>传真机</v>
          </cell>
        </row>
        <row r="239">
          <cell r="B239" t="str">
            <v>手持GPS</v>
          </cell>
        </row>
        <row r="240">
          <cell r="B240" t="str">
            <v>高压热水洗水机</v>
          </cell>
        </row>
        <row r="241">
          <cell r="B241" t="str">
            <v>转轮式除湿机</v>
          </cell>
        </row>
        <row r="242">
          <cell r="B242" t="str">
            <v>气动加油机</v>
          </cell>
        </row>
        <row r="243">
          <cell r="B243" t="str">
            <v>全自动正反吸式除尘器</v>
          </cell>
        </row>
        <row r="244">
          <cell r="B244" t="str">
            <v>南坞闸门</v>
          </cell>
        </row>
        <row r="245">
          <cell r="B245" t="str">
            <v>气体压缩机</v>
          </cell>
        </row>
        <row r="246">
          <cell r="B246" t="str">
            <v>高压热水清洗机</v>
          </cell>
        </row>
        <row r="247">
          <cell r="B247" t="str">
            <v>喷砂机</v>
          </cell>
        </row>
        <row r="248">
          <cell r="B248" t="str">
            <v>可燃气体测爆仪</v>
          </cell>
        </row>
        <row r="249">
          <cell r="B249" t="str">
            <v>7吨集装箱叉车</v>
          </cell>
        </row>
        <row r="250">
          <cell r="B250" t="str">
            <v>3吨万能叉车</v>
          </cell>
        </row>
        <row r="251">
          <cell r="B251" t="str">
            <v>6吨万能叉车</v>
          </cell>
        </row>
        <row r="252">
          <cell r="B252" t="str">
            <v>5吨装载机</v>
          </cell>
        </row>
        <row r="253">
          <cell r="B253" t="str">
            <v>斯太尔自卸车</v>
          </cell>
        </row>
        <row r="254">
          <cell r="B254" t="str">
            <v>汽车吊</v>
          </cell>
        </row>
        <row r="255">
          <cell r="B255" t="str">
            <v>10吨叉车</v>
          </cell>
        </row>
        <row r="256">
          <cell r="B256" t="str">
            <v>6吨叉车</v>
          </cell>
        </row>
        <row r="257">
          <cell r="B257" t="str">
            <v>3吨叉车</v>
          </cell>
        </row>
        <row r="258">
          <cell r="B258" t="str">
            <v>6吨集装箱叉车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估算表"/>
      <sheetName val="室内工程"/>
      <sheetName val="室外工程"/>
      <sheetName val="其他"/>
      <sheetName val="公用设备表"/>
      <sheetName val="公用设备表2"/>
      <sheetName val="招标表"/>
      <sheetName val="武"/>
    </sheetNames>
    <definedNames>
      <definedName name="Module.Prix_SMC" refersTo="#REF!"/>
      <definedName name="Prix_SMC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新增主要工艺设备表"/>
      <sheetName val="估算表"/>
      <sheetName val="室内 "/>
      <sheetName val="室外"/>
      <sheetName val="其他 "/>
      <sheetName val="工艺设备购置"/>
      <sheetName val="进口购置"/>
      <sheetName val="新增主要工艺设备表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新增主要工艺设备表"/>
      <sheetName val="估算表"/>
      <sheetName val="室内 "/>
      <sheetName val="室外"/>
      <sheetName val="其他 "/>
      <sheetName val="工艺设备购置"/>
      <sheetName val="进口购置"/>
      <sheetName val="新增主要工艺设备表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Open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heet1"/>
      <sheetName val="估算"/>
      <sheetName val="工艺设备2 (2)"/>
      <sheetName val="室内工程"/>
      <sheetName val="室外工程"/>
      <sheetName val="其他"/>
      <sheetName val="公用设备"/>
      <sheetName val="说明(不打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heet1"/>
      <sheetName val="估算"/>
      <sheetName val="工艺设备2 (2)"/>
      <sheetName val="室内工程"/>
      <sheetName val="室外工程"/>
      <sheetName val="其他"/>
      <sheetName val="公用设备"/>
      <sheetName val="说明(不打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Toolbox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G.1R-Shou COP G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POWER ASSUMPTION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Toolbox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进口128#"/>
      <sheetName val="123#新增设备表 "/>
      <sheetName val="128#(舰炮)新增设备表"/>
      <sheetName val="新增设备表129#(发射)"/>
      <sheetName val="进口"/>
      <sheetName val="设备概算表"/>
      <sheetName val="进口概算表1"/>
      <sheetName val="Sheet1"/>
      <sheetName val="Sheet2"/>
      <sheetName val="Sheet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水土建"/>
      <sheetName val="工艺"/>
      <sheetName val="排水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水土建"/>
      <sheetName val="工艺"/>
      <sheetName val="排水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内装修及基础计算表"/>
      <sheetName val="内装修"/>
      <sheetName val="内装修预算表"/>
      <sheetName val="内装修调价表"/>
      <sheetName val="内装修取费表"/>
      <sheetName val="工程量屋面屋架柱"/>
      <sheetName val="工程量墙梁"/>
      <sheetName val="钢结构调价表"/>
      <sheetName val="综合表"/>
      <sheetName val="内装修估价表"/>
      <sheetName val="钢结构取费表"/>
      <sheetName val="外维护估价表"/>
      <sheetName val="钢结构预算表"/>
      <sheetName val="综合表1"/>
      <sheetName val="取费表"/>
      <sheetName val="室内"/>
      <sheetName val="室外 "/>
      <sheetName val="公用设备"/>
      <sheetName val="装饰工程预算表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图号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设计收费 (2)"/>
      <sheetName val="Sheet1"/>
      <sheetName val="公用设备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设计收费 (2)"/>
      <sheetName val="Sheet1"/>
      <sheetName val="公用设备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总图取费"/>
      <sheetName val="装饰取费 (2)"/>
      <sheetName val="注射剂车间土建取费 (2)"/>
      <sheetName val="总图"/>
      <sheetName val="Sheet1"/>
      <sheetName val="哈药土建修改"/>
      <sheetName val="哈药总厂粉针及综合制剂车间建筑部分"/>
      <sheetName val="装饰修改"/>
      <sheetName val="装饰工程预算表"/>
      <sheetName val="工程量屋面屋架柱"/>
      <sheetName val="引进设备"/>
      <sheetName val="参数"/>
      <sheetName val="总概算表"/>
      <sheetName val="新增工艺设备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09"/>
  <sheetViews>
    <sheetView showZeros="0" tabSelected="1" showOutlineSymbol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95" sqref="G95"/>
    </sheetView>
  </sheetViews>
  <sheetFormatPr defaultRowHeight="13.5"/>
  <cols>
    <col min="1" max="1" width="9" style="76"/>
    <col min="2" max="2" width="4.25" style="64" customWidth="1"/>
    <col min="3" max="3" width="37.625" style="64" customWidth="1"/>
    <col min="4" max="4" width="10.75" style="64" customWidth="1"/>
    <col min="5" max="5" width="9.625" style="64" bestFit="1" customWidth="1"/>
    <col min="6" max="6" width="12" style="78" bestFit="1" customWidth="1"/>
    <col min="7" max="7" width="10.75" style="78" bestFit="1" customWidth="1"/>
    <col min="8" max="8" width="12" style="78" bestFit="1" customWidth="1"/>
    <col min="9" max="10" width="10.75" style="78" bestFit="1" customWidth="1"/>
    <col min="11" max="11" width="12" style="78" bestFit="1" customWidth="1"/>
    <col min="12" max="12" width="9" style="65"/>
    <col min="13" max="16384" width="9" style="64"/>
  </cols>
  <sheetData>
    <row r="1" spans="1:12">
      <c r="A1" s="63" t="s">
        <v>1048</v>
      </c>
      <c r="B1" s="63"/>
      <c r="C1" s="63"/>
    </row>
    <row r="2" spans="1:12">
      <c r="A2" s="66" t="s">
        <v>1049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>
      <c r="A4" s="67" t="str">
        <f>设备!A3</f>
        <v>项目名称：XXXXXX建设项目</v>
      </c>
      <c r="B4" s="67"/>
      <c r="C4" s="67"/>
      <c r="D4" s="67"/>
      <c r="E4" s="67"/>
      <c r="F4" s="67"/>
      <c r="G4" s="68" t="s">
        <v>3</v>
      </c>
      <c r="H4" s="68"/>
      <c r="I4" s="68"/>
      <c r="J4" s="68"/>
      <c r="K4" s="68"/>
      <c r="L4" s="68"/>
    </row>
    <row r="5" spans="1:12" ht="15.75">
      <c r="A5" s="69" t="s">
        <v>4</v>
      </c>
      <c r="B5" s="70" t="s">
        <v>5</v>
      </c>
      <c r="C5" s="70" t="s">
        <v>6</v>
      </c>
      <c r="D5" s="70" t="s">
        <v>7</v>
      </c>
      <c r="E5" s="70"/>
      <c r="F5" s="79" t="s">
        <v>8</v>
      </c>
      <c r="G5" s="79" t="s">
        <v>9</v>
      </c>
      <c r="H5" s="79"/>
      <c r="I5" s="80" t="s">
        <v>1050</v>
      </c>
      <c r="J5" s="80" t="s">
        <v>1051</v>
      </c>
      <c r="K5" s="81" t="s">
        <v>607</v>
      </c>
      <c r="L5" s="72" t="s">
        <v>606</v>
      </c>
    </row>
    <row r="6" spans="1:12">
      <c r="A6" s="69"/>
      <c r="B6" s="70"/>
      <c r="C6" s="70"/>
      <c r="D6" s="73" t="s">
        <v>10</v>
      </c>
      <c r="E6" s="73" t="s">
        <v>11</v>
      </c>
      <c r="F6" s="79"/>
      <c r="G6" s="48" t="s">
        <v>12</v>
      </c>
      <c r="H6" s="48" t="s">
        <v>13</v>
      </c>
      <c r="I6" s="79"/>
      <c r="J6" s="79"/>
      <c r="K6" s="79"/>
      <c r="L6" s="71"/>
    </row>
    <row r="7" spans="1:12">
      <c r="A7" s="46"/>
      <c r="B7" s="73"/>
      <c r="C7" s="73" t="s">
        <v>14</v>
      </c>
      <c r="D7" s="73"/>
      <c r="E7" s="73"/>
      <c r="F7" s="48"/>
      <c r="G7" s="48"/>
      <c r="H7" s="48"/>
      <c r="I7" s="48"/>
      <c r="J7" s="48"/>
      <c r="K7" s="48"/>
      <c r="L7" s="74"/>
    </row>
    <row r="8" spans="1:12" s="20" customFormat="1">
      <c r="A8" s="21" t="s">
        <v>196</v>
      </c>
      <c r="B8" s="18"/>
      <c r="C8" s="18" t="s">
        <v>612</v>
      </c>
      <c r="D8" s="18"/>
      <c r="E8" s="18"/>
      <c r="F8" s="9"/>
      <c r="G8" s="9"/>
      <c r="H8" s="9"/>
      <c r="I8" s="9"/>
      <c r="J8" s="9"/>
      <c r="K8" s="9"/>
      <c r="L8" s="19"/>
    </row>
    <row r="9" spans="1:12">
      <c r="A9" s="46">
        <v>1</v>
      </c>
      <c r="B9" s="73"/>
      <c r="C9" s="73" t="s">
        <v>175</v>
      </c>
      <c r="D9" s="73">
        <v>0</v>
      </c>
      <c r="E9" s="73"/>
      <c r="F9" s="48">
        <v>23865</v>
      </c>
      <c r="G9" s="48"/>
      <c r="H9" s="48"/>
      <c r="I9" s="48"/>
      <c r="J9" s="48"/>
      <c r="K9" s="48">
        <f>SUM(F9:J9)</f>
        <v>23865</v>
      </c>
      <c r="L9" s="74"/>
    </row>
    <row r="10" spans="1:12">
      <c r="A10" s="46">
        <v>2</v>
      </c>
      <c r="B10" s="73"/>
      <c r="C10" s="73" t="s">
        <v>185</v>
      </c>
      <c r="D10" s="11" t="s">
        <v>1078</v>
      </c>
      <c r="E10" s="73"/>
      <c r="F10" s="48">
        <f>-D10*0.11</f>
        <v>4400</v>
      </c>
      <c r="G10" s="48"/>
      <c r="H10" s="48"/>
      <c r="I10" s="48"/>
      <c r="J10" s="48"/>
      <c r="K10" s="48">
        <f t="shared" ref="K10:K13" si="0">SUM(F10:J10)</f>
        <v>4400</v>
      </c>
      <c r="L10" s="74"/>
    </row>
    <row r="11" spans="1:12">
      <c r="A11" s="46">
        <v>3</v>
      </c>
      <c r="B11" s="73"/>
      <c r="C11" s="73" t="s">
        <v>523</v>
      </c>
      <c r="D11" s="73">
        <v>13824</v>
      </c>
      <c r="E11" s="73"/>
      <c r="F11" s="48">
        <v>8985.6</v>
      </c>
      <c r="G11" s="48">
        <v>898.56000000000006</v>
      </c>
      <c r="H11" s="48">
        <f>设备!H15</f>
        <v>2540</v>
      </c>
      <c r="I11" s="48">
        <v>130</v>
      </c>
      <c r="J11" s="48"/>
      <c r="K11" s="48">
        <f t="shared" si="0"/>
        <v>12554.16</v>
      </c>
      <c r="L11" s="74"/>
    </row>
    <row r="12" spans="1:12">
      <c r="A12" s="46">
        <v>4</v>
      </c>
      <c r="B12" s="73"/>
      <c r="C12" s="73" t="s">
        <v>1052</v>
      </c>
      <c r="D12" s="73">
        <f>240*48*2</f>
        <v>23040</v>
      </c>
      <c r="E12" s="73"/>
      <c r="F12" s="48">
        <f>D12*0.8</f>
        <v>18432</v>
      </c>
      <c r="G12" s="48">
        <f>F12*0.1</f>
        <v>1843.2</v>
      </c>
      <c r="H12" s="48">
        <f>设备!H24</f>
        <v>23840</v>
      </c>
      <c r="I12" s="48">
        <f>H12*0.08</f>
        <v>1907.2</v>
      </c>
      <c r="J12" s="48"/>
      <c r="K12" s="48">
        <f t="shared" si="0"/>
        <v>46022.399999999994</v>
      </c>
      <c r="L12" s="74"/>
    </row>
    <row r="13" spans="1:12">
      <c r="A13" s="46">
        <v>5</v>
      </c>
      <c r="B13" s="73"/>
      <c r="C13" s="73" t="s">
        <v>609</v>
      </c>
      <c r="D13" s="73"/>
      <c r="E13" s="73"/>
      <c r="F13" s="48">
        <f>1050*2</f>
        <v>2100</v>
      </c>
      <c r="G13" s="48">
        <v>200</v>
      </c>
      <c r="H13" s="48">
        <f>设备!H31</f>
        <v>9032</v>
      </c>
      <c r="I13" s="48">
        <v>47</v>
      </c>
      <c r="J13" s="48"/>
      <c r="K13" s="48">
        <f t="shared" si="0"/>
        <v>11379</v>
      </c>
      <c r="L13" s="74"/>
    </row>
    <row r="14" spans="1:12" s="20" customFormat="1">
      <c r="A14" s="21"/>
      <c r="B14" s="18"/>
      <c r="C14" s="18" t="s">
        <v>613</v>
      </c>
      <c r="D14" s="18">
        <f>SUM(D9:D13)</f>
        <v>36864</v>
      </c>
      <c r="E14" s="18">
        <f t="shared" ref="E14" si="1">SUM(E9:E11)</f>
        <v>0</v>
      </c>
      <c r="F14" s="9">
        <f>SUM(F9:F13)</f>
        <v>57782.6</v>
      </c>
      <c r="G14" s="9">
        <f t="shared" ref="G14:K14" si="2">SUM(G9:G13)</f>
        <v>2941.76</v>
      </c>
      <c r="H14" s="9">
        <f t="shared" si="2"/>
        <v>35412</v>
      </c>
      <c r="I14" s="9">
        <f t="shared" si="2"/>
        <v>2084.1999999999998</v>
      </c>
      <c r="J14" s="9">
        <f t="shared" si="2"/>
        <v>0</v>
      </c>
      <c r="K14" s="9">
        <f t="shared" si="2"/>
        <v>98220.56</v>
      </c>
      <c r="L14" s="19"/>
    </row>
    <row r="15" spans="1:12">
      <c r="A15" s="46"/>
      <c r="B15" s="73"/>
      <c r="C15" s="73"/>
      <c r="D15" s="73"/>
      <c r="E15" s="73"/>
      <c r="F15" s="48"/>
      <c r="G15" s="48"/>
      <c r="H15" s="48"/>
      <c r="I15" s="48"/>
      <c r="J15" s="48"/>
      <c r="K15" s="48"/>
      <c r="L15" s="74"/>
    </row>
    <row r="16" spans="1:12" s="20" customFormat="1">
      <c r="A16" s="21" t="s">
        <v>197</v>
      </c>
      <c r="B16" s="18"/>
      <c r="C16" s="18" t="s">
        <v>614</v>
      </c>
      <c r="D16" s="18"/>
      <c r="E16" s="18"/>
      <c r="F16" s="9"/>
      <c r="G16" s="9"/>
      <c r="H16" s="9"/>
      <c r="I16" s="9"/>
      <c r="J16" s="9"/>
      <c r="K16" s="9"/>
      <c r="L16" s="19"/>
    </row>
    <row r="17" spans="1:12">
      <c r="A17" s="46">
        <v>1</v>
      </c>
      <c r="B17" s="73"/>
      <c r="C17" s="73" t="s">
        <v>1053</v>
      </c>
      <c r="D17" s="73">
        <v>0</v>
      </c>
      <c r="E17" s="73"/>
      <c r="F17" s="48"/>
      <c r="G17" s="48"/>
      <c r="H17" s="48">
        <f>设备!H54</f>
        <v>4440</v>
      </c>
      <c r="I17" s="82">
        <f t="shared" ref="I17:I32" si="3">H17*0.06</f>
        <v>266.39999999999998</v>
      </c>
      <c r="J17" s="48"/>
      <c r="K17" s="48">
        <f>SUM(F17:J17)</f>
        <v>4706.3999999999996</v>
      </c>
      <c r="L17" s="74"/>
    </row>
    <row r="18" spans="1:12">
      <c r="A18" s="46">
        <v>2</v>
      </c>
      <c r="B18" s="73"/>
      <c r="C18" s="73" t="s">
        <v>180</v>
      </c>
      <c r="D18" s="73">
        <f t="shared" ref="D18:K18" si="4">SUM(D19:D28)</f>
        <v>133920</v>
      </c>
      <c r="E18" s="73">
        <f t="shared" si="4"/>
        <v>0</v>
      </c>
      <c r="F18" s="48">
        <f t="shared" si="4"/>
        <v>44323.199999999997</v>
      </c>
      <c r="G18" s="48">
        <f t="shared" si="4"/>
        <v>4432.3200000000006</v>
      </c>
      <c r="H18" s="48">
        <f t="shared" si="4"/>
        <v>50993.2</v>
      </c>
      <c r="I18" s="48">
        <f t="shared" si="4"/>
        <v>3059.5920000000001</v>
      </c>
      <c r="J18" s="48">
        <f t="shared" si="4"/>
        <v>0</v>
      </c>
      <c r="K18" s="48">
        <f t="shared" si="4"/>
        <v>102808.31200000001</v>
      </c>
      <c r="L18" s="74"/>
    </row>
    <row r="19" spans="1:12" s="17" customFormat="1">
      <c r="A19" s="14">
        <v>2.1</v>
      </c>
      <c r="B19" s="15"/>
      <c r="C19" s="15" t="s">
        <v>599</v>
      </c>
      <c r="D19" s="15">
        <f>180*36</f>
        <v>6480</v>
      </c>
      <c r="E19" s="15"/>
      <c r="F19" s="82">
        <f t="shared" ref="F19:F21" si="5">D19*0.2</f>
        <v>1296</v>
      </c>
      <c r="G19" s="82">
        <f t="shared" ref="G19:G32" si="6">F19*0.1</f>
        <v>129.6</v>
      </c>
      <c r="H19" s="82">
        <f>设备!H62</f>
        <v>743</v>
      </c>
      <c r="I19" s="82">
        <f t="shared" si="3"/>
        <v>44.58</v>
      </c>
      <c r="J19" s="82"/>
      <c r="K19" s="82">
        <f t="shared" ref="K19:K28" si="7">SUM(F19:J19)</f>
        <v>2213.1799999999998</v>
      </c>
      <c r="L19" s="16"/>
    </row>
    <row r="20" spans="1:12" s="17" customFormat="1">
      <c r="A20" s="14">
        <v>2.2000000000000002</v>
      </c>
      <c r="B20" s="15"/>
      <c r="C20" s="15" t="s">
        <v>600</v>
      </c>
      <c r="D20" s="15">
        <f>180*36</f>
        <v>6480</v>
      </c>
      <c r="E20" s="15"/>
      <c r="F20" s="82">
        <f t="shared" si="5"/>
        <v>1296</v>
      </c>
      <c r="G20" s="82">
        <f t="shared" si="6"/>
        <v>129.6</v>
      </c>
      <c r="H20" s="82">
        <f>设备!H70</f>
        <v>970</v>
      </c>
      <c r="I20" s="82">
        <f t="shared" si="3"/>
        <v>58.199999999999996</v>
      </c>
      <c r="J20" s="82"/>
      <c r="K20" s="82">
        <f t="shared" si="7"/>
        <v>2453.7999999999997</v>
      </c>
      <c r="L20" s="16"/>
    </row>
    <row r="21" spans="1:12" s="17" customFormat="1">
      <c r="A21" s="14">
        <v>2.2999999999999998</v>
      </c>
      <c r="B21" s="15"/>
      <c r="C21" s="15" t="s">
        <v>532</v>
      </c>
      <c r="D21" s="15">
        <f>144*36</f>
        <v>5184</v>
      </c>
      <c r="E21" s="15"/>
      <c r="F21" s="82">
        <f t="shared" si="5"/>
        <v>1036.8</v>
      </c>
      <c r="G21" s="82">
        <f t="shared" si="6"/>
        <v>103.68</v>
      </c>
      <c r="H21" s="82">
        <f>设备!H84</f>
        <v>3015</v>
      </c>
      <c r="I21" s="82">
        <f t="shared" si="3"/>
        <v>180.9</v>
      </c>
      <c r="J21" s="82"/>
      <c r="K21" s="82">
        <f t="shared" si="7"/>
        <v>4336.3799999999992</v>
      </c>
      <c r="L21" s="16"/>
    </row>
    <row r="22" spans="1:12" s="17" customFormat="1">
      <c r="A22" s="14">
        <v>2.4</v>
      </c>
      <c r="B22" s="15"/>
      <c r="C22" s="15" t="s">
        <v>533</v>
      </c>
      <c r="D22" s="15">
        <f>216*36*2</f>
        <v>15552</v>
      </c>
      <c r="E22" s="15"/>
      <c r="F22" s="82">
        <f>D22*0.25</f>
        <v>3888</v>
      </c>
      <c r="G22" s="82">
        <f t="shared" si="6"/>
        <v>388.8</v>
      </c>
      <c r="H22" s="82">
        <f>设备!H105</f>
        <v>10735</v>
      </c>
      <c r="I22" s="82">
        <f t="shared" si="3"/>
        <v>644.1</v>
      </c>
      <c r="J22" s="82"/>
      <c r="K22" s="82">
        <f t="shared" si="7"/>
        <v>15655.9</v>
      </c>
      <c r="L22" s="16"/>
    </row>
    <row r="23" spans="1:12" s="17" customFormat="1">
      <c r="A23" s="14">
        <v>2.5</v>
      </c>
      <c r="B23" s="15"/>
      <c r="C23" s="15" t="s">
        <v>534</v>
      </c>
      <c r="D23" s="15">
        <f>144*36</f>
        <v>5184</v>
      </c>
      <c r="E23" s="15"/>
      <c r="F23" s="82">
        <f>D23*0.25</f>
        <v>1296</v>
      </c>
      <c r="G23" s="82">
        <f t="shared" si="6"/>
        <v>129.6</v>
      </c>
      <c r="H23" s="82">
        <f>设备!H121</f>
        <v>4310</v>
      </c>
      <c r="I23" s="82">
        <f t="shared" si="3"/>
        <v>258.59999999999997</v>
      </c>
      <c r="J23" s="82"/>
      <c r="K23" s="82">
        <f t="shared" si="7"/>
        <v>5994.2000000000007</v>
      </c>
      <c r="L23" s="16"/>
    </row>
    <row r="24" spans="1:12" s="17" customFormat="1">
      <c r="A24" s="14">
        <v>2.6</v>
      </c>
      <c r="B24" s="15"/>
      <c r="C24" s="15" t="s">
        <v>1054</v>
      </c>
      <c r="D24" s="15">
        <f>144*36</f>
        <v>5184</v>
      </c>
      <c r="E24" s="15"/>
      <c r="F24" s="82">
        <f>D24*0.2</f>
        <v>1036.8</v>
      </c>
      <c r="G24" s="82">
        <f t="shared" si="6"/>
        <v>103.68</v>
      </c>
      <c r="H24" s="82">
        <f>设备!H136</f>
        <v>2338</v>
      </c>
      <c r="I24" s="82">
        <f t="shared" si="3"/>
        <v>140.28</v>
      </c>
      <c r="J24" s="82"/>
      <c r="K24" s="82">
        <f t="shared" si="7"/>
        <v>3618.76</v>
      </c>
      <c r="L24" s="16"/>
    </row>
    <row r="25" spans="1:12" s="17" customFormat="1">
      <c r="A25" s="14">
        <v>2.7</v>
      </c>
      <c r="B25" s="15"/>
      <c r="C25" s="15" t="s">
        <v>602</v>
      </c>
      <c r="D25" s="15">
        <f>192*36*2</f>
        <v>13824</v>
      </c>
      <c r="E25" s="15"/>
      <c r="F25" s="82">
        <f>D25*0.45</f>
        <v>6220.8</v>
      </c>
      <c r="G25" s="82">
        <f t="shared" si="6"/>
        <v>622.08000000000004</v>
      </c>
      <c r="H25" s="82">
        <f>设备!H163</f>
        <v>11735.2</v>
      </c>
      <c r="I25" s="82">
        <f t="shared" si="3"/>
        <v>704.11199999999997</v>
      </c>
      <c r="J25" s="82"/>
      <c r="K25" s="82">
        <f t="shared" si="7"/>
        <v>19282.192000000003</v>
      </c>
      <c r="L25" s="16"/>
    </row>
    <row r="26" spans="1:12" s="17" customFormat="1">
      <c r="A26" s="14">
        <v>2.8</v>
      </c>
      <c r="B26" s="15"/>
      <c r="C26" s="15" t="s">
        <v>535</v>
      </c>
      <c r="D26" s="15">
        <f>600*36*2</f>
        <v>43200</v>
      </c>
      <c r="E26" s="15"/>
      <c r="F26" s="82">
        <f>D26*0.25</f>
        <v>10800</v>
      </c>
      <c r="G26" s="82">
        <f t="shared" si="6"/>
        <v>1080</v>
      </c>
      <c r="H26" s="82">
        <f>设备!H180</f>
        <v>4715</v>
      </c>
      <c r="I26" s="82">
        <f t="shared" si="3"/>
        <v>282.89999999999998</v>
      </c>
      <c r="J26" s="82"/>
      <c r="K26" s="82">
        <f t="shared" si="7"/>
        <v>16877.900000000001</v>
      </c>
      <c r="L26" s="16"/>
    </row>
    <row r="27" spans="1:12" s="17" customFormat="1">
      <c r="A27" s="14">
        <v>2.9</v>
      </c>
      <c r="B27" s="15"/>
      <c r="C27" s="15" t="s">
        <v>536</v>
      </c>
      <c r="D27" s="15">
        <f>168*36*2</f>
        <v>12096</v>
      </c>
      <c r="E27" s="15"/>
      <c r="F27" s="82">
        <f>D27*0.5</f>
        <v>6048</v>
      </c>
      <c r="G27" s="82">
        <f t="shared" si="6"/>
        <v>604.80000000000007</v>
      </c>
      <c r="H27" s="82">
        <f>设备!H191</f>
        <v>4866</v>
      </c>
      <c r="I27" s="82">
        <f t="shared" si="3"/>
        <v>291.95999999999998</v>
      </c>
      <c r="J27" s="82"/>
      <c r="K27" s="82">
        <f t="shared" si="7"/>
        <v>11810.759999999998</v>
      </c>
      <c r="L27" s="16"/>
    </row>
    <row r="28" spans="1:12" s="17" customFormat="1">
      <c r="A28" s="75">
        <v>2.1</v>
      </c>
      <c r="B28" s="15"/>
      <c r="C28" s="15" t="s">
        <v>537</v>
      </c>
      <c r="D28" s="15">
        <f>288*36*2</f>
        <v>20736</v>
      </c>
      <c r="E28" s="15"/>
      <c r="F28" s="82">
        <f>D28*0.55</f>
        <v>11404.800000000001</v>
      </c>
      <c r="G28" s="82">
        <f t="shared" si="6"/>
        <v>1140.4800000000002</v>
      </c>
      <c r="H28" s="82">
        <f>设备!H202</f>
        <v>7566</v>
      </c>
      <c r="I28" s="82">
        <f t="shared" si="3"/>
        <v>453.96</v>
      </c>
      <c r="J28" s="82"/>
      <c r="K28" s="82">
        <f t="shared" si="7"/>
        <v>20565.239999999998</v>
      </c>
      <c r="L28" s="16"/>
    </row>
    <row r="29" spans="1:12" s="17" customFormat="1">
      <c r="A29" s="14">
        <v>3</v>
      </c>
      <c r="B29" s="15"/>
      <c r="C29" s="15" t="s">
        <v>1055</v>
      </c>
      <c r="D29" s="15">
        <f>SUM(D30:D32)</f>
        <v>17550</v>
      </c>
      <c r="E29" s="15">
        <f t="shared" ref="E29:K29" si="8">SUM(E30:E32)</f>
        <v>0</v>
      </c>
      <c r="F29" s="82">
        <f t="shared" si="8"/>
        <v>2826</v>
      </c>
      <c r="G29" s="82">
        <f t="shared" si="8"/>
        <v>282.60000000000002</v>
      </c>
      <c r="H29" s="82">
        <f t="shared" si="8"/>
        <v>2678.6</v>
      </c>
      <c r="I29" s="82">
        <f t="shared" si="8"/>
        <v>160.71600000000001</v>
      </c>
      <c r="J29" s="82">
        <f t="shared" si="8"/>
        <v>0</v>
      </c>
      <c r="K29" s="82">
        <f t="shared" si="8"/>
        <v>5947.9159999999993</v>
      </c>
      <c r="L29" s="16"/>
    </row>
    <row r="30" spans="1:12" s="17" customFormat="1">
      <c r="A30" s="14">
        <v>3.1</v>
      </c>
      <c r="B30" s="15"/>
      <c r="C30" s="15" t="s">
        <v>556</v>
      </c>
      <c r="D30" s="15">
        <f>120*21</f>
        <v>2520</v>
      </c>
      <c r="E30" s="15"/>
      <c r="F30" s="82">
        <f>D30*0.2</f>
        <v>504</v>
      </c>
      <c r="G30" s="82">
        <f t="shared" si="6"/>
        <v>50.400000000000006</v>
      </c>
      <c r="H30" s="82">
        <f>设备!H209</f>
        <v>240</v>
      </c>
      <c r="I30" s="82">
        <f t="shared" si="3"/>
        <v>14.399999999999999</v>
      </c>
      <c r="J30" s="82"/>
      <c r="K30" s="82">
        <f t="shared" ref="K30:K58" si="9">SUM(F30:J30)</f>
        <v>808.8</v>
      </c>
      <c r="L30" s="16"/>
    </row>
    <row r="31" spans="1:12" s="17" customFormat="1">
      <c r="A31" s="14">
        <v>3.2</v>
      </c>
      <c r="B31" s="15"/>
      <c r="C31" s="15" t="s">
        <v>181</v>
      </c>
      <c r="D31" s="15">
        <f>120*(21+12+21)</f>
        <v>6480</v>
      </c>
      <c r="E31" s="15"/>
      <c r="F31" s="82">
        <f t="shared" ref="F31" si="10">D31*0.2</f>
        <v>1296</v>
      </c>
      <c r="G31" s="82">
        <f t="shared" si="6"/>
        <v>129.6</v>
      </c>
      <c r="H31" s="82">
        <f>设备!H227</f>
        <v>1959</v>
      </c>
      <c r="I31" s="82">
        <f t="shared" si="3"/>
        <v>117.53999999999999</v>
      </c>
      <c r="J31" s="82"/>
      <c r="K31" s="82">
        <f t="shared" si="9"/>
        <v>3502.14</v>
      </c>
      <c r="L31" s="16"/>
    </row>
    <row r="32" spans="1:12" s="17" customFormat="1">
      <c r="A32" s="14">
        <v>3.3</v>
      </c>
      <c r="B32" s="15"/>
      <c r="C32" s="15" t="s">
        <v>1056</v>
      </c>
      <c r="D32" s="15">
        <f>114*75</f>
        <v>8550</v>
      </c>
      <c r="E32" s="15"/>
      <c r="F32" s="82">
        <f>D32*0.12</f>
        <v>1026</v>
      </c>
      <c r="G32" s="82">
        <f t="shared" si="6"/>
        <v>102.60000000000001</v>
      </c>
      <c r="H32" s="82">
        <f>设备!H249</f>
        <v>479.6</v>
      </c>
      <c r="I32" s="82">
        <f t="shared" si="3"/>
        <v>28.776</v>
      </c>
      <c r="J32" s="82"/>
      <c r="K32" s="82">
        <f t="shared" si="9"/>
        <v>1636.9759999999999</v>
      </c>
      <c r="L32" s="16"/>
    </row>
    <row r="33" spans="1:12">
      <c r="A33" s="46">
        <v>4</v>
      </c>
      <c r="B33" s="73"/>
      <c r="C33" s="73" t="s">
        <v>1057</v>
      </c>
      <c r="D33" s="73">
        <f>SUM(D34:D40)</f>
        <v>41904</v>
      </c>
      <c r="E33" s="73">
        <f t="shared" ref="E33" si="11">SUM(E34:E40)</f>
        <v>0</v>
      </c>
      <c r="F33" s="48">
        <f>SUM(F34:F42)</f>
        <v>17704.8</v>
      </c>
      <c r="G33" s="48">
        <f t="shared" ref="G33:I33" si="12">SUM(G34:G42)</f>
        <v>1770.48</v>
      </c>
      <c r="H33" s="48">
        <f t="shared" si="12"/>
        <v>6851</v>
      </c>
      <c r="I33" s="48">
        <f t="shared" si="12"/>
        <v>411.06</v>
      </c>
      <c r="J33" s="48"/>
      <c r="K33" s="48">
        <f t="shared" ref="K33" si="13">SUM(K34:K42)</f>
        <v>26737.339999999997</v>
      </c>
      <c r="L33" s="74"/>
    </row>
    <row r="34" spans="1:12" s="17" customFormat="1">
      <c r="A34" s="14">
        <v>4.0999999999999996</v>
      </c>
      <c r="B34" s="15"/>
      <c r="C34" s="15" t="s">
        <v>558</v>
      </c>
      <c r="D34" s="15">
        <f>204*30</f>
        <v>6120</v>
      </c>
      <c r="E34" s="15"/>
      <c r="F34" s="82">
        <f>D34*0.25</f>
        <v>1530</v>
      </c>
      <c r="G34" s="82">
        <f t="shared" ref="G34:G42" si="14">F34*0.1</f>
        <v>153</v>
      </c>
      <c r="H34" s="82">
        <f>设备!H269</f>
        <v>941</v>
      </c>
      <c r="I34" s="82">
        <f t="shared" ref="I34:I40" si="15">H34*0.06</f>
        <v>56.46</v>
      </c>
      <c r="J34" s="82"/>
      <c r="K34" s="82">
        <f t="shared" si="9"/>
        <v>2680.46</v>
      </c>
      <c r="L34" s="16"/>
    </row>
    <row r="35" spans="1:12" s="17" customFormat="1">
      <c r="A35" s="14">
        <v>4.2</v>
      </c>
      <c r="B35" s="15"/>
      <c r="C35" s="15" t="s">
        <v>182</v>
      </c>
      <c r="D35" s="15">
        <f>204*36</f>
        <v>7344</v>
      </c>
      <c r="E35" s="15"/>
      <c r="F35" s="82">
        <f>D35*0.35</f>
        <v>2570.3999999999996</v>
      </c>
      <c r="G35" s="82">
        <f t="shared" si="14"/>
        <v>257.03999999999996</v>
      </c>
      <c r="H35" s="82">
        <f>设备!H278</f>
        <v>1505</v>
      </c>
      <c r="I35" s="82">
        <f t="shared" si="15"/>
        <v>90.3</v>
      </c>
      <c r="J35" s="82"/>
      <c r="K35" s="82">
        <f t="shared" si="9"/>
        <v>4422.74</v>
      </c>
      <c r="L35" s="16"/>
    </row>
    <row r="36" spans="1:12" s="17" customFormat="1">
      <c r="A36" s="14">
        <v>4.3</v>
      </c>
      <c r="B36" s="15"/>
      <c r="C36" s="15" t="s">
        <v>1058</v>
      </c>
      <c r="D36" s="15">
        <f>312*36</f>
        <v>11232</v>
      </c>
      <c r="E36" s="15"/>
      <c r="F36" s="82">
        <f>D36*0.35</f>
        <v>3931.2</v>
      </c>
      <c r="G36" s="82">
        <f t="shared" si="14"/>
        <v>393.12</v>
      </c>
      <c r="H36" s="82">
        <f>设备!H282</f>
        <v>440</v>
      </c>
      <c r="I36" s="82">
        <f t="shared" si="15"/>
        <v>26.4</v>
      </c>
      <c r="J36" s="82"/>
      <c r="K36" s="82">
        <f t="shared" si="9"/>
        <v>4790.7199999999993</v>
      </c>
      <c r="L36" s="16"/>
    </row>
    <row r="37" spans="1:12" s="17" customFormat="1">
      <c r="A37" s="14">
        <v>4.4000000000000004</v>
      </c>
      <c r="B37" s="15"/>
      <c r="C37" s="15" t="s">
        <v>183</v>
      </c>
      <c r="D37" s="15">
        <f>108*36</f>
        <v>3888</v>
      </c>
      <c r="E37" s="15"/>
      <c r="F37" s="82">
        <f>D37*0.25</f>
        <v>972</v>
      </c>
      <c r="G37" s="82">
        <f t="shared" si="14"/>
        <v>97.2</v>
      </c>
      <c r="H37" s="82">
        <f>设备!H286</f>
        <v>170</v>
      </c>
      <c r="I37" s="82">
        <f t="shared" si="15"/>
        <v>10.199999999999999</v>
      </c>
      <c r="J37" s="82"/>
      <c r="K37" s="82">
        <f t="shared" si="9"/>
        <v>1249.4000000000001</v>
      </c>
      <c r="L37" s="16"/>
    </row>
    <row r="38" spans="1:12" s="17" customFormat="1">
      <c r="A38" s="14">
        <v>4.5</v>
      </c>
      <c r="B38" s="15"/>
      <c r="C38" s="15" t="s">
        <v>184</v>
      </c>
      <c r="D38" s="15">
        <f>108*24</f>
        <v>2592</v>
      </c>
      <c r="E38" s="15"/>
      <c r="F38" s="82">
        <f>D38*0.25</f>
        <v>648</v>
      </c>
      <c r="G38" s="82">
        <f t="shared" si="14"/>
        <v>64.8</v>
      </c>
      <c r="H38" s="82">
        <f>设备!H295</f>
        <v>1270</v>
      </c>
      <c r="I38" s="82">
        <f t="shared" si="15"/>
        <v>76.2</v>
      </c>
      <c r="J38" s="82"/>
      <c r="K38" s="82">
        <f t="shared" si="9"/>
        <v>2059</v>
      </c>
      <c r="L38" s="16"/>
    </row>
    <row r="39" spans="1:12" s="17" customFormat="1">
      <c r="A39" s="14">
        <v>4.5999999999999996</v>
      </c>
      <c r="B39" s="15"/>
      <c r="C39" s="15" t="s">
        <v>559</v>
      </c>
      <c r="D39" s="15">
        <f>108*30</f>
        <v>3240</v>
      </c>
      <c r="E39" s="15"/>
      <c r="F39" s="82">
        <f>D39*0.25</f>
        <v>810</v>
      </c>
      <c r="G39" s="82">
        <f t="shared" si="14"/>
        <v>81</v>
      </c>
      <c r="H39" s="82">
        <f>设备!H310</f>
        <v>1755</v>
      </c>
      <c r="I39" s="82">
        <f t="shared" si="15"/>
        <v>105.3</v>
      </c>
      <c r="J39" s="82"/>
      <c r="K39" s="82">
        <f t="shared" si="9"/>
        <v>2751.3</v>
      </c>
      <c r="L39" s="16"/>
    </row>
    <row r="40" spans="1:12" s="17" customFormat="1">
      <c r="A40" s="14">
        <v>4.7</v>
      </c>
      <c r="B40" s="15"/>
      <c r="C40" s="15" t="s">
        <v>566</v>
      </c>
      <c r="D40" s="15">
        <f>312*24</f>
        <v>7488</v>
      </c>
      <c r="E40" s="15"/>
      <c r="F40" s="82">
        <f>D40*0.25</f>
        <v>1872</v>
      </c>
      <c r="G40" s="82">
        <f t="shared" si="14"/>
        <v>187.20000000000002</v>
      </c>
      <c r="H40" s="82">
        <f>设备!H315</f>
        <v>770</v>
      </c>
      <c r="I40" s="82">
        <f t="shared" si="15"/>
        <v>46.199999999999996</v>
      </c>
      <c r="J40" s="82"/>
      <c r="K40" s="82">
        <f t="shared" si="9"/>
        <v>2875.3999999999996</v>
      </c>
      <c r="L40" s="16"/>
    </row>
    <row r="41" spans="1:12" s="17" customFormat="1">
      <c r="A41" s="14">
        <v>4.8</v>
      </c>
      <c r="B41" s="15"/>
      <c r="C41" s="15" t="s">
        <v>1059</v>
      </c>
      <c r="D41" s="15">
        <f>204*24</f>
        <v>4896</v>
      </c>
      <c r="E41" s="15"/>
      <c r="F41" s="82">
        <f>D41*0.25</f>
        <v>1224</v>
      </c>
      <c r="G41" s="82">
        <f t="shared" si="14"/>
        <v>122.4</v>
      </c>
      <c r="H41" s="82"/>
      <c r="I41" s="82"/>
      <c r="J41" s="82"/>
      <c r="K41" s="82">
        <f t="shared" si="9"/>
        <v>1346.4</v>
      </c>
      <c r="L41" s="16"/>
    </row>
    <row r="42" spans="1:12" s="17" customFormat="1">
      <c r="A42" s="14">
        <v>4.9000000000000004</v>
      </c>
      <c r="B42" s="15"/>
      <c r="C42" s="15" t="s">
        <v>611</v>
      </c>
      <c r="D42" s="15">
        <f>96*12*3*4</f>
        <v>13824</v>
      </c>
      <c r="E42" s="15"/>
      <c r="F42" s="82">
        <f>D42*0.3</f>
        <v>4147.2</v>
      </c>
      <c r="G42" s="82">
        <f t="shared" si="14"/>
        <v>414.72</v>
      </c>
      <c r="H42" s="82"/>
      <c r="I42" s="82"/>
      <c r="J42" s="82"/>
      <c r="K42" s="82">
        <f t="shared" si="9"/>
        <v>4561.92</v>
      </c>
      <c r="L42" s="16"/>
    </row>
    <row r="43" spans="1:12">
      <c r="A43" s="46">
        <v>5</v>
      </c>
      <c r="B43" s="73"/>
      <c r="C43" s="73" t="s">
        <v>1060</v>
      </c>
      <c r="D43" s="73">
        <f>SUM(D44:D47)</f>
        <v>75168</v>
      </c>
      <c r="E43" s="73">
        <f t="shared" ref="E43:K43" si="16">SUM(E44:E47)</f>
        <v>0</v>
      </c>
      <c r="F43" s="48">
        <f t="shared" si="16"/>
        <v>20217.599999999999</v>
      </c>
      <c r="G43" s="48">
        <f t="shared" si="16"/>
        <v>2021.7600000000002</v>
      </c>
      <c r="H43" s="48">
        <f t="shared" si="16"/>
        <v>11998</v>
      </c>
      <c r="I43" s="48">
        <f t="shared" si="16"/>
        <v>719.88</v>
      </c>
      <c r="J43" s="48">
        <f t="shared" si="16"/>
        <v>0</v>
      </c>
      <c r="K43" s="48">
        <f t="shared" si="16"/>
        <v>34957.24</v>
      </c>
      <c r="L43" s="74"/>
    </row>
    <row r="44" spans="1:12" s="17" customFormat="1">
      <c r="A44" s="14">
        <v>5.0999999999999996</v>
      </c>
      <c r="B44" s="15"/>
      <c r="C44" s="15" t="s">
        <v>1061</v>
      </c>
      <c r="D44" s="15">
        <f>144*36*2</f>
        <v>10368</v>
      </c>
      <c r="E44" s="15"/>
      <c r="F44" s="82">
        <f t="shared" ref="F44" si="17">D44*0.2</f>
        <v>2073.6</v>
      </c>
      <c r="G44" s="82">
        <f t="shared" ref="G44" si="18">F44*0.1</f>
        <v>207.36</v>
      </c>
      <c r="H44" s="82">
        <f>设备!H330</f>
        <v>2788</v>
      </c>
      <c r="I44" s="82">
        <f t="shared" ref="I44" si="19">H44*0.06</f>
        <v>167.28</v>
      </c>
      <c r="J44" s="82"/>
      <c r="K44" s="82">
        <f t="shared" ref="K44" si="20">SUM(F44:J44)</f>
        <v>5236.24</v>
      </c>
      <c r="L44" s="16"/>
    </row>
    <row r="45" spans="1:12" s="17" customFormat="1">
      <c r="A45" s="14">
        <v>5.2</v>
      </c>
      <c r="B45" s="15"/>
      <c r="C45" s="15" t="s">
        <v>1062</v>
      </c>
      <c r="D45" s="15">
        <f>180*36*2</f>
        <v>12960</v>
      </c>
      <c r="E45" s="15"/>
      <c r="F45" s="82">
        <f>D45*0.25</f>
        <v>3240</v>
      </c>
      <c r="G45" s="82">
        <f t="shared" ref="G45" si="21">F45*0.1</f>
        <v>324</v>
      </c>
      <c r="H45" s="82">
        <f>设备!H336</f>
        <v>880</v>
      </c>
      <c r="I45" s="82">
        <f t="shared" ref="I45" si="22">H45*0.06</f>
        <v>52.8</v>
      </c>
      <c r="J45" s="82"/>
      <c r="K45" s="82">
        <f t="shared" ref="K45" si="23">SUM(F45:J45)</f>
        <v>4496.8</v>
      </c>
      <c r="L45" s="16"/>
    </row>
    <row r="46" spans="1:12" s="17" customFormat="1">
      <c r="A46" s="14">
        <v>5.3</v>
      </c>
      <c r="B46" s="15"/>
      <c r="C46" s="15" t="s">
        <v>1063</v>
      </c>
      <c r="D46" s="15">
        <f>600*36</f>
        <v>21600</v>
      </c>
      <c r="E46" s="15"/>
      <c r="F46" s="82">
        <f>D46*0.2</f>
        <v>4320</v>
      </c>
      <c r="G46" s="82">
        <f t="shared" ref="G46" si="24">F46*0.1</f>
        <v>432</v>
      </c>
      <c r="H46" s="82">
        <f>设备!H344</f>
        <v>6980</v>
      </c>
      <c r="I46" s="82">
        <f t="shared" ref="I46" si="25">H46*0.06</f>
        <v>418.8</v>
      </c>
      <c r="J46" s="82"/>
      <c r="K46" s="82">
        <f t="shared" ref="K46" si="26">SUM(F46:J46)</f>
        <v>12150.8</v>
      </c>
      <c r="L46" s="16"/>
    </row>
    <row r="47" spans="1:12" s="17" customFormat="1">
      <c r="A47" s="14">
        <v>5.4</v>
      </c>
      <c r="B47" s="15"/>
      <c r="C47" s="15" t="s">
        <v>1064</v>
      </c>
      <c r="D47" s="15">
        <f>420*36*2</f>
        <v>30240</v>
      </c>
      <c r="E47" s="15"/>
      <c r="F47" s="82">
        <f>D47*0.35</f>
        <v>10584</v>
      </c>
      <c r="G47" s="82">
        <f t="shared" ref="G47" si="27">F47*0.1</f>
        <v>1058.4000000000001</v>
      </c>
      <c r="H47" s="82">
        <f>设备!H350</f>
        <v>1350</v>
      </c>
      <c r="I47" s="82">
        <f t="shared" ref="I47" si="28">H47*0.06</f>
        <v>81</v>
      </c>
      <c r="J47" s="82"/>
      <c r="K47" s="82">
        <f t="shared" ref="K47" si="29">SUM(F47:J47)</f>
        <v>13073.4</v>
      </c>
      <c r="L47" s="16"/>
    </row>
    <row r="48" spans="1:12">
      <c r="A48" s="46">
        <v>6</v>
      </c>
      <c r="B48" s="73"/>
      <c r="C48" s="73" t="s">
        <v>186</v>
      </c>
      <c r="D48" s="73">
        <v>11130</v>
      </c>
      <c r="E48" s="73"/>
      <c r="F48" s="48">
        <v>3300</v>
      </c>
      <c r="G48" s="48">
        <v>300</v>
      </c>
      <c r="H48" s="48">
        <f>设备!H391</f>
        <v>2954.7</v>
      </c>
      <c r="I48" s="48">
        <v>25</v>
      </c>
      <c r="J48" s="48"/>
      <c r="K48" s="48">
        <f t="shared" si="9"/>
        <v>6579.7</v>
      </c>
      <c r="L48" s="74"/>
    </row>
    <row r="49" spans="1:12">
      <c r="A49" s="46">
        <v>7</v>
      </c>
      <c r="B49" s="73"/>
      <c r="C49" s="73" t="s">
        <v>187</v>
      </c>
      <c r="D49" s="11" t="s">
        <v>1079</v>
      </c>
      <c r="E49" s="73"/>
      <c r="F49" s="48">
        <f>46605*0.0404</f>
        <v>1882.8419999999999</v>
      </c>
      <c r="G49" s="48">
        <f>300/74*22</f>
        <v>89.189189189189193</v>
      </c>
      <c r="H49" s="48">
        <f>设备!H400</f>
        <v>1292</v>
      </c>
      <c r="I49" s="48">
        <f t="shared" ref="I49" si="30">H49*0.06</f>
        <v>77.52</v>
      </c>
      <c r="J49" s="48"/>
      <c r="K49" s="48">
        <f t="shared" si="9"/>
        <v>3341.5511891891888</v>
      </c>
      <c r="L49" s="74"/>
    </row>
    <row r="50" spans="1:12">
      <c r="A50" s="46">
        <v>8</v>
      </c>
      <c r="B50" s="73"/>
      <c r="C50" s="73" t="s">
        <v>1065</v>
      </c>
      <c r="D50" s="73">
        <v>19868.599999999999</v>
      </c>
      <c r="E50" s="73"/>
      <c r="F50" s="48">
        <v>4967.1499999999996</v>
      </c>
      <c r="G50" s="48">
        <v>367.7</v>
      </c>
      <c r="H50" s="48">
        <f>设备!H469</f>
        <v>2221.0038666666669</v>
      </c>
      <c r="I50" s="48">
        <f t="shared" ref="I50" si="31">H50*0.06</f>
        <v>133.260232</v>
      </c>
      <c r="J50" s="48"/>
      <c r="K50" s="48">
        <f t="shared" si="9"/>
        <v>7689.114098666666</v>
      </c>
      <c r="L50" s="74"/>
    </row>
    <row r="51" spans="1:12">
      <c r="A51" s="46">
        <v>9</v>
      </c>
      <c r="B51" s="73"/>
      <c r="C51" s="73" t="s">
        <v>582</v>
      </c>
      <c r="D51" s="73">
        <v>39400</v>
      </c>
      <c r="E51" s="73"/>
      <c r="F51" s="48">
        <f>D51*0.21</f>
        <v>8274</v>
      </c>
      <c r="G51" s="48">
        <v>546</v>
      </c>
      <c r="H51" s="48">
        <f>设备!H480</f>
        <v>526</v>
      </c>
      <c r="I51" s="48">
        <f t="shared" ref="I51" si="32">H51*0.06</f>
        <v>31.56</v>
      </c>
      <c r="J51" s="48"/>
      <c r="K51" s="48">
        <f t="shared" si="9"/>
        <v>9377.56</v>
      </c>
      <c r="L51" s="74"/>
    </row>
    <row r="52" spans="1:12">
      <c r="A52" s="46">
        <v>10</v>
      </c>
      <c r="B52" s="73"/>
      <c r="C52" s="73" t="s">
        <v>43</v>
      </c>
      <c r="D52" s="73">
        <f>240*30*2</f>
        <v>14400</v>
      </c>
      <c r="E52" s="73"/>
      <c r="F52" s="48">
        <f>D52/10000*2000</f>
        <v>2880</v>
      </c>
      <c r="G52" s="48">
        <f t="shared" ref="G52" si="33">F52*0.1</f>
        <v>288</v>
      </c>
      <c r="H52" s="48">
        <f>设备!H521</f>
        <v>301</v>
      </c>
      <c r="I52" s="48">
        <f t="shared" ref="I52" si="34">H52*0.1</f>
        <v>30.1</v>
      </c>
      <c r="J52" s="48"/>
      <c r="K52" s="48">
        <f t="shared" si="9"/>
        <v>3499.1</v>
      </c>
      <c r="L52" s="74"/>
    </row>
    <row r="53" spans="1:12">
      <c r="A53" s="46">
        <v>11</v>
      </c>
      <c r="B53" s="73"/>
      <c r="C53" s="73" t="s">
        <v>617</v>
      </c>
      <c r="D53" s="15">
        <f>SUM(D54:D58)</f>
        <v>61560</v>
      </c>
      <c r="E53" s="15">
        <f t="shared" ref="E53:K53" si="35">SUM(E54:E58)</f>
        <v>0</v>
      </c>
      <c r="F53" s="82">
        <f t="shared" si="35"/>
        <v>16380</v>
      </c>
      <c r="G53" s="82">
        <f t="shared" si="35"/>
        <v>1638</v>
      </c>
      <c r="H53" s="82">
        <f t="shared" si="35"/>
        <v>25908</v>
      </c>
      <c r="I53" s="82">
        <f t="shared" si="35"/>
        <v>1554.48</v>
      </c>
      <c r="J53" s="82">
        <f t="shared" si="35"/>
        <v>0</v>
      </c>
      <c r="K53" s="82">
        <f t="shared" si="35"/>
        <v>45480.480000000003</v>
      </c>
      <c r="L53" s="74"/>
    </row>
    <row r="54" spans="1:12">
      <c r="A54" s="46">
        <v>11.1</v>
      </c>
      <c r="B54" s="73"/>
      <c r="C54" s="73" t="s">
        <v>1066</v>
      </c>
      <c r="D54" s="73">
        <v>10920</v>
      </c>
      <c r="E54" s="73"/>
      <c r="F54" s="48">
        <f>D54/10000*2000</f>
        <v>2184</v>
      </c>
      <c r="G54" s="48">
        <f>F54*0.1</f>
        <v>218.4</v>
      </c>
      <c r="H54" s="48">
        <f>设备!H530</f>
        <v>17500</v>
      </c>
      <c r="I54" s="48">
        <f>H54*0.06</f>
        <v>1050</v>
      </c>
      <c r="J54" s="48"/>
      <c r="K54" s="48">
        <f t="shared" si="9"/>
        <v>20952.400000000001</v>
      </c>
      <c r="L54" s="74"/>
    </row>
    <row r="55" spans="1:12">
      <c r="A55" s="46">
        <v>11.2</v>
      </c>
      <c r="B55" s="73"/>
      <c r="C55" s="73" t="s">
        <v>703</v>
      </c>
      <c r="D55" s="73">
        <v>9960</v>
      </c>
      <c r="E55" s="73"/>
      <c r="F55" s="48">
        <v>2490</v>
      </c>
      <c r="G55" s="48">
        <f t="shared" ref="G55:G58" si="36">F55*0.1</f>
        <v>249</v>
      </c>
      <c r="H55" s="48">
        <f>设备!H546</f>
        <v>1262</v>
      </c>
      <c r="I55" s="48">
        <f t="shared" ref="I55:I58" si="37">H55*0.06</f>
        <v>75.72</v>
      </c>
      <c r="J55" s="48"/>
      <c r="K55" s="48">
        <f t="shared" si="9"/>
        <v>4076.72</v>
      </c>
      <c r="L55" s="74"/>
    </row>
    <row r="56" spans="1:12">
      <c r="A56" s="46">
        <v>11.3</v>
      </c>
      <c r="B56" s="73"/>
      <c r="C56" s="73" t="s">
        <v>704</v>
      </c>
      <c r="D56" s="73">
        <v>9960</v>
      </c>
      <c r="E56" s="73"/>
      <c r="F56" s="48">
        <v>2490</v>
      </c>
      <c r="G56" s="48">
        <f t="shared" si="36"/>
        <v>249</v>
      </c>
      <c r="H56" s="48">
        <f>设备!H575</f>
        <v>3528</v>
      </c>
      <c r="I56" s="48">
        <f t="shared" si="37"/>
        <v>211.67999999999998</v>
      </c>
      <c r="J56" s="48"/>
      <c r="K56" s="48">
        <f t="shared" si="9"/>
        <v>6478.68</v>
      </c>
      <c r="L56" s="74"/>
    </row>
    <row r="57" spans="1:12">
      <c r="A57" s="46">
        <v>11.4</v>
      </c>
      <c r="B57" s="73"/>
      <c r="C57" s="73" t="s">
        <v>705</v>
      </c>
      <c r="D57" s="73">
        <v>15360</v>
      </c>
      <c r="E57" s="73"/>
      <c r="F57" s="48">
        <v>4608</v>
      </c>
      <c r="G57" s="48">
        <f t="shared" si="36"/>
        <v>460.8</v>
      </c>
      <c r="H57" s="48">
        <f>设备!H598</f>
        <v>2251</v>
      </c>
      <c r="I57" s="48">
        <f t="shared" si="37"/>
        <v>135.06</v>
      </c>
      <c r="J57" s="48"/>
      <c r="K57" s="48">
        <f t="shared" si="9"/>
        <v>7454.8600000000006</v>
      </c>
      <c r="L57" s="74"/>
    </row>
    <row r="58" spans="1:12">
      <c r="A58" s="46">
        <v>11.5</v>
      </c>
      <c r="B58" s="73"/>
      <c r="C58" s="73" t="s">
        <v>1067</v>
      </c>
      <c r="D58" s="73">
        <v>15360</v>
      </c>
      <c r="E58" s="73"/>
      <c r="F58" s="48">
        <v>4608</v>
      </c>
      <c r="G58" s="48">
        <f t="shared" si="36"/>
        <v>460.8</v>
      </c>
      <c r="H58" s="48">
        <f>设备!H616</f>
        <v>1367</v>
      </c>
      <c r="I58" s="48">
        <f t="shared" si="37"/>
        <v>82.02</v>
      </c>
      <c r="J58" s="48"/>
      <c r="K58" s="48">
        <f t="shared" si="9"/>
        <v>6517.8200000000006</v>
      </c>
      <c r="L58" s="74"/>
    </row>
    <row r="59" spans="1:12" s="20" customFormat="1">
      <c r="A59" s="21"/>
      <c r="B59" s="18"/>
      <c r="C59" s="18" t="s">
        <v>613</v>
      </c>
      <c r="D59" s="18">
        <f>D17+D18+D29+D33+D43+D48+D49+D50+D51+D52+D53</f>
        <v>368295.6</v>
      </c>
      <c r="E59" s="18">
        <f t="shared" ref="E59:K59" si="38">E17+E18+E29+E33+E43+E48+E49+E50+E51+E52+E53</f>
        <v>0</v>
      </c>
      <c r="F59" s="9">
        <f t="shared" si="38"/>
        <v>122755.592</v>
      </c>
      <c r="G59" s="9">
        <f t="shared" si="38"/>
        <v>11736.049189189192</v>
      </c>
      <c r="H59" s="9">
        <f t="shared" si="38"/>
        <v>110163.50386666665</v>
      </c>
      <c r="I59" s="9">
        <f t="shared" si="38"/>
        <v>6469.5682320000014</v>
      </c>
      <c r="J59" s="9">
        <f t="shared" si="38"/>
        <v>0</v>
      </c>
      <c r="K59" s="9">
        <f t="shared" si="38"/>
        <v>251124.71328785588</v>
      </c>
      <c r="L59" s="19"/>
    </row>
    <row r="60" spans="1:12">
      <c r="A60" s="46"/>
      <c r="B60" s="73"/>
      <c r="C60" s="73"/>
      <c r="D60" s="73"/>
      <c r="E60" s="73"/>
      <c r="F60" s="48"/>
      <c r="G60" s="48"/>
      <c r="H60" s="48"/>
      <c r="I60" s="48"/>
      <c r="J60" s="48"/>
      <c r="K60" s="48"/>
      <c r="L60" s="74"/>
    </row>
    <row r="61" spans="1:12" s="20" customFormat="1">
      <c r="A61" s="21" t="s">
        <v>198</v>
      </c>
      <c r="B61" s="18"/>
      <c r="C61" s="18" t="s">
        <v>44</v>
      </c>
      <c r="D61" s="18"/>
      <c r="E61" s="18"/>
      <c r="F61" s="9"/>
      <c r="G61" s="9"/>
      <c r="H61" s="9"/>
      <c r="I61" s="9"/>
      <c r="J61" s="9"/>
      <c r="K61" s="9"/>
      <c r="L61" s="19"/>
    </row>
    <row r="62" spans="1:12">
      <c r="A62" s="46">
        <v>1</v>
      </c>
      <c r="B62" s="73"/>
      <c r="C62" s="73" t="s">
        <v>1068</v>
      </c>
      <c r="D62" s="73">
        <f>16509</f>
        <v>16509</v>
      </c>
      <c r="E62" s="73"/>
      <c r="F62" s="48">
        <f>D62/10000*2000</f>
        <v>3301.8</v>
      </c>
      <c r="G62" s="48">
        <f>F62*0.15</f>
        <v>495.27</v>
      </c>
      <c r="H62" s="48">
        <f>设备!H627</f>
        <v>24</v>
      </c>
      <c r="I62" s="48">
        <f>H62*0.1</f>
        <v>2.4000000000000004</v>
      </c>
      <c r="J62" s="48"/>
      <c r="K62" s="48">
        <f t="shared" ref="K62:K68" si="39">SUM(F62:J62)</f>
        <v>3823.4700000000003</v>
      </c>
      <c r="L62" s="74"/>
    </row>
    <row r="63" spans="1:12">
      <c r="A63" s="46">
        <v>2</v>
      </c>
      <c r="B63" s="73"/>
      <c r="C63" s="73" t="s">
        <v>1069</v>
      </c>
      <c r="D63" s="73">
        <f>18*45</f>
        <v>810</v>
      </c>
      <c r="E63" s="73"/>
      <c r="F63" s="48">
        <f>D63/10000*2200</f>
        <v>178.20000000000002</v>
      </c>
      <c r="G63" s="48">
        <f>F63*0.1</f>
        <v>17.820000000000004</v>
      </c>
      <c r="H63" s="48">
        <f>设备!H636</f>
        <v>6330</v>
      </c>
      <c r="I63" s="48">
        <f>H63*0.1</f>
        <v>633</v>
      </c>
      <c r="J63" s="48"/>
      <c r="K63" s="48">
        <f t="shared" si="39"/>
        <v>7159.02</v>
      </c>
      <c r="L63" s="74"/>
    </row>
    <row r="64" spans="1:12">
      <c r="A64" s="46">
        <v>3</v>
      </c>
      <c r="B64" s="73"/>
      <c r="C64" s="73" t="s">
        <v>568</v>
      </c>
      <c r="D64" s="73">
        <f>21*90+63*9*2</f>
        <v>3024</v>
      </c>
      <c r="E64" s="73"/>
      <c r="F64" s="48">
        <f>D64/10000*3000</f>
        <v>907.2</v>
      </c>
      <c r="G64" s="48">
        <f>F64*0.1</f>
        <v>90.720000000000013</v>
      </c>
      <c r="H64" s="48">
        <f>设备!H645</f>
        <v>800</v>
      </c>
      <c r="I64" s="48">
        <f>H64*0.1</f>
        <v>80</v>
      </c>
      <c r="J64" s="48"/>
      <c r="K64" s="48">
        <f t="shared" si="39"/>
        <v>1877.92</v>
      </c>
      <c r="L64" s="74"/>
    </row>
    <row r="65" spans="1:12">
      <c r="A65" s="46">
        <v>4</v>
      </c>
      <c r="B65" s="73"/>
      <c r="C65" s="73" t="s">
        <v>575</v>
      </c>
      <c r="D65" s="73">
        <f>27*9</f>
        <v>243</v>
      </c>
      <c r="E65" s="73"/>
      <c r="F65" s="48">
        <f>D65/10000*2000</f>
        <v>48.599999999999994</v>
      </c>
      <c r="G65" s="48">
        <f>F65*0.1</f>
        <v>4.8599999999999994</v>
      </c>
      <c r="H65" s="48">
        <f>设备!H653</f>
        <v>180</v>
      </c>
      <c r="I65" s="48">
        <f>H65*0.1</f>
        <v>18</v>
      </c>
      <c r="J65" s="48"/>
      <c r="K65" s="48">
        <f t="shared" si="39"/>
        <v>251.45999999999998</v>
      </c>
      <c r="L65" s="74"/>
    </row>
    <row r="66" spans="1:12">
      <c r="A66" s="46">
        <v>5</v>
      </c>
      <c r="B66" s="73"/>
      <c r="C66" s="73" t="s">
        <v>1070</v>
      </c>
      <c r="D66" s="73">
        <f>18*45</f>
        <v>810</v>
      </c>
      <c r="E66" s="73"/>
      <c r="F66" s="48">
        <f>D66/10000*2000</f>
        <v>162</v>
      </c>
      <c r="G66" s="48">
        <f>F66*0.1</f>
        <v>16.2</v>
      </c>
      <c r="H66" s="48">
        <f>设备!H658</f>
        <v>50</v>
      </c>
      <c r="I66" s="48"/>
      <c r="J66" s="48"/>
      <c r="K66" s="48">
        <f t="shared" si="39"/>
        <v>228.2</v>
      </c>
      <c r="L66" s="74"/>
    </row>
    <row r="67" spans="1:12">
      <c r="A67" s="46">
        <v>6</v>
      </c>
      <c r="B67" s="73"/>
      <c r="C67" s="73" t="s">
        <v>188</v>
      </c>
      <c r="D67" s="73">
        <v>12960</v>
      </c>
      <c r="E67" s="73"/>
      <c r="F67" s="48">
        <v>3628.8</v>
      </c>
      <c r="G67" s="48">
        <v>362.88000000000005</v>
      </c>
      <c r="H67" s="48">
        <v>0</v>
      </c>
      <c r="I67" s="48"/>
      <c r="J67" s="48"/>
      <c r="K67" s="48">
        <f t="shared" si="39"/>
        <v>3991.6800000000003</v>
      </c>
      <c r="L67" s="74"/>
    </row>
    <row r="68" spans="1:12">
      <c r="A68" s="46">
        <v>7</v>
      </c>
      <c r="B68" s="73"/>
      <c r="C68" s="73" t="s">
        <v>77</v>
      </c>
      <c r="D68" s="73"/>
      <c r="E68" s="73"/>
      <c r="F68" s="48">
        <v>0</v>
      </c>
      <c r="G68" s="48"/>
      <c r="H68" s="48">
        <f>设备!H731</f>
        <v>4509.6000000000004</v>
      </c>
      <c r="I68" s="48">
        <f>H68*0.1</f>
        <v>450.96000000000004</v>
      </c>
      <c r="J68" s="48"/>
      <c r="K68" s="48">
        <f t="shared" si="39"/>
        <v>4960.5600000000004</v>
      </c>
      <c r="L68" s="74"/>
    </row>
    <row r="69" spans="1:12" s="20" customFormat="1">
      <c r="A69" s="21"/>
      <c r="B69" s="18"/>
      <c r="C69" s="18" t="s">
        <v>613</v>
      </c>
      <c r="D69" s="18">
        <f t="shared" ref="D69:K69" si="40">SUM(D62:D68)</f>
        <v>34356</v>
      </c>
      <c r="E69" s="18">
        <f t="shared" si="40"/>
        <v>0</v>
      </c>
      <c r="F69" s="9">
        <f t="shared" si="40"/>
        <v>8226.6</v>
      </c>
      <c r="G69" s="9">
        <f t="shared" si="40"/>
        <v>987.75000000000023</v>
      </c>
      <c r="H69" s="9">
        <f t="shared" si="40"/>
        <v>11893.6</v>
      </c>
      <c r="I69" s="9">
        <f t="shared" si="40"/>
        <v>1184.3600000000001</v>
      </c>
      <c r="J69" s="9">
        <f t="shared" si="40"/>
        <v>0</v>
      </c>
      <c r="K69" s="9">
        <f t="shared" si="40"/>
        <v>22292.31</v>
      </c>
      <c r="L69" s="19"/>
    </row>
    <row r="70" spans="1:12">
      <c r="A70" s="46"/>
      <c r="B70" s="73"/>
      <c r="C70" s="73"/>
      <c r="D70" s="73"/>
      <c r="E70" s="73"/>
      <c r="F70" s="48"/>
      <c r="G70" s="48"/>
      <c r="H70" s="48"/>
      <c r="I70" s="48"/>
      <c r="J70" s="48"/>
      <c r="K70" s="48"/>
      <c r="L70" s="74"/>
    </row>
    <row r="71" spans="1:12" s="20" customFormat="1">
      <c r="A71" s="21" t="s">
        <v>199</v>
      </c>
      <c r="B71" s="18"/>
      <c r="C71" s="18" t="s">
        <v>615</v>
      </c>
      <c r="D71" s="18"/>
      <c r="E71" s="18"/>
      <c r="F71" s="9"/>
      <c r="G71" s="9"/>
      <c r="H71" s="9"/>
      <c r="I71" s="9"/>
      <c r="J71" s="9"/>
      <c r="K71" s="9"/>
      <c r="L71" s="19"/>
    </row>
    <row r="72" spans="1:12">
      <c r="A72" s="46">
        <v>1</v>
      </c>
      <c r="B72" s="73"/>
      <c r="C72" s="73" t="s">
        <v>194</v>
      </c>
      <c r="D72" s="73">
        <v>1586</v>
      </c>
      <c r="E72" s="73"/>
      <c r="F72" s="48">
        <v>475.79999999999995</v>
      </c>
      <c r="G72" s="48">
        <v>47.58</v>
      </c>
      <c r="H72" s="48">
        <f>设备!H741</f>
        <v>360</v>
      </c>
      <c r="I72" s="48">
        <v>18.850000000000001</v>
      </c>
      <c r="J72" s="48"/>
      <c r="K72" s="48">
        <f>SUM(F72:J72)</f>
        <v>902.23</v>
      </c>
      <c r="L72" s="74"/>
    </row>
    <row r="73" spans="1:12">
      <c r="A73" s="46">
        <v>2</v>
      </c>
      <c r="B73" s="73"/>
      <c r="C73" s="73" t="s">
        <v>195</v>
      </c>
      <c r="D73" s="73">
        <v>80</v>
      </c>
      <c r="E73" s="73"/>
      <c r="F73" s="48">
        <v>26</v>
      </c>
      <c r="G73" s="48">
        <v>4</v>
      </c>
      <c r="H73" s="48">
        <f>设备!H746</f>
        <v>280</v>
      </c>
      <c r="I73" s="48">
        <v>6</v>
      </c>
      <c r="J73" s="48"/>
      <c r="K73" s="48">
        <f>SUM(F73:J73)</f>
        <v>316</v>
      </c>
      <c r="L73" s="74"/>
    </row>
    <row r="74" spans="1:12" s="20" customFormat="1">
      <c r="A74" s="21"/>
      <c r="B74" s="18"/>
      <c r="C74" s="18" t="s">
        <v>613</v>
      </c>
      <c r="D74" s="18">
        <f>SUM(D72:D73)</f>
        <v>1666</v>
      </c>
      <c r="E74" s="18">
        <f t="shared" ref="E74:K74" si="41">SUM(E72:E73)</f>
        <v>0</v>
      </c>
      <c r="F74" s="9">
        <f t="shared" si="41"/>
        <v>501.79999999999995</v>
      </c>
      <c r="G74" s="9">
        <f t="shared" si="41"/>
        <v>51.58</v>
      </c>
      <c r="H74" s="9">
        <f t="shared" si="41"/>
        <v>640</v>
      </c>
      <c r="I74" s="9">
        <f t="shared" si="41"/>
        <v>24.85</v>
      </c>
      <c r="J74" s="9">
        <f t="shared" si="41"/>
        <v>0</v>
      </c>
      <c r="K74" s="9">
        <f t="shared" si="41"/>
        <v>1218.23</v>
      </c>
      <c r="L74" s="19"/>
    </row>
    <row r="75" spans="1:12">
      <c r="A75" s="46"/>
      <c r="B75" s="73"/>
      <c r="C75" s="73"/>
      <c r="D75" s="73"/>
      <c r="E75" s="73"/>
      <c r="F75" s="48"/>
      <c r="G75" s="48"/>
      <c r="H75" s="48"/>
      <c r="I75" s="48"/>
      <c r="J75" s="48"/>
      <c r="K75" s="48"/>
      <c r="L75" s="74"/>
    </row>
    <row r="76" spans="1:12" s="20" customFormat="1">
      <c r="A76" s="21" t="s">
        <v>200</v>
      </c>
      <c r="B76" s="18"/>
      <c r="C76" s="18" t="s">
        <v>189</v>
      </c>
      <c r="D76" s="18"/>
      <c r="E76" s="18"/>
      <c r="F76" s="9"/>
      <c r="G76" s="9"/>
      <c r="H76" s="9"/>
      <c r="I76" s="9"/>
      <c r="J76" s="9"/>
      <c r="K76" s="9"/>
      <c r="L76" s="19"/>
    </row>
    <row r="77" spans="1:12">
      <c r="A77" s="46">
        <v>1</v>
      </c>
      <c r="B77" s="73"/>
      <c r="C77" s="73" t="s">
        <v>46</v>
      </c>
      <c r="D77" s="11" t="s">
        <v>1080</v>
      </c>
      <c r="E77" s="73"/>
      <c r="F77" s="48">
        <f>-D77*0.027</f>
        <v>2160</v>
      </c>
      <c r="G77" s="48"/>
      <c r="H77" s="48"/>
      <c r="I77" s="48"/>
      <c r="J77" s="48"/>
      <c r="K77" s="48">
        <f>SUM(F77:J77)</f>
        <v>2160</v>
      </c>
      <c r="L77" s="74"/>
    </row>
    <row r="78" spans="1:12">
      <c r="A78" s="46">
        <v>2</v>
      </c>
      <c r="B78" s="73"/>
      <c r="C78" s="73" t="s">
        <v>1071</v>
      </c>
      <c r="D78" s="11" t="s">
        <v>1081</v>
      </c>
      <c r="E78" s="73"/>
      <c r="F78" s="48">
        <f>-D78*0.006</f>
        <v>180</v>
      </c>
      <c r="G78" s="48"/>
      <c r="H78" s="48"/>
      <c r="I78" s="48"/>
      <c r="J78" s="48"/>
      <c r="K78" s="48">
        <f t="shared" ref="K78:K82" si="42">SUM(F78:J78)</f>
        <v>180</v>
      </c>
      <c r="L78" s="74"/>
    </row>
    <row r="79" spans="1:12">
      <c r="A79" s="46">
        <v>3</v>
      </c>
      <c r="B79" s="73"/>
      <c r="C79" s="73" t="s">
        <v>190</v>
      </c>
      <c r="D79" s="77"/>
      <c r="E79" s="73"/>
      <c r="F79" s="48">
        <v>300</v>
      </c>
      <c r="G79" s="48"/>
      <c r="H79" s="48"/>
      <c r="I79" s="48"/>
      <c r="J79" s="48"/>
      <c r="K79" s="48">
        <f t="shared" si="42"/>
        <v>300</v>
      </c>
      <c r="L79" s="74"/>
    </row>
    <row r="80" spans="1:12">
      <c r="A80" s="46">
        <v>4</v>
      </c>
      <c r="B80" s="73"/>
      <c r="C80" s="73" t="s">
        <v>191</v>
      </c>
      <c r="D80" s="77"/>
      <c r="E80" s="73"/>
      <c r="F80" s="48">
        <v>500</v>
      </c>
      <c r="G80" s="48"/>
      <c r="H80" s="48"/>
      <c r="I80" s="48"/>
      <c r="J80" s="48"/>
      <c r="K80" s="48">
        <f t="shared" si="42"/>
        <v>500</v>
      </c>
      <c r="L80" s="74"/>
    </row>
    <row r="81" spans="1:12">
      <c r="A81" s="46">
        <v>5</v>
      </c>
      <c r="B81" s="73"/>
      <c r="C81" s="73" t="s">
        <v>192</v>
      </c>
      <c r="D81" s="77"/>
      <c r="E81" s="73"/>
      <c r="F81" s="48">
        <v>200</v>
      </c>
      <c r="G81" s="48"/>
      <c r="H81" s="48"/>
      <c r="I81" s="48"/>
      <c r="J81" s="48"/>
      <c r="K81" s="48">
        <f t="shared" si="42"/>
        <v>200</v>
      </c>
      <c r="L81" s="74"/>
    </row>
    <row r="82" spans="1:12">
      <c r="A82" s="46">
        <v>6</v>
      </c>
      <c r="B82" s="73"/>
      <c r="C82" s="73" t="s">
        <v>193</v>
      </c>
      <c r="D82" s="77"/>
      <c r="E82" s="73"/>
      <c r="F82" s="48">
        <v>1300</v>
      </c>
      <c r="G82" s="48"/>
      <c r="H82" s="48"/>
      <c r="I82" s="48"/>
      <c r="J82" s="48"/>
      <c r="K82" s="48">
        <f t="shared" si="42"/>
        <v>1300</v>
      </c>
      <c r="L82" s="74"/>
    </row>
    <row r="83" spans="1:12" s="20" customFormat="1">
      <c r="A83" s="21"/>
      <c r="B83" s="18"/>
      <c r="C83" s="18" t="s">
        <v>613</v>
      </c>
      <c r="D83" s="18">
        <f>SUM(D77:D82)</f>
        <v>0</v>
      </c>
      <c r="E83" s="18">
        <f t="shared" ref="E83:K83" si="43">SUM(E77:E82)</f>
        <v>0</v>
      </c>
      <c r="F83" s="9">
        <f t="shared" si="43"/>
        <v>4640</v>
      </c>
      <c r="G83" s="9">
        <f t="shared" si="43"/>
        <v>0</v>
      </c>
      <c r="H83" s="9">
        <f t="shared" si="43"/>
        <v>0</v>
      </c>
      <c r="I83" s="9">
        <f t="shared" si="43"/>
        <v>0</v>
      </c>
      <c r="J83" s="9">
        <f t="shared" si="43"/>
        <v>0</v>
      </c>
      <c r="K83" s="9">
        <f t="shared" si="43"/>
        <v>4640</v>
      </c>
      <c r="L83" s="19"/>
    </row>
    <row r="84" spans="1:12">
      <c r="A84" s="46"/>
      <c r="B84" s="73"/>
      <c r="C84" s="73"/>
      <c r="D84" s="73"/>
      <c r="E84" s="73"/>
      <c r="F84" s="48"/>
      <c r="G84" s="48"/>
      <c r="H84" s="48"/>
      <c r="I84" s="48"/>
      <c r="J84" s="48"/>
      <c r="K84" s="48"/>
      <c r="L84" s="74"/>
    </row>
    <row r="85" spans="1:12" s="20" customFormat="1">
      <c r="A85" s="21"/>
      <c r="B85" s="18"/>
      <c r="C85" s="18" t="s">
        <v>1072</v>
      </c>
      <c r="D85" s="18">
        <f>D83+D74+D69+D59+D14</f>
        <v>441181.6</v>
      </c>
      <c r="E85" s="18">
        <f t="shared" ref="E85:K85" si="44">E83+E74+E69+E59+E14</f>
        <v>0</v>
      </c>
      <c r="F85" s="9">
        <f t="shared" si="44"/>
        <v>193906.592</v>
      </c>
      <c r="G85" s="9">
        <f t="shared" si="44"/>
        <v>15717.139189189193</v>
      </c>
      <c r="H85" s="9">
        <f t="shared" si="44"/>
        <v>158109.10386666667</v>
      </c>
      <c r="I85" s="9">
        <f t="shared" si="44"/>
        <v>9762.9782320000013</v>
      </c>
      <c r="J85" s="9">
        <f t="shared" si="44"/>
        <v>0</v>
      </c>
      <c r="K85" s="9">
        <f t="shared" si="44"/>
        <v>377495.81328785588</v>
      </c>
      <c r="L85" s="19"/>
    </row>
    <row r="86" spans="1:12">
      <c r="A86" s="46"/>
      <c r="B86" s="73"/>
      <c r="C86" s="73"/>
      <c r="D86" s="73"/>
      <c r="E86" s="73"/>
      <c r="F86" s="48"/>
      <c r="G86" s="48"/>
      <c r="H86" s="48"/>
      <c r="I86" s="48"/>
      <c r="J86" s="48"/>
      <c r="K86" s="48"/>
      <c r="L86" s="74"/>
    </row>
    <row r="87" spans="1:12" s="20" customFormat="1">
      <c r="A87" s="21"/>
      <c r="B87" s="18"/>
      <c r="C87" s="18" t="s">
        <v>1073</v>
      </c>
      <c r="D87" s="18"/>
      <c r="E87" s="18"/>
      <c r="F87" s="9"/>
      <c r="G87" s="9"/>
      <c r="H87" s="9"/>
      <c r="I87" s="9"/>
      <c r="J87" s="9"/>
      <c r="K87" s="9"/>
      <c r="L87" s="19"/>
    </row>
    <row r="88" spans="1:12">
      <c r="A88" s="46">
        <v>1</v>
      </c>
      <c r="B88" s="73"/>
      <c r="C88" s="73" t="s">
        <v>15</v>
      </c>
      <c r="D88" s="73"/>
      <c r="E88" s="73"/>
      <c r="F88" s="48"/>
      <c r="G88" s="48"/>
      <c r="H88" s="48"/>
      <c r="I88" s="48"/>
      <c r="J88" s="48">
        <f>(433+(69110-50000)*0.5%)</f>
        <v>528.54999999999995</v>
      </c>
      <c r="K88" s="48">
        <f t="shared" ref="K88:K94" si="45">J88</f>
        <v>528.54999999999995</v>
      </c>
      <c r="L88" s="74"/>
    </row>
    <row r="89" spans="1:12">
      <c r="A89" s="46">
        <v>2</v>
      </c>
      <c r="B89" s="73"/>
      <c r="C89" s="73" t="s">
        <v>16</v>
      </c>
      <c r="D89" s="73"/>
      <c r="E89" s="73"/>
      <c r="F89" s="48"/>
      <c r="G89" s="48"/>
      <c r="H89" s="48"/>
      <c r="I89" s="48"/>
      <c r="J89" s="48">
        <f>139+(69110-50000)*(200-139)/(100000-50000)</f>
        <v>162.3142</v>
      </c>
      <c r="K89" s="48">
        <f t="shared" si="45"/>
        <v>162.3142</v>
      </c>
      <c r="L89" s="74"/>
    </row>
    <row r="90" spans="1:12">
      <c r="A90" s="46">
        <v>3</v>
      </c>
      <c r="B90" s="73"/>
      <c r="C90" s="73" t="s">
        <v>17</v>
      </c>
      <c r="D90" s="73"/>
      <c r="E90" s="73"/>
      <c r="F90" s="48"/>
      <c r="G90" s="48"/>
      <c r="H90" s="48"/>
      <c r="I90" s="48"/>
      <c r="J90" s="48">
        <f>(1054+(K85-40000)*(1515.2-1054)/(60000-40000))*35%*1.15*1.25</f>
        <v>4445.9412692540345</v>
      </c>
      <c r="K90" s="48">
        <f t="shared" si="45"/>
        <v>4445.9412692540345</v>
      </c>
      <c r="L90" s="74"/>
    </row>
    <row r="91" spans="1:12">
      <c r="A91" s="46">
        <v>4</v>
      </c>
      <c r="B91" s="73"/>
      <c r="C91" s="73" t="s">
        <v>18</v>
      </c>
      <c r="D91" s="73"/>
      <c r="E91" s="73"/>
      <c r="F91" s="48"/>
      <c r="G91" s="48"/>
      <c r="H91" s="48"/>
      <c r="I91" s="48"/>
      <c r="J91" s="48">
        <v>45</v>
      </c>
      <c r="K91" s="48">
        <f t="shared" si="45"/>
        <v>45</v>
      </c>
      <c r="L91" s="74"/>
    </row>
    <row r="92" spans="1:12">
      <c r="A92" s="46">
        <v>5</v>
      </c>
      <c r="B92" s="73"/>
      <c r="C92" s="73" t="s">
        <v>174</v>
      </c>
      <c r="D92" s="73"/>
      <c r="E92" s="73"/>
      <c r="F92" s="48"/>
      <c r="G92" s="48"/>
      <c r="H92" s="48"/>
      <c r="I92" s="48"/>
      <c r="J92" s="48">
        <v>40</v>
      </c>
      <c r="K92" s="48">
        <f t="shared" si="45"/>
        <v>40</v>
      </c>
      <c r="L92" s="74"/>
    </row>
    <row r="93" spans="1:12">
      <c r="A93" s="46">
        <v>6</v>
      </c>
      <c r="B93" s="73"/>
      <c r="C93" s="73" t="s">
        <v>19</v>
      </c>
      <c r="D93" s="73"/>
      <c r="E93" s="73"/>
      <c r="F93" s="48"/>
      <c r="G93" s="48"/>
      <c r="H93" s="48"/>
      <c r="I93" s="48"/>
      <c r="J93" s="48">
        <v>18</v>
      </c>
      <c r="K93" s="48">
        <f t="shared" si="45"/>
        <v>18</v>
      </c>
      <c r="L93" s="74"/>
    </row>
    <row r="94" spans="1:12">
      <c r="A94" s="46">
        <v>7</v>
      </c>
      <c r="B94" s="73"/>
      <c r="C94" s="73" t="s">
        <v>1074</v>
      </c>
      <c r="D94" s="73"/>
      <c r="E94" s="73"/>
      <c r="F94" s="48"/>
      <c r="G94" s="48"/>
      <c r="H94" s="48"/>
      <c r="I94" s="48"/>
      <c r="J94" s="48">
        <v>18</v>
      </c>
      <c r="K94" s="48">
        <f t="shared" si="45"/>
        <v>18</v>
      </c>
      <c r="L94" s="74"/>
    </row>
    <row r="95" spans="1:12">
      <c r="A95" s="46"/>
      <c r="B95" s="73"/>
      <c r="C95" s="73"/>
      <c r="D95" s="73"/>
      <c r="E95" s="73"/>
      <c r="F95" s="48"/>
      <c r="G95" s="48"/>
      <c r="H95" s="48"/>
      <c r="I95" s="48"/>
      <c r="J95" s="48"/>
      <c r="K95" s="48"/>
      <c r="L95" s="74"/>
    </row>
    <row r="96" spans="1:12" s="20" customFormat="1">
      <c r="A96" s="21"/>
      <c r="B96" s="18"/>
      <c r="C96" s="18" t="s">
        <v>616</v>
      </c>
      <c r="D96" s="18"/>
      <c r="E96" s="18"/>
      <c r="F96" s="9"/>
      <c r="G96" s="9"/>
      <c r="H96" s="9"/>
      <c r="I96" s="9"/>
      <c r="J96" s="9">
        <f>SUM(J88:J95)</f>
        <v>5257.8054692540345</v>
      </c>
      <c r="K96" s="9">
        <f>SUM(K88:K95)</f>
        <v>5257.8054692540345</v>
      </c>
      <c r="L96" s="19"/>
    </row>
    <row r="97" spans="1:12">
      <c r="A97" s="46"/>
      <c r="B97" s="73"/>
      <c r="C97" s="73"/>
      <c r="D97" s="73"/>
      <c r="E97" s="73"/>
      <c r="F97" s="48"/>
      <c r="G97" s="48"/>
      <c r="H97" s="48"/>
      <c r="I97" s="48"/>
      <c r="J97" s="48"/>
      <c r="K97" s="48"/>
      <c r="L97" s="74"/>
    </row>
    <row r="98" spans="1:12" s="20" customFormat="1">
      <c r="A98" s="21"/>
      <c r="B98" s="18"/>
      <c r="C98" s="18" t="s">
        <v>1075</v>
      </c>
      <c r="D98" s="18">
        <f>D96+D85</f>
        <v>441181.6</v>
      </c>
      <c r="E98" s="18">
        <f t="shared" ref="E98:K98" si="46">E96+E85</f>
        <v>0</v>
      </c>
      <c r="F98" s="9">
        <f t="shared" si="46"/>
        <v>193906.592</v>
      </c>
      <c r="G98" s="9">
        <f t="shared" si="46"/>
        <v>15717.139189189193</v>
      </c>
      <c r="H98" s="9">
        <f t="shared" si="46"/>
        <v>158109.10386666667</v>
      </c>
      <c r="I98" s="9">
        <f t="shared" si="46"/>
        <v>9762.9782320000013</v>
      </c>
      <c r="J98" s="9">
        <f t="shared" si="46"/>
        <v>5257.8054692540345</v>
      </c>
      <c r="K98" s="9">
        <f t="shared" si="46"/>
        <v>382753.61875710991</v>
      </c>
      <c r="L98" s="19"/>
    </row>
    <row r="99" spans="1:12">
      <c r="A99" s="46"/>
      <c r="B99" s="73"/>
      <c r="C99" s="73"/>
      <c r="D99" s="73"/>
      <c r="E99" s="73"/>
      <c r="F99" s="48"/>
      <c r="G99" s="48"/>
      <c r="H99" s="48"/>
      <c r="I99" s="48"/>
      <c r="J99" s="48"/>
      <c r="K99" s="48"/>
      <c r="L99" s="74"/>
    </row>
    <row r="100" spans="1:12" s="20" customFormat="1">
      <c r="A100" s="21"/>
      <c r="B100" s="18"/>
      <c r="C100" s="18" t="s">
        <v>1076</v>
      </c>
      <c r="D100" s="18"/>
      <c r="E100" s="18"/>
      <c r="F100" s="9"/>
      <c r="G100" s="9"/>
      <c r="H100" s="9"/>
      <c r="I100" s="9"/>
      <c r="J100" s="9">
        <f>K98*6%</f>
        <v>22965.217125426592</v>
      </c>
      <c r="K100" s="9">
        <f>J100</f>
        <v>22965.217125426592</v>
      </c>
      <c r="L100" s="19"/>
    </row>
    <row r="101" spans="1:12">
      <c r="A101" s="46"/>
      <c r="B101" s="73"/>
      <c r="C101" s="73"/>
      <c r="D101" s="73"/>
      <c r="E101" s="73"/>
      <c r="F101" s="48"/>
      <c r="G101" s="48"/>
      <c r="H101" s="48"/>
      <c r="I101" s="48"/>
      <c r="J101" s="48"/>
      <c r="K101" s="48"/>
      <c r="L101" s="74"/>
    </row>
    <row r="102" spans="1:12" s="20" customFormat="1">
      <c r="A102" s="21"/>
      <c r="B102" s="18"/>
      <c r="C102" s="18" t="s">
        <v>1077</v>
      </c>
      <c r="D102" s="18">
        <f>D100+D98</f>
        <v>441181.6</v>
      </c>
      <c r="E102" s="18">
        <f t="shared" ref="E102:K102" si="47">E100+E98</f>
        <v>0</v>
      </c>
      <c r="F102" s="9">
        <f t="shared" si="47"/>
        <v>193906.592</v>
      </c>
      <c r="G102" s="9">
        <f t="shared" si="47"/>
        <v>15717.139189189193</v>
      </c>
      <c r="H102" s="9">
        <f t="shared" si="47"/>
        <v>158109.10386666667</v>
      </c>
      <c r="I102" s="9">
        <f t="shared" si="47"/>
        <v>9762.9782320000013</v>
      </c>
      <c r="J102" s="9">
        <f t="shared" si="47"/>
        <v>28223.022594680628</v>
      </c>
      <c r="K102" s="9">
        <f t="shared" si="47"/>
        <v>405718.83588253648</v>
      </c>
      <c r="L102" s="19"/>
    </row>
    <row r="103" spans="1:12">
      <c r="A103" s="46"/>
      <c r="B103" s="73"/>
      <c r="C103" s="73"/>
      <c r="D103" s="73"/>
      <c r="E103" s="73"/>
      <c r="F103" s="48"/>
      <c r="G103" s="48"/>
      <c r="H103" s="48"/>
      <c r="I103" s="48"/>
      <c r="J103" s="48"/>
      <c r="K103" s="48"/>
      <c r="L103" s="74"/>
    </row>
    <row r="104" spans="1:12" s="20" customFormat="1" ht="14.25">
      <c r="A104" s="21"/>
      <c r="B104" s="18"/>
      <c r="C104" s="18" t="s">
        <v>521</v>
      </c>
      <c r="D104" s="18">
        <f>D102</f>
        <v>441181.6</v>
      </c>
      <c r="E104" s="18">
        <f t="shared" ref="E104:K104" si="48">E102</f>
        <v>0</v>
      </c>
      <c r="F104" s="9">
        <f t="shared" si="48"/>
        <v>193906.592</v>
      </c>
      <c r="G104" s="9">
        <f t="shared" si="48"/>
        <v>15717.139189189193</v>
      </c>
      <c r="H104" s="9">
        <f t="shared" si="48"/>
        <v>158109.10386666667</v>
      </c>
      <c r="I104" s="9">
        <f t="shared" si="48"/>
        <v>9762.9782320000013</v>
      </c>
      <c r="J104" s="9">
        <f t="shared" si="48"/>
        <v>28223.022594680628</v>
      </c>
      <c r="K104" s="9">
        <f t="shared" si="48"/>
        <v>405718.83588253648</v>
      </c>
      <c r="L104" s="19"/>
    </row>
    <row r="107" spans="1:12" ht="14.25" thickBot="1"/>
    <row r="109" spans="1:12">
      <c r="J109" s="78">
        <f>K104-K12</f>
        <v>359696.43588253646</v>
      </c>
    </row>
  </sheetData>
  <mergeCells count="14">
    <mergeCell ref="I5:I6"/>
    <mergeCell ref="J5:J6"/>
    <mergeCell ref="K5:K6"/>
    <mergeCell ref="L5:L6"/>
    <mergeCell ref="A1:C1"/>
    <mergeCell ref="A2:L3"/>
    <mergeCell ref="A4:F4"/>
    <mergeCell ref="G4:L4"/>
    <mergeCell ref="A5:A6"/>
    <mergeCell ref="B5:B6"/>
    <mergeCell ref="C5:C6"/>
    <mergeCell ref="D5:E5"/>
    <mergeCell ref="F5:F6"/>
    <mergeCell ref="G5:H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90" fitToHeight="0" orientation="landscape" r:id="rId1"/>
  <headerFooter>
    <oddFooter>第 &amp;P 页，共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52"/>
  <sheetViews>
    <sheetView zoomScale="90" zoomScaleNormal="90" workbookViewId="0">
      <pane xSplit="2" ySplit="5" topLeftCell="C729" activePane="bottomRight" state="frozen"/>
      <selection pane="topRight" activeCell="C1" sqref="C1"/>
      <selection pane="bottomLeft" activeCell="A6" sqref="A6"/>
      <selection pane="bottomRight" activeCell="J745" sqref="J745"/>
    </sheetView>
  </sheetViews>
  <sheetFormatPr defaultRowHeight="13.5"/>
  <cols>
    <col min="1" max="1" width="6" style="13" customWidth="1"/>
    <col min="2" max="2" width="42.125" style="6" bestFit="1" customWidth="1"/>
    <col min="3" max="3" width="37.25" style="56" customWidth="1"/>
    <col min="4" max="5" width="5.75" style="1" bestFit="1" customWidth="1"/>
    <col min="6" max="6" width="7.375" style="1" bestFit="1" customWidth="1"/>
    <col min="7" max="7" width="8.5" style="8" bestFit="1" customWidth="1"/>
    <col min="8" max="8" width="12" style="8" bestFit="1" customWidth="1"/>
    <col min="9" max="9" width="9.875" style="1" bestFit="1" customWidth="1"/>
    <col min="10" max="10" width="9" style="1"/>
    <col min="11" max="11" width="15.75" style="1" customWidth="1"/>
    <col min="12" max="16384" width="9" style="1"/>
  </cols>
  <sheetData>
    <row r="1" spans="1:11">
      <c r="A1" s="40" t="s">
        <v>0</v>
      </c>
      <c r="B1" s="40"/>
    </row>
    <row r="2" spans="1:11" s="4" customFormat="1" ht="22.5">
      <c r="A2" s="41" t="s">
        <v>608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>
      <c r="A3" s="42" t="s">
        <v>76</v>
      </c>
      <c r="B3" s="42"/>
      <c r="C3" s="42"/>
      <c r="G3" s="40" t="s">
        <v>85</v>
      </c>
      <c r="H3" s="40"/>
      <c r="I3" s="40"/>
      <c r="J3" s="40"/>
      <c r="K3" s="40"/>
    </row>
    <row r="4" spans="1:11" s="3" customFormat="1">
      <c r="A4" s="43" t="s">
        <v>86</v>
      </c>
      <c r="B4" s="44" t="s">
        <v>87</v>
      </c>
      <c r="C4" s="57" t="s">
        <v>88</v>
      </c>
      <c r="D4" s="44" t="s">
        <v>89</v>
      </c>
      <c r="E4" s="44" t="s">
        <v>90</v>
      </c>
      <c r="F4" s="44" t="s">
        <v>204</v>
      </c>
      <c r="G4" s="44" t="s">
        <v>91</v>
      </c>
      <c r="H4" s="44"/>
      <c r="I4" s="44"/>
      <c r="J4" s="44" t="s">
        <v>92</v>
      </c>
      <c r="K4" s="44" t="s">
        <v>93</v>
      </c>
    </row>
    <row r="5" spans="1:11" s="3" customFormat="1">
      <c r="A5" s="43"/>
      <c r="B5" s="44"/>
      <c r="C5" s="57"/>
      <c r="D5" s="44"/>
      <c r="E5" s="44"/>
      <c r="F5" s="44"/>
      <c r="G5" s="9" t="s">
        <v>205</v>
      </c>
      <c r="H5" s="9" t="s">
        <v>206</v>
      </c>
      <c r="I5" s="5" t="s">
        <v>94</v>
      </c>
      <c r="J5" s="44"/>
      <c r="K5" s="44"/>
    </row>
    <row r="6" spans="1:11" s="3" customFormat="1">
      <c r="A6" s="21" t="str">
        <f>投资估算表!A8</f>
        <v>一</v>
      </c>
      <c r="B6" s="7" t="str">
        <f>投资估算表!C8</f>
        <v>水工设施</v>
      </c>
      <c r="C6" s="58"/>
      <c r="D6" s="7"/>
      <c r="E6" s="7"/>
      <c r="F6" s="7"/>
      <c r="G6" s="9"/>
      <c r="H6" s="9"/>
      <c r="I6" s="7"/>
      <c r="J6" s="7"/>
      <c r="K6" s="7"/>
    </row>
    <row r="7" spans="1:11">
      <c r="A7" s="12" t="s">
        <v>243</v>
      </c>
      <c r="B7" s="2" t="s">
        <v>242</v>
      </c>
      <c r="C7" s="59"/>
      <c r="D7" s="2"/>
      <c r="E7" s="2"/>
      <c r="F7" s="2"/>
      <c r="G7" s="10"/>
      <c r="H7" s="10"/>
      <c r="I7" s="2"/>
      <c r="J7" s="2"/>
      <c r="K7" s="2"/>
    </row>
    <row r="8" spans="1:11">
      <c r="A8" s="12"/>
      <c r="B8" s="2"/>
      <c r="C8" s="59"/>
      <c r="D8" s="2"/>
      <c r="E8" s="2"/>
      <c r="F8" s="2"/>
      <c r="G8" s="10"/>
      <c r="H8" s="10"/>
      <c r="I8" s="2"/>
      <c r="J8" s="2"/>
      <c r="K8" s="2"/>
    </row>
    <row r="9" spans="1:11">
      <c r="A9" s="12" t="s">
        <v>244</v>
      </c>
      <c r="B9" s="2" t="s">
        <v>185</v>
      </c>
      <c r="C9" s="59"/>
      <c r="D9" s="2"/>
      <c r="E9" s="2"/>
      <c r="F9" s="2"/>
      <c r="G9" s="10"/>
      <c r="H9" s="10"/>
      <c r="I9" s="2"/>
      <c r="J9" s="2"/>
      <c r="K9" s="2"/>
    </row>
    <row r="10" spans="1:11">
      <c r="A10" s="12"/>
      <c r="B10" s="2"/>
      <c r="C10" s="59"/>
      <c r="D10" s="2"/>
      <c r="E10" s="2"/>
      <c r="F10" s="2"/>
      <c r="G10" s="10"/>
      <c r="H10" s="10"/>
      <c r="I10" s="2"/>
      <c r="J10" s="2"/>
      <c r="K10" s="2"/>
    </row>
    <row r="11" spans="1:11">
      <c r="A11" s="12" t="s">
        <v>245</v>
      </c>
      <c r="B11" s="2" t="str">
        <f>投资估算表!C11</f>
        <v>水面产品室内船台（双柳基地）</v>
      </c>
      <c r="C11" s="59"/>
      <c r="D11" s="2"/>
      <c r="E11" s="2"/>
      <c r="F11" s="2"/>
      <c r="G11" s="10"/>
      <c r="H11" s="10"/>
      <c r="I11" s="2"/>
      <c r="J11" s="2"/>
      <c r="K11" s="2"/>
    </row>
    <row r="12" spans="1:11" s="52" customFormat="1" ht="12">
      <c r="A12" s="22">
        <v>1</v>
      </c>
      <c r="B12" s="50" t="s">
        <v>201</v>
      </c>
      <c r="C12" s="60" t="s">
        <v>207</v>
      </c>
      <c r="D12" s="50" t="s">
        <v>173</v>
      </c>
      <c r="E12" s="50" t="s">
        <v>49</v>
      </c>
      <c r="F12" s="50">
        <v>200</v>
      </c>
      <c r="G12" s="51">
        <v>1.2</v>
      </c>
      <c r="H12" s="51">
        <f>F12*G12</f>
        <v>240</v>
      </c>
      <c r="I12" s="50"/>
      <c r="J12" s="50"/>
      <c r="K12" s="50"/>
    </row>
    <row r="13" spans="1:11" s="52" customFormat="1" ht="12">
      <c r="A13" s="22">
        <v>2</v>
      </c>
      <c r="B13" s="50" t="s">
        <v>445</v>
      </c>
      <c r="C13" s="60" t="s">
        <v>715</v>
      </c>
      <c r="D13" s="50" t="s">
        <v>173</v>
      </c>
      <c r="E13" s="50" t="s">
        <v>49</v>
      </c>
      <c r="F13" s="50">
        <v>2</v>
      </c>
      <c r="G13" s="51">
        <v>650</v>
      </c>
      <c r="H13" s="51">
        <f t="shared" ref="H13:H30" si="0">F13*G13</f>
        <v>1300</v>
      </c>
      <c r="I13" s="50"/>
      <c r="J13" s="50"/>
      <c r="K13" s="50"/>
    </row>
    <row r="14" spans="1:11" s="52" customFormat="1" ht="12">
      <c r="A14" s="22">
        <v>3</v>
      </c>
      <c r="B14" s="50" t="s">
        <v>445</v>
      </c>
      <c r="C14" s="60" t="s">
        <v>716</v>
      </c>
      <c r="D14" s="50" t="s">
        <v>173</v>
      </c>
      <c r="E14" s="50" t="s">
        <v>49</v>
      </c>
      <c r="F14" s="50">
        <v>2</v>
      </c>
      <c r="G14" s="51">
        <v>500</v>
      </c>
      <c r="H14" s="51">
        <f t="shared" si="0"/>
        <v>1000</v>
      </c>
      <c r="I14" s="50"/>
      <c r="J14" s="50"/>
      <c r="K14" s="50"/>
    </row>
    <row r="15" spans="1:11" s="3" customFormat="1">
      <c r="A15" s="21"/>
      <c r="B15" s="7" t="s">
        <v>742</v>
      </c>
      <c r="C15" s="58"/>
      <c r="D15" s="7"/>
      <c r="E15" s="7"/>
      <c r="F15" s="7">
        <f>SUM(F12:F14)</f>
        <v>204</v>
      </c>
      <c r="G15" s="9"/>
      <c r="H15" s="9">
        <f>SUM(H12:H14)</f>
        <v>2540</v>
      </c>
      <c r="I15" s="7"/>
      <c r="J15" s="7"/>
      <c r="K15" s="7"/>
    </row>
    <row r="16" spans="1:11">
      <c r="A16" s="12"/>
      <c r="B16" s="2"/>
      <c r="C16" s="59"/>
      <c r="D16" s="2"/>
      <c r="E16" s="2"/>
      <c r="F16" s="2"/>
      <c r="G16" s="10"/>
      <c r="H16" s="10"/>
      <c r="I16" s="2"/>
      <c r="J16" s="2"/>
      <c r="K16" s="2"/>
    </row>
    <row r="17" spans="1:11">
      <c r="A17" s="12" t="s">
        <v>246</v>
      </c>
      <c r="B17" s="2" t="str">
        <f>投资估算表!C12</f>
        <v>水面产品室内船台及港口设施（海西湾基地）</v>
      </c>
      <c r="C17" s="59"/>
      <c r="D17" s="2"/>
      <c r="E17" s="2"/>
      <c r="F17" s="2"/>
      <c r="G17" s="10"/>
      <c r="H17" s="10"/>
      <c r="I17" s="2"/>
      <c r="J17" s="2"/>
      <c r="K17" s="2"/>
    </row>
    <row r="18" spans="1:11" s="52" customFormat="1" ht="12">
      <c r="A18" s="22">
        <v>1</v>
      </c>
      <c r="B18" s="50" t="s">
        <v>201</v>
      </c>
      <c r="C18" s="60" t="s">
        <v>207</v>
      </c>
      <c r="D18" s="50" t="s">
        <v>173</v>
      </c>
      <c r="E18" s="50" t="s">
        <v>49</v>
      </c>
      <c r="F18" s="50">
        <v>200</v>
      </c>
      <c r="G18" s="51">
        <v>1.2</v>
      </c>
      <c r="H18" s="51">
        <f>F18*G18</f>
        <v>240</v>
      </c>
      <c r="I18" s="50"/>
      <c r="J18" s="50"/>
      <c r="K18" s="50"/>
    </row>
    <row r="19" spans="1:11" s="52" customFormat="1" ht="12">
      <c r="A19" s="22">
        <v>2</v>
      </c>
      <c r="B19" s="50" t="s">
        <v>445</v>
      </c>
      <c r="C19" s="60" t="s">
        <v>717</v>
      </c>
      <c r="D19" s="50" t="s">
        <v>173</v>
      </c>
      <c r="E19" s="50" t="s">
        <v>49</v>
      </c>
      <c r="F19" s="50">
        <v>2</v>
      </c>
      <c r="G19" s="51">
        <v>800</v>
      </c>
      <c r="H19" s="51">
        <f t="shared" ref="H19:H23" si="1">F19*G19</f>
        <v>1600</v>
      </c>
      <c r="I19" s="50"/>
      <c r="J19" s="50"/>
      <c r="K19" s="50"/>
    </row>
    <row r="20" spans="1:11" s="52" customFormat="1" ht="12">
      <c r="A20" s="22">
        <v>3</v>
      </c>
      <c r="B20" s="50" t="s">
        <v>445</v>
      </c>
      <c r="C20" s="60" t="s">
        <v>718</v>
      </c>
      <c r="D20" s="50" t="s">
        <v>173</v>
      </c>
      <c r="E20" s="50" t="s">
        <v>49</v>
      </c>
      <c r="F20" s="50">
        <v>2</v>
      </c>
      <c r="G20" s="51">
        <v>750</v>
      </c>
      <c r="H20" s="51">
        <f t="shared" si="1"/>
        <v>1500</v>
      </c>
      <c r="I20" s="50"/>
      <c r="J20" s="50"/>
      <c r="K20" s="50"/>
    </row>
    <row r="21" spans="1:11" s="52" customFormat="1" ht="12">
      <c r="A21" s="22">
        <v>4</v>
      </c>
      <c r="B21" s="50" t="s">
        <v>719</v>
      </c>
      <c r="C21" s="60" t="s">
        <v>720</v>
      </c>
      <c r="D21" s="50" t="s">
        <v>173</v>
      </c>
      <c r="E21" s="50" t="s">
        <v>49</v>
      </c>
      <c r="F21" s="50">
        <v>1</v>
      </c>
      <c r="G21" s="51">
        <v>900</v>
      </c>
      <c r="H21" s="51">
        <f t="shared" si="1"/>
        <v>900</v>
      </c>
      <c r="I21" s="50"/>
      <c r="J21" s="50"/>
      <c r="K21" s="50"/>
    </row>
    <row r="22" spans="1:11" s="52" customFormat="1" ht="12">
      <c r="A22" s="22">
        <v>5</v>
      </c>
      <c r="B22" s="50" t="s">
        <v>524</v>
      </c>
      <c r="C22" s="60" t="s">
        <v>721</v>
      </c>
      <c r="D22" s="50" t="s">
        <v>173</v>
      </c>
      <c r="E22" s="50" t="s">
        <v>49</v>
      </c>
      <c r="F22" s="50">
        <v>2</v>
      </c>
      <c r="G22" s="51">
        <v>4900</v>
      </c>
      <c r="H22" s="51">
        <f t="shared" si="1"/>
        <v>9800</v>
      </c>
      <c r="I22" s="50"/>
      <c r="J22" s="50"/>
      <c r="K22" s="50"/>
    </row>
    <row r="23" spans="1:11" s="52" customFormat="1" ht="12">
      <c r="A23" s="22">
        <v>6</v>
      </c>
      <c r="B23" s="50" t="s">
        <v>525</v>
      </c>
      <c r="C23" s="60"/>
      <c r="D23" s="50" t="s">
        <v>173</v>
      </c>
      <c r="E23" s="50" t="s">
        <v>526</v>
      </c>
      <c r="F23" s="50">
        <v>280</v>
      </c>
      <c r="G23" s="51">
        <v>35</v>
      </c>
      <c r="H23" s="51">
        <f t="shared" si="1"/>
        <v>9800</v>
      </c>
      <c r="I23" s="50"/>
      <c r="J23" s="50"/>
      <c r="K23" s="50"/>
    </row>
    <row r="24" spans="1:11" s="3" customFormat="1">
      <c r="A24" s="21"/>
      <c r="B24" s="7" t="s">
        <v>742</v>
      </c>
      <c r="C24" s="58"/>
      <c r="D24" s="7"/>
      <c r="E24" s="7"/>
      <c r="F24" s="7">
        <f>SUM(F18:F23)</f>
        <v>487</v>
      </c>
      <c r="G24" s="9"/>
      <c r="H24" s="9">
        <f t="shared" ref="H24" si="2">SUM(H18:H23)</f>
        <v>23840</v>
      </c>
      <c r="I24" s="7"/>
      <c r="J24" s="7"/>
      <c r="K24" s="7"/>
    </row>
    <row r="25" spans="1:11">
      <c r="A25" s="12"/>
      <c r="B25" s="2"/>
      <c r="C25" s="59"/>
      <c r="D25" s="2"/>
      <c r="E25" s="2"/>
      <c r="F25" s="2"/>
      <c r="G25" s="10"/>
      <c r="H25" s="10"/>
      <c r="I25" s="2"/>
      <c r="J25" s="2"/>
      <c r="K25" s="2"/>
    </row>
    <row r="26" spans="1:11">
      <c r="A26" s="12" t="s">
        <v>412</v>
      </c>
      <c r="B26" s="2" t="str">
        <f>投资估算表!C13</f>
        <v>舾装码头（2个）</v>
      </c>
      <c r="C26" s="59"/>
      <c r="D26" s="2"/>
      <c r="E26" s="2"/>
      <c r="F26" s="2"/>
      <c r="G26" s="10"/>
      <c r="H26" s="10"/>
      <c r="I26" s="2"/>
      <c r="J26" s="2"/>
      <c r="K26" s="2"/>
    </row>
    <row r="27" spans="1:11" s="52" customFormat="1" ht="12">
      <c r="A27" s="22">
        <v>1</v>
      </c>
      <c r="B27" s="50" t="s">
        <v>722</v>
      </c>
      <c r="C27" s="60" t="s">
        <v>723</v>
      </c>
      <c r="D27" s="50" t="s">
        <v>173</v>
      </c>
      <c r="E27" s="50" t="s">
        <v>203</v>
      </c>
      <c r="F27" s="50">
        <v>2</v>
      </c>
      <c r="G27" s="51">
        <v>2100</v>
      </c>
      <c r="H27" s="51">
        <f t="shared" si="0"/>
        <v>4200</v>
      </c>
      <c r="I27" s="50"/>
      <c r="J27" s="50"/>
      <c r="K27" s="50"/>
    </row>
    <row r="28" spans="1:11" s="52" customFormat="1" ht="12">
      <c r="A28" s="22">
        <v>2</v>
      </c>
      <c r="B28" s="50" t="s">
        <v>722</v>
      </c>
      <c r="C28" s="60" t="s">
        <v>605</v>
      </c>
      <c r="D28" s="50" t="s">
        <v>173</v>
      </c>
      <c r="E28" s="50" t="s">
        <v>203</v>
      </c>
      <c r="F28" s="50">
        <v>2</v>
      </c>
      <c r="G28" s="51">
        <v>1900</v>
      </c>
      <c r="H28" s="51">
        <f t="shared" ref="H28" si="3">F28*G28</f>
        <v>3800</v>
      </c>
      <c r="I28" s="50"/>
      <c r="J28" s="50"/>
      <c r="K28" s="50"/>
    </row>
    <row r="29" spans="1:11" s="52" customFormat="1" ht="12">
      <c r="A29" s="22">
        <v>3</v>
      </c>
      <c r="B29" s="50" t="s">
        <v>724</v>
      </c>
      <c r="C29" s="60" t="s">
        <v>610</v>
      </c>
      <c r="D29" s="50" t="s">
        <v>173</v>
      </c>
      <c r="E29" s="50" t="s">
        <v>49</v>
      </c>
      <c r="F29" s="50">
        <v>4</v>
      </c>
      <c r="G29" s="51">
        <v>238</v>
      </c>
      <c r="H29" s="51">
        <f t="shared" si="0"/>
        <v>952</v>
      </c>
      <c r="I29" s="50"/>
      <c r="J29" s="50"/>
      <c r="K29" s="50"/>
    </row>
    <row r="30" spans="1:11" s="52" customFormat="1" ht="12">
      <c r="A30" s="22">
        <v>4</v>
      </c>
      <c r="B30" s="50" t="s">
        <v>202</v>
      </c>
      <c r="C30" s="60"/>
      <c r="D30" s="50" t="s">
        <v>173</v>
      </c>
      <c r="E30" s="50" t="s">
        <v>214</v>
      </c>
      <c r="F30" s="50">
        <v>2</v>
      </c>
      <c r="G30" s="51">
        <v>40</v>
      </c>
      <c r="H30" s="51">
        <f t="shared" si="0"/>
        <v>80</v>
      </c>
      <c r="I30" s="50"/>
      <c r="J30" s="50"/>
      <c r="K30" s="50"/>
    </row>
    <row r="31" spans="1:11" s="3" customFormat="1">
      <c r="A31" s="21"/>
      <c r="B31" s="7" t="s">
        <v>742</v>
      </c>
      <c r="C31" s="58"/>
      <c r="D31" s="7"/>
      <c r="E31" s="7"/>
      <c r="F31" s="7">
        <f>SUM(F27:F30)</f>
        <v>10</v>
      </c>
      <c r="G31" s="9"/>
      <c r="H31" s="9">
        <f>SUM(H27:H30)</f>
        <v>9032</v>
      </c>
      <c r="I31" s="7"/>
      <c r="J31" s="7"/>
      <c r="K31" s="7"/>
    </row>
    <row r="32" spans="1:11">
      <c r="A32" s="12"/>
      <c r="B32" s="2"/>
      <c r="C32" s="59"/>
      <c r="D32" s="2"/>
      <c r="E32" s="2"/>
      <c r="F32" s="2"/>
      <c r="G32" s="10"/>
      <c r="H32" s="10"/>
      <c r="I32" s="2"/>
      <c r="J32" s="2"/>
      <c r="K32" s="2"/>
    </row>
    <row r="33" spans="1:11" s="3" customFormat="1">
      <c r="A33" s="21"/>
      <c r="B33" s="7" t="s">
        <v>516</v>
      </c>
      <c r="C33" s="58"/>
      <c r="D33" s="7"/>
      <c r="E33" s="7"/>
      <c r="F33" s="7">
        <f>F15+F24+F31</f>
        <v>701</v>
      </c>
      <c r="G33" s="9"/>
      <c r="H33" s="9">
        <f t="shared" ref="H33" si="4">H15+H24+H31</f>
        <v>35412</v>
      </c>
      <c r="I33" s="7"/>
      <c r="J33" s="7"/>
      <c r="K33" s="7"/>
    </row>
    <row r="34" spans="1:11">
      <c r="A34" s="12"/>
      <c r="B34" s="2"/>
      <c r="C34" s="59"/>
      <c r="D34" s="2"/>
      <c r="E34" s="2"/>
      <c r="F34" s="2"/>
      <c r="G34" s="10"/>
      <c r="H34" s="10"/>
      <c r="I34" s="2"/>
      <c r="J34" s="2"/>
      <c r="K34" s="2"/>
    </row>
    <row r="35" spans="1:11" s="3" customFormat="1">
      <c r="A35" s="21" t="str">
        <f>投资估算表!A16</f>
        <v>二</v>
      </c>
      <c r="B35" s="7" t="str">
        <f>投资估算表!C16</f>
        <v>生产性建设项目</v>
      </c>
      <c r="C35" s="58"/>
      <c r="D35" s="7"/>
      <c r="E35" s="7"/>
      <c r="F35" s="7"/>
      <c r="G35" s="9"/>
      <c r="H35" s="9"/>
      <c r="I35" s="7"/>
      <c r="J35" s="7"/>
      <c r="K35" s="7"/>
    </row>
    <row r="36" spans="1:11" s="3" customFormat="1">
      <c r="A36" s="21" t="s">
        <v>706</v>
      </c>
      <c r="B36" s="7" t="str">
        <f>投资估算表!C17</f>
        <v>武昌总部技改项目</v>
      </c>
      <c r="C36" s="58"/>
      <c r="D36" s="7"/>
      <c r="E36" s="7"/>
      <c r="F36" s="7"/>
      <c r="G36" s="9"/>
      <c r="H36" s="9"/>
      <c r="I36" s="7"/>
      <c r="J36" s="7"/>
      <c r="K36" s="7"/>
    </row>
    <row r="37" spans="1:11" s="52" customFormat="1" ht="12.75">
      <c r="A37" s="22">
        <v>1</v>
      </c>
      <c r="B37" s="50" t="s">
        <v>725</v>
      </c>
      <c r="C37" s="60"/>
      <c r="D37" s="50" t="s">
        <v>173</v>
      </c>
      <c r="E37" s="50" t="s">
        <v>49</v>
      </c>
      <c r="F37" s="50">
        <v>1</v>
      </c>
      <c r="G37" s="51">
        <v>300</v>
      </c>
      <c r="H37" s="51">
        <f t="shared" ref="H37:H53" si="5">F37*G37</f>
        <v>300</v>
      </c>
      <c r="I37" s="50"/>
      <c r="J37" s="50"/>
      <c r="K37" s="50"/>
    </row>
    <row r="38" spans="1:11" s="52" customFormat="1" ht="12.75">
      <c r="A38" s="22">
        <v>2</v>
      </c>
      <c r="B38" s="50" t="s">
        <v>726</v>
      </c>
      <c r="C38" s="60" t="s">
        <v>711</v>
      </c>
      <c r="D38" s="50" t="s">
        <v>173</v>
      </c>
      <c r="E38" s="50" t="s">
        <v>49</v>
      </c>
      <c r="F38" s="50">
        <v>1</v>
      </c>
      <c r="G38" s="51">
        <v>150</v>
      </c>
      <c r="H38" s="51">
        <f t="shared" si="5"/>
        <v>150</v>
      </c>
      <c r="I38" s="50"/>
      <c r="J38" s="50"/>
      <c r="K38" s="50"/>
    </row>
    <row r="39" spans="1:11" s="52" customFormat="1" ht="12.75">
      <c r="A39" s="22">
        <v>3</v>
      </c>
      <c r="B39" s="50" t="s">
        <v>726</v>
      </c>
      <c r="C39" s="60" t="s">
        <v>712</v>
      </c>
      <c r="D39" s="50" t="s">
        <v>173</v>
      </c>
      <c r="E39" s="50" t="s">
        <v>49</v>
      </c>
      <c r="F39" s="50">
        <v>1</v>
      </c>
      <c r="G39" s="51">
        <v>200</v>
      </c>
      <c r="H39" s="51">
        <f t="shared" si="5"/>
        <v>200</v>
      </c>
      <c r="I39" s="50"/>
      <c r="J39" s="50"/>
      <c r="K39" s="50"/>
    </row>
    <row r="40" spans="1:11" s="52" customFormat="1" ht="12.75">
      <c r="A40" s="22">
        <v>4</v>
      </c>
      <c r="B40" s="50" t="s">
        <v>727</v>
      </c>
      <c r="C40" s="60"/>
      <c r="D40" s="50" t="s">
        <v>173</v>
      </c>
      <c r="E40" s="50" t="s">
        <v>49</v>
      </c>
      <c r="F40" s="50">
        <v>1</v>
      </c>
      <c r="G40" s="51">
        <v>600</v>
      </c>
      <c r="H40" s="51">
        <f t="shared" si="5"/>
        <v>600</v>
      </c>
      <c r="I40" s="50"/>
      <c r="J40" s="50"/>
      <c r="K40" s="50"/>
    </row>
    <row r="41" spans="1:11" s="52" customFormat="1" ht="12.75">
      <c r="A41" s="22">
        <v>5</v>
      </c>
      <c r="B41" s="50" t="s">
        <v>728</v>
      </c>
      <c r="C41" s="60"/>
      <c r="D41" s="50" t="s">
        <v>173</v>
      </c>
      <c r="E41" s="50" t="s">
        <v>49</v>
      </c>
      <c r="F41" s="50">
        <v>1</v>
      </c>
      <c r="G41" s="51">
        <v>480</v>
      </c>
      <c r="H41" s="51">
        <f t="shared" si="5"/>
        <v>480</v>
      </c>
      <c r="I41" s="50"/>
      <c r="J41" s="50"/>
      <c r="K41" s="50"/>
    </row>
    <row r="42" spans="1:11" s="52" customFormat="1" ht="12.75">
      <c r="A42" s="22">
        <v>6</v>
      </c>
      <c r="B42" s="50" t="s">
        <v>729</v>
      </c>
      <c r="C42" s="60" t="s">
        <v>730</v>
      </c>
      <c r="D42" s="50" t="s">
        <v>173</v>
      </c>
      <c r="E42" s="50" t="s">
        <v>49</v>
      </c>
      <c r="F42" s="50">
        <v>1</v>
      </c>
      <c r="G42" s="51">
        <v>700</v>
      </c>
      <c r="H42" s="51">
        <f t="shared" si="5"/>
        <v>700</v>
      </c>
      <c r="I42" s="50"/>
      <c r="J42" s="50"/>
      <c r="K42" s="50"/>
    </row>
    <row r="43" spans="1:11" s="52" customFormat="1" ht="12.75">
      <c r="A43" s="22">
        <v>7</v>
      </c>
      <c r="B43" s="50" t="s">
        <v>731</v>
      </c>
      <c r="C43" s="60"/>
      <c r="D43" s="50" t="s">
        <v>173</v>
      </c>
      <c r="E43" s="50" t="s">
        <v>49</v>
      </c>
      <c r="F43" s="50">
        <v>1</v>
      </c>
      <c r="G43" s="51">
        <v>300</v>
      </c>
      <c r="H43" s="51">
        <f t="shared" si="5"/>
        <v>300</v>
      </c>
      <c r="I43" s="50"/>
      <c r="J43" s="50"/>
      <c r="K43" s="50"/>
    </row>
    <row r="44" spans="1:11" s="52" customFormat="1" ht="12.75">
      <c r="A44" s="22">
        <v>8</v>
      </c>
      <c r="B44" s="50" t="s">
        <v>732</v>
      </c>
      <c r="C44" s="60" t="s">
        <v>713</v>
      </c>
      <c r="D44" s="50" t="s">
        <v>173</v>
      </c>
      <c r="E44" s="50" t="s">
        <v>49</v>
      </c>
      <c r="F44" s="50">
        <v>1</v>
      </c>
      <c r="G44" s="51">
        <v>100</v>
      </c>
      <c r="H44" s="51">
        <f t="shared" si="5"/>
        <v>100</v>
      </c>
      <c r="I44" s="50"/>
      <c r="J44" s="50"/>
      <c r="K44" s="50"/>
    </row>
    <row r="45" spans="1:11" s="52" customFormat="1" ht="12.75">
      <c r="A45" s="22">
        <v>9</v>
      </c>
      <c r="B45" s="50" t="s">
        <v>733</v>
      </c>
      <c r="C45" s="60" t="s">
        <v>713</v>
      </c>
      <c r="D45" s="50" t="s">
        <v>173</v>
      </c>
      <c r="E45" s="50" t="s">
        <v>49</v>
      </c>
      <c r="F45" s="50">
        <v>1</v>
      </c>
      <c r="G45" s="51">
        <v>190</v>
      </c>
      <c r="H45" s="51">
        <f t="shared" si="5"/>
        <v>190</v>
      </c>
      <c r="I45" s="50"/>
      <c r="J45" s="50"/>
      <c r="K45" s="50"/>
    </row>
    <row r="46" spans="1:11" s="52" customFormat="1" ht="12.75">
      <c r="A46" s="22">
        <v>10</v>
      </c>
      <c r="B46" s="50" t="s">
        <v>734</v>
      </c>
      <c r="C46" s="60"/>
      <c r="D46" s="50" t="s">
        <v>173</v>
      </c>
      <c r="E46" s="50" t="s">
        <v>49</v>
      </c>
      <c r="F46" s="50">
        <v>1</v>
      </c>
      <c r="G46" s="51">
        <v>90</v>
      </c>
      <c r="H46" s="51">
        <f t="shared" si="5"/>
        <v>90</v>
      </c>
      <c r="I46" s="50"/>
      <c r="J46" s="50"/>
      <c r="K46" s="50"/>
    </row>
    <row r="47" spans="1:11" s="52" customFormat="1" ht="12.75">
      <c r="A47" s="22">
        <v>11</v>
      </c>
      <c r="B47" s="50" t="s">
        <v>735</v>
      </c>
      <c r="C47" s="60" t="s">
        <v>714</v>
      </c>
      <c r="D47" s="50" t="s">
        <v>173</v>
      </c>
      <c r="E47" s="50" t="s">
        <v>49</v>
      </c>
      <c r="F47" s="50">
        <v>2</v>
      </c>
      <c r="G47" s="51">
        <v>150</v>
      </c>
      <c r="H47" s="51">
        <f t="shared" si="5"/>
        <v>300</v>
      </c>
      <c r="I47" s="50"/>
      <c r="J47" s="50"/>
      <c r="K47" s="50"/>
    </row>
    <row r="48" spans="1:11" s="52" customFormat="1" ht="12.75">
      <c r="A48" s="22">
        <v>12</v>
      </c>
      <c r="B48" s="50" t="s">
        <v>736</v>
      </c>
      <c r="C48" s="60"/>
      <c r="D48" s="50" t="s">
        <v>173</v>
      </c>
      <c r="E48" s="50" t="s">
        <v>49</v>
      </c>
      <c r="F48" s="50">
        <v>1</v>
      </c>
      <c r="G48" s="51">
        <v>70</v>
      </c>
      <c r="H48" s="51">
        <f t="shared" si="5"/>
        <v>70</v>
      </c>
      <c r="I48" s="50"/>
      <c r="J48" s="50"/>
      <c r="K48" s="50"/>
    </row>
    <row r="49" spans="1:11" s="52" customFormat="1" ht="12.75">
      <c r="A49" s="22">
        <v>13</v>
      </c>
      <c r="B49" s="50" t="s">
        <v>737</v>
      </c>
      <c r="C49" s="60" t="s">
        <v>711</v>
      </c>
      <c r="D49" s="50" t="s">
        <v>173</v>
      </c>
      <c r="E49" s="50" t="s">
        <v>49</v>
      </c>
      <c r="F49" s="50">
        <v>1</v>
      </c>
      <c r="G49" s="51">
        <v>90</v>
      </c>
      <c r="H49" s="51">
        <f t="shared" si="5"/>
        <v>90</v>
      </c>
      <c r="I49" s="50"/>
      <c r="J49" s="50"/>
      <c r="K49" s="50"/>
    </row>
    <row r="50" spans="1:11" s="52" customFormat="1" ht="12.75">
      <c r="A50" s="22">
        <v>14</v>
      </c>
      <c r="B50" s="50" t="s">
        <v>738</v>
      </c>
      <c r="C50" s="60" t="s">
        <v>712</v>
      </c>
      <c r="D50" s="50" t="s">
        <v>173</v>
      </c>
      <c r="E50" s="50" t="s">
        <v>49</v>
      </c>
      <c r="F50" s="50">
        <v>1</v>
      </c>
      <c r="G50" s="51">
        <v>50</v>
      </c>
      <c r="H50" s="51">
        <f t="shared" si="5"/>
        <v>50</v>
      </c>
      <c r="I50" s="50"/>
      <c r="J50" s="50"/>
      <c r="K50" s="50"/>
    </row>
    <row r="51" spans="1:11" s="52" customFormat="1" ht="12.75">
      <c r="A51" s="22">
        <v>15</v>
      </c>
      <c r="B51" s="50" t="s">
        <v>739</v>
      </c>
      <c r="C51" s="60"/>
      <c r="D51" s="50" t="s">
        <v>173</v>
      </c>
      <c r="E51" s="50" t="s">
        <v>49</v>
      </c>
      <c r="F51" s="50">
        <v>1</v>
      </c>
      <c r="G51" s="51">
        <v>90</v>
      </c>
      <c r="H51" s="51">
        <f t="shared" si="5"/>
        <v>90</v>
      </c>
      <c r="I51" s="50"/>
      <c r="J51" s="50"/>
      <c r="K51" s="50"/>
    </row>
    <row r="52" spans="1:11" s="52" customFormat="1" ht="12.75">
      <c r="A52" s="22">
        <v>16</v>
      </c>
      <c r="B52" s="50" t="s">
        <v>740</v>
      </c>
      <c r="C52" s="60"/>
      <c r="D52" s="50" t="s">
        <v>173</v>
      </c>
      <c r="E52" s="50" t="s">
        <v>49</v>
      </c>
      <c r="F52" s="50">
        <v>1</v>
      </c>
      <c r="G52" s="51">
        <v>160</v>
      </c>
      <c r="H52" s="51">
        <f t="shared" si="5"/>
        <v>160</v>
      </c>
      <c r="I52" s="50"/>
      <c r="J52" s="50"/>
      <c r="K52" s="50"/>
    </row>
    <row r="53" spans="1:11" s="52" customFormat="1" ht="12.75">
      <c r="A53" s="22">
        <v>17</v>
      </c>
      <c r="B53" s="50" t="s">
        <v>741</v>
      </c>
      <c r="C53" s="60" t="s">
        <v>730</v>
      </c>
      <c r="D53" s="50" t="s">
        <v>173</v>
      </c>
      <c r="E53" s="50" t="s">
        <v>49</v>
      </c>
      <c r="F53" s="50">
        <v>6</v>
      </c>
      <c r="G53" s="51">
        <v>95</v>
      </c>
      <c r="H53" s="51">
        <f t="shared" si="5"/>
        <v>570</v>
      </c>
      <c r="I53" s="50"/>
      <c r="J53" s="50"/>
      <c r="K53" s="50"/>
    </row>
    <row r="54" spans="1:11" s="3" customFormat="1">
      <c r="A54" s="21"/>
      <c r="B54" s="7" t="s">
        <v>742</v>
      </c>
      <c r="C54" s="58"/>
      <c r="D54" s="7"/>
      <c r="E54" s="7"/>
      <c r="F54" s="7">
        <f>SUM(F37:F53)</f>
        <v>23</v>
      </c>
      <c r="G54" s="9"/>
      <c r="H54" s="9">
        <f t="shared" ref="H54" si="6">SUM(H37:H53)</f>
        <v>4440</v>
      </c>
      <c r="I54" s="7"/>
      <c r="J54" s="7"/>
      <c r="K54" s="7"/>
    </row>
    <row r="55" spans="1:11">
      <c r="A55" s="12"/>
      <c r="B55" s="2"/>
      <c r="C55" s="59"/>
      <c r="D55" s="2"/>
      <c r="E55" s="2"/>
      <c r="F55" s="2"/>
      <c r="G55" s="10"/>
      <c r="H55" s="10"/>
      <c r="I55" s="2"/>
      <c r="J55" s="2"/>
      <c r="K55" s="2"/>
    </row>
    <row r="56" spans="1:11" s="3" customFormat="1">
      <c r="A56" s="21" t="s">
        <v>707</v>
      </c>
      <c r="B56" s="7" t="str">
        <f>投资估算表!C18</f>
        <v>水下产品联合生产厂房</v>
      </c>
      <c r="C56" s="58"/>
      <c r="D56" s="7"/>
      <c r="E56" s="7"/>
      <c r="F56" s="7"/>
      <c r="G56" s="9"/>
      <c r="H56" s="9"/>
      <c r="I56" s="7"/>
      <c r="J56" s="7"/>
      <c r="K56" s="7"/>
    </row>
    <row r="57" spans="1:11">
      <c r="A57" s="12">
        <v>1</v>
      </c>
      <c r="B57" s="2" t="str">
        <f>投资估算表!C19</f>
        <v>预处理车间</v>
      </c>
      <c r="C57" s="59"/>
      <c r="D57" s="2"/>
      <c r="E57" s="2"/>
      <c r="F57" s="2"/>
      <c r="G57" s="10"/>
      <c r="H57" s="10"/>
      <c r="I57" s="2"/>
      <c r="J57" s="2"/>
      <c r="K57" s="2"/>
    </row>
    <row r="58" spans="1:11" s="52" customFormat="1" ht="12">
      <c r="A58" s="22">
        <v>1.1000000000000001</v>
      </c>
      <c r="B58" s="50" t="s">
        <v>871</v>
      </c>
      <c r="C58" s="60" t="s">
        <v>247</v>
      </c>
      <c r="D58" s="50" t="s">
        <v>173</v>
      </c>
      <c r="E58" s="50" t="s">
        <v>49</v>
      </c>
      <c r="F58" s="50">
        <v>1</v>
      </c>
      <c r="G58" s="51">
        <v>210</v>
      </c>
      <c r="H58" s="51">
        <f>F58*G58</f>
        <v>210</v>
      </c>
      <c r="I58" s="50"/>
      <c r="J58" s="50"/>
      <c r="K58" s="50"/>
    </row>
    <row r="59" spans="1:11" s="52" customFormat="1" ht="12">
      <c r="A59" s="22">
        <v>1.2</v>
      </c>
      <c r="B59" s="50" t="s">
        <v>872</v>
      </c>
      <c r="C59" s="60" t="s">
        <v>873</v>
      </c>
      <c r="D59" s="50" t="s">
        <v>173</v>
      </c>
      <c r="E59" s="50" t="s">
        <v>49</v>
      </c>
      <c r="F59" s="50">
        <v>1</v>
      </c>
      <c r="G59" s="51">
        <v>288</v>
      </c>
      <c r="H59" s="51">
        <f t="shared" ref="H59:H60" si="7">F59*G59</f>
        <v>288</v>
      </c>
      <c r="I59" s="50"/>
      <c r="J59" s="50"/>
      <c r="K59" s="50"/>
    </row>
    <row r="60" spans="1:11" s="52" customFormat="1" ht="12">
      <c r="A60" s="22">
        <v>1.3</v>
      </c>
      <c r="B60" s="50" t="s">
        <v>445</v>
      </c>
      <c r="C60" s="60" t="s">
        <v>527</v>
      </c>
      <c r="D60" s="50" t="s">
        <v>173</v>
      </c>
      <c r="E60" s="50" t="s">
        <v>49</v>
      </c>
      <c r="F60" s="50">
        <v>1</v>
      </c>
      <c r="G60" s="51">
        <v>25</v>
      </c>
      <c r="H60" s="51">
        <f t="shared" si="7"/>
        <v>25</v>
      </c>
      <c r="I60" s="50"/>
      <c r="J60" s="50"/>
      <c r="K60" s="50"/>
    </row>
    <row r="61" spans="1:11" s="52" customFormat="1" ht="12">
      <c r="A61" s="22">
        <v>1.4</v>
      </c>
      <c r="B61" s="50" t="s">
        <v>445</v>
      </c>
      <c r="C61" s="60" t="s">
        <v>874</v>
      </c>
      <c r="D61" s="50" t="s">
        <v>173</v>
      </c>
      <c r="E61" s="50" t="s">
        <v>49</v>
      </c>
      <c r="F61" s="50">
        <v>2</v>
      </c>
      <c r="G61" s="51">
        <v>110</v>
      </c>
      <c r="H61" s="51">
        <f>F61*G61</f>
        <v>220</v>
      </c>
      <c r="I61" s="50"/>
      <c r="J61" s="50"/>
      <c r="K61" s="50"/>
    </row>
    <row r="62" spans="1:11">
      <c r="A62" s="12"/>
      <c r="B62" s="2" t="s">
        <v>48</v>
      </c>
      <c r="C62" s="59"/>
      <c r="D62" s="2"/>
      <c r="E62" s="2"/>
      <c r="F62" s="2">
        <f>SUM(F58:F61)</f>
        <v>5</v>
      </c>
      <c r="G62" s="10"/>
      <c r="H62" s="10">
        <f t="shared" ref="H62" si="8">SUM(H58:H61)</f>
        <v>743</v>
      </c>
      <c r="I62" s="2"/>
      <c r="J62" s="2"/>
      <c r="K62" s="2"/>
    </row>
    <row r="63" spans="1:11" s="6" customFormat="1">
      <c r="A63" s="12"/>
      <c r="B63" s="2"/>
      <c r="C63" s="59"/>
      <c r="D63" s="2"/>
      <c r="E63" s="2"/>
      <c r="F63" s="2"/>
      <c r="G63" s="10"/>
      <c r="H63" s="10"/>
      <c r="I63" s="2"/>
      <c r="J63" s="2"/>
      <c r="K63" s="2"/>
    </row>
    <row r="64" spans="1:11">
      <c r="A64" s="12">
        <v>2</v>
      </c>
      <c r="B64" s="2" t="str">
        <f>投资估算表!C20</f>
        <v>理料间</v>
      </c>
      <c r="C64" s="59"/>
      <c r="D64" s="2"/>
      <c r="E64" s="2"/>
      <c r="F64" s="2"/>
      <c r="G64" s="10"/>
      <c r="H64" s="10"/>
      <c r="I64" s="2"/>
      <c r="J64" s="2"/>
      <c r="K64" s="2"/>
    </row>
    <row r="65" spans="1:11" s="52" customFormat="1" ht="12">
      <c r="A65" s="22">
        <v>2.1</v>
      </c>
      <c r="B65" s="50" t="s">
        <v>528</v>
      </c>
      <c r="C65" s="60" t="s">
        <v>247</v>
      </c>
      <c r="D65" s="50" t="s">
        <v>331</v>
      </c>
      <c r="E65" s="50" t="s">
        <v>49</v>
      </c>
      <c r="F65" s="50">
        <v>1</v>
      </c>
      <c r="G65" s="51">
        <v>240</v>
      </c>
      <c r="H65" s="51">
        <v>240</v>
      </c>
      <c r="I65" s="50"/>
      <c r="J65" s="50"/>
      <c r="K65" s="50"/>
    </row>
    <row r="66" spans="1:11" s="52" customFormat="1" ht="12">
      <c r="A66" s="22">
        <v>2.2000000000000002</v>
      </c>
      <c r="B66" s="50" t="s">
        <v>529</v>
      </c>
      <c r="C66" s="60" t="s">
        <v>248</v>
      </c>
      <c r="D66" s="50" t="s">
        <v>331</v>
      </c>
      <c r="E66" s="50" t="s">
        <v>49</v>
      </c>
      <c r="F66" s="50">
        <v>1</v>
      </c>
      <c r="G66" s="51">
        <v>320</v>
      </c>
      <c r="H66" s="51">
        <v>320</v>
      </c>
      <c r="I66" s="50"/>
      <c r="J66" s="50"/>
      <c r="K66" s="50"/>
    </row>
    <row r="67" spans="1:11" s="52" customFormat="1" ht="12">
      <c r="A67" s="22">
        <v>2.2999999999999998</v>
      </c>
      <c r="B67" s="50" t="s">
        <v>831</v>
      </c>
      <c r="C67" s="60" t="s">
        <v>71</v>
      </c>
      <c r="D67" s="50" t="s">
        <v>832</v>
      </c>
      <c r="E67" s="50" t="s">
        <v>49</v>
      </c>
      <c r="F67" s="50">
        <v>5</v>
      </c>
      <c r="G67" s="51">
        <v>10</v>
      </c>
      <c r="H67" s="51">
        <f t="shared" ref="H67:H69" si="9">F67*G67</f>
        <v>50</v>
      </c>
      <c r="I67" s="50"/>
      <c r="J67" s="50"/>
      <c r="K67" s="50"/>
    </row>
    <row r="68" spans="1:11" s="52" customFormat="1" ht="12">
      <c r="A68" s="22">
        <v>2.4</v>
      </c>
      <c r="B68" s="50" t="s">
        <v>868</v>
      </c>
      <c r="C68" s="60" t="s">
        <v>869</v>
      </c>
      <c r="D68" s="50" t="s">
        <v>832</v>
      </c>
      <c r="E68" s="50" t="s">
        <v>49</v>
      </c>
      <c r="F68" s="50">
        <v>1</v>
      </c>
      <c r="G68" s="51">
        <v>15</v>
      </c>
      <c r="H68" s="51">
        <f t="shared" si="9"/>
        <v>15</v>
      </c>
      <c r="I68" s="50"/>
      <c r="J68" s="50"/>
      <c r="K68" s="50"/>
    </row>
    <row r="69" spans="1:11" s="52" customFormat="1" ht="12">
      <c r="A69" s="22">
        <v>2.5</v>
      </c>
      <c r="B69" s="50" t="s">
        <v>859</v>
      </c>
      <c r="C69" s="60" t="s">
        <v>870</v>
      </c>
      <c r="D69" s="50" t="s">
        <v>832</v>
      </c>
      <c r="E69" s="50" t="s">
        <v>49</v>
      </c>
      <c r="F69" s="50">
        <v>3</v>
      </c>
      <c r="G69" s="51">
        <v>115</v>
      </c>
      <c r="H69" s="51">
        <f t="shared" si="9"/>
        <v>345</v>
      </c>
      <c r="I69" s="50"/>
      <c r="J69" s="50"/>
      <c r="K69" s="50"/>
    </row>
    <row r="70" spans="1:11">
      <c r="A70" s="12"/>
      <c r="B70" s="2" t="s">
        <v>48</v>
      </c>
      <c r="C70" s="59"/>
      <c r="D70" s="2"/>
      <c r="E70" s="2"/>
      <c r="F70" s="2">
        <f>SUM(F65:F69)</f>
        <v>11</v>
      </c>
      <c r="G70" s="10"/>
      <c r="H70" s="10">
        <f t="shared" ref="H70" si="10">SUM(H65:H69)</f>
        <v>970</v>
      </c>
      <c r="I70" s="2"/>
      <c r="J70" s="2"/>
      <c r="K70" s="2"/>
    </row>
    <row r="71" spans="1:11" s="6" customFormat="1">
      <c r="A71" s="12"/>
      <c r="B71" s="2"/>
      <c r="C71" s="59"/>
      <c r="D71" s="2"/>
      <c r="E71" s="2"/>
      <c r="F71" s="2"/>
      <c r="G71" s="10"/>
      <c r="H71" s="10"/>
      <c r="I71" s="2"/>
      <c r="J71" s="2"/>
      <c r="K71" s="2"/>
    </row>
    <row r="72" spans="1:11">
      <c r="A72" s="12">
        <v>3</v>
      </c>
      <c r="B72" s="2" t="str">
        <f>投资估算表!C21</f>
        <v>肋骨制造车间</v>
      </c>
      <c r="C72" s="59"/>
      <c r="D72" s="2"/>
      <c r="E72" s="2"/>
      <c r="F72" s="2"/>
      <c r="G72" s="10"/>
      <c r="H72" s="10"/>
      <c r="I72" s="2"/>
      <c r="J72" s="2"/>
      <c r="K72" s="2"/>
    </row>
    <row r="73" spans="1:11" s="52" customFormat="1" ht="12">
      <c r="A73" s="22">
        <v>3.1</v>
      </c>
      <c r="B73" s="50" t="s">
        <v>862</v>
      </c>
      <c r="C73" s="60" t="s">
        <v>249</v>
      </c>
      <c r="D73" s="50" t="s">
        <v>173</v>
      </c>
      <c r="E73" s="50" t="s">
        <v>70</v>
      </c>
      <c r="F73" s="50">
        <v>1</v>
      </c>
      <c r="G73" s="51">
        <v>400</v>
      </c>
      <c r="H73" s="51">
        <f t="shared" ref="H73:H162" si="11">F73*G73</f>
        <v>400</v>
      </c>
      <c r="I73" s="50"/>
      <c r="J73" s="50"/>
      <c r="K73" s="50"/>
    </row>
    <row r="74" spans="1:11" s="52" customFormat="1" ht="12">
      <c r="A74" s="22">
        <v>3.2</v>
      </c>
      <c r="B74" s="50" t="s">
        <v>863</v>
      </c>
      <c r="C74" s="60" t="s">
        <v>250</v>
      </c>
      <c r="D74" s="50" t="s">
        <v>173</v>
      </c>
      <c r="E74" s="50" t="s">
        <v>49</v>
      </c>
      <c r="F74" s="50">
        <v>1</v>
      </c>
      <c r="G74" s="51">
        <v>150</v>
      </c>
      <c r="H74" s="51">
        <f t="shared" si="11"/>
        <v>150</v>
      </c>
      <c r="I74" s="50"/>
      <c r="J74" s="50"/>
      <c r="K74" s="50"/>
    </row>
    <row r="75" spans="1:11" s="52" customFormat="1" ht="12">
      <c r="A75" s="22">
        <v>3.3</v>
      </c>
      <c r="B75" s="50" t="s">
        <v>431</v>
      </c>
      <c r="C75" s="60" t="s">
        <v>251</v>
      </c>
      <c r="D75" s="50" t="s">
        <v>173</v>
      </c>
      <c r="E75" s="50" t="s">
        <v>49</v>
      </c>
      <c r="F75" s="50">
        <v>1</v>
      </c>
      <c r="G75" s="51">
        <v>600</v>
      </c>
      <c r="H75" s="51">
        <f t="shared" si="11"/>
        <v>600</v>
      </c>
      <c r="I75" s="50"/>
      <c r="J75" s="50"/>
      <c r="K75" s="50"/>
    </row>
    <row r="76" spans="1:11" s="52" customFormat="1" ht="12">
      <c r="A76" s="22">
        <v>3.4</v>
      </c>
      <c r="B76" s="50" t="s">
        <v>50</v>
      </c>
      <c r="C76" s="60" t="s">
        <v>252</v>
      </c>
      <c r="D76" s="50" t="s">
        <v>173</v>
      </c>
      <c r="E76" s="50" t="s">
        <v>49</v>
      </c>
      <c r="F76" s="50">
        <v>1</v>
      </c>
      <c r="G76" s="51">
        <v>1200</v>
      </c>
      <c r="H76" s="51">
        <f t="shared" si="11"/>
        <v>1200</v>
      </c>
      <c r="I76" s="50"/>
      <c r="J76" s="50"/>
      <c r="K76" s="50"/>
    </row>
    <row r="77" spans="1:11" s="52" customFormat="1" ht="12">
      <c r="A77" s="22">
        <v>3.5</v>
      </c>
      <c r="B77" s="50" t="s">
        <v>864</v>
      </c>
      <c r="C77" s="60" t="s">
        <v>253</v>
      </c>
      <c r="D77" s="50" t="s">
        <v>173</v>
      </c>
      <c r="E77" s="50" t="s">
        <v>70</v>
      </c>
      <c r="F77" s="50">
        <v>2</v>
      </c>
      <c r="G77" s="51">
        <v>120</v>
      </c>
      <c r="H77" s="51">
        <f t="shared" si="11"/>
        <v>240</v>
      </c>
      <c r="I77" s="50"/>
      <c r="J77" s="50"/>
      <c r="K77" s="50"/>
    </row>
    <row r="78" spans="1:11" s="52" customFormat="1" ht="12">
      <c r="A78" s="22">
        <v>3.6</v>
      </c>
      <c r="B78" s="50" t="s">
        <v>865</v>
      </c>
      <c r="C78" s="60" t="s">
        <v>254</v>
      </c>
      <c r="D78" s="50" t="s">
        <v>173</v>
      </c>
      <c r="E78" s="50" t="s">
        <v>49</v>
      </c>
      <c r="F78" s="50">
        <v>1</v>
      </c>
      <c r="G78" s="51">
        <v>50</v>
      </c>
      <c r="H78" s="51">
        <f t="shared" si="11"/>
        <v>50</v>
      </c>
      <c r="I78" s="50"/>
      <c r="J78" s="50"/>
      <c r="K78" s="50"/>
    </row>
    <row r="79" spans="1:11" s="52" customFormat="1" ht="12">
      <c r="A79" s="22">
        <v>3.7</v>
      </c>
      <c r="B79" s="50" t="s">
        <v>866</v>
      </c>
      <c r="C79" s="60" t="s">
        <v>254</v>
      </c>
      <c r="D79" s="50" t="s">
        <v>173</v>
      </c>
      <c r="E79" s="50" t="s">
        <v>49</v>
      </c>
      <c r="F79" s="50">
        <v>4</v>
      </c>
      <c r="G79" s="51">
        <v>20</v>
      </c>
      <c r="H79" s="51">
        <f t="shared" si="11"/>
        <v>80</v>
      </c>
      <c r="I79" s="50"/>
      <c r="J79" s="50"/>
      <c r="K79" s="50"/>
    </row>
    <row r="80" spans="1:11" s="52" customFormat="1" ht="12">
      <c r="A80" s="22">
        <v>3.8</v>
      </c>
      <c r="B80" s="50" t="s">
        <v>538</v>
      </c>
      <c r="C80" s="60" t="s">
        <v>254</v>
      </c>
      <c r="D80" s="50" t="s">
        <v>173</v>
      </c>
      <c r="E80" s="50" t="s">
        <v>49</v>
      </c>
      <c r="F80" s="50">
        <v>2</v>
      </c>
      <c r="G80" s="51">
        <v>20</v>
      </c>
      <c r="H80" s="51">
        <f t="shared" si="11"/>
        <v>40</v>
      </c>
      <c r="I80" s="50"/>
      <c r="J80" s="50"/>
      <c r="K80" s="50"/>
    </row>
    <row r="81" spans="1:11" s="52" customFormat="1" ht="12">
      <c r="A81" s="22">
        <v>3.9</v>
      </c>
      <c r="B81" s="50" t="s">
        <v>539</v>
      </c>
      <c r="C81" s="60"/>
      <c r="D81" s="50" t="s">
        <v>173</v>
      </c>
      <c r="E81" s="50" t="s">
        <v>214</v>
      </c>
      <c r="F81" s="50">
        <v>1</v>
      </c>
      <c r="G81" s="51">
        <v>60</v>
      </c>
      <c r="H81" s="51">
        <f t="shared" si="11"/>
        <v>60</v>
      </c>
      <c r="I81" s="50"/>
      <c r="J81" s="50"/>
      <c r="K81" s="50"/>
    </row>
    <row r="82" spans="1:11" s="52" customFormat="1" ht="12">
      <c r="A82" s="53" t="s">
        <v>708</v>
      </c>
      <c r="B82" s="50" t="s">
        <v>445</v>
      </c>
      <c r="C82" s="60" t="s">
        <v>259</v>
      </c>
      <c r="D82" s="50" t="s">
        <v>173</v>
      </c>
      <c r="E82" s="50" t="s">
        <v>49</v>
      </c>
      <c r="F82" s="50">
        <v>2</v>
      </c>
      <c r="G82" s="51">
        <v>90</v>
      </c>
      <c r="H82" s="51">
        <f>F82*G82</f>
        <v>180</v>
      </c>
      <c r="I82" s="50"/>
      <c r="J82" s="50"/>
      <c r="K82" s="50"/>
    </row>
    <row r="83" spans="1:11" s="52" customFormat="1" ht="12">
      <c r="A83" s="53" t="s">
        <v>867</v>
      </c>
      <c r="B83" s="50" t="s">
        <v>831</v>
      </c>
      <c r="C83" s="60" t="s">
        <v>73</v>
      </c>
      <c r="D83" s="50" t="s">
        <v>832</v>
      </c>
      <c r="E83" s="50" t="s">
        <v>49</v>
      </c>
      <c r="F83" s="50">
        <v>1</v>
      </c>
      <c r="G83" s="51">
        <v>15</v>
      </c>
      <c r="H83" s="51">
        <f>F83*G83</f>
        <v>15</v>
      </c>
      <c r="I83" s="50"/>
      <c r="J83" s="50"/>
      <c r="K83" s="50"/>
    </row>
    <row r="84" spans="1:11">
      <c r="A84" s="12"/>
      <c r="B84" s="2" t="s">
        <v>48</v>
      </c>
      <c r="C84" s="59"/>
      <c r="D84" s="2"/>
      <c r="E84" s="2"/>
      <c r="F84" s="2">
        <f>SUM(F73:F83)</f>
        <v>17</v>
      </c>
      <c r="G84" s="10"/>
      <c r="H84" s="10">
        <f t="shared" ref="H84" si="12">SUM(H73:H83)</f>
        <v>3015</v>
      </c>
      <c r="I84" s="2"/>
      <c r="J84" s="2"/>
      <c r="K84" s="2"/>
    </row>
    <row r="85" spans="1:11" s="6" customFormat="1">
      <c r="A85" s="12"/>
      <c r="B85" s="2"/>
      <c r="C85" s="59"/>
      <c r="D85" s="2"/>
      <c r="E85" s="2"/>
      <c r="F85" s="2"/>
      <c r="G85" s="10"/>
      <c r="H85" s="10"/>
      <c r="I85" s="2"/>
      <c r="J85" s="2"/>
      <c r="K85" s="2"/>
    </row>
    <row r="86" spans="1:11">
      <c r="A86" s="12">
        <v>4</v>
      </c>
      <c r="B86" s="2" t="str">
        <f>投资估算表!C22</f>
        <v>壳圈制造车间</v>
      </c>
      <c r="C86" s="59"/>
      <c r="D86" s="2"/>
      <c r="E86" s="2"/>
      <c r="F86" s="2"/>
      <c r="G86" s="10"/>
      <c r="H86" s="10"/>
      <c r="I86" s="2"/>
      <c r="J86" s="2"/>
      <c r="K86" s="2"/>
    </row>
    <row r="87" spans="1:11" s="52" customFormat="1" ht="12">
      <c r="A87" s="22">
        <v>4.0999999999999996</v>
      </c>
      <c r="B87" s="50" t="s">
        <v>852</v>
      </c>
      <c r="C87" s="60" t="s">
        <v>254</v>
      </c>
      <c r="D87" s="50" t="s">
        <v>173</v>
      </c>
      <c r="E87" s="50" t="s">
        <v>70</v>
      </c>
      <c r="F87" s="50">
        <v>4</v>
      </c>
      <c r="G87" s="51">
        <v>30</v>
      </c>
      <c r="H87" s="51">
        <f t="shared" si="11"/>
        <v>120</v>
      </c>
      <c r="I87" s="50"/>
      <c r="J87" s="50"/>
      <c r="K87" s="50"/>
    </row>
    <row r="88" spans="1:11" s="52" customFormat="1" ht="12">
      <c r="A88" s="22">
        <v>4.2</v>
      </c>
      <c r="B88" s="50" t="s">
        <v>542</v>
      </c>
      <c r="C88" s="60"/>
      <c r="D88" s="50" t="s">
        <v>173</v>
      </c>
      <c r="E88" s="50" t="s">
        <v>211</v>
      </c>
      <c r="F88" s="50">
        <v>2</v>
      </c>
      <c r="G88" s="51">
        <v>55</v>
      </c>
      <c r="H88" s="51">
        <f t="shared" si="11"/>
        <v>110</v>
      </c>
      <c r="I88" s="50"/>
      <c r="J88" s="50"/>
      <c r="K88" s="50"/>
    </row>
    <row r="89" spans="1:11" s="52" customFormat="1" ht="12">
      <c r="A89" s="22">
        <v>4.3</v>
      </c>
      <c r="B89" s="50" t="s">
        <v>853</v>
      </c>
      <c r="C89" s="60"/>
      <c r="D89" s="50" t="s">
        <v>173</v>
      </c>
      <c r="E89" s="50" t="s">
        <v>211</v>
      </c>
      <c r="F89" s="50">
        <v>2</v>
      </c>
      <c r="G89" s="51">
        <v>100</v>
      </c>
      <c r="H89" s="51">
        <f t="shared" si="11"/>
        <v>200</v>
      </c>
      <c r="I89" s="50"/>
      <c r="J89" s="50"/>
      <c r="K89" s="50"/>
    </row>
    <row r="90" spans="1:11" s="52" customFormat="1" ht="12">
      <c r="A90" s="22">
        <v>4.4000000000000004</v>
      </c>
      <c r="B90" s="50" t="s">
        <v>432</v>
      </c>
      <c r="C90" s="60" t="s">
        <v>254</v>
      </c>
      <c r="D90" s="50" t="s">
        <v>173</v>
      </c>
      <c r="E90" s="50" t="s">
        <v>70</v>
      </c>
      <c r="F90" s="50">
        <v>4</v>
      </c>
      <c r="G90" s="51">
        <v>180</v>
      </c>
      <c r="H90" s="51">
        <f t="shared" si="11"/>
        <v>720</v>
      </c>
      <c r="I90" s="50"/>
      <c r="J90" s="50"/>
      <c r="K90" s="50"/>
    </row>
    <row r="91" spans="1:11" s="52" customFormat="1" ht="12">
      <c r="A91" s="22">
        <v>4.5</v>
      </c>
      <c r="B91" s="50" t="s">
        <v>433</v>
      </c>
      <c r="C91" s="60" t="s">
        <v>388</v>
      </c>
      <c r="D91" s="50" t="s">
        <v>173</v>
      </c>
      <c r="E91" s="50" t="s">
        <v>49</v>
      </c>
      <c r="F91" s="50">
        <v>5</v>
      </c>
      <c r="G91" s="51">
        <v>6</v>
      </c>
      <c r="H91" s="51">
        <f t="shared" si="11"/>
        <v>30</v>
      </c>
      <c r="I91" s="50"/>
      <c r="J91" s="50"/>
      <c r="K91" s="50"/>
    </row>
    <row r="92" spans="1:11" s="52" customFormat="1" ht="12">
      <c r="A92" s="22">
        <v>4.5999999999999996</v>
      </c>
      <c r="B92" s="50" t="s">
        <v>434</v>
      </c>
      <c r="C92" s="60" t="s">
        <v>255</v>
      </c>
      <c r="D92" s="50" t="s">
        <v>173</v>
      </c>
      <c r="E92" s="50" t="s">
        <v>49</v>
      </c>
      <c r="F92" s="50">
        <v>2</v>
      </c>
      <c r="G92" s="51">
        <v>50</v>
      </c>
      <c r="H92" s="51">
        <f t="shared" si="11"/>
        <v>100</v>
      </c>
      <c r="I92" s="50"/>
      <c r="J92" s="50"/>
      <c r="K92" s="50"/>
    </row>
    <row r="93" spans="1:11" s="52" customFormat="1" ht="12">
      <c r="A93" s="22">
        <v>4.7</v>
      </c>
      <c r="B93" s="50" t="s">
        <v>435</v>
      </c>
      <c r="C93" s="60" t="s">
        <v>256</v>
      </c>
      <c r="D93" s="50" t="s">
        <v>173</v>
      </c>
      <c r="E93" s="50" t="s">
        <v>49</v>
      </c>
      <c r="F93" s="50">
        <v>2</v>
      </c>
      <c r="G93" s="51">
        <v>80</v>
      </c>
      <c r="H93" s="51">
        <f t="shared" si="11"/>
        <v>160</v>
      </c>
      <c r="I93" s="50"/>
      <c r="J93" s="50"/>
      <c r="K93" s="50"/>
    </row>
    <row r="94" spans="1:11" s="52" customFormat="1" ht="12">
      <c r="A94" s="22">
        <v>4.8</v>
      </c>
      <c r="B94" s="50" t="s">
        <v>436</v>
      </c>
      <c r="C94" s="60" t="s">
        <v>257</v>
      </c>
      <c r="D94" s="50" t="s">
        <v>173</v>
      </c>
      <c r="E94" s="50" t="s">
        <v>49</v>
      </c>
      <c r="F94" s="50">
        <v>1</v>
      </c>
      <c r="G94" s="51">
        <v>800</v>
      </c>
      <c r="H94" s="51">
        <f t="shared" si="11"/>
        <v>800</v>
      </c>
      <c r="I94" s="50"/>
      <c r="J94" s="50"/>
      <c r="K94" s="50"/>
    </row>
    <row r="95" spans="1:11" s="52" customFormat="1" ht="12">
      <c r="A95" s="22">
        <v>4.9000000000000004</v>
      </c>
      <c r="B95" s="50" t="s">
        <v>437</v>
      </c>
      <c r="C95" s="60" t="s">
        <v>258</v>
      </c>
      <c r="D95" s="50" t="s">
        <v>173</v>
      </c>
      <c r="E95" s="50" t="s">
        <v>70</v>
      </c>
      <c r="F95" s="50">
        <v>1</v>
      </c>
      <c r="G95" s="51">
        <v>50</v>
      </c>
      <c r="H95" s="51">
        <f t="shared" si="11"/>
        <v>50</v>
      </c>
      <c r="I95" s="50"/>
      <c r="J95" s="50"/>
      <c r="K95" s="50"/>
    </row>
    <row r="96" spans="1:11" s="52" customFormat="1" ht="12">
      <c r="A96" s="53" t="s">
        <v>709</v>
      </c>
      <c r="B96" s="50" t="s">
        <v>445</v>
      </c>
      <c r="C96" s="60" t="s">
        <v>260</v>
      </c>
      <c r="D96" s="50" t="s">
        <v>173</v>
      </c>
      <c r="E96" s="50" t="s">
        <v>49</v>
      </c>
      <c r="F96" s="50">
        <v>2</v>
      </c>
      <c r="G96" s="51">
        <v>350</v>
      </c>
      <c r="H96" s="51">
        <f t="shared" si="11"/>
        <v>700</v>
      </c>
      <c r="I96" s="50"/>
      <c r="J96" s="50"/>
      <c r="K96" s="50"/>
    </row>
    <row r="97" spans="1:11" s="52" customFormat="1" ht="12">
      <c r="A97" s="53" t="s">
        <v>854</v>
      </c>
      <c r="B97" s="50" t="s">
        <v>831</v>
      </c>
      <c r="C97" s="60" t="s">
        <v>261</v>
      </c>
      <c r="D97" s="50" t="s">
        <v>832</v>
      </c>
      <c r="E97" s="50" t="s">
        <v>49</v>
      </c>
      <c r="F97" s="50">
        <v>1</v>
      </c>
      <c r="G97" s="51">
        <v>45</v>
      </c>
      <c r="H97" s="51">
        <f t="shared" si="11"/>
        <v>45</v>
      </c>
      <c r="I97" s="50"/>
      <c r="J97" s="50"/>
      <c r="K97" s="50"/>
    </row>
    <row r="98" spans="1:11" s="52" customFormat="1" ht="12">
      <c r="A98" s="53" t="s">
        <v>363</v>
      </c>
      <c r="B98" s="50" t="s">
        <v>833</v>
      </c>
      <c r="C98" s="60"/>
      <c r="D98" s="50" t="s">
        <v>832</v>
      </c>
      <c r="E98" s="50" t="s">
        <v>49</v>
      </c>
      <c r="F98" s="50">
        <v>20</v>
      </c>
      <c r="G98" s="51">
        <v>3</v>
      </c>
      <c r="H98" s="51">
        <f t="shared" si="11"/>
        <v>60</v>
      </c>
      <c r="I98" s="50"/>
      <c r="J98" s="50"/>
      <c r="K98" s="50"/>
    </row>
    <row r="99" spans="1:11" s="52" customFormat="1" ht="12">
      <c r="A99" s="53" t="s">
        <v>530</v>
      </c>
      <c r="B99" s="50" t="s">
        <v>855</v>
      </c>
      <c r="C99" s="60" t="s">
        <v>268</v>
      </c>
      <c r="D99" s="50" t="s">
        <v>832</v>
      </c>
      <c r="E99" s="50" t="s">
        <v>49</v>
      </c>
      <c r="F99" s="50">
        <v>1</v>
      </c>
      <c r="G99" s="51">
        <v>6000</v>
      </c>
      <c r="H99" s="51">
        <f>F99*G99</f>
        <v>6000</v>
      </c>
      <c r="I99" s="50"/>
      <c r="J99" s="50"/>
      <c r="K99" s="50"/>
    </row>
    <row r="100" spans="1:11" s="52" customFormat="1" ht="12">
      <c r="A100" s="53" t="s">
        <v>531</v>
      </c>
      <c r="B100" s="50" t="s">
        <v>856</v>
      </c>
      <c r="C100" s="60"/>
      <c r="D100" s="50" t="s">
        <v>832</v>
      </c>
      <c r="E100" s="50" t="s">
        <v>857</v>
      </c>
      <c r="F100" s="50">
        <v>1</v>
      </c>
      <c r="G100" s="51">
        <v>70</v>
      </c>
      <c r="H100" s="51">
        <f t="shared" ref="H100:H104" si="13">F100*G100</f>
        <v>70</v>
      </c>
      <c r="I100" s="50"/>
      <c r="J100" s="50"/>
      <c r="K100" s="50"/>
    </row>
    <row r="101" spans="1:11" s="52" customFormat="1" ht="12">
      <c r="A101" s="53" t="s">
        <v>591</v>
      </c>
      <c r="B101" s="50" t="s">
        <v>858</v>
      </c>
      <c r="C101" s="60"/>
      <c r="D101" s="50" t="s">
        <v>832</v>
      </c>
      <c r="E101" s="50" t="s">
        <v>857</v>
      </c>
      <c r="F101" s="50">
        <v>1</v>
      </c>
      <c r="G101" s="51">
        <v>350</v>
      </c>
      <c r="H101" s="51">
        <f t="shared" si="13"/>
        <v>350</v>
      </c>
      <c r="I101" s="50"/>
      <c r="J101" s="50"/>
      <c r="K101" s="50"/>
    </row>
    <row r="102" spans="1:11" s="52" customFormat="1" ht="12">
      <c r="A102" s="53" t="s">
        <v>592</v>
      </c>
      <c r="B102" s="50" t="s">
        <v>859</v>
      </c>
      <c r="C102" s="60" t="s">
        <v>860</v>
      </c>
      <c r="D102" s="50" t="s">
        <v>832</v>
      </c>
      <c r="E102" s="50" t="s">
        <v>49</v>
      </c>
      <c r="F102" s="50">
        <v>2</v>
      </c>
      <c r="G102" s="51">
        <v>300</v>
      </c>
      <c r="H102" s="51">
        <f t="shared" si="13"/>
        <v>600</v>
      </c>
      <c r="I102" s="50"/>
      <c r="J102" s="50"/>
      <c r="K102" s="50"/>
    </row>
    <row r="103" spans="1:11" s="52" customFormat="1" ht="12">
      <c r="A103" s="53" t="s">
        <v>593</v>
      </c>
      <c r="B103" s="50" t="s">
        <v>859</v>
      </c>
      <c r="C103" s="60" t="s">
        <v>861</v>
      </c>
      <c r="D103" s="50" t="s">
        <v>832</v>
      </c>
      <c r="E103" s="50" t="s">
        <v>49</v>
      </c>
      <c r="F103" s="50">
        <v>2</v>
      </c>
      <c r="G103" s="51">
        <v>280</v>
      </c>
      <c r="H103" s="51">
        <f t="shared" ref="H103" si="14">F103*G103</f>
        <v>560</v>
      </c>
      <c r="I103" s="50"/>
      <c r="J103" s="50"/>
      <c r="K103" s="50"/>
    </row>
    <row r="104" spans="1:11" s="52" customFormat="1" ht="12">
      <c r="A104" s="53" t="s">
        <v>594</v>
      </c>
      <c r="B104" s="50" t="s">
        <v>833</v>
      </c>
      <c r="C104" s="60"/>
      <c r="D104" s="50" t="s">
        <v>832</v>
      </c>
      <c r="E104" s="50" t="s">
        <v>49</v>
      </c>
      <c r="F104" s="50">
        <v>60</v>
      </c>
      <c r="G104" s="51">
        <v>1</v>
      </c>
      <c r="H104" s="51">
        <f t="shared" si="13"/>
        <v>60</v>
      </c>
      <c r="I104" s="50"/>
      <c r="J104" s="50"/>
      <c r="K104" s="50"/>
    </row>
    <row r="105" spans="1:11">
      <c r="A105" s="12"/>
      <c r="B105" s="2" t="s">
        <v>48</v>
      </c>
      <c r="C105" s="59"/>
      <c r="D105" s="2"/>
      <c r="E105" s="2"/>
      <c r="F105" s="2">
        <f>SUM(F87:F104)</f>
        <v>113</v>
      </c>
      <c r="G105" s="10"/>
      <c r="H105" s="10">
        <f t="shared" ref="H105" si="15">SUM(H87:H104)</f>
        <v>10735</v>
      </c>
      <c r="I105" s="2"/>
      <c r="J105" s="2"/>
      <c r="K105" s="2"/>
    </row>
    <row r="106" spans="1:11" s="6" customFormat="1">
      <c r="A106" s="12"/>
      <c r="B106" s="2"/>
      <c r="C106" s="59"/>
      <c r="D106" s="2"/>
      <c r="E106" s="2"/>
      <c r="F106" s="2"/>
      <c r="G106" s="10"/>
      <c r="H106" s="10"/>
      <c r="I106" s="2"/>
      <c r="J106" s="2"/>
      <c r="K106" s="2"/>
    </row>
    <row r="107" spans="1:11">
      <c r="A107" s="12">
        <v>5</v>
      </c>
      <c r="B107" s="2" t="str">
        <f>投资估算表!C23</f>
        <v>耐压下料车间</v>
      </c>
      <c r="C107" s="59"/>
      <c r="D107" s="2"/>
      <c r="E107" s="2"/>
      <c r="F107" s="2"/>
      <c r="G107" s="10"/>
      <c r="H107" s="10"/>
      <c r="I107" s="2"/>
      <c r="J107" s="2"/>
      <c r="K107" s="2"/>
    </row>
    <row r="108" spans="1:11" s="52" customFormat="1" ht="24">
      <c r="A108" s="22">
        <v>5.0999999999999996</v>
      </c>
      <c r="B108" s="50" t="s">
        <v>843</v>
      </c>
      <c r="C108" s="60" t="s">
        <v>390</v>
      </c>
      <c r="D108" s="50" t="s">
        <v>173</v>
      </c>
      <c r="E108" s="50" t="s">
        <v>49</v>
      </c>
      <c r="F108" s="50">
        <v>2</v>
      </c>
      <c r="G108" s="51">
        <v>130</v>
      </c>
      <c r="H108" s="51">
        <f t="shared" si="11"/>
        <v>260</v>
      </c>
      <c r="I108" s="50"/>
      <c r="J108" s="50"/>
      <c r="K108" s="50"/>
    </row>
    <row r="109" spans="1:11" s="52" customFormat="1" ht="12">
      <c r="A109" s="22">
        <v>5.2</v>
      </c>
      <c r="B109" s="50" t="s">
        <v>845</v>
      </c>
      <c r="C109" s="60"/>
      <c r="D109" s="50" t="s">
        <v>173</v>
      </c>
      <c r="E109" s="50" t="s">
        <v>49</v>
      </c>
      <c r="F109" s="50">
        <v>4</v>
      </c>
      <c r="G109" s="51">
        <v>4.5</v>
      </c>
      <c r="H109" s="51">
        <f t="shared" si="11"/>
        <v>18</v>
      </c>
      <c r="I109" s="50"/>
      <c r="J109" s="50"/>
      <c r="K109" s="50"/>
    </row>
    <row r="110" spans="1:11" s="52" customFormat="1" ht="12">
      <c r="A110" s="22">
        <v>5.3</v>
      </c>
      <c r="B110" s="50" t="s">
        <v>438</v>
      </c>
      <c r="C110" s="60" t="s">
        <v>262</v>
      </c>
      <c r="D110" s="50" t="s">
        <v>173</v>
      </c>
      <c r="E110" s="50" t="s">
        <v>49</v>
      </c>
      <c r="F110" s="50">
        <v>1</v>
      </c>
      <c r="G110" s="51">
        <v>12</v>
      </c>
      <c r="H110" s="51">
        <f t="shared" si="11"/>
        <v>12</v>
      </c>
      <c r="I110" s="50"/>
      <c r="J110" s="50"/>
      <c r="K110" s="50"/>
    </row>
    <row r="111" spans="1:11" s="52" customFormat="1" ht="24">
      <c r="A111" s="22">
        <v>5.4</v>
      </c>
      <c r="B111" s="50" t="s">
        <v>543</v>
      </c>
      <c r="C111" s="60" t="s">
        <v>263</v>
      </c>
      <c r="D111" s="50" t="s">
        <v>173</v>
      </c>
      <c r="E111" s="50" t="s">
        <v>49</v>
      </c>
      <c r="F111" s="50">
        <v>1</v>
      </c>
      <c r="G111" s="51">
        <v>1000</v>
      </c>
      <c r="H111" s="51">
        <f t="shared" si="11"/>
        <v>1000</v>
      </c>
      <c r="I111" s="50"/>
      <c r="J111" s="50"/>
      <c r="K111" s="50"/>
    </row>
    <row r="112" spans="1:11" s="52" customFormat="1" ht="12">
      <c r="A112" s="22">
        <v>5.5</v>
      </c>
      <c r="B112" s="50" t="s">
        <v>562</v>
      </c>
      <c r="C112" s="60"/>
      <c r="D112" s="50" t="s">
        <v>173</v>
      </c>
      <c r="E112" s="50" t="s">
        <v>49</v>
      </c>
      <c r="F112" s="50">
        <v>1</v>
      </c>
      <c r="G112" s="51">
        <v>200</v>
      </c>
      <c r="H112" s="51">
        <f t="shared" si="11"/>
        <v>200</v>
      </c>
      <c r="I112" s="50"/>
      <c r="J112" s="50"/>
      <c r="K112" s="50"/>
    </row>
    <row r="113" spans="1:11" s="52" customFormat="1" ht="12">
      <c r="A113" s="22">
        <v>5.6</v>
      </c>
      <c r="B113" s="50" t="s">
        <v>441</v>
      </c>
      <c r="C113" s="60" t="s">
        <v>266</v>
      </c>
      <c r="D113" s="50" t="s">
        <v>173</v>
      </c>
      <c r="E113" s="50" t="s">
        <v>49</v>
      </c>
      <c r="F113" s="50">
        <v>1</v>
      </c>
      <c r="G113" s="51">
        <v>70</v>
      </c>
      <c r="H113" s="51">
        <f t="shared" si="11"/>
        <v>70</v>
      </c>
      <c r="I113" s="50"/>
      <c r="J113" s="50"/>
      <c r="K113" s="50"/>
    </row>
    <row r="114" spans="1:11" s="52" customFormat="1" ht="24">
      <c r="A114" s="22">
        <v>5.7</v>
      </c>
      <c r="B114" s="50" t="s">
        <v>441</v>
      </c>
      <c r="C114" s="60" t="s">
        <v>267</v>
      </c>
      <c r="D114" s="50" t="s">
        <v>173</v>
      </c>
      <c r="E114" s="50" t="s">
        <v>49</v>
      </c>
      <c r="F114" s="50">
        <v>1</v>
      </c>
      <c r="G114" s="51">
        <v>190</v>
      </c>
      <c r="H114" s="51">
        <f t="shared" si="11"/>
        <v>190</v>
      </c>
      <c r="I114" s="50"/>
      <c r="J114" s="50"/>
      <c r="K114" s="50"/>
    </row>
    <row r="115" spans="1:11" s="52" customFormat="1" ht="12">
      <c r="A115" s="22">
        <v>5.8</v>
      </c>
      <c r="B115" s="50" t="s">
        <v>442</v>
      </c>
      <c r="C115" s="60" t="s">
        <v>257</v>
      </c>
      <c r="D115" s="50" t="s">
        <v>173</v>
      </c>
      <c r="E115" s="50" t="s">
        <v>49</v>
      </c>
      <c r="F115" s="50">
        <v>1</v>
      </c>
      <c r="G115" s="51">
        <v>800</v>
      </c>
      <c r="H115" s="51">
        <f t="shared" si="11"/>
        <v>800</v>
      </c>
      <c r="I115" s="50"/>
      <c r="J115" s="50"/>
      <c r="K115" s="50"/>
    </row>
    <row r="116" spans="1:11" s="52" customFormat="1" ht="12">
      <c r="A116" s="22">
        <v>5.9</v>
      </c>
      <c r="B116" s="50" t="s">
        <v>850</v>
      </c>
      <c r="C116" s="60" t="s">
        <v>258</v>
      </c>
      <c r="D116" s="50" t="s">
        <v>173</v>
      </c>
      <c r="E116" s="50" t="s">
        <v>49</v>
      </c>
      <c r="F116" s="50">
        <v>1</v>
      </c>
      <c r="G116" s="51">
        <v>50</v>
      </c>
      <c r="H116" s="51">
        <f t="shared" si="11"/>
        <v>50</v>
      </c>
      <c r="I116" s="50"/>
      <c r="J116" s="50"/>
      <c r="K116" s="50"/>
    </row>
    <row r="117" spans="1:11" s="52" customFormat="1" ht="12">
      <c r="A117" s="53" t="s">
        <v>851</v>
      </c>
      <c r="B117" s="50" t="s">
        <v>443</v>
      </c>
      <c r="C117" s="60" t="s">
        <v>269</v>
      </c>
      <c r="D117" s="50" t="s">
        <v>173</v>
      </c>
      <c r="E117" s="50" t="s">
        <v>49</v>
      </c>
      <c r="F117" s="50">
        <v>1</v>
      </c>
      <c r="G117" s="51">
        <v>1200</v>
      </c>
      <c r="H117" s="51">
        <f t="shared" si="11"/>
        <v>1200</v>
      </c>
      <c r="I117" s="50"/>
      <c r="J117" s="50"/>
      <c r="K117" s="50"/>
    </row>
    <row r="118" spans="1:11" s="52" customFormat="1" ht="12">
      <c r="A118" s="53" t="s">
        <v>710</v>
      </c>
      <c r="B118" s="50" t="s">
        <v>444</v>
      </c>
      <c r="C118" s="60"/>
      <c r="D118" s="50" t="s">
        <v>173</v>
      </c>
      <c r="E118" s="50" t="s">
        <v>70</v>
      </c>
      <c r="F118" s="50">
        <v>1</v>
      </c>
      <c r="G118" s="51">
        <v>200</v>
      </c>
      <c r="H118" s="51">
        <f t="shared" si="11"/>
        <v>200</v>
      </c>
      <c r="I118" s="50"/>
      <c r="J118" s="50"/>
      <c r="K118" s="50"/>
    </row>
    <row r="119" spans="1:11" s="52" customFormat="1" ht="12">
      <c r="A119" s="53" t="s">
        <v>364</v>
      </c>
      <c r="B119" s="50" t="s">
        <v>445</v>
      </c>
      <c r="C119" s="60" t="s">
        <v>391</v>
      </c>
      <c r="D119" s="50" t="s">
        <v>173</v>
      </c>
      <c r="E119" s="50" t="s">
        <v>49</v>
      </c>
      <c r="F119" s="50">
        <v>2</v>
      </c>
      <c r="G119" s="51">
        <v>110</v>
      </c>
      <c r="H119" s="51">
        <f t="shared" si="11"/>
        <v>220</v>
      </c>
      <c r="I119" s="50"/>
      <c r="J119" s="50"/>
      <c r="K119" s="50"/>
    </row>
    <row r="120" spans="1:11" s="52" customFormat="1" ht="12">
      <c r="A120" s="53" t="s">
        <v>601</v>
      </c>
      <c r="B120" s="50" t="s">
        <v>201</v>
      </c>
      <c r="C120" s="60"/>
      <c r="D120" s="50" t="s">
        <v>173</v>
      </c>
      <c r="E120" s="50" t="s">
        <v>49</v>
      </c>
      <c r="F120" s="50">
        <v>30</v>
      </c>
      <c r="G120" s="51">
        <v>3</v>
      </c>
      <c r="H120" s="51">
        <f t="shared" si="11"/>
        <v>90</v>
      </c>
      <c r="I120" s="50"/>
      <c r="J120" s="50"/>
      <c r="K120" s="50"/>
    </row>
    <row r="121" spans="1:11">
      <c r="A121" s="12"/>
      <c r="B121" s="2" t="s">
        <v>48</v>
      </c>
      <c r="C121" s="59"/>
      <c r="D121" s="2"/>
      <c r="E121" s="2"/>
      <c r="F121" s="2">
        <f>SUM(F108:F120)</f>
        <v>47</v>
      </c>
      <c r="G121" s="10"/>
      <c r="H121" s="10">
        <f>SUM(H108:H120)</f>
        <v>4310</v>
      </c>
      <c r="I121" s="2"/>
      <c r="J121" s="2"/>
      <c r="K121" s="2"/>
    </row>
    <row r="122" spans="1:11" s="6" customFormat="1">
      <c r="A122" s="12"/>
      <c r="B122" s="2"/>
      <c r="C122" s="59"/>
      <c r="D122" s="2"/>
      <c r="E122" s="2"/>
      <c r="F122" s="2"/>
      <c r="G122" s="10"/>
      <c r="H122" s="10"/>
      <c r="I122" s="2"/>
      <c r="J122" s="2"/>
      <c r="K122" s="2"/>
    </row>
    <row r="123" spans="1:11">
      <c r="A123" s="12">
        <v>6</v>
      </c>
      <c r="B123" s="2" t="str">
        <f>投资估算表!C24</f>
        <v>非耐压下料车间</v>
      </c>
      <c r="C123" s="59"/>
      <c r="D123" s="2"/>
      <c r="E123" s="2"/>
      <c r="F123" s="2"/>
      <c r="G123" s="10"/>
      <c r="H123" s="10"/>
      <c r="I123" s="2"/>
      <c r="J123" s="2"/>
      <c r="K123" s="2"/>
    </row>
    <row r="124" spans="1:11" s="52" customFormat="1" ht="24">
      <c r="A124" s="22">
        <v>6.1</v>
      </c>
      <c r="B124" s="50" t="s">
        <v>843</v>
      </c>
      <c r="C124" s="60" t="s">
        <v>390</v>
      </c>
      <c r="D124" s="50" t="s">
        <v>173</v>
      </c>
      <c r="E124" s="50" t="s">
        <v>49</v>
      </c>
      <c r="F124" s="50">
        <v>1</v>
      </c>
      <c r="G124" s="51">
        <v>130</v>
      </c>
      <c r="H124" s="51">
        <f t="shared" ref="H124:H135" si="16">F124*G124</f>
        <v>130</v>
      </c>
      <c r="I124" s="50"/>
      <c r="J124" s="50"/>
      <c r="K124" s="50"/>
    </row>
    <row r="125" spans="1:11" s="52" customFormat="1" ht="24">
      <c r="A125" s="22">
        <v>6.2</v>
      </c>
      <c r="B125" s="50" t="s">
        <v>545</v>
      </c>
      <c r="C125" s="60" t="s">
        <v>844</v>
      </c>
      <c r="D125" s="50" t="s">
        <v>173</v>
      </c>
      <c r="E125" s="50" t="s">
        <v>49</v>
      </c>
      <c r="F125" s="50">
        <v>1</v>
      </c>
      <c r="G125" s="51">
        <v>388</v>
      </c>
      <c r="H125" s="51">
        <f t="shared" si="16"/>
        <v>388</v>
      </c>
      <c r="I125" s="50"/>
      <c r="J125" s="50"/>
      <c r="K125" s="50"/>
    </row>
    <row r="126" spans="1:11" s="52" customFormat="1" ht="12">
      <c r="A126" s="22">
        <v>6.3</v>
      </c>
      <c r="B126" s="50" t="s">
        <v>845</v>
      </c>
      <c r="C126" s="60" t="s">
        <v>846</v>
      </c>
      <c r="D126" s="50" t="s">
        <v>173</v>
      </c>
      <c r="E126" s="50" t="s">
        <v>49</v>
      </c>
      <c r="F126" s="50">
        <v>4</v>
      </c>
      <c r="G126" s="51">
        <v>4.5</v>
      </c>
      <c r="H126" s="51">
        <f t="shared" si="16"/>
        <v>18</v>
      </c>
      <c r="I126" s="50"/>
      <c r="J126" s="50"/>
      <c r="K126" s="50"/>
    </row>
    <row r="127" spans="1:11" s="52" customFormat="1" ht="12">
      <c r="A127" s="22">
        <v>6.4</v>
      </c>
      <c r="B127" s="50" t="s">
        <v>438</v>
      </c>
      <c r="C127" s="60" t="s">
        <v>262</v>
      </c>
      <c r="D127" s="50" t="s">
        <v>173</v>
      </c>
      <c r="E127" s="50" t="s">
        <v>49</v>
      </c>
      <c r="F127" s="50">
        <v>1</v>
      </c>
      <c r="G127" s="51">
        <v>12</v>
      </c>
      <c r="H127" s="51">
        <f t="shared" si="16"/>
        <v>12</v>
      </c>
      <c r="I127" s="50"/>
      <c r="J127" s="50"/>
      <c r="K127" s="50"/>
    </row>
    <row r="128" spans="1:11" s="52" customFormat="1" ht="12">
      <c r="A128" s="22">
        <v>6.5</v>
      </c>
      <c r="B128" s="50" t="s">
        <v>439</v>
      </c>
      <c r="C128" s="60" t="s">
        <v>264</v>
      </c>
      <c r="D128" s="50" t="s">
        <v>173</v>
      </c>
      <c r="E128" s="50" t="s">
        <v>49</v>
      </c>
      <c r="F128" s="50">
        <v>1</v>
      </c>
      <c r="G128" s="51">
        <v>80</v>
      </c>
      <c r="H128" s="51">
        <f t="shared" si="16"/>
        <v>80</v>
      </c>
      <c r="I128" s="50"/>
      <c r="J128" s="50"/>
      <c r="K128" s="50"/>
    </row>
    <row r="129" spans="1:11" s="52" customFormat="1" ht="12">
      <c r="A129" s="22">
        <v>6.6</v>
      </c>
      <c r="B129" s="50" t="s">
        <v>104</v>
      </c>
      <c r="C129" s="60" t="s">
        <v>265</v>
      </c>
      <c r="D129" s="50" t="s">
        <v>173</v>
      </c>
      <c r="E129" s="50" t="s">
        <v>49</v>
      </c>
      <c r="F129" s="50">
        <v>1</v>
      </c>
      <c r="G129" s="51">
        <v>50</v>
      </c>
      <c r="H129" s="51">
        <f t="shared" si="16"/>
        <v>50</v>
      </c>
      <c r="I129" s="50"/>
      <c r="J129" s="50"/>
      <c r="K129" s="50"/>
    </row>
    <row r="130" spans="1:11" s="52" customFormat="1" ht="12">
      <c r="A130" s="22">
        <v>6.7</v>
      </c>
      <c r="B130" s="50" t="s">
        <v>440</v>
      </c>
      <c r="C130" s="60" t="s">
        <v>546</v>
      </c>
      <c r="D130" s="50" t="s">
        <v>173</v>
      </c>
      <c r="E130" s="50" t="s">
        <v>49</v>
      </c>
      <c r="F130" s="50">
        <v>2</v>
      </c>
      <c r="G130" s="51">
        <v>450</v>
      </c>
      <c r="H130" s="51">
        <f t="shared" si="16"/>
        <v>900</v>
      </c>
      <c r="I130" s="50"/>
      <c r="J130" s="50"/>
      <c r="K130" s="50"/>
    </row>
    <row r="131" spans="1:11" s="52" customFormat="1" ht="12">
      <c r="A131" s="22">
        <v>6.8</v>
      </c>
      <c r="B131" s="50" t="s">
        <v>562</v>
      </c>
      <c r="C131" s="60"/>
      <c r="D131" s="50" t="s">
        <v>173</v>
      </c>
      <c r="E131" s="50" t="s">
        <v>49</v>
      </c>
      <c r="F131" s="50">
        <v>1</v>
      </c>
      <c r="G131" s="51">
        <v>200</v>
      </c>
      <c r="H131" s="51">
        <f t="shared" si="16"/>
        <v>200</v>
      </c>
      <c r="I131" s="50"/>
      <c r="J131" s="50"/>
      <c r="K131" s="50"/>
    </row>
    <row r="132" spans="1:11" s="52" customFormat="1" ht="12">
      <c r="A132" s="22">
        <v>6.9</v>
      </c>
      <c r="B132" s="50" t="s">
        <v>847</v>
      </c>
      <c r="C132" s="60"/>
      <c r="D132" s="50" t="s">
        <v>173</v>
      </c>
      <c r="E132" s="50" t="s">
        <v>49</v>
      </c>
      <c r="F132" s="50">
        <v>1</v>
      </c>
      <c r="G132" s="51">
        <v>60</v>
      </c>
      <c r="H132" s="51">
        <f t="shared" si="16"/>
        <v>60</v>
      </c>
      <c r="I132" s="50"/>
      <c r="J132" s="50"/>
      <c r="K132" s="50"/>
    </row>
    <row r="133" spans="1:11" s="52" customFormat="1" ht="12">
      <c r="A133" s="53" t="s">
        <v>603</v>
      </c>
      <c r="B133" s="50" t="s">
        <v>848</v>
      </c>
      <c r="C133" s="60"/>
      <c r="D133" s="50" t="s">
        <v>173</v>
      </c>
      <c r="E133" s="50" t="s">
        <v>49</v>
      </c>
      <c r="F133" s="50">
        <v>1</v>
      </c>
      <c r="G133" s="51">
        <v>320</v>
      </c>
      <c r="H133" s="51">
        <f t="shared" si="16"/>
        <v>320</v>
      </c>
      <c r="I133" s="50"/>
      <c r="J133" s="50"/>
      <c r="K133" s="50"/>
    </row>
    <row r="134" spans="1:11" s="52" customFormat="1" ht="12">
      <c r="A134" s="53" t="s">
        <v>849</v>
      </c>
      <c r="B134" s="50" t="s">
        <v>445</v>
      </c>
      <c r="C134" s="60" t="s">
        <v>828</v>
      </c>
      <c r="D134" s="50" t="s">
        <v>173</v>
      </c>
      <c r="E134" s="50" t="s">
        <v>49</v>
      </c>
      <c r="F134" s="50">
        <v>2</v>
      </c>
      <c r="G134" s="51">
        <v>75</v>
      </c>
      <c r="H134" s="51">
        <f t="shared" si="16"/>
        <v>150</v>
      </c>
      <c r="I134" s="50"/>
      <c r="J134" s="50"/>
      <c r="K134" s="50"/>
    </row>
    <row r="135" spans="1:11" s="52" customFormat="1" ht="12">
      <c r="A135" s="53" t="s">
        <v>544</v>
      </c>
      <c r="B135" s="50" t="s">
        <v>201</v>
      </c>
      <c r="C135" s="60"/>
      <c r="D135" s="50" t="s">
        <v>173</v>
      </c>
      <c r="E135" s="50" t="s">
        <v>49</v>
      </c>
      <c r="F135" s="50">
        <v>30</v>
      </c>
      <c r="G135" s="51">
        <v>1</v>
      </c>
      <c r="H135" s="51">
        <f t="shared" si="16"/>
        <v>30</v>
      </c>
      <c r="I135" s="50"/>
      <c r="J135" s="50"/>
      <c r="K135" s="50"/>
    </row>
    <row r="136" spans="1:11">
      <c r="A136" s="12"/>
      <c r="B136" s="2" t="s">
        <v>48</v>
      </c>
      <c r="C136" s="59"/>
      <c r="D136" s="2"/>
      <c r="E136" s="2"/>
      <c r="F136" s="2">
        <f>SUM(F124:F135)</f>
        <v>46</v>
      </c>
      <c r="G136" s="10"/>
      <c r="H136" s="10">
        <f>SUM(H124:H135)</f>
        <v>2338</v>
      </c>
      <c r="I136" s="2"/>
      <c r="J136" s="2"/>
      <c r="K136" s="2"/>
    </row>
    <row r="137" spans="1:11" s="6" customFormat="1">
      <c r="A137" s="12"/>
      <c r="B137" s="2"/>
      <c r="C137" s="59"/>
      <c r="D137" s="2"/>
      <c r="E137" s="2"/>
      <c r="F137" s="2"/>
      <c r="G137" s="10"/>
      <c r="H137" s="10"/>
      <c r="I137" s="2"/>
      <c r="J137" s="2"/>
      <c r="K137" s="2"/>
    </row>
    <row r="138" spans="1:11">
      <c r="A138" s="12">
        <v>7</v>
      </c>
      <c r="B138" s="2" t="str">
        <f>投资估算表!C25</f>
        <v>立装车间</v>
      </c>
      <c r="C138" s="59"/>
      <c r="D138" s="2"/>
      <c r="E138" s="2"/>
      <c r="F138" s="2"/>
      <c r="G138" s="10"/>
      <c r="H138" s="10"/>
      <c r="I138" s="2"/>
      <c r="J138" s="2"/>
      <c r="K138" s="2"/>
    </row>
    <row r="139" spans="1:11" s="52" customFormat="1" ht="12">
      <c r="A139" s="22">
        <v>7.1</v>
      </c>
      <c r="B139" s="50" t="s">
        <v>446</v>
      </c>
      <c r="C139" s="60" t="s">
        <v>254</v>
      </c>
      <c r="D139" s="50" t="s">
        <v>173</v>
      </c>
      <c r="E139" s="50" t="s">
        <v>49</v>
      </c>
      <c r="F139" s="50">
        <v>10</v>
      </c>
      <c r="G139" s="51">
        <v>50</v>
      </c>
      <c r="H139" s="51">
        <f t="shared" si="11"/>
        <v>500</v>
      </c>
      <c r="I139" s="50"/>
      <c r="J139" s="50"/>
      <c r="K139" s="50"/>
    </row>
    <row r="140" spans="1:11" s="52" customFormat="1" ht="12">
      <c r="A140" s="22">
        <v>7.2</v>
      </c>
      <c r="B140" s="50" t="s">
        <v>433</v>
      </c>
      <c r="C140" s="60" t="s">
        <v>388</v>
      </c>
      <c r="D140" s="50" t="s">
        <v>173</v>
      </c>
      <c r="E140" s="50" t="s">
        <v>49</v>
      </c>
      <c r="F140" s="50">
        <v>5</v>
      </c>
      <c r="G140" s="51">
        <v>6</v>
      </c>
      <c r="H140" s="51">
        <f t="shared" si="11"/>
        <v>30</v>
      </c>
      <c r="I140" s="50"/>
      <c r="J140" s="50"/>
      <c r="K140" s="50"/>
    </row>
    <row r="141" spans="1:11" s="52" customFormat="1" ht="12">
      <c r="A141" s="22">
        <v>7.3</v>
      </c>
      <c r="B141" s="50" t="s">
        <v>447</v>
      </c>
      <c r="C141" s="60" t="s">
        <v>270</v>
      </c>
      <c r="D141" s="50" t="s">
        <v>173</v>
      </c>
      <c r="E141" s="50" t="s">
        <v>70</v>
      </c>
      <c r="F141" s="50">
        <v>2</v>
      </c>
      <c r="G141" s="51">
        <v>60</v>
      </c>
      <c r="H141" s="51">
        <f t="shared" si="11"/>
        <v>120</v>
      </c>
      <c r="I141" s="50"/>
      <c r="J141" s="50"/>
      <c r="K141" s="50"/>
    </row>
    <row r="142" spans="1:11" s="52" customFormat="1" ht="12">
      <c r="A142" s="22">
        <v>7.4</v>
      </c>
      <c r="B142" s="50" t="s">
        <v>448</v>
      </c>
      <c r="C142" s="60" t="s">
        <v>271</v>
      </c>
      <c r="D142" s="50" t="s">
        <v>173</v>
      </c>
      <c r="E142" s="50" t="s">
        <v>70</v>
      </c>
      <c r="F142" s="50">
        <v>8</v>
      </c>
      <c r="G142" s="51">
        <v>32</v>
      </c>
      <c r="H142" s="51">
        <f t="shared" si="11"/>
        <v>256</v>
      </c>
      <c r="I142" s="50"/>
      <c r="J142" s="50"/>
      <c r="K142" s="50"/>
    </row>
    <row r="143" spans="1:11" s="52" customFormat="1" ht="12">
      <c r="A143" s="22">
        <v>7.5</v>
      </c>
      <c r="B143" s="50" t="s">
        <v>435</v>
      </c>
      <c r="C143" s="60" t="s">
        <v>256</v>
      </c>
      <c r="D143" s="50" t="s">
        <v>173</v>
      </c>
      <c r="E143" s="50" t="s">
        <v>49</v>
      </c>
      <c r="F143" s="50">
        <v>8</v>
      </c>
      <c r="G143" s="51">
        <v>180</v>
      </c>
      <c r="H143" s="51">
        <f t="shared" si="11"/>
        <v>1440</v>
      </c>
      <c r="I143" s="50"/>
      <c r="J143" s="50"/>
      <c r="K143" s="50"/>
    </row>
    <row r="144" spans="1:11" s="52" customFormat="1" ht="12">
      <c r="A144" s="22">
        <v>7.6</v>
      </c>
      <c r="B144" s="50" t="s">
        <v>449</v>
      </c>
      <c r="C144" s="60" t="s">
        <v>272</v>
      </c>
      <c r="D144" s="50" t="s">
        <v>173</v>
      </c>
      <c r="E144" s="50" t="s">
        <v>49</v>
      </c>
      <c r="F144" s="50">
        <v>2</v>
      </c>
      <c r="G144" s="51">
        <v>80</v>
      </c>
      <c r="H144" s="51">
        <f t="shared" si="11"/>
        <v>160</v>
      </c>
      <c r="I144" s="50"/>
      <c r="J144" s="50"/>
      <c r="K144" s="50"/>
    </row>
    <row r="145" spans="1:11" s="52" customFormat="1" ht="24">
      <c r="A145" s="22">
        <v>7.7</v>
      </c>
      <c r="B145" s="50" t="s">
        <v>450</v>
      </c>
      <c r="C145" s="60" t="s">
        <v>273</v>
      </c>
      <c r="D145" s="50" t="s">
        <v>173</v>
      </c>
      <c r="E145" s="50" t="s">
        <v>49</v>
      </c>
      <c r="F145" s="50">
        <v>4</v>
      </c>
      <c r="G145" s="51">
        <v>40</v>
      </c>
      <c r="H145" s="51">
        <f t="shared" si="11"/>
        <v>160</v>
      </c>
      <c r="I145" s="50"/>
      <c r="J145" s="50"/>
      <c r="K145" s="50"/>
    </row>
    <row r="146" spans="1:11" s="52" customFormat="1" ht="12">
      <c r="A146" s="22">
        <v>7.8</v>
      </c>
      <c r="B146" s="50" t="s">
        <v>834</v>
      </c>
      <c r="C146" s="60"/>
      <c r="D146" s="50" t="s">
        <v>173</v>
      </c>
      <c r="E146" s="50" t="s">
        <v>49</v>
      </c>
      <c r="F146" s="50">
        <v>2</v>
      </c>
      <c r="G146" s="51">
        <v>300</v>
      </c>
      <c r="H146" s="51">
        <f t="shared" si="11"/>
        <v>600</v>
      </c>
      <c r="I146" s="50"/>
      <c r="J146" s="50"/>
      <c r="K146" s="50"/>
    </row>
    <row r="147" spans="1:11" s="52" customFormat="1" ht="12">
      <c r="A147" s="22">
        <v>7.9</v>
      </c>
      <c r="B147" s="50" t="s">
        <v>548</v>
      </c>
      <c r="C147" s="60"/>
      <c r="D147" s="50" t="s">
        <v>173</v>
      </c>
      <c r="E147" s="50" t="s">
        <v>70</v>
      </c>
      <c r="F147" s="50">
        <v>2</v>
      </c>
      <c r="G147" s="51">
        <v>500</v>
      </c>
      <c r="H147" s="51">
        <f t="shared" si="11"/>
        <v>1000</v>
      </c>
      <c r="I147" s="50"/>
      <c r="J147" s="50"/>
      <c r="K147" s="50"/>
    </row>
    <row r="148" spans="1:11" s="52" customFormat="1" ht="12">
      <c r="A148" s="53" t="s">
        <v>743</v>
      </c>
      <c r="B148" s="50" t="s">
        <v>825</v>
      </c>
      <c r="C148" s="60"/>
      <c r="D148" s="50" t="s">
        <v>173</v>
      </c>
      <c r="E148" s="50" t="s">
        <v>70</v>
      </c>
      <c r="F148" s="50">
        <v>4</v>
      </c>
      <c r="G148" s="51">
        <v>600</v>
      </c>
      <c r="H148" s="51">
        <f t="shared" si="11"/>
        <v>2400</v>
      </c>
      <c r="I148" s="50"/>
      <c r="J148" s="50"/>
      <c r="K148" s="50"/>
    </row>
    <row r="149" spans="1:11" s="52" customFormat="1" ht="12">
      <c r="A149" s="53" t="s">
        <v>744</v>
      </c>
      <c r="B149" s="50" t="s">
        <v>549</v>
      </c>
      <c r="C149" s="60"/>
      <c r="D149" s="50" t="s">
        <v>173</v>
      </c>
      <c r="E149" s="50" t="s">
        <v>70</v>
      </c>
      <c r="F149" s="50">
        <v>1</v>
      </c>
      <c r="G149" s="51">
        <v>1200</v>
      </c>
      <c r="H149" s="51">
        <f t="shared" si="11"/>
        <v>1200</v>
      </c>
      <c r="I149" s="50"/>
      <c r="J149" s="50"/>
      <c r="K149" s="50"/>
    </row>
    <row r="150" spans="1:11" s="52" customFormat="1" ht="12">
      <c r="A150" s="53" t="s">
        <v>745</v>
      </c>
      <c r="B150" s="50" t="s">
        <v>835</v>
      </c>
      <c r="C150" s="60" t="s">
        <v>836</v>
      </c>
      <c r="D150" s="50" t="s">
        <v>173</v>
      </c>
      <c r="E150" s="50" t="s">
        <v>49</v>
      </c>
      <c r="F150" s="50">
        <v>2</v>
      </c>
      <c r="G150" s="51">
        <v>150</v>
      </c>
      <c r="H150" s="51">
        <f t="shared" ref="H150:H157" si="17">F150*G150</f>
        <v>300</v>
      </c>
      <c r="I150" s="50"/>
      <c r="J150" s="50"/>
      <c r="K150" s="50"/>
    </row>
    <row r="151" spans="1:11" s="52" customFormat="1" ht="12">
      <c r="A151" s="53" t="s">
        <v>746</v>
      </c>
      <c r="B151" s="50" t="s">
        <v>835</v>
      </c>
      <c r="C151" s="60" t="s">
        <v>837</v>
      </c>
      <c r="D151" s="50" t="s">
        <v>173</v>
      </c>
      <c r="E151" s="50" t="s">
        <v>49</v>
      </c>
      <c r="F151" s="50">
        <v>2</v>
      </c>
      <c r="G151" s="51">
        <v>95</v>
      </c>
      <c r="H151" s="51">
        <f t="shared" si="17"/>
        <v>190</v>
      </c>
      <c r="I151" s="50"/>
      <c r="J151" s="50"/>
      <c r="K151" s="50"/>
    </row>
    <row r="152" spans="1:11" s="52" customFormat="1" ht="12">
      <c r="A152" s="53" t="s">
        <v>747</v>
      </c>
      <c r="B152" s="50" t="s">
        <v>835</v>
      </c>
      <c r="C152" s="60" t="s">
        <v>838</v>
      </c>
      <c r="D152" s="50" t="s">
        <v>173</v>
      </c>
      <c r="E152" s="50" t="s">
        <v>49</v>
      </c>
      <c r="F152" s="50">
        <v>2</v>
      </c>
      <c r="G152" s="51">
        <v>150</v>
      </c>
      <c r="H152" s="51">
        <f t="shared" si="17"/>
        <v>300</v>
      </c>
      <c r="I152" s="50"/>
      <c r="J152" s="50"/>
      <c r="K152" s="50"/>
    </row>
    <row r="153" spans="1:11" s="52" customFormat="1" ht="12">
      <c r="A153" s="53" t="s">
        <v>748</v>
      </c>
      <c r="B153" s="50" t="s">
        <v>835</v>
      </c>
      <c r="C153" s="60" t="s">
        <v>839</v>
      </c>
      <c r="D153" s="50" t="s">
        <v>173</v>
      </c>
      <c r="E153" s="50" t="s">
        <v>49</v>
      </c>
      <c r="F153" s="50">
        <v>2</v>
      </c>
      <c r="G153" s="51">
        <v>95</v>
      </c>
      <c r="H153" s="51">
        <f t="shared" si="17"/>
        <v>190</v>
      </c>
      <c r="I153" s="50"/>
      <c r="J153" s="50"/>
      <c r="K153" s="50"/>
    </row>
    <row r="154" spans="1:11" s="52" customFormat="1" ht="12">
      <c r="A154" s="53" t="s">
        <v>749</v>
      </c>
      <c r="B154" s="50" t="s">
        <v>840</v>
      </c>
      <c r="C154" s="60"/>
      <c r="D154" s="50" t="s">
        <v>173</v>
      </c>
      <c r="E154" s="50" t="s">
        <v>49</v>
      </c>
      <c r="F154" s="50">
        <v>2</v>
      </c>
      <c r="G154" s="51">
        <v>1.5</v>
      </c>
      <c r="H154" s="51">
        <f t="shared" si="17"/>
        <v>3</v>
      </c>
      <c r="I154" s="50"/>
      <c r="J154" s="50"/>
      <c r="K154" s="50"/>
    </row>
    <row r="155" spans="1:11" s="52" customFormat="1" ht="12">
      <c r="A155" s="53" t="s">
        <v>750</v>
      </c>
      <c r="B155" s="50" t="s">
        <v>841</v>
      </c>
      <c r="C155" s="60"/>
      <c r="D155" s="50" t="s">
        <v>173</v>
      </c>
      <c r="E155" s="50" t="s">
        <v>49</v>
      </c>
      <c r="F155" s="50">
        <v>2</v>
      </c>
      <c r="G155" s="51">
        <v>0.5</v>
      </c>
      <c r="H155" s="51">
        <f t="shared" si="17"/>
        <v>1</v>
      </c>
      <c r="I155" s="50"/>
      <c r="J155" s="50"/>
      <c r="K155" s="50"/>
    </row>
    <row r="156" spans="1:11" s="52" customFormat="1" ht="12">
      <c r="A156" s="53" t="s">
        <v>751</v>
      </c>
      <c r="B156" s="50" t="s">
        <v>456</v>
      </c>
      <c r="C156" s="60"/>
      <c r="D156" s="50" t="s">
        <v>173</v>
      </c>
      <c r="E156" s="50" t="s">
        <v>49</v>
      </c>
      <c r="F156" s="50">
        <v>4</v>
      </c>
      <c r="G156" s="51">
        <v>0.3</v>
      </c>
      <c r="H156" s="51">
        <f t="shared" si="17"/>
        <v>1.2</v>
      </c>
      <c r="I156" s="50"/>
      <c r="J156" s="50"/>
      <c r="K156" s="50"/>
    </row>
    <row r="157" spans="1:11" s="52" customFormat="1" ht="12">
      <c r="A157" s="53" t="s">
        <v>752</v>
      </c>
      <c r="B157" s="50" t="s">
        <v>842</v>
      </c>
      <c r="C157" s="60"/>
      <c r="D157" s="50" t="s">
        <v>173</v>
      </c>
      <c r="E157" s="50" t="s">
        <v>49</v>
      </c>
      <c r="F157" s="50">
        <v>4</v>
      </c>
      <c r="G157" s="51">
        <v>1</v>
      </c>
      <c r="H157" s="51">
        <f t="shared" si="17"/>
        <v>4</v>
      </c>
      <c r="I157" s="50"/>
      <c r="J157" s="50"/>
      <c r="K157" s="50"/>
    </row>
    <row r="158" spans="1:11" s="52" customFormat="1" ht="12">
      <c r="A158" s="53" t="s">
        <v>753</v>
      </c>
      <c r="B158" s="50" t="s">
        <v>201</v>
      </c>
      <c r="C158" s="60"/>
      <c r="D158" s="50" t="s">
        <v>173</v>
      </c>
      <c r="E158" s="50" t="s">
        <v>49</v>
      </c>
      <c r="F158" s="50">
        <v>30</v>
      </c>
      <c r="G158" s="51">
        <v>3</v>
      </c>
      <c r="H158" s="51">
        <f t="shared" si="11"/>
        <v>90</v>
      </c>
      <c r="I158" s="50"/>
      <c r="J158" s="50"/>
      <c r="K158" s="50"/>
    </row>
    <row r="159" spans="1:11" s="52" customFormat="1" ht="12">
      <c r="A159" s="53" t="s">
        <v>754</v>
      </c>
      <c r="B159" s="50" t="s">
        <v>445</v>
      </c>
      <c r="C159" s="60" t="s">
        <v>274</v>
      </c>
      <c r="D159" s="50" t="s">
        <v>173</v>
      </c>
      <c r="E159" s="50" t="s">
        <v>49</v>
      </c>
      <c r="F159" s="50">
        <v>2</v>
      </c>
      <c r="G159" s="51">
        <v>550</v>
      </c>
      <c r="H159" s="51">
        <f t="shared" si="11"/>
        <v>1100</v>
      </c>
      <c r="I159" s="50"/>
      <c r="J159" s="50"/>
      <c r="K159" s="50"/>
    </row>
    <row r="160" spans="1:11" s="52" customFormat="1" ht="12">
      <c r="A160" s="53" t="s">
        <v>755</v>
      </c>
      <c r="B160" s="50" t="s">
        <v>445</v>
      </c>
      <c r="C160" s="60" t="s">
        <v>275</v>
      </c>
      <c r="D160" s="50" t="s">
        <v>173</v>
      </c>
      <c r="E160" s="50" t="s">
        <v>49</v>
      </c>
      <c r="F160" s="50">
        <v>2</v>
      </c>
      <c r="G160" s="51">
        <v>420</v>
      </c>
      <c r="H160" s="51">
        <f t="shared" si="11"/>
        <v>840</v>
      </c>
      <c r="I160" s="50"/>
      <c r="J160" s="50"/>
      <c r="K160" s="50"/>
    </row>
    <row r="161" spans="1:11" s="52" customFormat="1" ht="12">
      <c r="A161" s="53" t="s">
        <v>756</v>
      </c>
      <c r="B161" s="50" t="s">
        <v>445</v>
      </c>
      <c r="C161" s="60" t="s">
        <v>550</v>
      </c>
      <c r="D161" s="50" t="s">
        <v>173</v>
      </c>
      <c r="E161" s="50" t="s">
        <v>49</v>
      </c>
      <c r="F161" s="50">
        <v>2</v>
      </c>
      <c r="G161" s="51">
        <v>380</v>
      </c>
      <c r="H161" s="51">
        <f t="shared" ref="H161" si="18">F161*G161</f>
        <v>760</v>
      </c>
      <c r="I161" s="50"/>
      <c r="J161" s="50"/>
      <c r="K161" s="50"/>
    </row>
    <row r="162" spans="1:11" s="52" customFormat="1" ht="12">
      <c r="A162" s="53" t="s">
        <v>757</v>
      </c>
      <c r="B162" s="50" t="s">
        <v>831</v>
      </c>
      <c r="C162" s="60" t="s">
        <v>261</v>
      </c>
      <c r="D162" s="50" t="s">
        <v>832</v>
      </c>
      <c r="E162" s="50" t="s">
        <v>49</v>
      </c>
      <c r="F162" s="50">
        <v>2</v>
      </c>
      <c r="G162" s="51">
        <v>45</v>
      </c>
      <c r="H162" s="51">
        <f t="shared" si="11"/>
        <v>90</v>
      </c>
      <c r="I162" s="50"/>
      <c r="J162" s="50"/>
      <c r="K162" s="50"/>
    </row>
    <row r="163" spans="1:11">
      <c r="A163" s="12"/>
      <c r="B163" s="2" t="s">
        <v>48</v>
      </c>
      <c r="C163" s="59"/>
      <c r="D163" s="2"/>
      <c r="E163" s="2"/>
      <c r="F163" s="2">
        <f>SUM(F139:F162)</f>
        <v>106</v>
      </c>
      <c r="G163" s="10"/>
      <c r="H163" s="10">
        <f t="shared" ref="H163" si="19">SUM(H139:H162)</f>
        <v>11735.2</v>
      </c>
      <c r="I163" s="2"/>
      <c r="J163" s="2"/>
      <c r="K163" s="2"/>
    </row>
    <row r="164" spans="1:11" s="6" customFormat="1">
      <c r="A164" s="12"/>
      <c r="B164" s="2"/>
      <c r="C164" s="59"/>
      <c r="D164" s="2"/>
      <c r="E164" s="2"/>
      <c r="F164" s="2"/>
      <c r="G164" s="10"/>
      <c r="H164" s="10"/>
      <c r="I164" s="2"/>
      <c r="J164" s="2"/>
      <c r="K164" s="2"/>
    </row>
    <row r="165" spans="1:11">
      <c r="A165" s="12">
        <v>8</v>
      </c>
      <c r="B165" s="2" t="str">
        <f>投资估算表!C26</f>
        <v>非耐压结构件制造车间</v>
      </c>
      <c r="C165" s="59"/>
      <c r="D165" s="2"/>
      <c r="E165" s="2"/>
      <c r="F165" s="2"/>
      <c r="G165" s="10"/>
      <c r="H165" s="10"/>
      <c r="I165" s="2"/>
      <c r="J165" s="2"/>
      <c r="K165" s="2"/>
    </row>
    <row r="166" spans="1:11" s="52" customFormat="1" ht="12">
      <c r="A166" s="22">
        <v>8.1</v>
      </c>
      <c r="B166" s="50" t="s">
        <v>826</v>
      </c>
      <c r="C166" s="60"/>
      <c r="D166" s="50" t="s">
        <v>173</v>
      </c>
      <c r="E166" s="50" t="s">
        <v>70</v>
      </c>
      <c r="F166" s="50">
        <v>1</v>
      </c>
      <c r="G166" s="51">
        <v>1200</v>
      </c>
      <c r="H166" s="51">
        <f t="shared" ref="H166:H225" si="20">F166*G166</f>
        <v>1200</v>
      </c>
      <c r="I166" s="50"/>
      <c r="J166" s="50"/>
      <c r="K166" s="50"/>
    </row>
    <row r="167" spans="1:11" s="52" customFormat="1" ht="12">
      <c r="A167" s="22">
        <v>8.1999999999999993</v>
      </c>
      <c r="B167" s="50" t="s">
        <v>451</v>
      </c>
      <c r="C167" s="60"/>
      <c r="D167" s="50" t="s">
        <v>173</v>
      </c>
      <c r="E167" s="50" t="s">
        <v>49</v>
      </c>
      <c r="F167" s="50">
        <v>1</v>
      </c>
      <c r="G167" s="51">
        <v>320</v>
      </c>
      <c r="H167" s="51">
        <f t="shared" si="20"/>
        <v>320</v>
      </c>
      <c r="I167" s="50"/>
      <c r="J167" s="50"/>
      <c r="K167" s="50"/>
    </row>
    <row r="168" spans="1:11" s="52" customFormat="1" ht="12">
      <c r="A168" s="22">
        <v>8.3000000000000007</v>
      </c>
      <c r="B168" s="50" t="s">
        <v>452</v>
      </c>
      <c r="C168" s="60"/>
      <c r="D168" s="50"/>
      <c r="E168" s="50" t="s">
        <v>70</v>
      </c>
      <c r="F168" s="50">
        <v>1</v>
      </c>
      <c r="G168" s="51">
        <v>800</v>
      </c>
      <c r="H168" s="51">
        <f>F168*G168</f>
        <v>800</v>
      </c>
      <c r="I168" s="50"/>
      <c r="J168" s="50"/>
      <c r="K168" s="50"/>
    </row>
    <row r="169" spans="1:11" s="52" customFormat="1" ht="24">
      <c r="A169" s="22">
        <v>8.4</v>
      </c>
      <c r="B169" s="50" t="s">
        <v>453</v>
      </c>
      <c r="C169" s="60" t="s">
        <v>276</v>
      </c>
      <c r="D169" s="50" t="s">
        <v>173</v>
      </c>
      <c r="E169" s="50" t="s">
        <v>49</v>
      </c>
      <c r="F169" s="50">
        <v>1</v>
      </c>
      <c r="G169" s="51">
        <v>60</v>
      </c>
      <c r="H169" s="51">
        <f>F169*G169</f>
        <v>60</v>
      </c>
      <c r="I169" s="50"/>
      <c r="J169" s="50"/>
      <c r="K169" s="50"/>
    </row>
    <row r="170" spans="1:11" s="52" customFormat="1" ht="12">
      <c r="A170" s="22">
        <v>8.5</v>
      </c>
      <c r="B170" s="50" t="s">
        <v>445</v>
      </c>
      <c r="C170" s="60" t="s">
        <v>827</v>
      </c>
      <c r="D170" s="50" t="s">
        <v>173</v>
      </c>
      <c r="E170" s="50" t="s">
        <v>49</v>
      </c>
      <c r="F170" s="50">
        <v>2</v>
      </c>
      <c r="G170" s="51">
        <v>90</v>
      </c>
      <c r="H170" s="51">
        <f t="shared" si="20"/>
        <v>180</v>
      </c>
      <c r="I170" s="50"/>
      <c r="J170" s="50"/>
      <c r="K170" s="50"/>
    </row>
    <row r="171" spans="1:11" s="52" customFormat="1" ht="12">
      <c r="A171" s="22">
        <v>8.6</v>
      </c>
      <c r="B171" s="50" t="s">
        <v>445</v>
      </c>
      <c r="C171" s="60" t="s">
        <v>551</v>
      </c>
      <c r="D171" s="50" t="s">
        <v>173</v>
      </c>
      <c r="E171" s="50" t="s">
        <v>49</v>
      </c>
      <c r="F171" s="50">
        <v>2</v>
      </c>
      <c r="G171" s="51">
        <v>220</v>
      </c>
      <c r="H171" s="51">
        <f t="shared" si="20"/>
        <v>440</v>
      </c>
      <c r="I171" s="50"/>
      <c r="J171" s="50"/>
      <c r="K171" s="50"/>
    </row>
    <row r="172" spans="1:11" s="52" customFormat="1" ht="12">
      <c r="A172" s="22">
        <v>8.6999999999999993</v>
      </c>
      <c r="B172" s="50" t="s">
        <v>445</v>
      </c>
      <c r="C172" s="60" t="s">
        <v>553</v>
      </c>
      <c r="D172" s="50" t="s">
        <v>173</v>
      </c>
      <c r="E172" s="50" t="s">
        <v>49</v>
      </c>
      <c r="F172" s="50">
        <v>1</v>
      </c>
      <c r="G172" s="51">
        <v>220</v>
      </c>
      <c r="H172" s="51">
        <f t="shared" ref="H172" si="21">F172*G172</f>
        <v>220</v>
      </c>
      <c r="I172" s="50"/>
      <c r="J172" s="50"/>
      <c r="K172" s="50"/>
    </row>
    <row r="173" spans="1:11" s="52" customFormat="1" ht="12">
      <c r="A173" s="22">
        <v>8.8000000000000007</v>
      </c>
      <c r="B173" s="50" t="s">
        <v>445</v>
      </c>
      <c r="C173" s="60" t="s">
        <v>552</v>
      </c>
      <c r="D173" s="50" t="s">
        <v>173</v>
      </c>
      <c r="E173" s="50" t="s">
        <v>49</v>
      </c>
      <c r="F173" s="50">
        <v>1</v>
      </c>
      <c r="G173" s="51">
        <v>350</v>
      </c>
      <c r="H173" s="51">
        <f t="shared" si="20"/>
        <v>350</v>
      </c>
      <c r="I173" s="50"/>
      <c r="J173" s="50"/>
      <c r="K173" s="50"/>
    </row>
    <row r="174" spans="1:11" s="52" customFormat="1" ht="12">
      <c r="A174" s="22">
        <v>8.9</v>
      </c>
      <c r="B174" s="50" t="s">
        <v>445</v>
      </c>
      <c r="C174" s="60" t="s">
        <v>828</v>
      </c>
      <c r="D174" s="50" t="s">
        <v>173</v>
      </c>
      <c r="E174" s="50" t="s">
        <v>49</v>
      </c>
      <c r="F174" s="50">
        <v>2</v>
      </c>
      <c r="G174" s="51">
        <v>80</v>
      </c>
      <c r="H174" s="51">
        <f t="shared" ref="H174:H177" si="22">F174*G174</f>
        <v>160</v>
      </c>
      <c r="I174" s="50"/>
      <c r="J174" s="50"/>
      <c r="K174" s="50"/>
    </row>
    <row r="175" spans="1:11" s="52" customFormat="1" ht="12">
      <c r="A175" s="53" t="s">
        <v>758</v>
      </c>
      <c r="B175" s="50" t="s">
        <v>445</v>
      </c>
      <c r="C175" s="60" t="s">
        <v>547</v>
      </c>
      <c r="D175" s="50" t="s">
        <v>173</v>
      </c>
      <c r="E175" s="50" t="s">
        <v>49</v>
      </c>
      <c r="F175" s="50">
        <v>2</v>
      </c>
      <c r="G175" s="51">
        <v>200</v>
      </c>
      <c r="H175" s="51">
        <f t="shared" si="22"/>
        <v>400</v>
      </c>
      <c r="I175" s="50"/>
      <c r="J175" s="50"/>
      <c r="K175" s="50"/>
    </row>
    <row r="176" spans="1:11" s="52" customFormat="1" ht="12">
      <c r="A176" s="53" t="s">
        <v>759</v>
      </c>
      <c r="B176" s="50" t="s">
        <v>445</v>
      </c>
      <c r="C176" s="60" t="s">
        <v>829</v>
      </c>
      <c r="D176" s="50" t="s">
        <v>173</v>
      </c>
      <c r="E176" s="50" t="s">
        <v>49</v>
      </c>
      <c r="F176" s="50">
        <v>1</v>
      </c>
      <c r="G176" s="51">
        <v>200</v>
      </c>
      <c r="H176" s="51">
        <f t="shared" si="22"/>
        <v>200</v>
      </c>
      <c r="I176" s="50"/>
      <c r="J176" s="50"/>
      <c r="K176" s="50"/>
    </row>
    <row r="177" spans="1:11" s="52" customFormat="1" ht="12">
      <c r="A177" s="53" t="s">
        <v>760</v>
      </c>
      <c r="B177" s="50" t="s">
        <v>445</v>
      </c>
      <c r="C177" s="60" t="s">
        <v>830</v>
      </c>
      <c r="D177" s="50" t="s">
        <v>173</v>
      </c>
      <c r="E177" s="50" t="s">
        <v>49</v>
      </c>
      <c r="F177" s="50">
        <v>1</v>
      </c>
      <c r="G177" s="51">
        <v>320</v>
      </c>
      <c r="H177" s="51">
        <f t="shared" si="22"/>
        <v>320</v>
      </c>
      <c r="I177" s="50"/>
      <c r="J177" s="50"/>
      <c r="K177" s="50"/>
    </row>
    <row r="178" spans="1:11" s="52" customFormat="1" ht="12">
      <c r="A178" s="53" t="s">
        <v>761</v>
      </c>
      <c r="B178" s="50" t="s">
        <v>831</v>
      </c>
      <c r="C178" s="60" t="s">
        <v>73</v>
      </c>
      <c r="D178" s="50" t="s">
        <v>832</v>
      </c>
      <c r="E178" s="50" t="s">
        <v>49</v>
      </c>
      <c r="F178" s="50">
        <v>1</v>
      </c>
      <c r="G178" s="51">
        <v>15</v>
      </c>
      <c r="H178" s="51">
        <f t="shared" si="20"/>
        <v>15</v>
      </c>
      <c r="I178" s="50"/>
      <c r="J178" s="50"/>
      <c r="K178" s="50"/>
    </row>
    <row r="179" spans="1:11" s="52" customFormat="1" ht="12">
      <c r="A179" s="53" t="s">
        <v>762</v>
      </c>
      <c r="B179" s="50" t="s">
        <v>833</v>
      </c>
      <c r="C179" s="60"/>
      <c r="D179" s="50" t="s">
        <v>832</v>
      </c>
      <c r="E179" s="50" t="s">
        <v>49</v>
      </c>
      <c r="F179" s="50">
        <v>50</v>
      </c>
      <c r="G179" s="51">
        <v>1</v>
      </c>
      <c r="H179" s="51">
        <f t="shared" si="20"/>
        <v>50</v>
      </c>
      <c r="I179" s="50"/>
      <c r="J179" s="50"/>
      <c r="K179" s="50"/>
    </row>
    <row r="180" spans="1:11">
      <c r="A180" s="12"/>
      <c r="B180" s="2" t="s">
        <v>48</v>
      </c>
      <c r="C180" s="59"/>
      <c r="D180" s="2"/>
      <c r="E180" s="2"/>
      <c r="F180" s="2">
        <f>SUM(F166:F179)</f>
        <v>67</v>
      </c>
      <c r="G180" s="10"/>
      <c r="H180" s="10">
        <f t="shared" ref="H180" si="23">SUM(H166:H179)</f>
        <v>4715</v>
      </c>
      <c r="I180" s="2"/>
      <c r="J180" s="2"/>
      <c r="K180" s="2"/>
    </row>
    <row r="181" spans="1:11" s="6" customFormat="1">
      <c r="A181" s="12"/>
      <c r="B181" s="2"/>
      <c r="C181" s="59"/>
      <c r="D181" s="2"/>
      <c r="E181" s="2"/>
      <c r="F181" s="2"/>
      <c r="G181" s="10"/>
      <c r="H181" s="10"/>
      <c r="I181" s="2"/>
      <c r="J181" s="2"/>
      <c r="K181" s="2"/>
    </row>
    <row r="182" spans="1:11">
      <c r="A182" s="12">
        <v>9</v>
      </c>
      <c r="B182" s="2" t="str">
        <f>投资估算表!C27</f>
        <v>总段泵水车间</v>
      </c>
      <c r="C182" s="59"/>
      <c r="D182" s="2"/>
      <c r="E182" s="2"/>
      <c r="F182" s="2"/>
      <c r="G182" s="10"/>
      <c r="H182" s="10"/>
      <c r="I182" s="2"/>
      <c r="J182" s="2"/>
      <c r="K182" s="2"/>
    </row>
    <row r="183" spans="1:11" s="52" customFormat="1" ht="12">
      <c r="A183" s="22">
        <v>9.1</v>
      </c>
      <c r="B183" s="50" t="s">
        <v>433</v>
      </c>
      <c r="C183" s="60" t="s">
        <v>388</v>
      </c>
      <c r="D183" s="50" t="s">
        <v>173</v>
      </c>
      <c r="E183" s="50" t="s">
        <v>49</v>
      </c>
      <c r="F183" s="50">
        <v>6</v>
      </c>
      <c r="G183" s="51">
        <v>6</v>
      </c>
      <c r="H183" s="51">
        <f t="shared" si="20"/>
        <v>36</v>
      </c>
      <c r="I183" s="50"/>
      <c r="J183" s="50"/>
      <c r="K183" s="50"/>
    </row>
    <row r="184" spans="1:11" s="52" customFormat="1" ht="12">
      <c r="A184" s="22">
        <v>9.1999999999999993</v>
      </c>
      <c r="B184" s="50" t="s">
        <v>454</v>
      </c>
      <c r="C184" s="60" t="s">
        <v>277</v>
      </c>
      <c r="D184" s="50" t="s">
        <v>173</v>
      </c>
      <c r="E184" s="50" t="s">
        <v>49</v>
      </c>
      <c r="F184" s="50">
        <v>2</v>
      </c>
      <c r="G184" s="51">
        <v>90</v>
      </c>
      <c r="H184" s="51">
        <f t="shared" si="20"/>
        <v>180</v>
      </c>
      <c r="I184" s="50"/>
      <c r="J184" s="50"/>
      <c r="K184" s="50"/>
    </row>
    <row r="185" spans="1:11" s="52" customFormat="1" ht="12">
      <c r="A185" s="22">
        <v>9.3000000000000007</v>
      </c>
      <c r="B185" s="50" t="s">
        <v>455</v>
      </c>
      <c r="C185" s="60" t="s">
        <v>278</v>
      </c>
      <c r="D185" s="50" t="s">
        <v>173</v>
      </c>
      <c r="E185" s="50" t="s">
        <v>70</v>
      </c>
      <c r="F185" s="50">
        <v>1</v>
      </c>
      <c r="G185" s="51">
        <v>300</v>
      </c>
      <c r="H185" s="51">
        <f t="shared" si="20"/>
        <v>300</v>
      </c>
      <c r="I185" s="50"/>
      <c r="J185" s="50"/>
      <c r="K185" s="50"/>
    </row>
    <row r="186" spans="1:11" s="52" customFormat="1" ht="12">
      <c r="A186" s="22">
        <v>9.4</v>
      </c>
      <c r="B186" s="50" t="s">
        <v>824</v>
      </c>
      <c r="C186" s="60" t="s">
        <v>279</v>
      </c>
      <c r="D186" s="50" t="s">
        <v>173</v>
      </c>
      <c r="E186" s="50" t="s">
        <v>70</v>
      </c>
      <c r="F186" s="50">
        <v>1</v>
      </c>
      <c r="G186" s="51">
        <v>150</v>
      </c>
      <c r="H186" s="51">
        <f t="shared" si="20"/>
        <v>150</v>
      </c>
      <c r="I186" s="50"/>
      <c r="J186" s="50"/>
      <c r="K186" s="50"/>
    </row>
    <row r="187" spans="1:11" s="52" customFormat="1" ht="12">
      <c r="A187" s="22">
        <v>9.5</v>
      </c>
      <c r="B187" s="50" t="s">
        <v>825</v>
      </c>
      <c r="C187" s="60"/>
      <c r="D187" s="50" t="s">
        <v>173</v>
      </c>
      <c r="E187" s="50" t="s">
        <v>70</v>
      </c>
      <c r="F187" s="50">
        <v>2</v>
      </c>
      <c r="G187" s="51">
        <v>600</v>
      </c>
      <c r="H187" s="51">
        <f t="shared" si="20"/>
        <v>1200</v>
      </c>
      <c r="I187" s="50"/>
      <c r="J187" s="50"/>
      <c r="K187" s="50"/>
    </row>
    <row r="188" spans="1:11" s="52" customFormat="1" ht="12">
      <c r="A188" s="22">
        <v>9.6</v>
      </c>
      <c r="B188" s="50" t="s">
        <v>549</v>
      </c>
      <c r="C188" s="60"/>
      <c r="D188" s="50" t="s">
        <v>173</v>
      </c>
      <c r="E188" s="50" t="s">
        <v>70</v>
      </c>
      <c r="F188" s="50">
        <v>1</v>
      </c>
      <c r="G188" s="51">
        <v>1200</v>
      </c>
      <c r="H188" s="51">
        <f t="shared" si="20"/>
        <v>1200</v>
      </c>
      <c r="I188" s="50"/>
      <c r="J188" s="50"/>
      <c r="K188" s="50"/>
    </row>
    <row r="189" spans="1:11" s="52" customFormat="1" ht="12">
      <c r="A189" s="22">
        <v>9.6999999999999993</v>
      </c>
      <c r="B189" s="50" t="s">
        <v>445</v>
      </c>
      <c r="C189" s="60" t="s">
        <v>275</v>
      </c>
      <c r="D189" s="50" t="s">
        <v>173</v>
      </c>
      <c r="E189" s="50" t="s">
        <v>49</v>
      </c>
      <c r="F189" s="50">
        <v>4</v>
      </c>
      <c r="G189" s="51">
        <v>420</v>
      </c>
      <c r="H189" s="51">
        <f t="shared" si="20"/>
        <v>1680</v>
      </c>
      <c r="I189" s="50"/>
      <c r="J189" s="50"/>
      <c r="K189" s="50"/>
    </row>
    <row r="190" spans="1:11" s="52" customFormat="1" ht="12">
      <c r="A190" s="22">
        <v>9.8000000000000007</v>
      </c>
      <c r="B190" s="50" t="s">
        <v>201</v>
      </c>
      <c r="C190" s="60"/>
      <c r="D190" s="50" t="s">
        <v>173</v>
      </c>
      <c r="E190" s="50" t="s">
        <v>49</v>
      </c>
      <c r="F190" s="50">
        <v>120</v>
      </c>
      <c r="G190" s="51">
        <v>1</v>
      </c>
      <c r="H190" s="51">
        <f t="shared" si="20"/>
        <v>120</v>
      </c>
      <c r="I190" s="50"/>
      <c r="J190" s="50"/>
      <c r="K190" s="50"/>
    </row>
    <row r="191" spans="1:11">
      <c r="A191" s="12"/>
      <c r="B191" s="2" t="s">
        <v>48</v>
      </c>
      <c r="C191" s="59"/>
      <c r="D191" s="2"/>
      <c r="E191" s="2"/>
      <c r="F191" s="2">
        <f>SUM(F183:F190)</f>
        <v>137</v>
      </c>
      <c r="G191" s="10"/>
      <c r="H191" s="10">
        <f>SUM(H183:H190)</f>
        <v>4866</v>
      </c>
      <c r="I191" s="2"/>
      <c r="J191" s="2"/>
      <c r="K191" s="2"/>
    </row>
    <row r="192" spans="1:11" s="6" customFormat="1">
      <c r="A192" s="12"/>
      <c r="B192" s="2"/>
      <c r="C192" s="59"/>
      <c r="D192" s="2"/>
      <c r="E192" s="2"/>
      <c r="F192" s="2"/>
      <c r="G192" s="10"/>
      <c r="H192" s="10"/>
      <c r="I192" s="2"/>
      <c r="J192" s="2"/>
      <c r="K192" s="2"/>
    </row>
    <row r="193" spans="1:11">
      <c r="A193" s="12">
        <v>10</v>
      </c>
      <c r="B193" s="2" t="str">
        <f>投资估算表!C28</f>
        <v>船台总装车间</v>
      </c>
      <c r="C193" s="59"/>
      <c r="D193" s="2"/>
      <c r="E193" s="2"/>
      <c r="F193" s="2"/>
      <c r="G193" s="10"/>
      <c r="H193" s="10"/>
      <c r="I193" s="2"/>
      <c r="J193" s="2"/>
      <c r="K193" s="2"/>
    </row>
    <row r="194" spans="1:11" s="52" customFormat="1" ht="12">
      <c r="A194" s="22">
        <v>10.1</v>
      </c>
      <c r="B194" s="50" t="s">
        <v>433</v>
      </c>
      <c r="C194" s="60" t="s">
        <v>388</v>
      </c>
      <c r="D194" s="50" t="s">
        <v>173</v>
      </c>
      <c r="E194" s="50" t="s">
        <v>49</v>
      </c>
      <c r="F194" s="50">
        <v>6</v>
      </c>
      <c r="G194" s="51">
        <v>6</v>
      </c>
      <c r="H194" s="51">
        <f t="shared" ref="H194:H201" si="24">F194*G194</f>
        <v>36</v>
      </c>
      <c r="I194" s="50"/>
      <c r="J194" s="50"/>
      <c r="K194" s="50"/>
    </row>
    <row r="195" spans="1:11" s="52" customFormat="1" ht="12">
      <c r="A195" s="22">
        <v>10.199999999999999</v>
      </c>
      <c r="B195" s="50" t="s">
        <v>454</v>
      </c>
      <c r="C195" s="60" t="s">
        <v>277</v>
      </c>
      <c r="D195" s="50" t="s">
        <v>173</v>
      </c>
      <c r="E195" s="50" t="s">
        <v>49</v>
      </c>
      <c r="F195" s="50">
        <v>2</v>
      </c>
      <c r="G195" s="51">
        <v>90</v>
      </c>
      <c r="H195" s="51">
        <f t="shared" si="24"/>
        <v>180</v>
      </c>
      <c r="I195" s="50"/>
      <c r="J195" s="50"/>
      <c r="K195" s="50"/>
    </row>
    <row r="196" spans="1:11" s="52" customFormat="1" ht="12">
      <c r="A196" s="22">
        <v>10.3</v>
      </c>
      <c r="B196" s="50" t="s">
        <v>824</v>
      </c>
      <c r="C196" s="60" t="s">
        <v>279</v>
      </c>
      <c r="D196" s="50" t="s">
        <v>173</v>
      </c>
      <c r="E196" s="50" t="s">
        <v>70</v>
      </c>
      <c r="F196" s="50">
        <v>1</v>
      </c>
      <c r="G196" s="51">
        <v>150</v>
      </c>
      <c r="H196" s="51">
        <f t="shared" si="24"/>
        <v>150</v>
      </c>
      <c r="I196" s="50"/>
      <c r="J196" s="50"/>
      <c r="K196" s="50"/>
    </row>
    <row r="197" spans="1:11" s="52" customFormat="1" ht="12">
      <c r="A197" s="22">
        <v>10.4</v>
      </c>
      <c r="B197" s="50" t="s">
        <v>825</v>
      </c>
      <c r="C197" s="60"/>
      <c r="D197" s="50" t="s">
        <v>173</v>
      </c>
      <c r="E197" s="50" t="s">
        <v>70</v>
      </c>
      <c r="F197" s="50">
        <v>2</v>
      </c>
      <c r="G197" s="51">
        <v>600</v>
      </c>
      <c r="H197" s="51">
        <f t="shared" si="24"/>
        <v>1200</v>
      </c>
      <c r="I197" s="50"/>
      <c r="J197" s="50"/>
      <c r="K197" s="50"/>
    </row>
    <row r="198" spans="1:11" s="52" customFormat="1" ht="12">
      <c r="A198" s="22">
        <v>10.5</v>
      </c>
      <c r="B198" s="50" t="s">
        <v>549</v>
      </c>
      <c r="C198" s="60"/>
      <c r="D198" s="50" t="s">
        <v>173</v>
      </c>
      <c r="E198" s="50" t="s">
        <v>70</v>
      </c>
      <c r="F198" s="50">
        <v>1</v>
      </c>
      <c r="G198" s="51">
        <v>1200</v>
      </c>
      <c r="H198" s="51">
        <f t="shared" si="24"/>
        <v>1200</v>
      </c>
      <c r="I198" s="50"/>
      <c r="J198" s="50"/>
      <c r="K198" s="50"/>
    </row>
    <row r="199" spans="1:11" s="52" customFormat="1" ht="12">
      <c r="A199" s="22">
        <v>10.6</v>
      </c>
      <c r="B199" s="50" t="s">
        <v>445</v>
      </c>
      <c r="C199" s="60" t="s">
        <v>554</v>
      </c>
      <c r="D199" s="50" t="s">
        <v>173</v>
      </c>
      <c r="E199" s="50" t="s">
        <v>49</v>
      </c>
      <c r="F199" s="50">
        <v>4</v>
      </c>
      <c r="G199" s="51">
        <v>500</v>
      </c>
      <c r="H199" s="51">
        <f t="shared" si="24"/>
        <v>2000</v>
      </c>
      <c r="I199" s="50"/>
      <c r="J199" s="50"/>
      <c r="K199" s="50"/>
    </row>
    <row r="200" spans="1:11" s="52" customFormat="1" ht="12">
      <c r="A200" s="22">
        <v>10.7</v>
      </c>
      <c r="B200" s="50" t="s">
        <v>445</v>
      </c>
      <c r="C200" s="60" t="s">
        <v>555</v>
      </c>
      <c r="D200" s="50" t="s">
        <v>173</v>
      </c>
      <c r="E200" s="50" t="s">
        <v>49</v>
      </c>
      <c r="F200" s="50">
        <v>4</v>
      </c>
      <c r="G200" s="51">
        <v>650</v>
      </c>
      <c r="H200" s="51">
        <f t="shared" ref="H200" si="25">F200*G200</f>
        <v>2600</v>
      </c>
      <c r="I200" s="50"/>
      <c r="J200" s="50"/>
      <c r="K200" s="50"/>
    </row>
    <row r="201" spans="1:11" s="52" customFormat="1" ht="12">
      <c r="A201" s="22">
        <v>10.8</v>
      </c>
      <c r="B201" s="50" t="s">
        <v>201</v>
      </c>
      <c r="C201" s="60"/>
      <c r="D201" s="50" t="s">
        <v>173</v>
      </c>
      <c r="E201" s="50" t="s">
        <v>49</v>
      </c>
      <c r="F201" s="50">
        <v>200</v>
      </c>
      <c r="G201" s="51">
        <v>1</v>
      </c>
      <c r="H201" s="51">
        <f t="shared" si="24"/>
        <v>200</v>
      </c>
      <c r="I201" s="50"/>
      <c r="J201" s="50"/>
      <c r="K201" s="50"/>
    </row>
    <row r="202" spans="1:11">
      <c r="A202" s="12"/>
      <c r="B202" s="2" t="s">
        <v>48</v>
      </c>
      <c r="C202" s="59"/>
      <c r="D202" s="2"/>
      <c r="E202" s="2"/>
      <c r="F202" s="2">
        <f>SUM(F194:F201)</f>
        <v>220</v>
      </c>
      <c r="G202" s="10"/>
      <c r="H202" s="10">
        <f>SUM(H194:H201)</f>
        <v>7566</v>
      </c>
      <c r="I202" s="2"/>
      <c r="J202" s="2"/>
      <c r="K202" s="2"/>
    </row>
    <row r="203" spans="1:11">
      <c r="A203" s="12"/>
      <c r="B203" s="2"/>
      <c r="C203" s="59"/>
      <c r="D203" s="2"/>
      <c r="E203" s="2"/>
      <c r="F203" s="2"/>
      <c r="G203" s="10"/>
      <c r="H203" s="10"/>
      <c r="I203" s="2"/>
      <c r="J203" s="2"/>
      <c r="K203" s="2"/>
    </row>
    <row r="204" spans="1:11" s="3" customFormat="1">
      <c r="A204" s="21"/>
      <c r="B204" s="7" t="s">
        <v>515</v>
      </c>
      <c r="C204" s="58"/>
      <c r="D204" s="7"/>
      <c r="E204" s="7"/>
      <c r="F204" s="7">
        <f>F202+F191+F180+F163+F136+F121+F105+F84+F70+F62</f>
        <v>769</v>
      </c>
      <c r="G204" s="9"/>
      <c r="H204" s="9">
        <f t="shared" ref="H204" si="26">H202+H191+H180+H163+H136+H121+H105+H84+H70+H62</f>
        <v>50993.2</v>
      </c>
      <c r="I204" s="7"/>
      <c r="J204" s="7"/>
      <c r="K204" s="7"/>
    </row>
    <row r="205" spans="1:11">
      <c r="A205" s="12"/>
      <c r="B205" s="2"/>
      <c r="C205" s="59"/>
      <c r="D205" s="2"/>
      <c r="E205" s="2"/>
      <c r="F205" s="2"/>
      <c r="G205" s="10"/>
      <c r="H205" s="10"/>
      <c r="I205" s="2"/>
      <c r="J205" s="2"/>
      <c r="K205" s="2"/>
    </row>
    <row r="206" spans="1:11" s="3" customFormat="1">
      <c r="A206" s="21" t="s">
        <v>245</v>
      </c>
      <c r="B206" s="7" t="s">
        <v>396</v>
      </c>
      <c r="C206" s="58"/>
      <c r="D206" s="7"/>
      <c r="E206" s="7"/>
      <c r="F206" s="7"/>
      <c r="G206" s="9"/>
      <c r="H206" s="9"/>
      <c r="I206" s="7"/>
      <c r="J206" s="7"/>
      <c r="K206" s="7"/>
    </row>
    <row r="207" spans="1:11">
      <c r="A207" s="12" t="s">
        <v>397</v>
      </c>
      <c r="B207" s="2" t="str">
        <f>投资估算表!C30</f>
        <v>装料车间</v>
      </c>
      <c r="C207" s="59"/>
      <c r="D207" s="2"/>
      <c r="E207" s="2"/>
      <c r="F207" s="2"/>
      <c r="G207" s="10"/>
      <c r="H207" s="10"/>
      <c r="I207" s="2"/>
      <c r="J207" s="2"/>
      <c r="K207" s="2"/>
    </row>
    <row r="208" spans="1:11" s="52" customFormat="1" ht="12">
      <c r="A208" s="22" t="s">
        <v>402</v>
      </c>
      <c r="B208" s="50" t="s">
        <v>457</v>
      </c>
      <c r="C208" s="60" t="s">
        <v>280</v>
      </c>
      <c r="D208" s="50" t="s">
        <v>173</v>
      </c>
      <c r="E208" s="50" t="s">
        <v>49</v>
      </c>
      <c r="F208" s="50">
        <v>2</v>
      </c>
      <c r="G208" s="51">
        <v>120</v>
      </c>
      <c r="H208" s="51">
        <f t="shared" si="20"/>
        <v>240</v>
      </c>
      <c r="I208" s="50"/>
      <c r="J208" s="50"/>
      <c r="K208" s="50"/>
    </row>
    <row r="209" spans="1:11">
      <c r="A209" s="12"/>
      <c r="B209" s="2" t="s">
        <v>48</v>
      </c>
      <c r="C209" s="59"/>
      <c r="D209" s="2"/>
      <c r="E209" s="2"/>
      <c r="F209" s="2">
        <f>SUM(F208)</f>
        <v>2</v>
      </c>
      <c r="G209" s="10"/>
      <c r="H209" s="10">
        <f>SUM(H208)</f>
        <v>240</v>
      </c>
      <c r="I209" s="2"/>
      <c r="J209" s="2"/>
      <c r="K209" s="2"/>
    </row>
    <row r="210" spans="1:11">
      <c r="A210" s="12"/>
      <c r="B210" s="2"/>
      <c r="C210" s="59"/>
      <c r="D210" s="2"/>
      <c r="E210" s="2"/>
      <c r="F210" s="2"/>
      <c r="G210" s="10"/>
      <c r="H210" s="10"/>
      <c r="I210" s="2"/>
      <c r="J210" s="2"/>
      <c r="K210" s="2"/>
    </row>
    <row r="211" spans="1:11">
      <c r="A211" s="12" t="s">
        <v>398</v>
      </c>
      <c r="B211" s="2" t="s">
        <v>176</v>
      </c>
      <c r="C211" s="59"/>
      <c r="D211" s="2"/>
      <c r="E211" s="2"/>
      <c r="F211" s="2"/>
      <c r="G211" s="10"/>
      <c r="H211" s="10"/>
      <c r="I211" s="2"/>
      <c r="J211" s="2"/>
      <c r="K211" s="2"/>
    </row>
    <row r="212" spans="1:11" s="52" customFormat="1" ht="12">
      <c r="A212" s="22" t="s">
        <v>399</v>
      </c>
      <c r="B212" s="50" t="s">
        <v>459</v>
      </c>
      <c r="C212" s="60" t="s">
        <v>301</v>
      </c>
      <c r="D212" s="50" t="s">
        <v>173</v>
      </c>
      <c r="E212" s="50" t="s">
        <v>70</v>
      </c>
      <c r="F212" s="50">
        <v>1</v>
      </c>
      <c r="G212" s="51">
        <v>28</v>
      </c>
      <c r="H212" s="51">
        <f t="shared" ref="H212:H218" si="27">F212*G212</f>
        <v>28</v>
      </c>
      <c r="I212" s="50"/>
      <c r="J212" s="50"/>
      <c r="K212" s="50"/>
    </row>
    <row r="213" spans="1:11" s="52" customFormat="1" ht="12">
      <c r="A213" s="22" t="s">
        <v>400</v>
      </c>
      <c r="B213" s="50" t="s">
        <v>460</v>
      </c>
      <c r="C213" s="60" t="s">
        <v>304</v>
      </c>
      <c r="D213" s="50" t="s">
        <v>173</v>
      </c>
      <c r="E213" s="50" t="s">
        <v>70</v>
      </c>
      <c r="F213" s="50">
        <v>2</v>
      </c>
      <c r="G213" s="51">
        <v>110</v>
      </c>
      <c r="H213" s="51">
        <f t="shared" si="27"/>
        <v>220</v>
      </c>
      <c r="I213" s="50"/>
      <c r="J213" s="50"/>
      <c r="K213" s="50"/>
    </row>
    <row r="214" spans="1:11" s="52" customFormat="1" ht="12">
      <c r="A214" s="22" t="s">
        <v>367</v>
      </c>
      <c r="B214" s="50" t="s">
        <v>812</v>
      </c>
      <c r="C214" s="60" t="s">
        <v>282</v>
      </c>
      <c r="D214" s="50" t="s">
        <v>774</v>
      </c>
      <c r="E214" s="50" t="s">
        <v>70</v>
      </c>
      <c r="F214" s="50">
        <v>6</v>
      </c>
      <c r="G214" s="51">
        <v>62</v>
      </c>
      <c r="H214" s="51">
        <f t="shared" si="27"/>
        <v>372</v>
      </c>
      <c r="I214" s="50"/>
      <c r="J214" s="50"/>
      <c r="K214" s="50"/>
    </row>
    <row r="215" spans="1:11" s="52" customFormat="1" ht="12">
      <c r="A215" s="22" t="s">
        <v>368</v>
      </c>
      <c r="B215" s="50" t="s">
        <v>813</v>
      </c>
      <c r="C215" s="60" t="s">
        <v>305</v>
      </c>
      <c r="D215" s="50" t="s">
        <v>776</v>
      </c>
      <c r="E215" s="50" t="s">
        <v>70</v>
      </c>
      <c r="F215" s="50">
        <v>2</v>
      </c>
      <c r="G215" s="51">
        <v>96</v>
      </c>
      <c r="H215" s="51">
        <f t="shared" si="27"/>
        <v>192</v>
      </c>
      <c r="I215" s="50"/>
      <c r="J215" s="50"/>
      <c r="K215" s="50"/>
    </row>
    <row r="216" spans="1:11" s="52" customFormat="1" ht="12">
      <c r="A216" s="22" t="s">
        <v>369</v>
      </c>
      <c r="B216" s="50" t="s">
        <v>814</v>
      </c>
      <c r="C216" s="60" t="s">
        <v>306</v>
      </c>
      <c r="D216" s="50" t="s">
        <v>778</v>
      </c>
      <c r="E216" s="50" t="s">
        <v>49</v>
      </c>
      <c r="F216" s="50">
        <v>8</v>
      </c>
      <c r="G216" s="51">
        <v>7.5</v>
      </c>
      <c r="H216" s="51">
        <f t="shared" si="27"/>
        <v>60</v>
      </c>
      <c r="I216" s="50"/>
      <c r="J216" s="50"/>
      <c r="K216" s="50"/>
    </row>
    <row r="217" spans="1:11" s="52" customFormat="1" ht="12">
      <c r="A217" s="22" t="s">
        <v>370</v>
      </c>
      <c r="B217" s="50" t="s">
        <v>815</v>
      </c>
      <c r="C217" s="60" t="s">
        <v>307</v>
      </c>
      <c r="D217" s="50" t="s">
        <v>780</v>
      </c>
      <c r="E217" s="50" t="s">
        <v>49</v>
      </c>
      <c r="F217" s="50">
        <v>2</v>
      </c>
      <c r="G217" s="51">
        <v>7.5</v>
      </c>
      <c r="H217" s="51">
        <f t="shared" si="27"/>
        <v>15</v>
      </c>
      <c r="I217" s="50"/>
      <c r="J217" s="50"/>
      <c r="K217" s="50"/>
    </row>
    <row r="218" spans="1:11" s="52" customFormat="1" ht="12">
      <c r="A218" s="22" t="s">
        <v>371</v>
      </c>
      <c r="B218" s="50" t="s">
        <v>816</v>
      </c>
      <c r="C218" s="60" t="s">
        <v>302</v>
      </c>
      <c r="D218" s="50" t="s">
        <v>786</v>
      </c>
      <c r="E218" s="50" t="s">
        <v>70</v>
      </c>
      <c r="F218" s="50">
        <v>2</v>
      </c>
      <c r="G218" s="51">
        <v>55</v>
      </c>
      <c r="H218" s="51">
        <f t="shared" si="27"/>
        <v>110</v>
      </c>
      <c r="I218" s="50"/>
      <c r="J218" s="50"/>
      <c r="K218" s="50"/>
    </row>
    <row r="219" spans="1:11" s="52" customFormat="1" ht="12">
      <c r="A219" s="22" t="s">
        <v>372</v>
      </c>
      <c r="B219" s="50" t="s">
        <v>817</v>
      </c>
      <c r="C219" s="60" t="s">
        <v>281</v>
      </c>
      <c r="D219" s="50" t="s">
        <v>788</v>
      </c>
      <c r="E219" s="50" t="s">
        <v>49</v>
      </c>
      <c r="F219" s="50">
        <v>2</v>
      </c>
      <c r="G219" s="51">
        <v>95</v>
      </c>
      <c r="H219" s="51">
        <f t="shared" si="20"/>
        <v>190</v>
      </c>
      <c r="I219" s="50"/>
      <c r="J219" s="50"/>
      <c r="K219" s="50"/>
    </row>
    <row r="220" spans="1:11" s="52" customFormat="1" ht="12">
      <c r="A220" s="22" t="s">
        <v>373</v>
      </c>
      <c r="B220" s="50" t="s">
        <v>818</v>
      </c>
      <c r="C220" s="60" t="s">
        <v>282</v>
      </c>
      <c r="D220" s="50" t="s">
        <v>790</v>
      </c>
      <c r="E220" s="50" t="s">
        <v>49</v>
      </c>
      <c r="F220" s="50">
        <v>4</v>
      </c>
      <c r="G220" s="51">
        <v>55</v>
      </c>
      <c r="H220" s="51">
        <f t="shared" si="20"/>
        <v>220</v>
      </c>
      <c r="I220" s="50"/>
      <c r="J220" s="50"/>
      <c r="K220" s="50"/>
    </row>
    <row r="221" spans="1:11" s="52" customFormat="1" ht="12">
      <c r="A221" s="22" t="s">
        <v>340</v>
      </c>
      <c r="B221" s="50" t="s">
        <v>819</v>
      </c>
      <c r="C221" s="60"/>
      <c r="D221" s="50" t="s">
        <v>790</v>
      </c>
      <c r="E221" s="50" t="s">
        <v>70</v>
      </c>
      <c r="F221" s="50">
        <v>2</v>
      </c>
      <c r="G221" s="51">
        <v>45</v>
      </c>
      <c r="H221" s="51">
        <f t="shared" si="20"/>
        <v>90</v>
      </c>
      <c r="I221" s="50"/>
      <c r="J221" s="50"/>
      <c r="K221" s="50"/>
    </row>
    <row r="222" spans="1:11" s="52" customFormat="1" ht="12">
      <c r="A222" s="22" t="s">
        <v>341</v>
      </c>
      <c r="B222" s="50" t="s">
        <v>820</v>
      </c>
      <c r="C222" s="60"/>
      <c r="D222" s="50" t="s">
        <v>790</v>
      </c>
      <c r="E222" s="50" t="s">
        <v>70</v>
      </c>
      <c r="F222" s="50">
        <v>2</v>
      </c>
      <c r="G222" s="51">
        <v>35</v>
      </c>
      <c r="H222" s="51">
        <f t="shared" si="20"/>
        <v>70</v>
      </c>
      <c r="I222" s="50"/>
      <c r="J222" s="50"/>
      <c r="K222" s="50"/>
    </row>
    <row r="223" spans="1:11" s="52" customFormat="1" ht="12">
      <c r="A223" s="22" t="s">
        <v>342</v>
      </c>
      <c r="B223" s="50" t="s">
        <v>821</v>
      </c>
      <c r="C223" s="60" t="s">
        <v>283</v>
      </c>
      <c r="D223" s="50" t="s">
        <v>790</v>
      </c>
      <c r="E223" s="50" t="s">
        <v>70</v>
      </c>
      <c r="F223" s="50">
        <v>2</v>
      </c>
      <c r="G223" s="51">
        <v>45</v>
      </c>
      <c r="H223" s="51">
        <f t="shared" si="20"/>
        <v>90</v>
      </c>
      <c r="I223" s="50"/>
      <c r="J223" s="50"/>
      <c r="K223" s="50"/>
    </row>
    <row r="224" spans="1:11" s="52" customFormat="1" ht="12">
      <c r="A224" s="22" t="s">
        <v>343</v>
      </c>
      <c r="B224" s="50" t="s">
        <v>822</v>
      </c>
      <c r="C224" s="60" t="s">
        <v>284</v>
      </c>
      <c r="D224" s="50" t="s">
        <v>790</v>
      </c>
      <c r="E224" s="50" t="s">
        <v>49</v>
      </c>
      <c r="F224" s="50">
        <v>2</v>
      </c>
      <c r="G224" s="51">
        <v>15</v>
      </c>
      <c r="H224" s="51">
        <f t="shared" si="20"/>
        <v>30</v>
      </c>
      <c r="I224" s="50"/>
      <c r="J224" s="50"/>
      <c r="K224" s="50"/>
    </row>
    <row r="225" spans="1:11" s="52" customFormat="1" ht="12">
      <c r="A225" s="22" t="s">
        <v>344</v>
      </c>
      <c r="B225" s="50" t="s">
        <v>823</v>
      </c>
      <c r="C225" s="60" t="s">
        <v>285</v>
      </c>
      <c r="D225" s="50" t="s">
        <v>790</v>
      </c>
      <c r="E225" s="50" t="s">
        <v>49</v>
      </c>
      <c r="F225" s="50">
        <v>4</v>
      </c>
      <c r="G225" s="51">
        <v>18</v>
      </c>
      <c r="H225" s="51">
        <f t="shared" si="20"/>
        <v>72</v>
      </c>
      <c r="I225" s="50"/>
      <c r="J225" s="50"/>
      <c r="K225" s="50"/>
    </row>
    <row r="226" spans="1:11" s="52" customFormat="1" ht="12">
      <c r="A226" s="22" t="s">
        <v>345</v>
      </c>
      <c r="B226" s="50" t="s">
        <v>794</v>
      </c>
      <c r="C226" s="60" t="s">
        <v>303</v>
      </c>
      <c r="D226" s="50" t="s">
        <v>790</v>
      </c>
      <c r="E226" s="50" t="s">
        <v>49</v>
      </c>
      <c r="F226" s="50">
        <v>4</v>
      </c>
      <c r="G226" s="51">
        <v>50</v>
      </c>
      <c r="H226" s="51">
        <f t="shared" ref="H226:H294" si="28">F226*G226</f>
        <v>200</v>
      </c>
      <c r="I226" s="50"/>
      <c r="J226" s="50"/>
      <c r="K226" s="50"/>
    </row>
    <row r="227" spans="1:11">
      <c r="A227" s="12"/>
      <c r="B227" s="2" t="s">
        <v>48</v>
      </c>
      <c r="C227" s="59"/>
      <c r="D227" s="2"/>
      <c r="E227" s="2"/>
      <c r="F227" s="2">
        <f>SUM(F212:F226)</f>
        <v>45</v>
      </c>
      <c r="G227" s="10"/>
      <c r="H227" s="10">
        <f t="shared" ref="H227" si="29">SUM(H212:H226)</f>
        <v>1959</v>
      </c>
      <c r="I227" s="2"/>
      <c r="J227" s="2"/>
      <c r="K227" s="2"/>
    </row>
    <row r="228" spans="1:11">
      <c r="A228" s="12"/>
      <c r="B228" s="2"/>
      <c r="C228" s="59"/>
      <c r="D228" s="2"/>
      <c r="E228" s="2"/>
      <c r="F228" s="2"/>
      <c r="G228" s="10"/>
      <c r="H228" s="10"/>
      <c r="I228" s="2"/>
      <c r="J228" s="2"/>
      <c r="K228" s="2"/>
    </row>
    <row r="229" spans="1:11">
      <c r="A229" s="12" t="s">
        <v>401</v>
      </c>
      <c r="B229" s="2" t="str">
        <f>投资估算表!C32</f>
        <v>消声瓦制造车间</v>
      </c>
      <c r="C229" s="59"/>
      <c r="D229" s="2"/>
      <c r="E229" s="2"/>
      <c r="F229" s="2"/>
      <c r="G229" s="10"/>
      <c r="H229" s="10"/>
      <c r="I229" s="2"/>
      <c r="J229" s="2"/>
      <c r="K229" s="2"/>
    </row>
    <row r="230" spans="1:11" s="52" customFormat="1" ht="12">
      <c r="A230" s="22" t="s">
        <v>540</v>
      </c>
      <c r="B230" s="50" t="s">
        <v>110</v>
      </c>
      <c r="C230" s="60" t="s">
        <v>286</v>
      </c>
      <c r="D230" s="50" t="s">
        <v>173</v>
      </c>
      <c r="E230" s="50" t="s">
        <v>49</v>
      </c>
      <c r="F230" s="50">
        <v>1</v>
      </c>
      <c r="G230" s="51">
        <v>16</v>
      </c>
      <c r="H230" s="51">
        <f t="shared" si="28"/>
        <v>16</v>
      </c>
      <c r="I230" s="50"/>
      <c r="J230" s="50"/>
      <c r="K230" s="50"/>
    </row>
    <row r="231" spans="1:11" s="52" customFormat="1" ht="12">
      <c r="A231" s="22" t="s">
        <v>541</v>
      </c>
      <c r="B231" s="50" t="s">
        <v>458</v>
      </c>
      <c r="C231" s="60" t="s">
        <v>287</v>
      </c>
      <c r="D231" s="50" t="s">
        <v>173</v>
      </c>
      <c r="E231" s="50" t="s">
        <v>49</v>
      </c>
      <c r="F231" s="50">
        <v>2</v>
      </c>
      <c r="G231" s="51">
        <v>8</v>
      </c>
      <c r="H231" s="51">
        <f t="shared" si="28"/>
        <v>16</v>
      </c>
      <c r="I231" s="50"/>
      <c r="J231" s="50"/>
      <c r="K231" s="50"/>
    </row>
    <row r="232" spans="1:11" s="52" customFormat="1" ht="12">
      <c r="A232" s="22" t="s">
        <v>346</v>
      </c>
      <c r="B232" s="50" t="s">
        <v>795</v>
      </c>
      <c r="C232" s="60" t="s">
        <v>288</v>
      </c>
      <c r="D232" s="50" t="s">
        <v>774</v>
      </c>
      <c r="E232" s="50" t="s">
        <v>49</v>
      </c>
      <c r="F232" s="50">
        <v>2</v>
      </c>
      <c r="G232" s="51">
        <v>7</v>
      </c>
      <c r="H232" s="51">
        <f t="shared" si="28"/>
        <v>14</v>
      </c>
      <c r="I232" s="50"/>
      <c r="J232" s="50"/>
      <c r="K232" s="50"/>
    </row>
    <row r="233" spans="1:11" s="52" customFormat="1" ht="12">
      <c r="A233" s="22" t="s">
        <v>347</v>
      </c>
      <c r="B233" s="50" t="s">
        <v>796</v>
      </c>
      <c r="C233" s="60" t="s">
        <v>289</v>
      </c>
      <c r="D233" s="50" t="s">
        <v>776</v>
      </c>
      <c r="E233" s="50" t="s">
        <v>290</v>
      </c>
      <c r="F233" s="50">
        <v>8</v>
      </c>
      <c r="G233" s="51">
        <v>1.5</v>
      </c>
      <c r="H233" s="51">
        <f t="shared" si="28"/>
        <v>12</v>
      </c>
      <c r="I233" s="50"/>
      <c r="J233" s="50"/>
      <c r="K233" s="50"/>
    </row>
    <row r="234" spans="1:11" s="52" customFormat="1" ht="12">
      <c r="A234" s="22" t="s">
        <v>348</v>
      </c>
      <c r="B234" s="50" t="s">
        <v>797</v>
      </c>
      <c r="C234" s="60" t="s">
        <v>291</v>
      </c>
      <c r="D234" s="50" t="s">
        <v>778</v>
      </c>
      <c r="E234" s="50" t="s">
        <v>290</v>
      </c>
      <c r="F234" s="50">
        <v>12</v>
      </c>
      <c r="G234" s="51">
        <v>1.2</v>
      </c>
      <c r="H234" s="51">
        <f t="shared" si="28"/>
        <v>14.399999999999999</v>
      </c>
      <c r="I234" s="50"/>
      <c r="J234" s="50"/>
      <c r="K234" s="50"/>
    </row>
    <row r="235" spans="1:11" s="52" customFormat="1" ht="12">
      <c r="A235" s="22" t="s">
        <v>349</v>
      </c>
      <c r="B235" s="50" t="s">
        <v>798</v>
      </c>
      <c r="C235" s="60"/>
      <c r="D235" s="50" t="s">
        <v>780</v>
      </c>
      <c r="E235" s="50" t="s">
        <v>290</v>
      </c>
      <c r="F235" s="50">
        <v>4</v>
      </c>
      <c r="G235" s="51">
        <v>0.5</v>
      </c>
      <c r="H235" s="51">
        <f t="shared" si="28"/>
        <v>2</v>
      </c>
      <c r="I235" s="50"/>
      <c r="J235" s="50"/>
      <c r="K235" s="50"/>
    </row>
    <row r="236" spans="1:11" s="52" customFormat="1" ht="12">
      <c r="A236" s="22" t="s">
        <v>350</v>
      </c>
      <c r="B236" s="50" t="s">
        <v>799</v>
      </c>
      <c r="C236" s="60"/>
      <c r="D236" s="50" t="s">
        <v>786</v>
      </c>
      <c r="E236" s="50" t="s">
        <v>290</v>
      </c>
      <c r="F236" s="50">
        <v>4</v>
      </c>
      <c r="G236" s="51">
        <v>0.3</v>
      </c>
      <c r="H236" s="51">
        <f t="shared" si="28"/>
        <v>1.2</v>
      </c>
      <c r="I236" s="50"/>
      <c r="J236" s="50"/>
      <c r="K236" s="50"/>
    </row>
    <row r="237" spans="1:11" s="52" customFormat="1" ht="12">
      <c r="A237" s="22" t="s">
        <v>351</v>
      </c>
      <c r="B237" s="50" t="s">
        <v>800</v>
      </c>
      <c r="C237" s="60"/>
      <c r="D237" s="50" t="s">
        <v>788</v>
      </c>
      <c r="E237" s="50" t="s">
        <v>49</v>
      </c>
      <c r="F237" s="50">
        <v>8</v>
      </c>
      <c r="G237" s="51">
        <v>1.5</v>
      </c>
      <c r="H237" s="51">
        <f t="shared" si="28"/>
        <v>12</v>
      </c>
      <c r="I237" s="50"/>
      <c r="J237" s="50"/>
      <c r="K237" s="50"/>
    </row>
    <row r="238" spans="1:11" s="52" customFormat="1" ht="12">
      <c r="A238" s="22" t="s">
        <v>352</v>
      </c>
      <c r="B238" s="50" t="s">
        <v>801</v>
      </c>
      <c r="C238" s="60"/>
      <c r="D238" s="50" t="s">
        <v>790</v>
      </c>
      <c r="E238" s="50" t="s">
        <v>49</v>
      </c>
      <c r="F238" s="50">
        <v>4</v>
      </c>
      <c r="G238" s="51">
        <v>8</v>
      </c>
      <c r="H238" s="51">
        <f t="shared" si="28"/>
        <v>32</v>
      </c>
      <c r="I238" s="50"/>
      <c r="J238" s="50"/>
      <c r="K238" s="50"/>
    </row>
    <row r="239" spans="1:11" s="52" customFormat="1" ht="12">
      <c r="A239" s="22" t="s">
        <v>353</v>
      </c>
      <c r="B239" s="50" t="s">
        <v>802</v>
      </c>
      <c r="C239" s="60" t="s">
        <v>292</v>
      </c>
      <c r="D239" s="50" t="s">
        <v>790</v>
      </c>
      <c r="E239" s="50" t="s">
        <v>293</v>
      </c>
      <c r="F239" s="50">
        <v>1</v>
      </c>
      <c r="G239" s="51">
        <v>28</v>
      </c>
      <c r="H239" s="51">
        <f t="shared" ref="H239:H248" si="30">F239*G239</f>
        <v>28</v>
      </c>
      <c r="I239" s="50"/>
      <c r="J239" s="50"/>
      <c r="K239" s="50"/>
    </row>
    <row r="240" spans="1:11" s="52" customFormat="1" ht="12">
      <c r="A240" s="22" t="s">
        <v>354</v>
      </c>
      <c r="B240" s="50" t="s">
        <v>803</v>
      </c>
      <c r="C240" s="60" t="s">
        <v>294</v>
      </c>
      <c r="D240" s="50" t="s">
        <v>790</v>
      </c>
      <c r="E240" s="50" t="s">
        <v>49</v>
      </c>
      <c r="F240" s="50">
        <v>2</v>
      </c>
      <c r="G240" s="51">
        <v>2.5</v>
      </c>
      <c r="H240" s="51">
        <f t="shared" si="30"/>
        <v>5</v>
      </c>
      <c r="I240" s="50"/>
      <c r="J240" s="50"/>
      <c r="K240" s="50"/>
    </row>
    <row r="241" spans="1:11" s="52" customFormat="1" ht="12">
      <c r="A241" s="22" t="s">
        <v>355</v>
      </c>
      <c r="B241" s="50" t="s">
        <v>804</v>
      </c>
      <c r="C241" s="60" t="s">
        <v>294</v>
      </c>
      <c r="D241" s="50" t="s">
        <v>790</v>
      </c>
      <c r="E241" s="50" t="s">
        <v>49</v>
      </c>
      <c r="F241" s="50">
        <v>2</v>
      </c>
      <c r="G241" s="51">
        <v>3.5</v>
      </c>
      <c r="H241" s="51">
        <f t="shared" si="30"/>
        <v>7</v>
      </c>
      <c r="I241" s="50"/>
      <c r="J241" s="50"/>
      <c r="K241" s="50"/>
    </row>
    <row r="242" spans="1:11" s="52" customFormat="1" ht="12">
      <c r="A242" s="22" t="s">
        <v>356</v>
      </c>
      <c r="B242" s="50" t="s">
        <v>805</v>
      </c>
      <c r="C242" s="60" t="s">
        <v>295</v>
      </c>
      <c r="D242" s="50" t="s">
        <v>790</v>
      </c>
      <c r="E242" s="50" t="s">
        <v>49</v>
      </c>
      <c r="F242" s="50">
        <v>2</v>
      </c>
      <c r="G242" s="51">
        <v>3</v>
      </c>
      <c r="H242" s="51">
        <f t="shared" si="30"/>
        <v>6</v>
      </c>
      <c r="I242" s="50"/>
      <c r="J242" s="50"/>
      <c r="K242" s="50"/>
    </row>
    <row r="243" spans="1:11" s="52" customFormat="1" ht="12">
      <c r="A243" s="22" t="s">
        <v>357</v>
      </c>
      <c r="B243" s="50" t="s">
        <v>806</v>
      </c>
      <c r="C243" s="60" t="s">
        <v>296</v>
      </c>
      <c r="D243" s="50" t="s">
        <v>790</v>
      </c>
      <c r="E243" s="50" t="s">
        <v>49</v>
      </c>
      <c r="F243" s="50">
        <v>2</v>
      </c>
      <c r="G243" s="51">
        <v>18</v>
      </c>
      <c r="H243" s="51">
        <f t="shared" si="30"/>
        <v>36</v>
      </c>
      <c r="I243" s="50"/>
      <c r="J243" s="50"/>
      <c r="K243" s="50"/>
    </row>
    <row r="244" spans="1:11" s="52" customFormat="1" ht="12">
      <c r="A244" s="22" t="s">
        <v>358</v>
      </c>
      <c r="B244" s="50" t="s">
        <v>807</v>
      </c>
      <c r="C244" s="60" t="s">
        <v>297</v>
      </c>
      <c r="D244" s="50" t="s">
        <v>790</v>
      </c>
      <c r="E244" s="50" t="s">
        <v>70</v>
      </c>
      <c r="F244" s="50">
        <v>2</v>
      </c>
      <c r="G244" s="51">
        <v>7.5</v>
      </c>
      <c r="H244" s="51">
        <f t="shared" si="30"/>
        <v>15</v>
      </c>
      <c r="I244" s="50"/>
      <c r="J244" s="50"/>
      <c r="K244" s="50"/>
    </row>
    <row r="245" spans="1:11" s="52" customFormat="1" ht="12">
      <c r="A245" s="22" t="s">
        <v>359</v>
      </c>
      <c r="B245" s="50" t="s">
        <v>808</v>
      </c>
      <c r="C245" s="60" t="s">
        <v>298</v>
      </c>
      <c r="D245" s="50" t="s">
        <v>790</v>
      </c>
      <c r="E245" s="50" t="s">
        <v>49</v>
      </c>
      <c r="F245" s="50">
        <v>2</v>
      </c>
      <c r="G245" s="51">
        <v>4.5</v>
      </c>
      <c r="H245" s="51">
        <f t="shared" si="30"/>
        <v>9</v>
      </c>
      <c r="I245" s="50"/>
      <c r="J245" s="50"/>
      <c r="K245" s="50"/>
    </row>
    <row r="246" spans="1:11" s="52" customFormat="1" ht="12">
      <c r="A246" s="22" t="s">
        <v>360</v>
      </c>
      <c r="B246" s="50" t="s">
        <v>809</v>
      </c>
      <c r="C246" s="60" t="s">
        <v>299</v>
      </c>
      <c r="D246" s="50" t="s">
        <v>790</v>
      </c>
      <c r="E246" s="50" t="s">
        <v>49</v>
      </c>
      <c r="F246" s="50">
        <v>1</v>
      </c>
      <c r="G246" s="51">
        <v>26</v>
      </c>
      <c r="H246" s="51">
        <f t="shared" si="30"/>
        <v>26</v>
      </c>
      <c r="I246" s="50"/>
      <c r="J246" s="50"/>
      <c r="K246" s="50"/>
    </row>
    <row r="247" spans="1:11" s="52" customFormat="1" ht="12">
      <c r="A247" s="22" t="s">
        <v>361</v>
      </c>
      <c r="B247" s="50" t="s">
        <v>810</v>
      </c>
      <c r="C247" s="60" t="s">
        <v>300</v>
      </c>
      <c r="D247" s="50" t="s">
        <v>790</v>
      </c>
      <c r="E247" s="50" t="s">
        <v>70</v>
      </c>
      <c r="F247" s="50">
        <v>1</v>
      </c>
      <c r="G247" s="51">
        <v>200</v>
      </c>
      <c r="H247" s="51">
        <f t="shared" si="30"/>
        <v>200</v>
      </c>
      <c r="I247" s="50"/>
      <c r="J247" s="50"/>
      <c r="K247" s="50"/>
    </row>
    <row r="248" spans="1:11" s="52" customFormat="1" ht="12">
      <c r="A248" s="22" t="s">
        <v>557</v>
      </c>
      <c r="B248" s="50" t="s">
        <v>811</v>
      </c>
      <c r="C248" s="60" t="s">
        <v>301</v>
      </c>
      <c r="D248" s="50" t="s">
        <v>790</v>
      </c>
      <c r="E248" s="50" t="s">
        <v>70</v>
      </c>
      <c r="F248" s="50">
        <v>1</v>
      </c>
      <c r="G248" s="51">
        <v>28</v>
      </c>
      <c r="H248" s="51">
        <f t="shared" si="30"/>
        <v>28</v>
      </c>
      <c r="I248" s="50"/>
      <c r="J248" s="50"/>
      <c r="K248" s="50"/>
    </row>
    <row r="249" spans="1:11">
      <c r="A249" s="12"/>
      <c r="B249" s="2" t="s">
        <v>48</v>
      </c>
      <c r="C249" s="59"/>
      <c r="D249" s="2"/>
      <c r="E249" s="2"/>
      <c r="F249" s="2">
        <f>SUM(F230:F248)</f>
        <v>61</v>
      </c>
      <c r="G249" s="10"/>
      <c r="H249" s="10">
        <f t="shared" ref="H249" si="31">SUM(H230:H248)</f>
        <v>479.6</v>
      </c>
      <c r="I249" s="2"/>
      <c r="J249" s="2"/>
      <c r="K249" s="2"/>
    </row>
    <row r="250" spans="1:11">
      <c r="A250" s="12"/>
      <c r="B250" s="2"/>
      <c r="C250" s="59"/>
      <c r="D250" s="2"/>
      <c r="E250" s="2"/>
      <c r="F250" s="2"/>
      <c r="G250" s="10"/>
      <c r="H250" s="10"/>
      <c r="I250" s="2"/>
      <c r="J250" s="2"/>
      <c r="K250" s="2"/>
    </row>
    <row r="251" spans="1:11" s="3" customFormat="1">
      <c r="A251" s="21"/>
      <c r="B251" s="7" t="s">
        <v>515</v>
      </c>
      <c r="C251" s="58"/>
      <c r="D251" s="7"/>
      <c r="E251" s="7"/>
      <c r="F251" s="7">
        <f>F249+F227+F209</f>
        <v>108</v>
      </c>
      <c r="G251" s="9"/>
      <c r="H251" s="9">
        <f t="shared" ref="H251" si="32">H249+H227+H209</f>
        <v>2678.6</v>
      </c>
      <c r="I251" s="7"/>
      <c r="J251" s="7"/>
      <c r="K251" s="7"/>
    </row>
    <row r="252" spans="1:11">
      <c r="A252" s="12"/>
      <c r="B252" s="2"/>
      <c r="C252" s="59"/>
      <c r="D252" s="2"/>
      <c r="E252" s="2"/>
      <c r="F252" s="2"/>
      <c r="G252" s="10"/>
      <c r="H252" s="10"/>
      <c r="I252" s="2"/>
      <c r="J252" s="2"/>
      <c r="K252" s="2"/>
    </row>
    <row r="253" spans="1:11" s="3" customFormat="1">
      <c r="A253" s="21" t="s">
        <v>246</v>
      </c>
      <c r="B253" s="7" t="str">
        <f>投资估算表!C33</f>
        <v>舾装中心</v>
      </c>
      <c r="C253" s="58"/>
      <c r="D253" s="7"/>
      <c r="E253" s="7"/>
      <c r="F253" s="7"/>
      <c r="G253" s="9"/>
      <c r="H253" s="9"/>
      <c r="I253" s="7"/>
      <c r="J253" s="7"/>
      <c r="K253" s="7"/>
    </row>
    <row r="254" spans="1:11">
      <c r="A254" s="12" t="s">
        <v>397</v>
      </c>
      <c r="B254" s="2" t="str">
        <f>投资估算表!C34</f>
        <v>管装车间</v>
      </c>
      <c r="C254" s="59"/>
      <c r="D254" s="2"/>
      <c r="E254" s="2"/>
      <c r="F254" s="2"/>
      <c r="G254" s="10"/>
      <c r="H254" s="10"/>
      <c r="I254" s="2"/>
      <c r="J254" s="2"/>
      <c r="K254" s="2"/>
    </row>
    <row r="255" spans="1:11" s="52" customFormat="1" ht="12">
      <c r="A255" s="22" t="s">
        <v>402</v>
      </c>
      <c r="B255" s="50" t="s">
        <v>461</v>
      </c>
      <c r="C255" s="60" t="s">
        <v>403</v>
      </c>
      <c r="D255" s="50" t="s">
        <v>173</v>
      </c>
      <c r="E255" s="50" t="s">
        <v>49</v>
      </c>
      <c r="F255" s="50">
        <v>3</v>
      </c>
      <c r="G255" s="51">
        <v>12</v>
      </c>
      <c r="H255" s="51">
        <f t="shared" si="28"/>
        <v>36</v>
      </c>
      <c r="I255" s="50"/>
      <c r="J255" s="50"/>
      <c r="K255" s="50"/>
    </row>
    <row r="256" spans="1:11" s="52" customFormat="1" ht="12">
      <c r="A256" s="22" t="s">
        <v>415</v>
      </c>
      <c r="B256" s="50" t="s">
        <v>462</v>
      </c>
      <c r="C256" s="60" t="s">
        <v>404</v>
      </c>
      <c r="D256" s="50" t="s">
        <v>173</v>
      </c>
      <c r="E256" s="50" t="s">
        <v>49</v>
      </c>
      <c r="F256" s="50">
        <v>3</v>
      </c>
      <c r="G256" s="51">
        <v>4</v>
      </c>
      <c r="H256" s="51">
        <f t="shared" si="28"/>
        <v>12</v>
      </c>
      <c r="I256" s="50"/>
      <c r="J256" s="50"/>
      <c r="K256" s="50"/>
    </row>
    <row r="257" spans="1:11" s="52" customFormat="1" ht="12">
      <c r="A257" s="22" t="s">
        <v>374</v>
      </c>
      <c r="B257" s="50" t="s">
        <v>781</v>
      </c>
      <c r="C257" s="60" t="s">
        <v>405</v>
      </c>
      <c r="D257" s="50" t="s">
        <v>774</v>
      </c>
      <c r="E257" s="50" t="s">
        <v>72</v>
      </c>
      <c r="F257" s="50">
        <v>8</v>
      </c>
      <c r="G257" s="51">
        <v>6</v>
      </c>
      <c r="H257" s="51">
        <f t="shared" si="28"/>
        <v>48</v>
      </c>
      <c r="I257" s="50"/>
      <c r="J257" s="50"/>
      <c r="K257" s="50"/>
    </row>
    <row r="258" spans="1:11" s="52" customFormat="1" ht="12">
      <c r="A258" s="22" t="s">
        <v>375</v>
      </c>
      <c r="B258" s="50" t="s">
        <v>782</v>
      </c>
      <c r="C258" s="60"/>
      <c r="D258" s="50" t="s">
        <v>776</v>
      </c>
      <c r="E258" s="50" t="s">
        <v>49</v>
      </c>
      <c r="F258" s="50">
        <v>1</v>
      </c>
      <c r="G258" s="51">
        <v>20</v>
      </c>
      <c r="H258" s="51">
        <f t="shared" si="28"/>
        <v>20</v>
      </c>
      <c r="I258" s="50"/>
      <c r="J258" s="50"/>
      <c r="K258" s="50"/>
    </row>
    <row r="259" spans="1:11" s="52" customFormat="1" ht="12">
      <c r="A259" s="22" t="s">
        <v>376</v>
      </c>
      <c r="B259" s="50" t="s">
        <v>783</v>
      </c>
      <c r="C259" s="60" t="s">
        <v>406</v>
      </c>
      <c r="D259" s="50" t="s">
        <v>778</v>
      </c>
      <c r="E259" s="50" t="s">
        <v>49</v>
      </c>
      <c r="F259" s="50">
        <v>4</v>
      </c>
      <c r="G259" s="51">
        <v>10</v>
      </c>
      <c r="H259" s="51">
        <f t="shared" si="28"/>
        <v>40</v>
      </c>
      <c r="I259" s="50"/>
      <c r="J259" s="50"/>
      <c r="K259" s="50"/>
    </row>
    <row r="260" spans="1:11" s="52" customFormat="1" ht="24">
      <c r="A260" s="22" t="s">
        <v>377</v>
      </c>
      <c r="B260" s="50" t="s">
        <v>784</v>
      </c>
      <c r="C260" s="60" t="s">
        <v>407</v>
      </c>
      <c r="D260" s="50" t="s">
        <v>780</v>
      </c>
      <c r="E260" s="50" t="s">
        <v>49</v>
      </c>
      <c r="F260" s="50">
        <v>2</v>
      </c>
      <c r="G260" s="51">
        <v>4.5</v>
      </c>
      <c r="H260" s="51">
        <f t="shared" si="28"/>
        <v>9</v>
      </c>
      <c r="I260" s="50"/>
      <c r="J260" s="50"/>
      <c r="K260" s="50"/>
    </row>
    <row r="261" spans="1:11" s="52" customFormat="1" ht="12">
      <c r="A261" s="22" t="s">
        <v>378</v>
      </c>
      <c r="B261" s="50" t="s">
        <v>785</v>
      </c>
      <c r="C261" s="60"/>
      <c r="D261" s="50" t="s">
        <v>786</v>
      </c>
      <c r="E261" s="50" t="s">
        <v>49</v>
      </c>
      <c r="F261" s="50">
        <v>1</v>
      </c>
      <c r="G261" s="51">
        <v>42</v>
      </c>
      <c r="H261" s="51">
        <f t="shared" si="28"/>
        <v>42</v>
      </c>
      <c r="I261" s="50"/>
      <c r="J261" s="50"/>
      <c r="K261" s="50"/>
    </row>
    <row r="262" spans="1:11" s="52" customFormat="1" ht="12">
      <c r="A262" s="22" t="s">
        <v>379</v>
      </c>
      <c r="B262" s="50" t="s">
        <v>787</v>
      </c>
      <c r="C262" s="60" t="s">
        <v>75</v>
      </c>
      <c r="D262" s="50" t="s">
        <v>788</v>
      </c>
      <c r="E262" s="50" t="s">
        <v>49</v>
      </c>
      <c r="F262" s="50">
        <v>10</v>
      </c>
      <c r="G262" s="51">
        <v>5</v>
      </c>
      <c r="H262" s="51">
        <f t="shared" si="28"/>
        <v>50</v>
      </c>
      <c r="I262" s="50"/>
      <c r="J262" s="50"/>
      <c r="K262" s="50"/>
    </row>
    <row r="263" spans="1:11" s="52" customFormat="1" ht="12">
      <c r="A263" s="22" t="s">
        <v>380</v>
      </c>
      <c r="B263" s="50" t="s">
        <v>789</v>
      </c>
      <c r="C263" s="60" t="s">
        <v>308</v>
      </c>
      <c r="D263" s="50" t="s">
        <v>790</v>
      </c>
      <c r="E263" s="50" t="s">
        <v>49</v>
      </c>
      <c r="F263" s="50">
        <v>16</v>
      </c>
      <c r="G263" s="51">
        <v>2.5</v>
      </c>
      <c r="H263" s="51">
        <f t="shared" si="28"/>
        <v>40</v>
      </c>
      <c r="I263" s="50"/>
      <c r="J263" s="50"/>
      <c r="K263" s="50"/>
    </row>
    <row r="264" spans="1:11" s="52" customFormat="1" ht="12">
      <c r="A264" s="22" t="s">
        <v>381</v>
      </c>
      <c r="B264" s="50" t="s">
        <v>791</v>
      </c>
      <c r="C264" s="60"/>
      <c r="D264" s="50" t="s">
        <v>790</v>
      </c>
      <c r="E264" s="50" t="s">
        <v>72</v>
      </c>
      <c r="F264" s="50">
        <v>16</v>
      </c>
      <c r="G264" s="51">
        <v>6</v>
      </c>
      <c r="H264" s="51">
        <f t="shared" si="28"/>
        <v>96</v>
      </c>
      <c r="I264" s="50"/>
      <c r="J264" s="50"/>
      <c r="K264" s="50"/>
    </row>
    <row r="265" spans="1:11" s="52" customFormat="1" ht="12">
      <c r="A265" s="22" t="s">
        <v>382</v>
      </c>
      <c r="B265" s="50" t="s">
        <v>792</v>
      </c>
      <c r="C265" s="60" t="s">
        <v>74</v>
      </c>
      <c r="D265" s="50" t="s">
        <v>790</v>
      </c>
      <c r="E265" s="50" t="s">
        <v>49</v>
      </c>
      <c r="F265" s="50">
        <v>10</v>
      </c>
      <c r="G265" s="51">
        <v>2.5</v>
      </c>
      <c r="H265" s="51">
        <f t="shared" si="28"/>
        <v>25</v>
      </c>
      <c r="I265" s="50"/>
      <c r="J265" s="50"/>
      <c r="K265" s="50"/>
    </row>
    <row r="266" spans="1:11" s="52" customFormat="1" ht="12">
      <c r="A266" s="22" t="s">
        <v>383</v>
      </c>
      <c r="B266" s="50" t="s">
        <v>793</v>
      </c>
      <c r="C266" s="60" t="s">
        <v>408</v>
      </c>
      <c r="D266" s="50" t="s">
        <v>790</v>
      </c>
      <c r="E266" s="50" t="s">
        <v>49</v>
      </c>
      <c r="F266" s="50">
        <v>3</v>
      </c>
      <c r="G266" s="51">
        <v>1</v>
      </c>
      <c r="H266" s="51">
        <f t="shared" si="28"/>
        <v>3</v>
      </c>
      <c r="I266" s="50"/>
      <c r="J266" s="50"/>
      <c r="K266" s="50"/>
    </row>
    <row r="267" spans="1:11" s="52" customFormat="1" ht="12">
      <c r="A267" s="22" t="s">
        <v>384</v>
      </c>
      <c r="B267" s="50" t="s">
        <v>794</v>
      </c>
      <c r="C267" s="60" t="s">
        <v>309</v>
      </c>
      <c r="D267" s="50" t="s">
        <v>790</v>
      </c>
      <c r="E267" s="50" t="s">
        <v>49</v>
      </c>
      <c r="F267" s="50">
        <v>2</v>
      </c>
      <c r="G267" s="51">
        <v>160</v>
      </c>
      <c r="H267" s="51">
        <f t="shared" si="28"/>
        <v>320</v>
      </c>
      <c r="I267" s="50"/>
      <c r="J267" s="50"/>
      <c r="K267" s="50"/>
    </row>
    <row r="268" spans="1:11" s="52" customFormat="1" ht="12">
      <c r="A268" s="22" t="s">
        <v>385</v>
      </c>
      <c r="B268" s="50" t="s">
        <v>794</v>
      </c>
      <c r="C268" s="60" t="s">
        <v>310</v>
      </c>
      <c r="D268" s="50" t="s">
        <v>790</v>
      </c>
      <c r="E268" s="50" t="s">
        <v>49</v>
      </c>
      <c r="F268" s="50">
        <v>2</v>
      </c>
      <c r="G268" s="51">
        <v>100</v>
      </c>
      <c r="H268" s="51">
        <f t="shared" si="28"/>
        <v>200</v>
      </c>
      <c r="I268" s="50"/>
      <c r="J268" s="50"/>
      <c r="K268" s="50"/>
    </row>
    <row r="269" spans="1:11">
      <c r="A269" s="12"/>
      <c r="B269" s="2" t="s">
        <v>48</v>
      </c>
      <c r="C269" s="59"/>
      <c r="D269" s="2"/>
      <c r="E269" s="2"/>
      <c r="F269" s="2">
        <f>SUM(F255:F268)</f>
        <v>81</v>
      </c>
      <c r="G269" s="10"/>
      <c r="H269" s="10">
        <f t="shared" ref="H269" si="33">SUM(H255:H268)</f>
        <v>941</v>
      </c>
      <c r="I269" s="2"/>
      <c r="J269" s="2"/>
      <c r="K269" s="2"/>
    </row>
    <row r="270" spans="1:11">
      <c r="A270" s="12"/>
      <c r="B270" s="2"/>
      <c r="C270" s="59"/>
      <c r="D270" s="2"/>
      <c r="E270" s="2"/>
      <c r="F270" s="2"/>
      <c r="G270" s="10"/>
      <c r="H270" s="10"/>
      <c r="I270" s="2"/>
      <c r="J270" s="2"/>
      <c r="K270" s="2"/>
    </row>
    <row r="271" spans="1:11">
      <c r="A271" s="12" t="s">
        <v>409</v>
      </c>
      <c r="B271" s="2" t="s">
        <v>177</v>
      </c>
      <c r="C271" s="59"/>
      <c r="D271" s="2"/>
      <c r="E271" s="2"/>
      <c r="F271" s="2"/>
      <c r="G271" s="10"/>
      <c r="H271" s="10"/>
      <c r="I271" s="2"/>
      <c r="J271" s="2"/>
      <c r="K271" s="2"/>
    </row>
    <row r="272" spans="1:11" s="52" customFormat="1" ht="12">
      <c r="A272" s="22" t="s">
        <v>399</v>
      </c>
      <c r="B272" s="50" t="s">
        <v>463</v>
      </c>
      <c r="C272" s="60"/>
      <c r="D272" s="50" t="s">
        <v>173</v>
      </c>
      <c r="E272" s="50" t="s">
        <v>72</v>
      </c>
      <c r="F272" s="50">
        <v>10</v>
      </c>
      <c r="G272" s="51">
        <v>1</v>
      </c>
      <c r="H272" s="51">
        <f t="shared" si="28"/>
        <v>10</v>
      </c>
      <c r="I272" s="50"/>
      <c r="J272" s="50"/>
      <c r="K272" s="50"/>
    </row>
    <row r="273" spans="1:11" s="52" customFormat="1" ht="12">
      <c r="A273" s="22" t="s">
        <v>400</v>
      </c>
      <c r="B273" s="50" t="s">
        <v>464</v>
      </c>
      <c r="C273" s="60"/>
      <c r="D273" s="50" t="s">
        <v>173</v>
      </c>
      <c r="E273" s="50" t="s">
        <v>49</v>
      </c>
      <c r="F273" s="50">
        <v>5</v>
      </c>
      <c r="G273" s="51">
        <v>1</v>
      </c>
      <c r="H273" s="51">
        <f t="shared" si="28"/>
        <v>5</v>
      </c>
      <c r="I273" s="50"/>
      <c r="J273" s="50"/>
      <c r="K273" s="50"/>
    </row>
    <row r="274" spans="1:11" s="52" customFormat="1" ht="12">
      <c r="A274" s="22" t="s">
        <v>367</v>
      </c>
      <c r="B274" s="50" t="s">
        <v>773</v>
      </c>
      <c r="C274" s="60" t="s">
        <v>410</v>
      </c>
      <c r="D274" s="50" t="s">
        <v>774</v>
      </c>
      <c r="E274" s="50" t="s">
        <v>72</v>
      </c>
      <c r="F274" s="50">
        <v>1</v>
      </c>
      <c r="G274" s="51">
        <v>20</v>
      </c>
      <c r="H274" s="51">
        <f t="shared" si="28"/>
        <v>20</v>
      </c>
      <c r="I274" s="50"/>
      <c r="J274" s="50"/>
      <c r="K274" s="50"/>
    </row>
    <row r="275" spans="1:11" s="52" customFormat="1" ht="12">
      <c r="A275" s="22" t="s">
        <v>368</v>
      </c>
      <c r="B275" s="50" t="s">
        <v>775</v>
      </c>
      <c r="C275" s="60" t="s">
        <v>411</v>
      </c>
      <c r="D275" s="50" t="s">
        <v>776</v>
      </c>
      <c r="E275" s="50" t="s">
        <v>70</v>
      </c>
      <c r="F275" s="50">
        <v>1</v>
      </c>
      <c r="G275" s="51">
        <v>30</v>
      </c>
      <c r="H275" s="51">
        <f t="shared" si="28"/>
        <v>30</v>
      </c>
      <c r="I275" s="50"/>
      <c r="J275" s="50"/>
      <c r="K275" s="50"/>
    </row>
    <row r="276" spans="1:11" s="52" customFormat="1" ht="12">
      <c r="A276" s="22" t="s">
        <v>369</v>
      </c>
      <c r="B276" s="50" t="s">
        <v>777</v>
      </c>
      <c r="C276" s="60" t="s">
        <v>311</v>
      </c>
      <c r="D276" s="50" t="s">
        <v>778</v>
      </c>
      <c r="E276" s="50" t="s">
        <v>49</v>
      </c>
      <c r="F276" s="50">
        <v>2</v>
      </c>
      <c r="G276" s="51">
        <v>500</v>
      </c>
      <c r="H276" s="51">
        <f t="shared" si="28"/>
        <v>1000</v>
      </c>
      <c r="I276" s="50"/>
      <c r="J276" s="50"/>
      <c r="K276" s="50"/>
    </row>
    <row r="277" spans="1:11" s="52" customFormat="1" ht="12">
      <c r="A277" s="22" t="s">
        <v>370</v>
      </c>
      <c r="B277" s="50" t="s">
        <v>779</v>
      </c>
      <c r="C277" s="60" t="s">
        <v>312</v>
      </c>
      <c r="D277" s="50" t="s">
        <v>780</v>
      </c>
      <c r="E277" s="50" t="s">
        <v>49</v>
      </c>
      <c r="F277" s="50">
        <v>2</v>
      </c>
      <c r="G277" s="51">
        <v>220</v>
      </c>
      <c r="H277" s="51">
        <f t="shared" si="28"/>
        <v>440</v>
      </c>
      <c r="I277" s="50"/>
      <c r="J277" s="50"/>
      <c r="K277" s="50"/>
    </row>
    <row r="278" spans="1:11">
      <c r="A278" s="12"/>
      <c r="B278" s="2" t="s">
        <v>48</v>
      </c>
      <c r="C278" s="59"/>
      <c r="D278" s="2"/>
      <c r="E278" s="2"/>
      <c r="F278" s="2">
        <f>SUM(F272:F277)</f>
        <v>21</v>
      </c>
      <c r="G278" s="10"/>
      <c r="H278" s="10">
        <f t="shared" ref="H278" si="34">SUM(H272:H277)</f>
        <v>1505</v>
      </c>
      <c r="I278" s="2"/>
      <c r="J278" s="2"/>
      <c r="K278" s="2"/>
    </row>
    <row r="279" spans="1:11" s="6" customFormat="1">
      <c r="A279" s="12"/>
      <c r="B279" s="2"/>
      <c r="C279" s="59"/>
      <c r="D279" s="2"/>
      <c r="E279" s="2"/>
      <c r="F279" s="2"/>
      <c r="G279" s="10"/>
      <c r="H279" s="10"/>
      <c r="I279" s="2"/>
      <c r="J279" s="2"/>
      <c r="K279" s="2"/>
    </row>
    <row r="280" spans="1:11">
      <c r="A280" s="12" t="s">
        <v>389</v>
      </c>
      <c r="B280" s="2" t="str">
        <f>投资估算表!C36</f>
        <v>单元模块制造车间</v>
      </c>
      <c r="C280" s="59"/>
      <c r="D280" s="2"/>
      <c r="E280" s="2"/>
      <c r="F280" s="2"/>
      <c r="G280" s="10"/>
      <c r="H280" s="10"/>
      <c r="I280" s="2"/>
      <c r="J280" s="2"/>
      <c r="K280" s="2"/>
    </row>
    <row r="281" spans="1:11" s="52" customFormat="1" ht="12">
      <c r="A281" s="22" t="s">
        <v>540</v>
      </c>
      <c r="B281" s="50" t="s">
        <v>445</v>
      </c>
      <c r="C281" s="60" t="s">
        <v>772</v>
      </c>
      <c r="D281" s="50" t="s">
        <v>173</v>
      </c>
      <c r="E281" s="50" t="s">
        <v>49</v>
      </c>
      <c r="F281" s="50">
        <v>2</v>
      </c>
      <c r="G281" s="51">
        <v>220</v>
      </c>
      <c r="H281" s="51">
        <f t="shared" ref="H281" si="35">F281*G281</f>
        <v>440</v>
      </c>
      <c r="I281" s="50"/>
      <c r="J281" s="50"/>
      <c r="K281" s="50"/>
    </row>
    <row r="282" spans="1:11">
      <c r="A282" s="12"/>
      <c r="B282" s="2" t="s">
        <v>48</v>
      </c>
      <c r="C282" s="59"/>
      <c r="D282" s="2"/>
      <c r="E282" s="2"/>
      <c r="F282" s="2">
        <f>SUM(F281:F281)</f>
        <v>2</v>
      </c>
      <c r="G282" s="10"/>
      <c r="H282" s="10">
        <f>SUM(H281:H281)</f>
        <v>440</v>
      </c>
      <c r="I282" s="2"/>
      <c r="J282" s="2"/>
      <c r="K282" s="2"/>
    </row>
    <row r="283" spans="1:11">
      <c r="A283" s="12"/>
      <c r="B283" s="2"/>
      <c r="C283" s="59"/>
      <c r="D283" s="2"/>
      <c r="E283" s="2"/>
      <c r="F283" s="2"/>
      <c r="G283" s="10"/>
      <c r="H283" s="10"/>
      <c r="I283" s="2"/>
      <c r="J283" s="2"/>
      <c r="K283" s="2"/>
    </row>
    <row r="284" spans="1:11">
      <c r="A284" s="12">
        <v>4</v>
      </c>
      <c r="B284" s="2" t="s">
        <v>178</v>
      </c>
      <c r="C284" s="59"/>
      <c r="D284" s="2"/>
      <c r="E284" s="2"/>
      <c r="F284" s="2"/>
      <c r="G284" s="10"/>
      <c r="H284" s="10"/>
      <c r="I284" s="2"/>
      <c r="J284" s="2"/>
      <c r="K284" s="2"/>
    </row>
    <row r="285" spans="1:11" s="52" customFormat="1" ht="12">
      <c r="A285" s="22">
        <v>4.0999999999999996</v>
      </c>
      <c r="B285" s="50" t="s">
        <v>445</v>
      </c>
      <c r="C285" s="60" t="s">
        <v>313</v>
      </c>
      <c r="D285" s="50" t="s">
        <v>173</v>
      </c>
      <c r="E285" s="50" t="s">
        <v>49</v>
      </c>
      <c r="F285" s="50">
        <v>2</v>
      </c>
      <c r="G285" s="51">
        <v>85</v>
      </c>
      <c r="H285" s="51">
        <f t="shared" si="28"/>
        <v>170</v>
      </c>
      <c r="I285" s="50"/>
      <c r="J285" s="50"/>
      <c r="K285" s="50"/>
    </row>
    <row r="286" spans="1:11">
      <c r="A286" s="12"/>
      <c r="B286" s="2" t="s">
        <v>48</v>
      </c>
      <c r="C286" s="59"/>
      <c r="D286" s="2"/>
      <c r="E286" s="2"/>
      <c r="F286" s="2">
        <f>SUM(F285:F285)</f>
        <v>2</v>
      </c>
      <c r="G286" s="10"/>
      <c r="H286" s="10">
        <f>SUM(H285:H285)</f>
        <v>170</v>
      </c>
      <c r="I286" s="2"/>
      <c r="J286" s="2"/>
      <c r="K286" s="2"/>
    </row>
    <row r="287" spans="1:11">
      <c r="A287" s="12"/>
      <c r="B287" s="2"/>
      <c r="C287" s="59"/>
      <c r="D287" s="2"/>
      <c r="E287" s="2"/>
      <c r="F287" s="2"/>
      <c r="G287" s="10"/>
      <c r="H287" s="10"/>
      <c r="I287" s="2"/>
      <c r="J287" s="2"/>
      <c r="K287" s="2"/>
    </row>
    <row r="288" spans="1:11">
      <c r="A288" s="12">
        <v>5</v>
      </c>
      <c r="B288" s="2" t="s">
        <v>179</v>
      </c>
      <c r="C288" s="59"/>
      <c r="D288" s="2"/>
      <c r="E288" s="2"/>
      <c r="F288" s="2"/>
      <c r="G288" s="10"/>
      <c r="H288" s="10"/>
      <c r="I288" s="2"/>
      <c r="J288" s="2"/>
      <c r="K288" s="2"/>
    </row>
    <row r="289" spans="1:11" s="52" customFormat="1" ht="12">
      <c r="A289" s="22">
        <v>5.0999999999999996</v>
      </c>
      <c r="B289" s="50" t="s">
        <v>767</v>
      </c>
      <c r="C289" s="60"/>
      <c r="D289" s="50" t="s">
        <v>173</v>
      </c>
      <c r="E289" s="50" t="s">
        <v>70</v>
      </c>
      <c r="F289" s="50">
        <v>1</v>
      </c>
      <c r="G289" s="51">
        <v>500</v>
      </c>
      <c r="H289" s="51">
        <f t="shared" si="28"/>
        <v>500</v>
      </c>
      <c r="I289" s="50"/>
      <c r="J289" s="50"/>
      <c r="K289" s="50"/>
    </row>
    <row r="290" spans="1:11" s="52" customFormat="1" ht="12">
      <c r="A290" s="22">
        <v>5.2</v>
      </c>
      <c r="B290" s="50" t="s">
        <v>768</v>
      </c>
      <c r="C290" s="60"/>
      <c r="D290" s="50" t="s">
        <v>173</v>
      </c>
      <c r="E290" s="50" t="s">
        <v>70</v>
      </c>
      <c r="F290" s="50">
        <v>1</v>
      </c>
      <c r="G290" s="51">
        <v>50</v>
      </c>
      <c r="H290" s="51">
        <f t="shared" si="28"/>
        <v>50</v>
      </c>
      <c r="I290" s="50"/>
      <c r="J290" s="50"/>
      <c r="K290" s="50"/>
    </row>
    <row r="291" spans="1:11" s="52" customFormat="1" ht="12">
      <c r="A291" s="22">
        <v>5.3</v>
      </c>
      <c r="B291" s="50" t="s">
        <v>769</v>
      </c>
      <c r="C291" s="60"/>
      <c r="D291" s="50" t="s">
        <v>173</v>
      </c>
      <c r="E291" s="50" t="s">
        <v>70</v>
      </c>
      <c r="F291" s="50">
        <v>1</v>
      </c>
      <c r="G291" s="51">
        <v>30</v>
      </c>
      <c r="H291" s="51">
        <f t="shared" si="28"/>
        <v>30</v>
      </c>
      <c r="I291" s="50"/>
      <c r="J291" s="50"/>
      <c r="K291" s="50"/>
    </row>
    <row r="292" spans="1:11" s="52" customFormat="1" ht="14.25">
      <c r="A292" s="22">
        <v>5.4</v>
      </c>
      <c r="B292" s="50" t="s">
        <v>770</v>
      </c>
      <c r="C292" s="60" t="s">
        <v>771</v>
      </c>
      <c r="D292" s="50" t="s">
        <v>173</v>
      </c>
      <c r="E292" s="50" t="s">
        <v>49</v>
      </c>
      <c r="F292" s="50">
        <v>2</v>
      </c>
      <c r="G292" s="51">
        <v>10</v>
      </c>
      <c r="H292" s="51">
        <f t="shared" si="28"/>
        <v>20</v>
      </c>
      <c r="I292" s="50"/>
      <c r="J292" s="50"/>
      <c r="K292" s="50"/>
    </row>
    <row r="293" spans="1:11" s="52" customFormat="1" ht="12">
      <c r="A293" s="22">
        <v>5.5</v>
      </c>
      <c r="B293" s="50" t="s">
        <v>465</v>
      </c>
      <c r="C293" s="60"/>
      <c r="D293" s="50" t="s">
        <v>173</v>
      </c>
      <c r="E293" s="50" t="s">
        <v>70</v>
      </c>
      <c r="F293" s="50">
        <v>3</v>
      </c>
      <c r="G293" s="51">
        <v>200</v>
      </c>
      <c r="H293" s="51">
        <f t="shared" si="28"/>
        <v>600</v>
      </c>
      <c r="I293" s="50"/>
      <c r="J293" s="50"/>
      <c r="K293" s="50"/>
    </row>
    <row r="294" spans="1:11" s="52" customFormat="1" ht="12">
      <c r="A294" s="22">
        <v>5.6</v>
      </c>
      <c r="B294" s="50" t="s">
        <v>445</v>
      </c>
      <c r="C294" s="60" t="s">
        <v>314</v>
      </c>
      <c r="D294" s="50" t="s">
        <v>173</v>
      </c>
      <c r="E294" s="50" t="s">
        <v>49</v>
      </c>
      <c r="F294" s="50">
        <v>2</v>
      </c>
      <c r="G294" s="51">
        <v>35</v>
      </c>
      <c r="H294" s="51">
        <f t="shared" si="28"/>
        <v>70</v>
      </c>
      <c r="I294" s="50"/>
      <c r="J294" s="50"/>
      <c r="K294" s="50"/>
    </row>
    <row r="295" spans="1:11">
      <c r="A295" s="12"/>
      <c r="B295" s="2" t="s">
        <v>48</v>
      </c>
      <c r="C295" s="59"/>
      <c r="D295" s="2"/>
      <c r="E295" s="2"/>
      <c r="F295" s="2">
        <f>SUM(F289:F294)</f>
        <v>10</v>
      </c>
      <c r="G295" s="10"/>
      <c r="H295" s="10">
        <f t="shared" ref="H295" si="36">SUM(H289:H294)</f>
        <v>1270</v>
      </c>
      <c r="I295" s="2"/>
      <c r="J295" s="2"/>
      <c r="K295" s="2"/>
    </row>
    <row r="296" spans="1:11">
      <c r="A296" s="12"/>
      <c r="B296" s="2"/>
      <c r="C296" s="59"/>
      <c r="D296" s="2"/>
      <c r="E296" s="2"/>
      <c r="F296" s="2"/>
      <c r="G296" s="10"/>
      <c r="H296" s="10"/>
      <c r="I296" s="2"/>
      <c r="J296" s="2"/>
      <c r="K296" s="2"/>
    </row>
    <row r="297" spans="1:11">
      <c r="A297" s="12">
        <v>6</v>
      </c>
      <c r="B297" s="2" t="str">
        <f>投资估算表!C39</f>
        <v>核级管路制造车间</v>
      </c>
      <c r="C297" s="59"/>
      <c r="D297" s="2"/>
      <c r="E297" s="2"/>
      <c r="F297" s="2"/>
      <c r="G297" s="10"/>
      <c r="H297" s="10"/>
      <c r="I297" s="2"/>
      <c r="J297" s="2"/>
      <c r="K297" s="2"/>
    </row>
    <row r="298" spans="1:11" s="52" customFormat="1" ht="12">
      <c r="A298" s="22">
        <v>6.1</v>
      </c>
      <c r="B298" s="50" t="s">
        <v>560</v>
      </c>
      <c r="C298" s="60"/>
      <c r="D298" s="50" t="s">
        <v>173</v>
      </c>
      <c r="E298" s="50" t="s">
        <v>70</v>
      </c>
      <c r="F298" s="50">
        <v>1</v>
      </c>
      <c r="G298" s="51">
        <v>500</v>
      </c>
      <c r="H298" s="51">
        <f t="shared" ref="H298:H308" si="37">F298*G298</f>
        <v>500</v>
      </c>
      <c r="I298" s="50"/>
      <c r="J298" s="50"/>
      <c r="K298" s="50"/>
    </row>
    <row r="299" spans="1:11" s="52" customFormat="1" ht="12">
      <c r="A299" s="22">
        <v>6.2</v>
      </c>
      <c r="B299" s="50" t="s">
        <v>561</v>
      </c>
      <c r="C299" s="60"/>
      <c r="D299" s="50" t="s">
        <v>173</v>
      </c>
      <c r="E299" s="50" t="s">
        <v>70</v>
      </c>
      <c r="F299" s="50">
        <v>1</v>
      </c>
      <c r="G299" s="51">
        <v>50</v>
      </c>
      <c r="H299" s="51">
        <f t="shared" si="37"/>
        <v>50</v>
      </c>
      <c r="I299" s="50"/>
      <c r="J299" s="50"/>
      <c r="K299" s="50"/>
    </row>
    <row r="300" spans="1:11" s="52" customFormat="1" ht="12">
      <c r="A300" s="22">
        <v>6.3</v>
      </c>
      <c r="B300" s="50" t="s">
        <v>764</v>
      </c>
      <c r="C300" s="60"/>
      <c r="D300" s="50" t="s">
        <v>173</v>
      </c>
      <c r="E300" s="50" t="s">
        <v>70</v>
      </c>
      <c r="F300" s="50">
        <v>1</v>
      </c>
      <c r="G300" s="51">
        <v>30</v>
      </c>
      <c r="H300" s="51">
        <f t="shared" si="37"/>
        <v>30</v>
      </c>
      <c r="I300" s="50"/>
      <c r="J300" s="50"/>
      <c r="K300" s="50"/>
    </row>
    <row r="301" spans="1:11" s="52" customFormat="1" ht="12">
      <c r="A301" s="22">
        <v>6.4</v>
      </c>
      <c r="B301" s="50" t="s">
        <v>764</v>
      </c>
      <c r="C301" s="60"/>
      <c r="D301" s="50" t="s">
        <v>173</v>
      </c>
      <c r="E301" s="50" t="s">
        <v>49</v>
      </c>
      <c r="F301" s="50">
        <v>1</v>
      </c>
      <c r="G301" s="51">
        <v>10</v>
      </c>
      <c r="H301" s="51">
        <f t="shared" si="37"/>
        <v>10</v>
      </c>
      <c r="I301" s="50"/>
      <c r="J301" s="50"/>
      <c r="K301" s="50"/>
    </row>
    <row r="302" spans="1:11" s="52" customFormat="1" ht="12">
      <c r="A302" s="22">
        <v>6.5</v>
      </c>
      <c r="B302" s="50" t="s">
        <v>764</v>
      </c>
      <c r="C302" s="60"/>
      <c r="D302" s="50" t="s">
        <v>173</v>
      </c>
      <c r="E302" s="50" t="s">
        <v>70</v>
      </c>
      <c r="F302" s="50">
        <v>1</v>
      </c>
      <c r="G302" s="51">
        <v>200</v>
      </c>
      <c r="H302" s="51">
        <f t="shared" si="37"/>
        <v>200</v>
      </c>
      <c r="I302" s="50"/>
      <c r="J302" s="50"/>
      <c r="K302" s="50"/>
    </row>
    <row r="303" spans="1:11" s="52" customFormat="1" ht="12">
      <c r="A303" s="22">
        <v>6.6</v>
      </c>
      <c r="B303" s="50" t="s">
        <v>562</v>
      </c>
      <c r="C303" s="60"/>
      <c r="D303" s="50" t="s">
        <v>173</v>
      </c>
      <c r="E303" s="50" t="s">
        <v>49</v>
      </c>
      <c r="F303" s="50">
        <v>2</v>
      </c>
      <c r="G303" s="51">
        <v>35</v>
      </c>
      <c r="H303" s="51">
        <f t="shared" si="37"/>
        <v>70</v>
      </c>
      <c r="I303" s="50"/>
      <c r="J303" s="50"/>
      <c r="K303" s="50"/>
    </row>
    <row r="304" spans="1:11" s="52" customFormat="1" ht="12">
      <c r="A304" s="22">
        <v>6.7</v>
      </c>
      <c r="B304" s="50" t="s">
        <v>563</v>
      </c>
      <c r="C304" s="60"/>
      <c r="D304" s="50" t="s">
        <v>173</v>
      </c>
      <c r="E304" s="50" t="s">
        <v>49</v>
      </c>
      <c r="F304" s="50">
        <v>3</v>
      </c>
      <c r="G304" s="51">
        <v>15</v>
      </c>
      <c r="H304" s="51">
        <f t="shared" si="37"/>
        <v>45</v>
      </c>
      <c r="I304" s="50"/>
      <c r="J304" s="50"/>
      <c r="K304" s="50"/>
    </row>
    <row r="305" spans="1:11" s="52" customFormat="1" ht="12">
      <c r="A305" s="22">
        <v>6.8</v>
      </c>
      <c r="B305" s="50" t="s">
        <v>765</v>
      </c>
      <c r="C305" s="60"/>
      <c r="D305" s="50" t="s">
        <v>173</v>
      </c>
      <c r="E305" s="50" t="s">
        <v>49</v>
      </c>
      <c r="F305" s="50">
        <v>5</v>
      </c>
      <c r="G305" s="51">
        <v>6</v>
      </c>
      <c r="H305" s="51">
        <f t="shared" si="37"/>
        <v>30</v>
      </c>
      <c r="I305" s="50"/>
      <c r="J305" s="50"/>
      <c r="K305" s="50"/>
    </row>
    <row r="306" spans="1:11" s="52" customFormat="1" ht="12">
      <c r="A306" s="22">
        <v>6.9</v>
      </c>
      <c r="B306" s="50" t="s">
        <v>564</v>
      </c>
      <c r="C306" s="60"/>
      <c r="D306" s="50" t="s">
        <v>173</v>
      </c>
      <c r="E306" s="50" t="s">
        <v>49</v>
      </c>
      <c r="F306" s="50">
        <v>6</v>
      </c>
      <c r="G306" s="51">
        <v>10</v>
      </c>
      <c r="H306" s="51">
        <f t="shared" si="37"/>
        <v>60</v>
      </c>
      <c r="I306" s="50"/>
      <c r="J306" s="50"/>
      <c r="K306" s="50"/>
    </row>
    <row r="307" spans="1:11" s="52" customFormat="1" ht="12">
      <c r="A307" s="22" t="s">
        <v>603</v>
      </c>
      <c r="B307" s="50" t="s">
        <v>766</v>
      </c>
      <c r="C307" s="60"/>
      <c r="D307" s="50" t="s">
        <v>173</v>
      </c>
      <c r="E307" s="50" t="s">
        <v>49</v>
      </c>
      <c r="F307" s="50">
        <v>2</v>
      </c>
      <c r="G307" s="51">
        <v>10</v>
      </c>
      <c r="H307" s="51">
        <f t="shared" si="37"/>
        <v>20</v>
      </c>
      <c r="I307" s="50"/>
      <c r="J307" s="50"/>
      <c r="K307" s="50"/>
    </row>
    <row r="308" spans="1:11" s="52" customFormat="1" ht="12">
      <c r="A308" s="22">
        <v>6.11</v>
      </c>
      <c r="B308" s="50" t="s">
        <v>565</v>
      </c>
      <c r="C308" s="60"/>
      <c r="D308" s="50" t="s">
        <v>173</v>
      </c>
      <c r="E308" s="50" t="s">
        <v>49</v>
      </c>
      <c r="F308" s="50">
        <v>1</v>
      </c>
      <c r="G308" s="51">
        <v>600</v>
      </c>
      <c r="H308" s="51">
        <f t="shared" si="37"/>
        <v>600</v>
      </c>
      <c r="I308" s="50"/>
      <c r="J308" s="50"/>
      <c r="K308" s="50"/>
    </row>
    <row r="309" spans="1:11" s="52" customFormat="1" ht="12">
      <c r="A309" s="22" t="s">
        <v>604</v>
      </c>
      <c r="B309" s="50" t="s">
        <v>445</v>
      </c>
      <c r="C309" s="60" t="s">
        <v>314</v>
      </c>
      <c r="D309" s="50" t="s">
        <v>173</v>
      </c>
      <c r="E309" s="50" t="s">
        <v>49</v>
      </c>
      <c r="F309" s="50">
        <v>4</v>
      </c>
      <c r="G309" s="51">
        <v>35</v>
      </c>
      <c r="H309" s="51">
        <f t="shared" ref="H309" si="38">F309*G309</f>
        <v>140</v>
      </c>
      <c r="I309" s="50"/>
      <c r="J309" s="50"/>
      <c r="K309" s="50"/>
    </row>
    <row r="310" spans="1:11">
      <c r="A310" s="12"/>
      <c r="B310" s="2" t="s">
        <v>48</v>
      </c>
      <c r="C310" s="59"/>
      <c r="D310" s="2"/>
      <c r="E310" s="2"/>
      <c r="F310" s="2">
        <f>SUM(F298:F309)</f>
        <v>28</v>
      </c>
      <c r="G310" s="10"/>
      <c r="H310" s="10">
        <f t="shared" ref="H310" si="39">SUM(H298:H309)</f>
        <v>1755</v>
      </c>
      <c r="I310" s="2"/>
      <c r="J310" s="2"/>
      <c r="K310" s="2"/>
    </row>
    <row r="311" spans="1:11">
      <c r="A311" s="12"/>
      <c r="B311" s="2"/>
      <c r="C311" s="59"/>
      <c r="D311" s="2"/>
      <c r="E311" s="2"/>
      <c r="F311" s="2"/>
      <c r="G311" s="10"/>
      <c r="H311" s="10"/>
      <c r="I311" s="2"/>
      <c r="J311" s="2"/>
      <c r="K311" s="2"/>
    </row>
    <row r="312" spans="1:11">
      <c r="A312" s="12">
        <v>7</v>
      </c>
      <c r="B312" s="2" t="str">
        <f>投资估算表!C40</f>
        <v>陆上联调中心</v>
      </c>
      <c r="C312" s="59"/>
      <c r="D312" s="2"/>
      <c r="E312" s="2"/>
      <c r="F312" s="2"/>
      <c r="G312" s="10"/>
      <c r="H312" s="10"/>
      <c r="I312" s="2"/>
      <c r="J312" s="2"/>
      <c r="K312" s="2"/>
    </row>
    <row r="313" spans="1:11" s="52" customFormat="1" ht="12">
      <c r="A313" s="22">
        <v>7.1</v>
      </c>
      <c r="B313" s="50" t="s">
        <v>445</v>
      </c>
      <c r="C313" s="60" t="s">
        <v>763</v>
      </c>
      <c r="D313" s="50" t="s">
        <v>173</v>
      </c>
      <c r="E313" s="50" t="s">
        <v>49</v>
      </c>
      <c r="F313" s="50">
        <v>1</v>
      </c>
      <c r="G313" s="51">
        <v>600</v>
      </c>
      <c r="H313" s="51">
        <f t="shared" ref="H313" si="40">F313*G313</f>
        <v>600</v>
      </c>
      <c r="I313" s="50"/>
      <c r="J313" s="50"/>
      <c r="K313" s="50"/>
    </row>
    <row r="314" spans="1:11" s="52" customFormat="1" ht="12">
      <c r="A314" s="22">
        <v>7.2</v>
      </c>
      <c r="B314" s="50" t="s">
        <v>445</v>
      </c>
      <c r="C314" s="60" t="s">
        <v>567</v>
      </c>
      <c r="D314" s="50" t="s">
        <v>173</v>
      </c>
      <c r="E314" s="50" t="s">
        <v>49</v>
      </c>
      <c r="F314" s="50">
        <v>2</v>
      </c>
      <c r="G314" s="51">
        <v>85</v>
      </c>
      <c r="H314" s="51">
        <f t="shared" ref="H314" si="41">F314*G314</f>
        <v>170</v>
      </c>
      <c r="I314" s="50"/>
      <c r="J314" s="50"/>
      <c r="K314" s="50"/>
    </row>
    <row r="315" spans="1:11" s="6" customFormat="1">
      <c r="A315" s="12"/>
      <c r="B315" s="2" t="s">
        <v>48</v>
      </c>
      <c r="C315" s="59"/>
      <c r="D315" s="2"/>
      <c r="E315" s="2"/>
      <c r="F315" s="2">
        <f>SUM(F313:F314)</f>
        <v>3</v>
      </c>
      <c r="G315" s="2"/>
      <c r="H315" s="10">
        <f t="shared" ref="H315" si="42">SUM(H313:H314)</f>
        <v>770</v>
      </c>
      <c r="I315" s="2"/>
      <c r="J315" s="2"/>
      <c r="K315" s="2"/>
    </row>
    <row r="316" spans="1:11" s="6" customFormat="1">
      <c r="A316" s="12"/>
      <c r="B316" s="2"/>
      <c r="C316" s="59"/>
      <c r="D316" s="2"/>
      <c r="E316" s="2"/>
      <c r="F316" s="2"/>
      <c r="G316" s="10"/>
      <c r="H316" s="10"/>
      <c r="I316" s="2"/>
      <c r="J316" s="2"/>
      <c r="K316" s="2"/>
    </row>
    <row r="317" spans="1:11" s="3" customFormat="1">
      <c r="A317" s="21"/>
      <c r="B317" s="7" t="s">
        <v>742</v>
      </c>
      <c r="C317" s="58"/>
      <c r="D317" s="7"/>
      <c r="E317" s="7"/>
      <c r="F317" s="7">
        <f>F315+F310+F295+F286+F282+F278+F269</f>
        <v>147</v>
      </c>
      <c r="G317" s="7"/>
      <c r="H317" s="9">
        <f t="shared" ref="H317" si="43">H315+H310+H295+H286+H282+H278+H269</f>
        <v>6851</v>
      </c>
      <c r="I317" s="7"/>
      <c r="J317" s="7"/>
      <c r="K317" s="7"/>
    </row>
    <row r="318" spans="1:11">
      <c r="A318" s="12"/>
      <c r="B318" s="2"/>
      <c r="C318" s="59"/>
      <c r="D318" s="2"/>
      <c r="E318" s="2"/>
      <c r="F318" s="2"/>
      <c r="G318" s="10"/>
      <c r="H318" s="10"/>
      <c r="I318" s="2"/>
      <c r="J318" s="2"/>
      <c r="K318" s="2"/>
    </row>
    <row r="319" spans="1:11" s="3" customFormat="1">
      <c r="A319" s="21" t="s">
        <v>412</v>
      </c>
      <c r="B319" s="7" t="str">
        <f>投资估算表!C43</f>
        <v>水面产品分段制造厂房</v>
      </c>
      <c r="C319" s="58"/>
      <c r="D319" s="7"/>
      <c r="E319" s="7"/>
      <c r="F319" s="7"/>
      <c r="G319" s="9"/>
      <c r="H319" s="9"/>
      <c r="I319" s="7"/>
      <c r="J319" s="7"/>
      <c r="K319" s="7"/>
    </row>
    <row r="320" spans="1:11">
      <c r="A320" s="12" t="s">
        <v>365</v>
      </c>
      <c r="B320" s="2" t="str">
        <f>投资估算表!C44</f>
        <v>板材下料加工车间</v>
      </c>
      <c r="C320" s="59"/>
      <c r="D320" s="2"/>
      <c r="E320" s="2"/>
      <c r="F320" s="2"/>
      <c r="G320" s="10"/>
      <c r="H320" s="10"/>
      <c r="I320" s="2"/>
      <c r="J320" s="2"/>
      <c r="K320" s="2"/>
    </row>
    <row r="321" spans="1:11" s="52" customFormat="1" ht="24">
      <c r="A321" s="22" t="s">
        <v>402</v>
      </c>
      <c r="B321" s="50" t="s">
        <v>843</v>
      </c>
      <c r="C321" s="60" t="s">
        <v>390</v>
      </c>
      <c r="D321" s="50" t="s">
        <v>173</v>
      </c>
      <c r="E321" s="50" t="s">
        <v>49</v>
      </c>
      <c r="F321" s="50">
        <v>1</v>
      </c>
      <c r="G321" s="51">
        <v>130</v>
      </c>
      <c r="H321" s="51">
        <f t="shared" ref="H321:H329" si="44">F321*G321</f>
        <v>130</v>
      </c>
      <c r="I321" s="50"/>
      <c r="J321" s="50"/>
      <c r="K321" s="50"/>
    </row>
    <row r="322" spans="1:11" s="52" customFormat="1" ht="24">
      <c r="A322" s="22" t="s">
        <v>415</v>
      </c>
      <c r="B322" s="50" t="s">
        <v>545</v>
      </c>
      <c r="C322" s="60" t="s">
        <v>844</v>
      </c>
      <c r="D322" s="50" t="s">
        <v>173</v>
      </c>
      <c r="E322" s="50" t="s">
        <v>49</v>
      </c>
      <c r="F322" s="50">
        <v>1</v>
      </c>
      <c r="G322" s="51">
        <v>388</v>
      </c>
      <c r="H322" s="51">
        <f t="shared" si="44"/>
        <v>388</v>
      </c>
      <c r="I322" s="50"/>
      <c r="J322" s="50"/>
      <c r="K322" s="50"/>
    </row>
    <row r="323" spans="1:11" s="52" customFormat="1" ht="24">
      <c r="A323" s="22" t="s">
        <v>374</v>
      </c>
      <c r="B323" s="50" t="s">
        <v>875</v>
      </c>
      <c r="C323" s="60" t="s">
        <v>263</v>
      </c>
      <c r="D323" s="50" t="s">
        <v>774</v>
      </c>
      <c r="E323" s="50" t="s">
        <v>49</v>
      </c>
      <c r="F323" s="50">
        <v>1</v>
      </c>
      <c r="G323" s="51">
        <v>1000</v>
      </c>
      <c r="H323" s="51">
        <f t="shared" si="44"/>
        <v>1000</v>
      </c>
      <c r="I323" s="50"/>
      <c r="J323" s="50"/>
      <c r="K323" s="50"/>
    </row>
    <row r="324" spans="1:11" s="52" customFormat="1" ht="24">
      <c r="A324" s="22" t="s">
        <v>375</v>
      </c>
      <c r="B324" s="50" t="s">
        <v>876</v>
      </c>
      <c r="C324" s="60" t="s">
        <v>276</v>
      </c>
      <c r="D324" s="50" t="s">
        <v>776</v>
      </c>
      <c r="E324" s="50" t="s">
        <v>49</v>
      </c>
      <c r="F324" s="50">
        <v>1</v>
      </c>
      <c r="G324" s="51">
        <v>60</v>
      </c>
      <c r="H324" s="51">
        <f>F324*G324</f>
        <v>60</v>
      </c>
      <c r="I324" s="50"/>
      <c r="J324" s="50"/>
      <c r="K324" s="50"/>
    </row>
    <row r="325" spans="1:11" s="52" customFormat="1" ht="12">
      <c r="A325" s="22" t="s">
        <v>376</v>
      </c>
      <c r="B325" s="50" t="s">
        <v>877</v>
      </c>
      <c r="C325" s="60" t="s">
        <v>264</v>
      </c>
      <c r="D325" s="50" t="s">
        <v>778</v>
      </c>
      <c r="E325" s="50" t="s">
        <v>49</v>
      </c>
      <c r="F325" s="50">
        <v>1</v>
      </c>
      <c r="G325" s="51">
        <v>80</v>
      </c>
      <c r="H325" s="51">
        <f t="shared" si="44"/>
        <v>80</v>
      </c>
      <c r="I325" s="50"/>
      <c r="J325" s="50"/>
      <c r="K325" s="50"/>
    </row>
    <row r="326" spans="1:11" s="52" customFormat="1" ht="12">
      <c r="A326" s="22" t="s">
        <v>377</v>
      </c>
      <c r="B326" s="50" t="s">
        <v>878</v>
      </c>
      <c r="C326" s="60" t="s">
        <v>265</v>
      </c>
      <c r="D326" s="50" t="s">
        <v>780</v>
      </c>
      <c r="E326" s="50" t="s">
        <v>49</v>
      </c>
      <c r="F326" s="50">
        <v>1</v>
      </c>
      <c r="G326" s="51">
        <v>50</v>
      </c>
      <c r="H326" s="51">
        <f t="shared" si="44"/>
        <v>50</v>
      </c>
      <c r="I326" s="50"/>
      <c r="J326" s="50"/>
      <c r="K326" s="50"/>
    </row>
    <row r="327" spans="1:11" s="52" customFormat="1" ht="12">
      <c r="A327" s="22" t="s">
        <v>378</v>
      </c>
      <c r="B327" s="50" t="s">
        <v>879</v>
      </c>
      <c r="C327" s="60" t="s">
        <v>880</v>
      </c>
      <c r="D327" s="50" t="s">
        <v>786</v>
      </c>
      <c r="E327" s="50" t="s">
        <v>49</v>
      </c>
      <c r="F327" s="50">
        <v>2</v>
      </c>
      <c r="G327" s="51">
        <v>450</v>
      </c>
      <c r="H327" s="51">
        <f t="shared" si="44"/>
        <v>900</v>
      </c>
      <c r="I327" s="50"/>
      <c r="J327" s="50"/>
      <c r="K327" s="50"/>
    </row>
    <row r="328" spans="1:11" s="52" customFormat="1" ht="12">
      <c r="A328" s="22" t="s">
        <v>379</v>
      </c>
      <c r="B328" s="50" t="s">
        <v>881</v>
      </c>
      <c r="C328" s="60" t="s">
        <v>882</v>
      </c>
      <c r="D328" s="50" t="s">
        <v>788</v>
      </c>
      <c r="E328" s="50" t="s">
        <v>49</v>
      </c>
      <c r="F328" s="50">
        <v>2</v>
      </c>
      <c r="G328" s="51">
        <v>75</v>
      </c>
      <c r="H328" s="51">
        <f t="shared" si="44"/>
        <v>150</v>
      </c>
      <c r="I328" s="50"/>
      <c r="J328" s="50"/>
      <c r="K328" s="50"/>
    </row>
    <row r="329" spans="1:11" s="52" customFormat="1" ht="12">
      <c r="A329" s="22" t="s">
        <v>380</v>
      </c>
      <c r="B329" s="50" t="s">
        <v>883</v>
      </c>
      <c r="C329" s="60"/>
      <c r="D329" s="50" t="s">
        <v>790</v>
      </c>
      <c r="E329" s="50" t="s">
        <v>49</v>
      </c>
      <c r="F329" s="50">
        <v>30</v>
      </c>
      <c r="G329" s="51">
        <v>1</v>
      </c>
      <c r="H329" s="51">
        <f t="shared" si="44"/>
        <v>30</v>
      </c>
      <c r="I329" s="50"/>
      <c r="J329" s="50"/>
      <c r="K329" s="50"/>
    </row>
    <row r="330" spans="1:11">
      <c r="A330" s="12"/>
      <c r="B330" s="2" t="s">
        <v>48</v>
      </c>
      <c r="C330" s="59"/>
      <c r="D330" s="2"/>
      <c r="E330" s="2"/>
      <c r="F330" s="2">
        <f>SUM(F321:F329)</f>
        <v>40</v>
      </c>
      <c r="G330" s="10"/>
      <c r="H330" s="10">
        <f t="shared" ref="H330" si="45">SUM(H321:H329)</f>
        <v>2788</v>
      </c>
      <c r="I330" s="2"/>
      <c r="J330" s="2"/>
      <c r="K330" s="2"/>
    </row>
    <row r="331" spans="1:11" s="6" customFormat="1">
      <c r="A331" s="12"/>
      <c r="B331" s="2"/>
      <c r="C331" s="59"/>
      <c r="D331" s="2"/>
      <c r="E331" s="2"/>
      <c r="F331" s="2"/>
      <c r="G331" s="10"/>
      <c r="H331" s="10"/>
      <c r="I331" s="2"/>
      <c r="J331" s="2"/>
      <c r="K331" s="2"/>
    </row>
    <row r="332" spans="1:11">
      <c r="A332" s="12" t="s">
        <v>366</v>
      </c>
      <c r="B332" s="2" t="str">
        <f>投资估算表!C45</f>
        <v>部件装焊车间</v>
      </c>
      <c r="C332" s="59"/>
      <c r="D332" s="2"/>
      <c r="E332" s="2"/>
      <c r="F332" s="2"/>
      <c r="G332" s="10"/>
      <c r="H332" s="10"/>
      <c r="I332" s="2"/>
      <c r="J332" s="2"/>
      <c r="K332" s="2"/>
    </row>
    <row r="333" spans="1:11" s="52" customFormat="1" ht="12">
      <c r="A333" s="22">
        <v>2.1</v>
      </c>
      <c r="B333" s="50" t="s">
        <v>445</v>
      </c>
      <c r="C333" s="60" t="s">
        <v>598</v>
      </c>
      <c r="D333" s="50" t="s">
        <v>173</v>
      </c>
      <c r="E333" s="50" t="s">
        <v>49</v>
      </c>
      <c r="F333" s="50">
        <v>1</v>
      </c>
      <c r="G333" s="51">
        <v>450</v>
      </c>
      <c r="H333" s="51">
        <f t="shared" ref="H333:H335" si="46">F333*G333</f>
        <v>450</v>
      </c>
      <c r="I333" s="50"/>
      <c r="J333" s="50"/>
      <c r="K333" s="50"/>
    </row>
    <row r="334" spans="1:11" s="52" customFormat="1" ht="12">
      <c r="A334" s="22">
        <v>2.2000000000000002</v>
      </c>
      <c r="B334" s="50" t="s">
        <v>445</v>
      </c>
      <c r="C334" s="60" t="s">
        <v>829</v>
      </c>
      <c r="D334" s="50" t="s">
        <v>173</v>
      </c>
      <c r="E334" s="50" t="s">
        <v>49</v>
      </c>
      <c r="F334" s="50">
        <v>2</v>
      </c>
      <c r="G334" s="51">
        <v>200</v>
      </c>
      <c r="H334" s="51">
        <f t="shared" ref="H334" si="47">F334*G334</f>
        <v>400</v>
      </c>
      <c r="I334" s="50"/>
      <c r="J334" s="50"/>
      <c r="K334" s="50"/>
    </row>
    <row r="335" spans="1:11" s="52" customFormat="1" ht="12">
      <c r="A335" s="22">
        <v>2.2999999999999998</v>
      </c>
      <c r="B335" s="50" t="s">
        <v>201</v>
      </c>
      <c r="C335" s="60"/>
      <c r="D335" s="50" t="s">
        <v>173</v>
      </c>
      <c r="E335" s="50" t="s">
        <v>49</v>
      </c>
      <c r="F335" s="50">
        <v>30</v>
      </c>
      <c r="G335" s="51">
        <v>1</v>
      </c>
      <c r="H335" s="51">
        <f t="shared" si="46"/>
        <v>30</v>
      </c>
      <c r="I335" s="50"/>
      <c r="J335" s="50"/>
      <c r="K335" s="50"/>
    </row>
    <row r="336" spans="1:11">
      <c r="A336" s="12"/>
      <c r="B336" s="2" t="s">
        <v>48</v>
      </c>
      <c r="C336" s="59"/>
      <c r="D336" s="2"/>
      <c r="E336" s="2"/>
      <c r="F336" s="2">
        <f>SUM(F333:F335)</f>
        <v>33</v>
      </c>
      <c r="G336" s="10"/>
      <c r="H336" s="10">
        <f>SUM(H333:H335)</f>
        <v>880</v>
      </c>
      <c r="I336" s="2"/>
      <c r="J336" s="2"/>
      <c r="K336" s="2"/>
    </row>
    <row r="337" spans="1:11" s="6" customFormat="1">
      <c r="A337" s="12"/>
      <c r="B337" s="2"/>
      <c r="C337" s="59"/>
      <c r="D337" s="2"/>
      <c r="E337" s="2"/>
      <c r="F337" s="2"/>
      <c r="G337" s="10"/>
      <c r="H337" s="10"/>
      <c r="I337" s="2"/>
      <c r="J337" s="2"/>
      <c r="K337" s="2"/>
    </row>
    <row r="338" spans="1:11">
      <c r="A338" s="12" t="s">
        <v>389</v>
      </c>
      <c r="B338" s="2" t="str">
        <f>投资估算表!C46</f>
        <v>自动生产线车间</v>
      </c>
      <c r="C338" s="59"/>
      <c r="D338" s="2"/>
      <c r="E338" s="2"/>
      <c r="F338" s="2"/>
      <c r="G338" s="10"/>
      <c r="H338" s="10"/>
      <c r="I338" s="2"/>
      <c r="J338" s="2"/>
      <c r="K338" s="2"/>
    </row>
    <row r="339" spans="1:11" s="52" customFormat="1" ht="12">
      <c r="A339" s="22" t="s">
        <v>540</v>
      </c>
      <c r="B339" s="50" t="s">
        <v>597</v>
      </c>
      <c r="C339" s="60"/>
      <c r="D339" s="50" t="s">
        <v>173</v>
      </c>
      <c r="E339" s="50" t="s">
        <v>214</v>
      </c>
      <c r="F339" s="50">
        <v>1</v>
      </c>
      <c r="G339" s="51">
        <v>600</v>
      </c>
      <c r="H339" s="51">
        <f t="shared" ref="H339:H343" si="48">F339*G339</f>
        <v>600</v>
      </c>
      <c r="I339" s="50"/>
      <c r="J339" s="50"/>
      <c r="K339" s="50"/>
    </row>
    <row r="340" spans="1:11" s="52" customFormat="1" ht="12">
      <c r="A340" s="22" t="s">
        <v>541</v>
      </c>
      <c r="B340" s="50" t="s">
        <v>884</v>
      </c>
      <c r="C340" s="60"/>
      <c r="D340" s="50" t="s">
        <v>173</v>
      </c>
      <c r="E340" s="50" t="s">
        <v>214</v>
      </c>
      <c r="F340" s="50">
        <v>1</v>
      </c>
      <c r="G340" s="51">
        <v>230</v>
      </c>
      <c r="H340" s="51">
        <f t="shared" si="48"/>
        <v>230</v>
      </c>
      <c r="I340" s="50"/>
      <c r="J340" s="50"/>
      <c r="K340" s="50"/>
    </row>
    <row r="341" spans="1:11" s="52" customFormat="1" ht="12">
      <c r="A341" s="22" t="s">
        <v>346</v>
      </c>
      <c r="B341" s="50" t="s">
        <v>885</v>
      </c>
      <c r="C341" s="60"/>
      <c r="D341" s="50" t="s">
        <v>774</v>
      </c>
      <c r="E341" s="50" t="s">
        <v>886</v>
      </c>
      <c r="F341" s="50">
        <v>2</v>
      </c>
      <c r="G341" s="51">
        <v>2000</v>
      </c>
      <c r="H341" s="51">
        <f t="shared" si="48"/>
        <v>4000</v>
      </c>
      <c r="I341" s="50"/>
      <c r="J341" s="50"/>
      <c r="K341" s="50"/>
    </row>
    <row r="342" spans="1:11" s="52" customFormat="1" ht="12">
      <c r="A342" s="22" t="s">
        <v>347</v>
      </c>
      <c r="B342" s="50" t="s">
        <v>887</v>
      </c>
      <c r="C342" s="60"/>
      <c r="D342" s="50" t="s">
        <v>776</v>
      </c>
      <c r="E342" s="50" t="s">
        <v>888</v>
      </c>
      <c r="F342" s="50">
        <v>2</v>
      </c>
      <c r="G342" s="51">
        <v>1000</v>
      </c>
      <c r="H342" s="51">
        <f t="shared" si="48"/>
        <v>2000</v>
      </c>
      <c r="I342" s="50"/>
      <c r="J342" s="50"/>
      <c r="K342" s="50"/>
    </row>
    <row r="343" spans="1:11" s="52" customFormat="1" ht="12">
      <c r="A343" s="22" t="s">
        <v>348</v>
      </c>
      <c r="B343" s="50" t="s">
        <v>777</v>
      </c>
      <c r="C343" s="60" t="s">
        <v>889</v>
      </c>
      <c r="D343" s="50" t="s">
        <v>778</v>
      </c>
      <c r="E343" s="50" t="s">
        <v>49</v>
      </c>
      <c r="F343" s="50">
        <v>2</v>
      </c>
      <c r="G343" s="51">
        <v>75</v>
      </c>
      <c r="H343" s="51">
        <f t="shared" si="48"/>
        <v>150</v>
      </c>
      <c r="I343" s="50"/>
      <c r="J343" s="50"/>
      <c r="K343" s="50"/>
    </row>
    <row r="344" spans="1:11">
      <c r="A344" s="12"/>
      <c r="B344" s="2" t="s">
        <v>48</v>
      </c>
      <c r="C344" s="59"/>
      <c r="D344" s="2"/>
      <c r="E344" s="2"/>
      <c r="F344" s="2">
        <f>SUM(F339:F343)</f>
        <v>8</v>
      </c>
      <c r="G344" s="10"/>
      <c r="H344" s="10">
        <f t="shared" ref="H344" si="49">SUM(H339:H343)</f>
        <v>6980</v>
      </c>
      <c r="I344" s="2"/>
      <c r="J344" s="2"/>
      <c r="K344" s="2"/>
    </row>
    <row r="345" spans="1:11" s="6" customFormat="1">
      <c r="A345" s="12"/>
      <c r="B345" s="2"/>
      <c r="C345" s="59"/>
      <c r="D345" s="2"/>
      <c r="E345" s="2"/>
      <c r="F345" s="2"/>
      <c r="G345" s="10"/>
      <c r="H345" s="10"/>
      <c r="I345" s="2"/>
      <c r="J345" s="2"/>
      <c r="K345" s="2"/>
    </row>
    <row r="346" spans="1:11">
      <c r="A346" s="12" t="s">
        <v>392</v>
      </c>
      <c r="B346" s="2" t="str">
        <f>投资估算表!C47</f>
        <v>分段装焊车间</v>
      </c>
      <c r="C346" s="59"/>
      <c r="D346" s="2"/>
      <c r="E346" s="2"/>
      <c r="F346" s="2"/>
      <c r="G346" s="10"/>
      <c r="H346" s="10"/>
      <c r="I346" s="2"/>
      <c r="J346" s="2"/>
      <c r="K346" s="2"/>
    </row>
    <row r="347" spans="1:11" s="52" customFormat="1" ht="12">
      <c r="A347" s="22" t="s">
        <v>393</v>
      </c>
      <c r="B347" s="50" t="s">
        <v>201</v>
      </c>
      <c r="C347" s="60"/>
      <c r="D347" s="50" t="s">
        <v>173</v>
      </c>
      <c r="E347" s="50" t="s">
        <v>49</v>
      </c>
      <c r="F347" s="50">
        <v>200</v>
      </c>
      <c r="G347" s="51">
        <v>1</v>
      </c>
      <c r="H347" s="51">
        <f t="shared" ref="H347:H349" si="50">F347*G347</f>
        <v>200</v>
      </c>
      <c r="I347" s="50"/>
      <c r="J347" s="50"/>
      <c r="K347" s="50"/>
    </row>
    <row r="348" spans="1:11" s="52" customFormat="1" ht="12">
      <c r="A348" s="22" t="s">
        <v>394</v>
      </c>
      <c r="B348" s="50" t="s">
        <v>445</v>
      </c>
      <c r="C348" s="60" t="s">
        <v>937</v>
      </c>
      <c r="D348" s="50" t="s">
        <v>173</v>
      </c>
      <c r="E348" s="50" t="s">
        <v>49</v>
      </c>
      <c r="F348" s="50">
        <v>1</v>
      </c>
      <c r="G348" s="51">
        <v>550</v>
      </c>
      <c r="H348" s="51">
        <f t="shared" si="50"/>
        <v>550</v>
      </c>
      <c r="I348" s="50"/>
      <c r="J348" s="50"/>
      <c r="K348" s="50"/>
    </row>
    <row r="349" spans="1:11" s="52" customFormat="1" ht="12">
      <c r="A349" s="22" t="s">
        <v>362</v>
      </c>
      <c r="B349" s="50" t="s">
        <v>938</v>
      </c>
      <c r="C349" s="60" t="s">
        <v>939</v>
      </c>
      <c r="D349" s="50" t="s">
        <v>774</v>
      </c>
      <c r="E349" s="50" t="s">
        <v>49</v>
      </c>
      <c r="F349" s="50">
        <v>2</v>
      </c>
      <c r="G349" s="51">
        <v>300</v>
      </c>
      <c r="H349" s="51">
        <f t="shared" si="50"/>
        <v>600</v>
      </c>
      <c r="I349" s="50"/>
      <c r="J349" s="50"/>
      <c r="K349" s="50"/>
    </row>
    <row r="350" spans="1:11">
      <c r="A350" s="12"/>
      <c r="B350" s="2" t="s">
        <v>48</v>
      </c>
      <c r="C350" s="59"/>
      <c r="D350" s="2"/>
      <c r="E350" s="2"/>
      <c r="F350" s="2">
        <f>SUM(F347:F349)</f>
        <v>203</v>
      </c>
      <c r="G350" s="10"/>
      <c r="H350" s="10">
        <f t="shared" ref="H350" si="51">SUM(H347:H349)</f>
        <v>1350</v>
      </c>
      <c r="I350" s="2"/>
      <c r="J350" s="2"/>
      <c r="K350" s="2"/>
    </row>
    <row r="351" spans="1:11" s="6" customFormat="1">
      <c r="A351" s="12"/>
      <c r="B351" s="2"/>
      <c r="C351" s="59"/>
      <c r="D351" s="2"/>
      <c r="E351" s="2"/>
      <c r="F351" s="2"/>
      <c r="G351" s="10"/>
      <c r="H351" s="10"/>
      <c r="I351" s="2"/>
      <c r="J351" s="2"/>
      <c r="K351" s="2"/>
    </row>
    <row r="352" spans="1:11" s="3" customFormat="1">
      <c r="A352" s="21"/>
      <c r="B352" s="7" t="s">
        <v>742</v>
      </c>
      <c r="C352" s="58"/>
      <c r="D352" s="7"/>
      <c r="E352" s="7"/>
      <c r="F352" s="7">
        <f>F330+F336+F344+F350</f>
        <v>284</v>
      </c>
      <c r="G352" s="9"/>
      <c r="H352" s="9">
        <f t="shared" ref="H352" si="52">H330+H336+H344+H350</f>
        <v>11998</v>
      </c>
      <c r="I352" s="7"/>
      <c r="J352" s="7"/>
      <c r="K352" s="7"/>
    </row>
    <row r="353" spans="1:11">
      <c r="A353" s="12"/>
      <c r="B353" s="2"/>
      <c r="C353" s="59"/>
      <c r="D353" s="2"/>
      <c r="E353" s="2"/>
      <c r="F353" s="2"/>
      <c r="G353" s="10"/>
      <c r="H353" s="10"/>
      <c r="I353" s="2"/>
      <c r="J353" s="2"/>
      <c r="K353" s="2"/>
    </row>
    <row r="354" spans="1:11" s="3" customFormat="1">
      <c r="A354" s="21" t="s">
        <v>430</v>
      </c>
      <c r="B354" s="7" t="s">
        <v>413</v>
      </c>
      <c r="C354" s="58"/>
      <c r="D354" s="7"/>
      <c r="E354" s="7"/>
      <c r="F354" s="7"/>
      <c r="G354" s="9"/>
      <c r="H354" s="9"/>
      <c r="I354" s="7"/>
      <c r="J354" s="7"/>
      <c r="K354" s="7"/>
    </row>
    <row r="355" spans="1:11">
      <c r="A355" s="12" t="s">
        <v>414</v>
      </c>
      <c r="B355" s="2" t="s">
        <v>315</v>
      </c>
      <c r="C355" s="59"/>
      <c r="D355" s="2"/>
      <c r="E355" s="2"/>
      <c r="F355" s="2"/>
      <c r="G355" s="10"/>
      <c r="H355" s="10"/>
      <c r="I355" s="2"/>
      <c r="J355" s="2"/>
      <c r="K355" s="2"/>
    </row>
    <row r="356" spans="1:11" s="52" customFormat="1" ht="14.25">
      <c r="A356" s="22" t="s">
        <v>402</v>
      </c>
      <c r="B356" s="50" t="s">
        <v>466</v>
      </c>
      <c r="C356" s="60" t="s">
        <v>421</v>
      </c>
      <c r="D356" s="50" t="s">
        <v>173</v>
      </c>
      <c r="E356" s="50" t="s">
        <v>49</v>
      </c>
      <c r="F356" s="50">
        <v>32</v>
      </c>
      <c r="G356" s="51">
        <v>7.2</v>
      </c>
      <c r="H356" s="51">
        <f t="shared" ref="H356:H398" si="53">F356*G356</f>
        <v>230.4</v>
      </c>
      <c r="I356" s="50"/>
      <c r="J356" s="50"/>
      <c r="K356" s="50"/>
    </row>
    <row r="357" spans="1:11" s="52" customFormat="1" ht="12">
      <c r="A357" s="22" t="s">
        <v>415</v>
      </c>
      <c r="B357" s="50" t="s">
        <v>924</v>
      </c>
      <c r="C357" s="60" t="s">
        <v>316</v>
      </c>
      <c r="D357" s="50" t="s">
        <v>331</v>
      </c>
      <c r="E357" s="50" t="s">
        <v>49</v>
      </c>
      <c r="F357" s="50">
        <v>12</v>
      </c>
      <c r="G357" s="51">
        <v>21</v>
      </c>
      <c r="H357" s="51">
        <f t="shared" si="53"/>
        <v>252</v>
      </c>
      <c r="I357" s="50"/>
      <c r="J357" s="50"/>
      <c r="K357" s="50"/>
    </row>
    <row r="358" spans="1:11" s="52" customFormat="1" ht="12">
      <c r="A358" s="22" t="s">
        <v>374</v>
      </c>
      <c r="B358" s="50" t="s">
        <v>925</v>
      </c>
      <c r="C358" s="60" t="s">
        <v>317</v>
      </c>
      <c r="D358" s="50" t="s">
        <v>331</v>
      </c>
      <c r="E358" s="50" t="s">
        <v>49</v>
      </c>
      <c r="F358" s="50">
        <v>4</v>
      </c>
      <c r="G358" s="51">
        <v>23.8</v>
      </c>
      <c r="H358" s="51">
        <f t="shared" si="53"/>
        <v>95.2</v>
      </c>
      <c r="I358" s="50"/>
      <c r="J358" s="50"/>
      <c r="K358" s="50"/>
    </row>
    <row r="359" spans="1:11" s="52" customFormat="1" ht="12">
      <c r="A359" s="22" t="s">
        <v>375</v>
      </c>
      <c r="B359" s="50" t="s">
        <v>926</v>
      </c>
      <c r="C359" s="60" t="s">
        <v>318</v>
      </c>
      <c r="D359" s="50" t="s">
        <v>331</v>
      </c>
      <c r="E359" s="50" t="s">
        <v>49</v>
      </c>
      <c r="F359" s="50">
        <v>4</v>
      </c>
      <c r="G359" s="51">
        <v>6.8</v>
      </c>
      <c r="H359" s="51">
        <f t="shared" si="53"/>
        <v>27.2</v>
      </c>
      <c r="I359" s="50"/>
      <c r="J359" s="50"/>
      <c r="K359" s="50"/>
    </row>
    <row r="360" spans="1:11" s="52" customFormat="1" ht="12">
      <c r="A360" s="22" t="s">
        <v>376</v>
      </c>
      <c r="B360" s="50" t="s">
        <v>927</v>
      </c>
      <c r="C360" s="60" t="s">
        <v>319</v>
      </c>
      <c r="D360" s="50" t="s">
        <v>331</v>
      </c>
      <c r="E360" s="50" t="s">
        <v>49</v>
      </c>
      <c r="F360" s="50">
        <v>8</v>
      </c>
      <c r="G360" s="51">
        <v>5.3</v>
      </c>
      <c r="H360" s="51">
        <f t="shared" si="53"/>
        <v>42.4</v>
      </c>
      <c r="I360" s="50"/>
      <c r="J360" s="50"/>
      <c r="K360" s="50"/>
    </row>
    <row r="361" spans="1:11" s="52" customFormat="1" ht="12">
      <c r="A361" s="22" t="s">
        <v>377</v>
      </c>
      <c r="B361" s="50" t="s">
        <v>928</v>
      </c>
      <c r="C361" s="60" t="s">
        <v>320</v>
      </c>
      <c r="D361" s="50" t="s">
        <v>331</v>
      </c>
      <c r="E361" s="50" t="s">
        <v>49</v>
      </c>
      <c r="F361" s="50">
        <v>8</v>
      </c>
      <c r="G361" s="51">
        <v>2.2000000000000002</v>
      </c>
      <c r="H361" s="51">
        <f t="shared" si="53"/>
        <v>17.600000000000001</v>
      </c>
      <c r="I361" s="50"/>
      <c r="J361" s="50"/>
      <c r="K361" s="50"/>
    </row>
    <row r="362" spans="1:11" s="52" customFormat="1" ht="12">
      <c r="A362" s="22" t="s">
        <v>378</v>
      </c>
      <c r="B362" s="50" t="s">
        <v>929</v>
      </c>
      <c r="C362" s="60" t="s">
        <v>321</v>
      </c>
      <c r="D362" s="50" t="s">
        <v>331</v>
      </c>
      <c r="E362" s="50" t="s">
        <v>70</v>
      </c>
      <c r="F362" s="50">
        <v>8</v>
      </c>
      <c r="G362" s="51">
        <v>4.2</v>
      </c>
      <c r="H362" s="51">
        <f t="shared" si="53"/>
        <v>33.6</v>
      </c>
      <c r="I362" s="50"/>
      <c r="J362" s="50"/>
      <c r="K362" s="50"/>
    </row>
    <row r="363" spans="1:11" s="52" customFormat="1" ht="12">
      <c r="A363" s="22" t="s">
        <v>379</v>
      </c>
      <c r="B363" s="50" t="s">
        <v>930</v>
      </c>
      <c r="C363" s="60" t="s">
        <v>322</v>
      </c>
      <c r="D363" s="50" t="s">
        <v>331</v>
      </c>
      <c r="E363" s="50" t="s">
        <v>49</v>
      </c>
      <c r="F363" s="50">
        <v>8</v>
      </c>
      <c r="G363" s="51">
        <v>4.5999999999999996</v>
      </c>
      <c r="H363" s="51">
        <f t="shared" si="53"/>
        <v>36.799999999999997</v>
      </c>
      <c r="I363" s="50"/>
      <c r="J363" s="50"/>
      <c r="K363" s="50"/>
    </row>
    <row r="364" spans="1:11" s="52" customFormat="1" ht="12">
      <c r="A364" s="22" t="s">
        <v>380</v>
      </c>
      <c r="B364" s="50" t="s">
        <v>931</v>
      </c>
      <c r="C364" s="60" t="s">
        <v>323</v>
      </c>
      <c r="D364" s="50" t="s">
        <v>331</v>
      </c>
      <c r="E364" s="50" t="s">
        <v>49</v>
      </c>
      <c r="F364" s="50">
        <v>4</v>
      </c>
      <c r="G364" s="51">
        <v>3.2</v>
      </c>
      <c r="H364" s="51">
        <f t="shared" si="53"/>
        <v>12.8</v>
      </c>
      <c r="I364" s="50"/>
      <c r="J364" s="50"/>
      <c r="K364" s="50"/>
    </row>
    <row r="365" spans="1:11" s="52" customFormat="1" ht="12">
      <c r="A365" s="22" t="s">
        <v>381</v>
      </c>
      <c r="B365" s="50" t="s">
        <v>932</v>
      </c>
      <c r="C365" s="60" t="s">
        <v>324</v>
      </c>
      <c r="D365" s="50" t="s">
        <v>331</v>
      </c>
      <c r="E365" s="50" t="s">
        <v>49</v>
      </c>
      <c r="F365" s="50">
        <v>8</v>
      </c>
      <c r="G365" s="51">
        <v>7.5</v>
      </c>
      <c r="H365" s="51">
        <f t="shared" si="53"/>
        <v>60</v>
      </c>
      <c r="I365" s="50"/>
      <c r="J365" s="50"/>
      <c r="K365" s="50"/>
    </row>
    <row r="366" spans="1:11" s="52" customFormat="1" ht="12">
      <c r="A366" s="22" t="s">
        <v>382</v>
      </c>
      <c r="B366" s="50" t="s">
        <v>933</v>
      </c>
      <c r="C366" s="60" t="s">
        <v>325</v>
      </c>
      <c r="D366" s="50" t="s">
        <v>331</v>
      </c>
      <c r="E366" s="50" t="s">
        <v>49</v>
      </c>
      <c r="F366" s="50">
        <v>4</v>
      </c>
      <c r="G366" s="51">
        <v>35</v>
      </c>
      <c r="H366" s="51">
        <f t="shared" si="53"/>
        <v>140</v>
      </c>
      <c r="I366" s="50"/>
      <c r="J366" s="50"/>
      <c r="K366" s="50"/>
    </row>
    <row r="367" spans="1:11" s="52" customFormat="1" ht="12">
      <c r="A367" s="22" t="s">
        <v>383</v>
      </c>
      <c r="B367" s="50" t="s">
        <v>934</v>
      </c>
      <c r="C367" s="60" t="s">
        <v>326</v>
      </c>
      <c r="D367" s="50" t="s">
        <v>331</v>
      </c>
      <c r="E367" s="50" t="s">
        <v>70</v>
      </c>
      <c r="F367" s="50">
        <v>12</v>
      </c>
      <c r="G367" s="51">
        <v>1</v>
      </c>
      <c r="H367" s="51">
        <f t="shared" si="53"/>
        <v>12</v>
      </c>
      <c r="I367" s="50"/>
      <c r="J367" s="50"/>
      <c r="K367" s="50"/>
    </row>
    <row r="368" spans="1:11" s="52" customFormat="1" ht="12">
      <c r="A368" s="22" t="s">
        <v>384</v>
      </c>
      <c r="B368" s="50" t="s">
        <v>935</v>
      </c>
      <c r="C368" s="60" t="s">
        <v>326</v>
      </c>
      <c r="D368" s="50" t="s">
        <v>331</v>
      </c>
      <c r="E368" s="50" t="s">
        <v>70</v>
      </c>
      <c r="F368" s="50">
        <v>2</v>
      </c>
      <c r="G368" s="51">
        <v>9.65</v>
      </c>
      <c r="H368" s="51">
        <f t="shared" si="53"/>
        <v>19.3</v>
      </c>
      <c r="I368" s="50"/>
      <c r="J368" s="50"/>
      <c r="K368" s="50"/>
    </row>
    <row r="369" spans="1:11" s="52" customFormat="1" ht="12">
      <c r="A369" s="22" t="s">
        <v>385</v>
      </c>
      <c r="B369" s="50" t="s">
        <v>936</v>
      </c>
      <c r="C369" s="60" t="s">
        <v>326</v>
      </c>
      <c r="D369" s="50" t="s">
        <v>331</v>
      </c>
      <c r="E369" s="50" t="s">
        <v>70</v>
      </c>
      <c r="F369" s="50">
        <v>2</v>
      </c>
      <c r="G369" s="51">
        <v>12</v>
      </c>
      <c r="H369" s="51">
        <f t="shared" si="53"/>
        <v>24</v>
      </c>
      <c r="I369" s="50"/>
      <c r="J369" s="50"/>
      <c r="K369" s="50"/>
    </row>
    <row r="370" spans="1:11" s="52" customFormat="1" ht="12">
      <c r="A370" s="22" t="s">
        <v>386</v>
      </c>
      <c r="B370" s="50" t="s">
        <v>918</v>
      </c>
      <c r="C370" s="60" t="s">
        <v>327</v>
      </c>
      <c r="D370" s="50" t="s">
        <v>331</v>
      </c>
      <c r="E370" s="50" t="s">
        <v>70</v>
      </c>
      <c r="F370" s="50">
        <v>2</v>
      </c>
      <c r="G370" s="51">
        <v>68</v>
      </c>
      <c r="H370" s="51">
        <f t="shared" si="53"/>
        <v>136</v>
      </c>
      <c r="I370" s="50"/>
      <c r="J370" s="50"/>
      <c r="K370" s="50"/>
    </row>
    <row r="371" spans="1:11" s="52" customFormat="1" ht="12">
      <c r="A371" s="22" t="s">
        <v>387</v>
      </c>
      <c r="B371" s="50" t="s">
        <v>919</v>
      </c>
      <c r="C371" s="60" t="s">
        <v>328</v>
      </c>
      <c r="D371" s="50" t="s">
        <v>331</v>
      </c>
      <c r="E371" s="50" t="s">
        <v>329</v>
      </c>
      <c r="F371" s="50">
        <v>2</v>
      </c>
      <c r="G371" s="51">
        <v>23</v>
      </c>
      <c r="H371" s="51">
        <f t="shared" si="53"/>
        <v>46</v>
      </c>
      <c r="I371" s="50"/>
      <c r="J371" s="50"/>
      <c r="K371" s="50"/>
    </row>
    <row r="372" spans="1:11">
      <c r="A372" s="12"/>
      <c r="B372" s="2" t="s">
        <v>48</v>
      </c>
      <c r="C372" s="59"/>
      <c r="D372" s="2"/>
      <c r="E372" s="2"/>
      <c r="F372" s="2">
        <f>SUM(F356:F371)</f>
        <v>120</v>
      </c>
      <c r="G372" s="10"/>
      <c r="H372" s="10">
        <f t="shared" ref="H372" si="54">SUM(H356:H371)</f>
        <v>1185.3</v>
      </c>
      <c r="I372" s="2"/>
      <c r="J372" s="2"/>
      <c r="K372" s="2"/>
    </row>
    <row r="373" spans="1:11">
      <c r="A373" s="12"/>
      <c r="B373" s="2"/>
      <c r="C373" s="59"/>
      <c r="D373" s="2"/>
      <c r="E373" s="2"/>
      <c r="F373" s="2"/>
      <c r="G373" s="10"/>
      <c r="H373" s="10"/>
      <c r="I373" s="2"/>
      <c r="J373" s="2"/>
      <c r="K373" s="2"/>
    </row>
    <row r="374" spans="1:11">
      <c r="A374" s="12" t="s">
        <v>366</v>
      </c>
      <c r="B374" s="2" t="s">
        <v>467</v>
      </c>
      <c r="C374" s="59"/>
      <c r="D374" s="2"/>
      <c r="E374" s="2"/>
      <c r="F374" s="2"/>
      <c r="G374" s="10"/>
      <c r="H374" s="10"/>
      <c r="I374" s="2"/>
      <c r="J374" s="2"/>
      <c r="K374" s="2"/>
    </row>
    <row r="375" spans="1:11" s="52" customFormat="1" ht="12">
      <c r="A375" s="22" t="s">
        <v>399</v>
      </c>
      <c r="B375" s="50" t="s">
        <v>468</v>
      </c>
      <c r="C375" s="60" t="s">
        <v>330</v>
      </c>
      <c r="D375" s="50" t="s">
        <v>331</v>
      </c>
      <c r="E375" s="50" t="s">
        <v>49</v>
      </c>
      <c r="F375" s="50">
        <v>8</v>
      </c>
      <c r="G375" s="51">
        <v>29.8</v>
      </c>
      <c r="H375" s="51">
        <f t="shared" si="53"/>
        <v>238.4</v>
      </c>
      <c r="I375" s="50"/>
      <c r="J375" s="50"/>
      <c r="K375" s="50"/>
    </row>
    <row r="376" spans="1:11" s="52" customFormat="1" ht="12">
      <c r="A376" s="22" t="s">
        <v>400</v>
      </c>
      <c r="B376" s="50" t="s">
        <v>469</v>
      </c>
      <c r="C376" s="60" t="s">
        <v>332</v>
      </c>
      <c r="D376" s="50" t="s">
        <v>331</v>
      </c>
      <c r="E376" s="50" t="s">
        <v>49</v>
      </c>
      <c r="F376" s="50">
        <v>8</v>
      </c>
      <c r="G376" s="51">
        <v>5.8</v>
      </c>
      <c r="H376" s="51">
        <f t="shared" si="53"/>
        <v>46.4</v>
      </c>
      <c r="I376" s="50"/>
      <c r="J376" s="50"/>
      <c r="K376" s="50"/>
    </row>
    <row r="377" spans="1:11" s="52" customFormat="1" ht="12">
      <c r="A377" s="22" t="s">
        <v>367</v>
      </c>
      <c r="B377" s="50" t="s">
        <v>912</v>
      </c>
      <c r="C377" s="60" t="s">
        <v>325</v>
      </c>
      <c r="D377" s="50" t="s">
        <v>331</v>
      </c>
      <c r="E377" s="50" t="s">
        <v>49</v>
      </c>
      <c r="F377" s="50">
        <v>8</v>
      </c>
      <c r="G377" s="51">
        <v>35</v>
      </c>
      <c r="H377" s="51">
        <f t="shared" si="53"/>
        <v>280</v>
      </c>
      <c r="I377" s="50"/>
      <c r="J377" s="50"/>
      <c r="K377" s="50"/>
    </row>
    <row r="378" spans="1:11" s="52" customFormat="1" ht="12">
      <c r="A378" s="22" t="s">
        <v>368</v>
      </c>
      <c r="B378" s="50" t="s">
        <v>913</v>
      </c>
      <c r="C378" s="60" t="s">
        <v>326</v>
      </c>
      <c r="D378" s="50" t="s">
        <v>331</v>
      </c>
      <c r="E378" s="50" t="s">
        <v>70</v>
      </c>
      <c r="F378" s="50">
        <v>24</v>
      </c>
      <c r="G378" s="51">
        <v>1</v>
      </c>
      <c r="H378" s="51">
        <f t="shared" si="53"/>
        <v>24</v>
      </c>
      <c r="I378" s="50"/>
      <c r="J378" s="50"/>
      <c r="K378" s="50"/>
    </row>
    <row r="379" spans="1:11" s="52" customFormat="1" ht="12">
      <c r="A379" s="22" t="s">
        <v>369</v>
      </c>
      <c r="B379" s="50" t="s">
        <v>914</v>
      </c>
      <c r="C379" s="60" t="s">
        <v>326</v>
      </c>
      <c r="D379" s="50" t="s">
        <v>331</v>
      </c>
      <c r="E379" s="50" t="s">
        <v>70</v>
      </c>
      <c r="F379" s="50">
        <v>24</v>
      </c>
      <c r="G379" s="51">
        <v>1.1000000000000001</v>
      </c>
      <c r="H379" s="51">
        <f t="shared" si="53"/>
        <v>26.400000000000002</v>
      </c>
      <c r="I379" s="50"/>
      <c r="J379" s="50"/>
      <c r="K379" s="50"/>
    </row>
    <row r="380" spans="1:11" s="52" customFormat="1" ht="12">
      <c r="A380" s="22" t="s">
        <v>370</v>
      </c>
      <c r="B380" s="50" t="s">
        <v>915</v>
      </c>
      <c r="C380" s="60" t="s">
        <v>333</v>
      </c>
      <c r="D380" s="50" t="s">
        <v>331</v>
      </c>
      <c r="E380" s="50" t="s">
        <v>49</v>
      </c>
      <c r="F380" s="50">
        <v>8</v>
      </c>
      <c r="G380" s="51">
        <v>20</v>
      </c>
      <c r="H380" s="51">
        <f t="shared" si="53"/>
        <v>160</v>
      </c>
      <c r="I380" s="50"/>
      <c r="J380" s="50"/>
      <c r="K380" s="50"/>
    </row>
    <row r="381" spans="1:11" s="52" customFormat="1" ht="12">
      <c r="A381" s="22" t="s">
        <v>371</v>
      </c>
      <c r="B381" s="50" t="s">
        <v>916</v>
      </c>
      <c r="C381" s="60" t="s">
        <v>326</v>
      </c>
      <c r="D381" s="50" t="s">
        <v>331</v>
      </c>
      <c r="E381" s="50" t="s">
        <v>70</v>
      </c>
      <c r="F381" s="50">
        <v>4</v>
      </c>
      <c r="G381" s="51">
        <v>12.9</v>
      </c>
      <c r="H381" s="51">
        <f t="shared" si="53"/>
        <v>51.6</v>
      </c>
      <c r="I381" s="50"/>
      <c r="J381" s="50"/>
      <c r="K381" s="50"/>
    </row>
    <row r="382" spans="1:11" s="52" customFormat="1" ht="12">
      <c r="A382" s="22" t="s">
        <v>372</v>
      </c>
      <c r="B382" s="50" t="s">
        <v>917</v>
      </c>
      <c r="C382" s="60" t="s">
        <v>326</v>
      </c>
      <c r="D382" s="50" t="s">
        <v>331</v>
      </c>
      <c r="E382" s="50" t="s">
        <v>70</v>
      </c>
      <c r="F382" s="50">
        <v>4</v>
      </c>
      <c r="G382" s="51">
        <v>10.65</v>
      </c>
      <c r="H382" s="51">
        <f t="shared" si="53"/>
        <v>42.6</v>
      </c>
      <c r="I382" s="50"/>
      <c r="J382" s="50"/>
      <c r="K382" s="50"/>
    </row>
    <row r="383" spans="1:11" s="52" customFormat="1" ht="12">
      <c r="A383" s="22" t="s">
        <v>373</v>
      </c>
      <c r="B383" s="50" t="s">
        <v>918</v>
      </c>
      <c r="C383" s="60" t="s">
        <v>334</v>
      </c>
      <c r="D383" s="50" t="s">
        <v>331</v>
      </c>
      <c r="E383" s="50" t="s">
        <v>70</v>
      </c>
      <c r="F383" s="50">
        <v>4</v>
      </c>
      <c r="G383" s="51">
        <v>56</v>
      </c>
      <c r="H383" s="51">
        <f t="shared" si="53"/>
        <v>224</v>
      </c>
      <c r="I383" s="50"/>
      <c r="J383" s="50"/>
      <c r="K383" s="50"/>
    </row>
    <row r="384" spans="1:11" s="52" customFormat="1" ht="12">
      <c r="A384" s="22" t="s">
        <v>340</v>
      </c>
      <c r="B384" s="50" t="s">
        <v>919</v>
      </c>
      <c r="C384" s="60" t="s">
        <v>328</v>
      </c>
      <c r="D384" s="50" t="s">
        <v>331</v>
      </c>
      <c r="E384" s="50" t="s">
        <v>329</v>
      </c>
      <c r="F384" s="50">
        <v>4</v>
      </c>
      <c r="G384" s="51">
        <v>21</v>
      </c>
      <c r="H384" s="51">
        <f t="shared" si="53"/>
        <v>84</v>
      </c>
      <c r="I384" s="50"/>
      <c r="J384" s="50"/>
      <c r="K384" s="50"/>
    </row>
    <row r="385" spans="1:11" s="52" customFormat="1" ht="12">
      <c r="A385" s="22" t="s">
        <v>341</v>
      </c>
      <c r="B385" s="50" t="s">
        <v>920</v>
      </c>
      <c r="C385" s="60" t="s">
        <v>335</v>
      </c>
      <c r="D385" s="50" t="s">
        <v>331</v>
      </c>
      <c r="E385" s="50" t="s">
        <v>49</v>
      </c>
      <c r="F385" s="50">
        <v>4</v>
      </c>
      <c r="G385" s="51">
        <v>35</v>
      </c>
      <c r="H385" s="51">
        <f t="shared" si="53"/>
        <v>140</v>
      </c>
      <c r="I385" s="50"/>
      <c r="J385" s="50"/>
      <c r="K385" s="50"/>
    </row>
    <row r="386" spans="1:11" s="52" customFormat="1" ht="12">
      <c r="A386" s="22" t="s">
        <v>342</v>
      </c>
      <c r="B386" s="50" t="s">
        <v>921</v>
      </c>
      <c r="C386" s="60" t="s">
        <v>416</v>
      </c>
      <c r="D386" s="50" t="s">
        <v>331</v>
      </c>
      <c r="E386" s="50" t="s">
        <v>49</v>
      </c>
      <c r="F386" s="50">
        <v>40</v>
      </c>
      <c r="G386" s="51">
        <v>1.8</v>
      </c>
      <c r="H386" s="51">
        <f t="shared" si="53"/>
        <v>72</v>
      </c>
      <c r="I386" s="50"/>
      <c r="J386" s="50"/>
      <c r="K386" s="50"/>
    </row>
    <row r="387" spans="1:11" s="52" customFormat="1" ht="12">
      <c r="A387" s="22" t="s">
        <v>343</v>
      </c>
      <c r="B387" s="50" t="s">
        <v>922</v>
      </c>
      <c r="C387" s="60" t="s">
        <v>417</v>
      </c>
      <c r="D387" s="50" t="s">
        <v>336</v>
      </c>
      <c r="E387" s="50" t="s">
        <v>49</v>
      </c>
      <c r="F387" s="50">
        <v>4</v>
      </c>
      <c r="G387" s="51">
        <v>80</v>
      </c>
      <c r="H387" s="51">
        <f t="shared" si="53"/>
        <v>320</v>
      </c>
      <c r="I387" s="50"/>
      <c r="J387" s="50"/>
      <c r="K387" s="50"/>
    </row>
    <row r="388" spans="1:11" s="52" customFormat="1" ht="12">
      <c r="A388" s="22" t="s">
        <v>344</v>
      </c>
      <c r="B388" s="50" t="s">
        <v>923</v>
      </c>
      <c r="C388" s="60" t="s">
        <v>337</v>
      </c>
      <c r="D388" s="50" t="s">
        <v>336</v>
      </c>
      <c r="E388" s="50" t="s">
        <v>70</v>
      </c>
      <c r="F388" s="50">
        <v>1</v>
      </c>
      <c r="G388" s="51">
        <v>60</v>
      </c>
      <c r="H388" s="51">
        <f t="shared" si="53"/>
        <v>60</v>
      </c>
      <c r="I388" s="50"/>
      <c r="J388" s="50"/>
      <c r="K388" s="50"/>
    </row>
    <row r="389" spans="1:11">
      <c r="A389" s="12"/>
      <c r="B389" s="2" t="s">
        <v>48</v>
      </c>
      <c r="C389" s="59"/>
      <c r="D389" s="2"/>
      <c r="E389" s="2"/>
      <c r="F389" s="2">
        <f>SUM(F375:F388)</f>
        <v>145</v>
      </c>
      <c r="G389" s="10"/>
      <c r="H389" s="10">
        <f t="shared" ref="H389" si="55">SUM(H375:H388)</f>
        <v>1769.4</v>
      </c>
      <c r="I389" s="2"/>
      <c r="J389" s="2"/>
      <c r="K389" s="2"/>
    </row>
    <row r="390" spans="1:11">
      <c r="A390" s="12"/>
      <c r="B390" s="2"/>
      <c r="C390" s="59"/>
      <c r="D390" s="2"/>
      <c r="E390" s="2"/>
      <c r="F390" s="2"/>
      <c r="G390" s="10"/>
      <c r="H390" s="10"/>
      <c r="I390" s="2"/>
      <c r="J390" s="2"/>
      <c r="K390" s="2"/>
    </row>
    <row r="391" spans="1:11" s="3" customFormat="1">
      <c r="A391" s="21"/>
      <c r="B391" s="7" t="s">
        <v>742</v>
      </c>
      <c r="C391" s="58"/>
      <c r="D391" s="7"/>
      <c r="E391" s="7"/>
      <c r="F391" s="7">
        <f>F389+F372</f>
        <v>265</v>
      </c>
      <c r="G391" s="9"/>
      <c r="H391" s="9">
        <f t="shared" ref="H391" si="56">H389+H372</f>
        <v>2954.7</v>
      </c>
      <c r="I391" s="7"/>
      <c r="J391" s="7"/>
      <c r="K391" s="7"/>
    </row>
    <row r="392" spans="1:11">
      <c r="A392" s="12"/>
      <c r="B392" s="2"/>
      <c r="C392" s="59"/>
      <c r="D392" s="2"/>
      <c r="E392" s="2"/>
      <c r="F392" s="2"/>
      <c r="G392" s="10"/>
      <c r="H392" s="10"/>
      <c r="I392" s="2"/>
      <c r="J392" s="2"/>
      <c r="K392" s="2"/>
    </row>
    <row r="393" spans="1:11" s="3" customFormat="1">
      <c r="A393" s="21" t="s">
        <v>1045</v>
      </c>
      <c r="B393" s="7" t="s">
        <v>422</v>
      </c>
      <c r="C393" s="58"/>
      <c r="D393" s="7"/>
      <c r="E393" s="7"/>
      <c r="F393" s="7"/>
      <c r="G393" s="9"/>
      <c r="H393" s="9"/>
      <c r="I393" s="7"/>
      <c r="J393" s="7"/>
      <c r="K393" s="7"/>
    </row>
    <row r="394" spans="1:11" s="52" customFormat="1" ht="12">
      <c r="A394" s="22">
        <v>1</v>
      </c>
      <c r="B394" s="50" t="s">
        <v>905</v>
      </c>
      <c r="C394" s="60" t="s">
        <v>906</v>
      </c>
      <c r="D394" s="50" t="s">
        <v>331</v>
      </c>
      <c r="E394" s="50" t="s">
        <v>49</v>
      </c>
      <c r="F394" s="50">
        <v>8</v>
      </c>
      <c r="G394" s="51">
        <v>80</v>
      </c>
      <c r="H394" s="51">
        <f t="shared" si="53"/>
        <v>640</v>
      </c>
      <c r="I394" s="50"/>
      <c r="J394" s="50"/>
      <c r="K394" s="50"/>
    </row>
    <row r="395" spans="1:11" s="52" customFormat="1" ht="12">
      <c r="A395" s="22">
        <v>2</v>
      </c>
      <c r="B395" s="50" t="s">
        <v>907</v>
      </c>
      <c r="C395" s="60" t="s">
        <v>908</v>
      </c>
      <c r="D395" s="50" t="s">
        <v>331</v>
      </c>
      <c r="E395" s="50" t="s">
        <v>49</v>
      </c>
      <c r="F395" s="50">
        <v>2</v>
      </c>
      <c r="G395" s="51">
        <v>160</v>
      </c>
      <c r="H395" s="51">
        <f t="shared" si="53"/>
        <v>320</v>
      </c>
      <c r="I395" s="50"/>
      <c r="J395" s="50"/>
      <c r="K395" s="50"/>
    </row>
    <row r="396" spans="1:11" s="52" customFormat="1" ht="12">
      <c r="A396" s="22">
        <v>3</v>
      </c>
      <c r="B396" s="50" t="s">
        <v>909</v>
      </c>
      <c r="C396" s="60" t="s">
        <v>338</v>
      </c>
      <c r="D396" s="50" t="s">
        <v>331</v>
      </c>
      <c r="E396" s="50" t="s">
        <v>49</v>
      </c>
      <c r="F396" s="50">
        <v>4</v>
      </c>
      <c r="G396" s="51">
        <v>20</v>
      </c>
      <c r="H396" s="51">
        <f t="shared" si="53"/>
        <v>80</v>
      </c>
      <c r="I396" s="50"/>
      <c r="J396" s="50"/>
      <c r="K396" s="50"/>
    </row>
    <row r="397" spans="1:11" s="52" customFormat="1" ht="12">
      <c r="A397" s="22">
        <v>4</v>
      </c>
      <c r="B397" s="50" t="s">
        <v>910</v>
      </c>
      <c r="C397" s="60" t="s">
        <v>339</v>
      </c>
      <c r="D397" s="50" t="s">
        <v>331</v>
      </c>
      <c r="E397" s="50" t="s">
        <v>49</v>
      </c>
      <c r="F397" s="50">
        <v>6</v>
      </c>
      <c r="G397" s="51">
        <v>12</v>
      </c>
      <c r="H397" s="51">
        <f t="shared" si="53"/>
        <v>72</v>
      </c>
      <c r="I397" s="50"/>
      <c r="J397" s="50"/>
      <c r="K397" s="50"/>
    </row>
    <row r="398" spans="1:11" s="52" customFormat="1" ht="12">
      <c r="A398" s="22">
        <v>5</v>
      </c>
      <c r="B398" s="50" t="s">
        <v>911</v>
      </c>
      <c r="C398" s="60" t="s">
        <v>73</v>
      </c>
      <c r="D398" s="50" t="s">
        <v>331</v>
      </c>
      <c r="E398" s="50" t="s">
        <v>49</v>
      </c>
      <c r="F398" s="50">
        <v>2</v>
      </c>
      <c r="G398" s="51">
        <v>90</v>
      </c>
      <c r="H398" s="51">
        <f t="shared" si="53"/>
        <v>180</v>
      </c>
      <c r="I398" s="50"/>
      <c r="J398" s="50"/>
      <c r="K398" s="50"/>
    </row>
    <row r="399" spans="1:11">
      <c r="A399" s="12"/>
      <c r="B399" s="2"/>
      <c r="C399" s="59"/>
      <c r="D399" s="2"/>
      <c r="E399" s="2"/>
      <c r="F399" s="2"/>
      <c r="G399" s="10"/>
      <c r="H399" s="10"/>
      <c r="I399" s="2"/>
      <c r="J399" s="2"/>
      <c r="K399" s="2"/>
    </row>
    <row r="400" spans="1:11" s="3" customFormat="1">
      <c r="A400" s="21"/>
      <c r="B400" s="7" t="s">
        <v>742</v>
      </c>
      <c r="C400" s="58"/>
      <c r="D400" s="7"/>
      <c r="E400" s="7"/>
      <c r="F400" s="7">
        <f>SUM(F394:F399)</f>
        <v>22</v>
      </c>
      <c r="G400" s="9"/>
      <c r="H400" s="9">
        <f t="shared" ref="H400" si="57">SUM(H394:H399)</f>
        <v>1292</v>
      </c>
      <c r="I400" s="7"/>
      <c r="J400" s="7"/>
      <c r="K400" s="7"/>
    </row>
    <row r="401" spans="1:11">
      <c r="A401" s="12"/>
      <c r="B401" s="2"/>
      <c r="C401" s="59"/>
      <c r="D401" s="2"/>
      <c r="E401" s="2"/>
      <c r="F401" s="2"/>
      <c r="G401" s="10"/>
      <c r="H401" s="10"/>
      <c r="I401" s="2"/>
      <c r="J401" s="2"/>
      <c r="K401" s="2"/>
    </row>
    <row r="402" spans="1:11" s="3" customFormat="1">
      <c r="A402" s="21" t="s">
        <v>419</v>
      </c>
      <c r="B402" s="7" t="s">
        <v>418</v>
      </c>
      <c r="C402" s="58"/>
      <c r="D402" s="7"/>
      <c r="E402" s="7"/>
      <c r="F402" s="7"/>
      <c r="G402" s="9"/>
      <c r="H402" s="9"/>
      <c r="I402" s="7"/>
      <c r="J402" s="7"/>
      <c r="K402" s="7"/>
    </row>
    <row r="403" spans="1:11" s="49" customFormat="1">
      <c r="A403" s="46">
        <v>1</v>
      </c>
      <c r="B403" s="47" t="s">
        <v>1029</v>
      </c>
      <c r="C403" s="61"/>
      <c r="D403" s="47"/>
      <c r="E403" s="47"/>
      <c r="F403" s="47"/>
      <c r="G403" s="48"/>
      <c r="H403" s="48"/>
      <c r="I403" s="47"/>
      <c r="J403" s="47"/>
      <c r="K403" s="47"/>
    </row>
    <row r="404" spans="1:11" s="52" customFormat="1" ht="12.75">
      <c r="A404" s="22">
        <v>1.1000000000000001</v>
      </c>
      <c r="B404" s="50" t="s">
        <v>940</v>
      </c>
      <c r="C404" s="60" t="s">
        <v>941</v>
      </c>
      <c r="D404" s="50" t="s">
        <v>942</v>
      </c>
      <c r="E404" s="50" t="s">
        <v>943</v>
      </c>
      <c r="F404" s="50">
        <v>1</v>
      </c>
      <c r="G404" s="51">
        <v>3.7</v>
      </c>
      <c r="H404" s="51">
        <v>3.7</v>
      </c>
      <c r="I404" s="50"/>
      <c r="J404" s="50"/>
      <c r="K404" s="50"/>
    </row>
    <row r="405" spans="1:11" s="52" customFormat="1" ht="25.5">
      <c r="A405" s="22">
        <v>1.2</v>
      </c>
      <c r="B405" s="50" t="s">
        <v>944</v>
      </c>
      <c r="C405" s="60" t="s">
        <v>945</v>
      </c>
      <c r="D405" s="50" t="s">
        <v>942</v>
      </c>
      <c r="E405" s="50" t="s">
        <v>943</v>
      </c>
      <c r="F405" s="50">
        <v>1</v>
      </c>
      <c r="G405" s="51">
        <v>2.4</v>
      </c>
      <c r="H405" s="51">
        <v>2.4</v>
      </c>
      <c r="I405" s="50"/>
      <c r="J405" s="50"/>
      <c r="K405" s="50"/>
    </row>
    <row r="406" spans="1:11" s="52" customFormat="1" ht="12">
      <c r="A406" s="22">
        <v>1.3</v>
      </c>
      <c r="B406" s="50" t="s">
        <v>946</v>
      </c>
      <c r="C406" s="60"/>
      <c r="D406" s="50" t="s">
        <v>942</v>
      </c>
      <c r="E406" s="50" t="s">
        <v>943</v>
      </c>
      <c r="F406" s="50">
        <v>1</v>
      </c>
      <c r="G406" s="51">
        <v>3.7</v>
      </c>
      <c r="H406" s="51">
        <v>3.7</v>
      </c>
      <c r="I406" s="50"/>
      <c r="J406" s="50"/>
      <c r="K406" s="50"/>
    </row>
    <row r="407" spans="1:11" s="52" customFormat="1" ht="12.75">
      <c r="A407" s="22">
        <v>1.4</v>
      </c>
      <c r="B407" s="50" t="s">
        <v>947</v>
      </c>
      <c r="C407" s="60" t="s">
        <v>948</v>
      </c>
      <c r="D407" s="50" t="s">
        <v>942</v>
      </c>
      <c r="E407" s="50" t="s">
        <v>943</v>
      </c>
      <c r="F407" s="50">
        <v>1</v>
      </c>
      <c r="G407" s="51">
        <v>8.5</v>
      </c>
      <c r="H407" s="51">
        <v>8.5</v>
      </c>
      <c r="I407" s="50"/>
      <c r="J407" s="50"/>
      <c r="K407" s="50"/>
    </row>
    <row r="408" spans="1:11" s="52" customFormat="1" ht="12.75">
      <c r="A408" s="22">
        <v>1.5</v>
      </c>
      <c r="B408" s="50" t="s">
        <v>949</v>
      </c>
      <c r="C408" s="60" t="s">
        <v>950</v>
      </c>
      <c r="D408" s="50" t="s">
        <v>942</v>
      </c>
      <c r="E408" s="50" t="s">
        <v>943</v>
      </c>
      <c r="F408" s="50">
        <v>1</v>
      </c>
      <c r="G408" s="51">
        <v>68</v>
      </c>
      <c r="H408" s="51">
        <v>68</v>
      </c>
      <c r="I408" s="50"/>
      <c r="J408" s="50"/>
      <c r="K408" s="50"/>
    </row>
    <row r="409" spans="1:11" s="52" customFormat="1" ht="12.75">
      <c r="A409" s="22">
        <v>1.6</v>
      </c>
      <c r="B409" s="50" t="s">
        <v>951</v>
      </c>
      <c r="C409" s="60" t="s">
        <v>952</v>
      </c>
      <c r="D409" s="50" t="s">
        <v>942</v>
      </c>
      <c r="E409" s="50" t="s">
        <v>943</v>
      </c>
      <c r="F409" s="50">
        <v>1</v>
      </c>
      <c r="G409" s="51">
        <v>64</v>
      </c>
      <c r="H409" s="51">
        <v>64</v>
      </c>
      <c r="I409" s="50"/>
      <c r="J409" s="50"/>
      <c r="K409" s="50"/>
    </row>
    <row r="410" spans="1:11" s="52" customFormat="1" ht="12">
      <c r="A410" s="22">
        <v>1.7</v>
      </c>
      <c r="B410" s="50" t="s">
        <v>953</v>
      </c>
      <c r="C410" s="60" t="s">
        <v>583</v>
      </c>
      <c r="D410" s="50" t="s">
        <v>942</v>
      </c>
      <c r="E410" s="50" t="s">
        <v>943</v>
      </c>
      <c r="F410" s="50">
        <v>2</v>
      </c>
      <c r="G410" s="51">
        <v>2.5</v>
      </c>
      <c r="H410" s="51">
        <v>5</v>
      </c>
      <c r="I410" s="50"/>
      <c r="J410" s="50"/>
      <c r="K410" s="50"/>
    </row>
    <row r="411" spans="1:11" s="52" customFormat="1" ht="12">
      <c r="A411" s="22">
        <v>1.8</v>
      </c>
      <c r="B411" s="50" t="s">
        <v>954</v>
      </c>
      <c r="C411" s="60" t="s">
        <v>584</v>
      </c>
      <c r="D411" s="50" t="s">
        <v>942</v>
      </c>
      <c r="E411" s="50" t="s">
        <v>943</v>
      </c>
      <c r="F411" s="50">
        <v>8</v>
      </c>
      <c r="G411" s="51">
        <v>5.875</v>
      </c>
      <c r="H411" s="51">
        <v>47</v>
      </c>
      <c r="I411" s="50"/>
      <c r="J411" s="50"/>
      <c r="K411" s="50"/>
    </row>
    <row r="412" spans="1:11" s="52" customFormat="1" ht="12.75">
      <c r="A412" s="22">
        <v>1.9</v>
      </c>
      <c r="B412" s="50" t="s">
        <v>955</v>
      </c>
      <c r="C412" s="60" t="s">
        <v>956</v>
      </c>
      <c r="D412" s="50" t="s">
        <v>942</v>
      </c>
      <c r="E412" s="50" t="s">
        <v>943</v>
      </c>
      <c r="F412" s="50">
        <v>5</v>
      </c>
      <c r="G412" s="51">
        <v>0.85</v>
      </c>
      <c r="H412" s="51">
        <v>4.25</v>
      </c>
      <c r="I412" s="50"/>
      <c r="J412" s="50"/>
      <c r="K412" s="50"/>
    </row>
    <row r="413" spans="1:11" s="52" customFormat="1" ht="25.5">
      <c r="A413" s="53" t="s">
        <v>957</v>
      </c>
      <c r="B413" s="50" t="s">
        <v>958</v>
      </c>
      <c r="C413" s="60" t="s">
        <v>959</v>
      </c>
      <c r="D413" s="50" t="s">
        <v>942</v>
      </c>
      <c r="E413" s="50" t="s">
        <v>943</v>
      </c>
      <c r="F413" s="50">
        <v>3</v>
      </c>
      <c r="G413" s="51">
        <v>1.0999999999999999</v>
      </c>
      <c r="H413" s="51">
        <v>3.3</v>
      </c>
      <c r="I413" s="50"/>
      <c r="J413" s="50"/>
      <c r="K413" s="50"/>
    </row>
    <row r="414" spans="1:11" s="52" customFormat="1" ht="38.25">
      <c r="A414" s="53" t="s">
        <v>960</v>
      </c>
      <c r="B414" s="50" t="s">
        <v>961</v>
      </c>
      <c r="C414" s="60" t="s">
        <v>962</v>
      </c>
      <c r="D414" s="50" t="s">
        <v>942</v>
      </c>
      <c r="E414" s="50" t="s">
        <v>943</v>
      </c>
      <c r="F414" s="50">
        <v>2</v>
      </c>
      <c r="G414" s="51">
        <v>4</v>
      </c>
      <c r="H414" s="51">
        <v>8</v>
      </c>
      <c r="I414" s="50"/>
      <c r="J414" s="50"/>
      <c r="K414" s="50"/>
    </row>
    <row r="415" spans="1:11" s="52" customFormat="1" ht="25.5">
      <c r="A415" s="53" t="s">
        <v>383</v>
      </c>
      <c r="B415" s="50" t="s">
        <v>963</v>
      </c>
      <c r="C415" s="60" t="s">
        <v>964</v>
      </c>
      <c r="D415" s="50" t="s">
        <v>942</v>
      </c>
      <c r="E415" s="50" t="s">
        <v>965</v>
      </c>
      <c r="F415" s="50">
        <v>1</v>
      </c>
      <c r="G415" s="51">
        <v>4.2</v>
      </c>
      <c r="H415" s="51">
        <v>4.2</v>
      </c>
      <c r="I415" s="50"/>
      <c r="J415" s="50"/>
      <c r="K415" s="50"/>
    </row>
    <row r="416" spans="1:11" s="52" customFormat="1" ht="38.25">
      <c r="A416" s="53" t="s">
        <v>384</v>
      </c>
      <c r="B416" s="50" t="s">
        <v>966</v>
      </c>
      <c r="C416" s="60" t="s">
        <v>967</v>
      </c>
      <c r="D416" s="50" t="s">
        <v>942</v>
      </c>
      <c r="E416" s="50" t="s">
        <v>943</v>
      </c>
      <c r="F416" s="50">
        <v>1</v>
      </c>
      <c r="G416" s="51">
        <v>28</v>
      </c>
      <c r="H416" s="51">
        <v>28</v>
      </c>
      <c r="I416" s="50"/>
      <c r="J416" s="50"/>
      <c r="K416" s="50"/>
    </row>
    <row r="417" spans="1:11" s="52" customFormat="1" ht="12.75">
      <c r="A417" s="53" t="s">
        <v>385</v>
      </c>
      <c r="B417" s="50" t="s">
        <v>968</v>
      </c>
      <c r="C417" s="60" t="s">
        <v>969</v>
      </c>
      <c r="D417" s="50" t="s">
        <v>942</v>
      </c>
      <c r="E417" s="50" t="s">
        <v>943</v>
      </c>
      <c r="F417" s="50">
        <v>1</v>
      </c>
      <c r="G417" s="51">
        <v>31</v>
      </c>
      <c r="H417" s="51">
        <v>31</v>
      </c>
      <c r="I417" s="50"/>
      <c r="J417" s="50"/>
      <c r="K417" s="50"/>
    </row>
    <row r="418" spans="1:11" s="52" customFormat="1" ht="12.75">
      <c r="A418" s="53" t="s">
        <v>386</v>
      </c>
      <c r="B418" s="50" t="s">
        <v>970</v>
      </c>
      <c r="C418" s="60" t="s">
        <v>971</v>
      </c>
      <c r="D418" s="50" t="s">
        <v>942</v>
      </c>
      <c r="E418" s="50" t="s">
        <v>943</v>
      </c>
      <c r="F418" s="50">
        <v>1</v>
      </c>
      <c r="G418" s="51">
        <v>19.600000000000001</v>
      </c>
      <c r="H418" s="51">
        <v>19.600000000000001</v>
      </c>
      <c r="I418" s="50"/>
      <c r="J418" s="50"/>
      <c r="K418" s="50"/>
    </row>
    <row r="419" spans="1:11" s="52" customFormat="1" ht="12">
      <c r="A419" s="53" t="s">
        <v>387</v>
      </c>
      <c r="B419" s="50" t="s">
        <v>972</v>
      </c>
      <c r="C419" s="60" t="s">
        <v>585</v>
      </c>
      <c r="D419" s="50" t="s">
        <v>942</v>
      </c>
      <c r="E419" s="50" t="s">
        <v>943</v>
      </c>
      <c r="F419" s="50">
        <v>5</v>
      </c>
      <c r="G419" s="51">
        <v>1</v>
      </c>
      <c r="H419" s="51">
        <v>5</v>
      </c>
      <c r="I419" s="50"/>
      <c r="J419" s="50"/>
      <c r="K419" s="50"/>
    </row>
    <row r="420" spans="1:11" s="52" customFormat="1" ht="12">
      <c r="A420" s="53" t="s">
        <v>890</v>
      </c>
      <c r="B420" s="50" t="s">
        <v>973</v>
      </c>
      <c r="C420" s="60" t="s">
        <v>586</v>
      </c>
      <c r="D420" s="50" t="s">
        <v>942</v>
      </c>
      <c r="E420" s="50" t="s">
        <v>943</v>
      </c>
      <c r="F420" s="50">
        <v>49</v>
      </c>
      <c r="G420" s="51">
        <v>0.4</v>
      </c>
      <c r="H420" s="51">
        <v>19.600000000000001</v>
      </c>
      <c r="I420" s="50"/>
      <c r="J420" s="50"/>
      <c r="K420" s="50"/>
    </row>
    <row r="421" spans="1:11" s="52" customFormat="1" ht="12.75">
      <c r="A421" s="53" t="s">
        <v>891</v>
      </c>
      <c r="B421" s="50" t="s">
        <v>974</v>
      </c>
      <c r="C421" s="60" t="s">
        <v>975</v>
      </c>
      <c r="D421" s="50" t="s">
        <v>942</v>
      </c>
      <c r="E421" s="50" t="s">
        <v>943</v>
      </c>
      <c r="F421" s="50">
        <v>8</v>
      </c>
      <c r="G421" s="51">
        <v>1.2</v>
      </c>
      <c r="H421" s="51">
        <v>9.6</v>
      </c>
      <c r="I421" s="50"/>
      <c r="J421" s="50"/>
      <c r="K421" s="50"/>
    </row>
    <row r="422" spans="1:11" s="52" customFormat="1" ht="12.75">
      <c r="A422" s="53" t="s">
        <v>892</v>
      </c>
      <c r="B422" s="50" t="s">
        <v>976</v>
      </c>
      <c r="C422" s="60" t="s">
        <v>977</v>
      </c>
      <c r="D422" s="50" t="s">
        <v>942</v>
      </c>
      <c r="E422" s="50" t="s">
        <v>943</v>
      </c>
      <c r="F422" s="50">
        <v>8</v>
      </c>
      <c r="G422" s="51">
        <v>2.7</v>
      </c>
      <c r="H422" s="51">
        <v>21.6</v>
      </c>
      <c r="I422" s="50"/>
      <c r="J422" s="50"/>
      <c r="K422" s="50"/>
    </row>
    <row r="423" spans="1:11" s="52" customFormat="1" ht="12.75">
      <c r="A423" s="53" t="s">
        <v>893</v>
      </c>
      <c r="B423" s="50" t="s">
        <v>978</v>
      </c>
      <c r="C423" s="60" t="s">
        <v>977</v>
      </c>
      <c r="D423" s="50" t="s">
        <v>942</v>
      </c>
      <c r="E423" s="50" t="s">
        <v>943</v>
      </c>
      <c r="F423" s="50">
        <v>6</v>
      </c>
      <c r="G423" s="51">
        <v>5.5</v>
      </c>
      <c r="H423" s="51">
        <v>33</v>
      </c>
      <c r="I423" s="50"/>
      <c r="J423" s="50"/>
      <c r="K423" s="50"/>
    </row>
    <row r="424" spans="1:11" s="52" customFormat="1" ht="12.75">
      <c r="A424" s="53" t="s">
        <v>894</v>
      </c>
      <c r="B424" s="50" t="s">
        <v>979</v>
      </c>
      <c r="C424" s="60" t="s">
        <v>980</v>
      </c>
      <c r="D424" s="50" t="s">
        <v>942</v>
      </c>
      <c r="E424" s="50" t="s">
        <v>943</v>
      </c>
      <c r="F424" s="50">
        <v>3</v>
      </c>
      <c r="G424" s="51">
        <v>1.5999999999999999</v>
      </c>
      <c r="H424" s="51">
        <v>4.8</v>
      </c>
      <c r="I424" s="50"/>
      <c r="J424" s="50"/>
      <c r="K424" s="50"/>
    </row>
    <row r="425" spans="1:11" s="52" customFormat="1" ht="12">
      <c r="A425" s="53" t="s">
        <v>895</v>
      </c>
      <c r="B425" s="50" t="s">
        <v>981</v>
      </c>
      <c r="C425" s="60" t="s">
        <v>590</v>
      </c>
      <c r="D425" s="50" t="s">
        <v>942</v>
      </c>
      <c r="E425" s="50" t="s">
        <v>943</v>
      </c>
      <c r="F425" s="50">
        <v>1</v>
      </c>
      <c r="G425" s="51">
        <v>50</v>
      </c>
      <c r="H425" s="51">
        <v>50</v>
      </c>
      <c r="I425" s="50"/>
      <c r="J425" s="50"/>
      <c r="K425" s="50"/>
    </row>
    <row r="426" spans="1:11" s="6" customFormat="1">
      <c r="A426" s="11"/>
      <c r="B426" s="2"/>
      <c r="C426" s="59"/>
      <c r="D426" s="2"/>
      <c r="E426" s="2"/>
      <c r="F426" s="2"/>
      <c r="G426" s="10"/>
      <c r="H426" s="10"/>
      <c r="I426" s="2"/>
      <c r="J426" s="2"/>
      <c r="K426" s="2"/>
    </row>
    <row r="427" spans="1:11" s="49" customFormat="1">
      <c r="A427" s="46">
        <v>2</v>
      </c>
      <c r="B427" s="47" t="s">
        <v>1030</v>
      </c>
      <c r="C427" s="61"/>
      <c r="D427" s="47"/>
      <c r="E427" s="47"/>
      <c r="F427" s="47"/>
      <c r="G427" s="48"/>
      <c r="H427" s="48"/>
      <c r="I427" s="47"/>
      <c r="J427" s="47"/>
      <c r="K427" s="47"/>
    </row>
    <row r="428" spans="1:11" s="52" customFormat="1" ht="12.75">
      <c r="A428" s="22">
        <v>2.1</v>
      </c>
      <c r="B428" s="50" t="s">
        <v>982</v>
      </c>
      <c r="C428" s="60" t="s">
        <v>983</v>
      </c>
      <c r="D428" s="50" t="s">
        <v>942</v>
      </c>
      <c r="E428" s="50" t="s">
        <v>943</v>
      </c>
      <c r="F428" s="50">
        <v>1</v>
      </c>
      <c r="G428" s="51">
        <v>188</v>
      </c>
      <c r="H428" s="51">
        <v>188</v>
      </c>
      <c r="I428" s="50"/>
      <c r="J428" s="50"/>
      <c r="K428" s="50"/>
    </row>
    <row r="429" spans="1:11" s="52" customFormat="1" ht="12.75">
      <c r="A429" s="22">
        <v>2.2000000000000002</v>
      </c>
      <c r="B429" s="50" t="s">
        <v>984</v>
      </c>
      <c r="C429" s="60" t="s">
        <v>985</v>
      </c>
      <c r="D429" s="50" t="s">
        <v>942</v>
      </c>
      <c r="E429" s="50" t="s">
        <v>943</v>
      </c>
      <c r="F429" s="50">
        <v>1</v>
      </c>
      <c r="G429" s="51">
        <v>110</v>
      </c>
      <c r="H429" s="51">
        <v>110</v>
      </c>
      <c r="I429" s="50"/>
      <c r="J429" s="50"/>
      <c r="K429" s="50"/>
    </row>
    <row r="430" spans="1:11" s="52" customFormat="1" ht="12.75">
      <c r="A430" s="22">
        <v>2.2999999999999998</v>
      </c>
      <c r="B430" s="50" t="s">
        <v>986</v>
      </c>
      <c r="C430" s="60" t="s">
        <v>987</v>
      </c>
      <c r="D430" s="50" t="s">
        <v>942</v>
      </c>
      <c r="E430" s="50" t="s">
        <v>943</v>
      </c>
      <c r="F430" s="50">
        <v>1</v>
      </c>
      <c r="G430" s="51">
        <v>140</v>
      </c>
      <c r="H430" s="51">
        <v>140</v>
      </c>
      <c r="I430" s="50"/>
      <c r="J430" s="50"/>
      <c r="K430" s="50"/>
    </row>
    <row r="431" spans="1:11" s="52" customFormat="1" ht="12.75">
      <c r="A431" s="22">
        <v>2.4</v>
      </c>
      <c r="B431" s="50" t="s">
        <v>988</v>
      </c>
      <c r="C431" s="60" t="s">
        <v>989</v>
      </c>
      <c r="D431" s="50" t="s">
        <v>942</v>
      </c>
      <c r="E431" s="50" t="s">
        <v>943</v>
      </c>
      <c r="F431" s="50">
        <v>1</v>
      </c>
      <c r="G431" s="51">
        <v>53</v>
      </c>
      <c r="H431" s="51">
        <v>53</v>
      </c>
      <c r="I431" s="50"/>
      <c r="J431" s="50"/>
      <c r="K431" s="50"/>
    </row>
    <row r="432" spans="1:11" s="52" customFormat="1" ht="12.75">
      <c r="A432" s="22">
        <v>2.5</v>
      </c>
      <c r="B432" s="50" t="s">
        <v>990</v>
      </c>
      <c r="C432" s="60" t="s">
        <v>991</v>
      </c>
      <c r="D432" s="50" t="s">
        <v>942</v>
      </c>
      <c r="E432" s="50" t="s">
        <v>943</v>
      </c>
      <c r="F432" s="50">
        <v>1</v>
      </c>
      <c r="G432" s="51">
        <v>8</v>
      </c>
      <c r="H432" s="51">
        <v>8</v>
      </c>
      <c r="I432" s="50"/>
      <c r="J432" s="50"/>
      <c r="K432" s="50"/>
    </row>
    <row r="433" spans="1:11" s="52" customFormat="1" ht="12.75">
      <c r="A433" s="22">
        <v>2.6</v>
      </c>
      <c r="B433" s="50" t="s">
        <v>940</v>
      </c>
      <c r="C433" s="60" t="s">
        <v>992</v>
      </c>
      <c r="D433" s="50" t="s">
        <v>942</v>
      </c>
      <c r="E433" s="50" t="s">
        <v>943</v>
      </c>
      <c r="F433" s="50">
        <v>1</v>
      </c>
      <c r="G433" s="51">
        <v>3.7</v>
      </c>
      <c r="H433" s="51">
        <v>3.7</v>
      </c>
      <c r="I433" s="50"/>
      <c r="J433" s="50"/>
      <c r="K433" s="50"/>
    </row>
    <row r="434" spans="1:11" s="52" customFormat="1" ht="25.5">
      <c r="A434" s="22">
        <v>2.7</v>
      </c>
      <c r="B434" s="50" t="s">
        <v>993</v>
      </c>
      <c r="C434" s="60" t="s">
        <v>994</v>
      </c>
      <c r="D434" s="50" t="s">
        <v>942</v>
      </c>
      <c r="E434" s="50" t="s">
        <v>943</v>
      </c>
      <c r="F434" s="50">
        <v>1</v>
      </c>
      <c r="G434" s="51">
        <v>115</v>
      </c>
      <c r="H434" s="51">
        <v>115</v>
      </c>
      <c r="I434" s="50"/>
      <c r="J434" s="50"/>
      <c r="K434" s="50"/>
    </row>
    <row r="435" spans="1:11" s="52" customFormat="1" ht="12">
      <c r="A435" s="22">
        <v>2.8</v>
      </c>
      <c r="B435" s="50" t="s">
        <v>953</v>
      </c>
      <c r="C435" s="60" t="s">
        <v>583</v>
      </c>
      <c r="D435" s="50" t="s">
        <v>942</v>
      </c>
      <c r="E435" s="50" t="s">
        <v>943</v>
      </c>
      <c r="F435" s="50">
        <v>8</v>
      </c>
      <c r="G435" s="51">
        <v>2.5</v>
      </c>
      <c r="H435" s="51">
        <v>20</v>
      </c>
      <c r="I435" s="50"/>
      <c r="J435" s="50"/>
      <c r="K435" s="50"/>
    </row>
    <row r="436" spans="1:11" s="52" customFormat="1" ht="12">
      <c r="A436" s="22">
        <v>2.9</v>
      </c>
      <c r="B436" s="50" t="s">
        <v>954</v>
      </c>
      <c r="C436" s="60" t="s">
        <v>584</v>
      </c>
      <c r="D436" s="50" t="s">
        <v>942</v>
      </c>
      <c r="E436" s="50" t="s">
        <v>943</v>
      </c>
      <c r="F436" s="50">
        <v>10</v>
      </c>
      <c r="G436" s="51">
        <v>5.88</v>
      </c>
      <c r="H436" s="51">
        <v>58.8</v>
      </c>
      <c r="I436" s="50"/>
      <c r="J436" s="50"/>
      <c r="K436" s="50"/>
    </row>
    <row r="437" spans="1:11" s="52" customFormat="1" ht="12.75">
      <c r="A437" s="53" t="s">
        <v>995</v>
      </c>
      <c r="B437" s="50" t="s">
        <v>955</v>
      </c>
      <c r="C437" s="60" t="s">
        <v>956</v>
      </c>
      <c r="D437" s="50" t="s">
        <v>942</v>
      </c>
      <c r="E437" s="50" t="s">
        <v>943</v>
      </c>
      <c r="F437" s="50">
        <v>5</v>
      </c>
      <c r="G437" s="51">
        <v>0.85</v>
      </c>
      <c r="H437" s="51">
        <v>4.25</v>
      </c>
      <c r="I437" s="50"/>
      <c r="J437" s="50"/>
      <c r="K437" s="50"/>
    </row>
    <row r="438" spans="1:11" s="52" customFormat="1" ht="25.5">
      <c r="A438" s="53" t="s">
        <v>996</v>
      </c>
      <c r="B438" s="50" t="s">
        <v>958</v>
      </c>
      <c r="C438" s="60" t="s">
        <v>959</v>
      </c>
      <c r="D438" s="50" t="s">
        <v>942</v>
      </c>
      <c r="E438" s="50" t="s">
        <v>943</v>
      </c>
      <c r="F438" s="50">
        <v>3</v>
      </c>
      <c r="G438" s="51">
        <v>1.0999999999999999</v>
      </c>
      <c r="H438" s="51">
        <v>3.3</v>
      </c>
      <c r="I438" s="50"/>
      <c r="J438" s="50"/>
      <c r="K438" s="50"/>
    </row>
    <row r="439" spans="1:11" s="52" customFormat="1" ht="12.75">
      <c r="A439" s="53" t="s">
        <v>342</v>
      </c>
      <c r="B439" s="50" t="s">
        <v>997</v>
      </c>
      <c r="C439" s="60" t="s">
        <v>998</v>
      </c>
      <c r="D439" s="50" t="s">
        <v>942</v>
      </c>
      <c r="E439" s="50" t="s">
        <v>943</v>
      </c>
      <c r="F439" s="50">
        <v>2</v>
      </c>
      <c r="G439" s="51">
        <v>2.6</v>
      </c>
      <c r="H439" s="51">
        <v>5.2</v>
      </c>
      <c r="I439" s="50"/>
      <c r="J439" s="50"/>
      <c r="K439" s="50"/>
    </row>
    <row r="440" spans="1:11" s="52" customFormat="1" ht="25.5">
      <c r="A440" s="53" t="s">
        <v>343</v>
      </c>
      <c r="B440" s="50" t="s">
        <v>999</v>
      </c>
      <c r="C440" s="60" t="s">
        <v>1000</v>
      </c>
      <c r="D440" s="50" t="s">
        <v>942</v>
      </c>
      <c r="E440" s="50" t="s">
        <v>943</v>
      </c>
      <c r="F440" s="50">
        <v>1</v>
      </c>
      <c r="G440" s="51">
        <v>2.7</v>
      </c>
      <c r="H440" s="51">
        <v>2.7</v>
      </c>
      <c r="I440" s="50"/>
      <c r="J440" s="50"/>
      <c r="K440" s="50"/>
    </row>
    <row r="441" spans="1:11" s="52" customFormat="1" ht="38.25">
      <c r="A441" s="53" t="s">
        <v>344</v>
      </c>
      <c r="B441" s="50" t="s">
        <v>1001</v>
      </c>
      <c r="C441" s="60" t="s">
        <v>1002</v>
      </c>
      <c r="D441" s="50" t="s">
        <v>942</v>
      </c>
      <c r="E441" s="50" t="s">
        <v>943</v>
      </c>
      <c r="F441" s="50">
        <v>2</v>
      </c>
      <c r="G441" s="51">
        <v>23</v>
      </c>
      <c r="H441" s="51">
        <v>46</v>
      </c>
      <c r="I441" s="50"/>
      <c r="J441" s="50"/>
      <c r="K441" s="50"/>
    </row>
    <row r="442" spans="1:11" s="52" customFormat="1" ht="51">
      <c r="A442" s="53" t="s">
        <v>345</v>
      </c>
      <c r="B442" s="50" t="s">
        <v>1003</v>
      </c>
      <c r="C442" s="60" t="s">
        <v>1004</v>
      </c>
      <c r="D442" s="50" t="s">
        <v>942</v>
      </c>
      <c r="E442" s="50" t="s">
        <v>943</v>
      </c>
      <c r="F442" s="50">
        <v>2</v>
      </c>
      <c r="G442" s="51">
        <v>31</v>
      </c>
      <c r="H442" s="51">
        <v>62</v>
      </c>
      <c r="I442" s="50"/>
      <c r="J442" s="50"/>
      <c r="K442" s="50"/>
    </row>
    <row r="443" spans="1:11" s="52" customFormat="1" ht="12">
      <c r="A443" s="53" t="s">
        <v>897</v>
      </c>
      <c r="B443" s="50" t="s">
        <v>972</v>
      </c>
      <c r="C443" s="60" t="s">
        <v>585</v>
      </c>
      <c r="D443" s="50" t="s">
        <v>942</v>
      </c>
      <c r="E443" s="50" t="s">
        <v>943</v>
      </c>
      <c r="F443" s="50">
        <v>3</v>
      </c>
      <c r="G443" s="51">
        <v>1</v>
      </c>
      <c r="H443" s="51">
        <v>3</v>
      </c>
      <c r="I443" s="50"/>
      <c r="J443" s="50"/>
      <c r="K443" s="50"/>
    </row>
    <row r="444" spans="1:11" s="52" customFormat="1" ht="12">
      <c r="A444" s="53" t="s">
        <v>898</v>
      </c>
      <c r="B444" s="50" t="s">
        <v>973</v>
      </c>
      <c r="C444" s="60" t="s">
        <v>586</v>
      </c>
      <c r="D444" s="50" t="s">
        <v>942</v>
      </c>
      <c r="E444" s="50" t="s">
        <v>943</v>
      </c>
      <c r="F444" s="50">
        <v>49</v>
      </c>
      <c r="G444" s="51">
        <v>0.4</v>
      </c>
      <c r="H444" s="51">
        <v>19.600000000000001</v>
      </c>
      <c r="I444" s="50"/>
      <c r="J444" s="50"/>
      <c r="K444" s="50"/>
    </row>
    <row r="445" spans="1:11" s="52" customFormat="1" ht="12.75">
      <c r="A445" s="53" t="s">
        <v>899</v>
      </c>
      <c r="B445" s="50" t="s">
        <v>974</v>
      </c>
      <c r="C445" s="60" t="s">
        <v>975</v>
      </c>
      <c r="D445" s="50" t="s">
        <v>942</v>
      </c>
      <c r="E445" s="50" t="s">
        <v>943</v>
      </c>
      <c r="F445" s="50">
        <v>8</v>
      </c>
      <c r="G445" s="51">
        <v>1.2</v>
      </c>
      <c r="H445" s="51">
        <v>9.6</v>
      </c>
      <c r="I445" s="50"/>
      <c r="J445" s="50"/>
      <c r="K445" s="50"/>
    </row>
    <row r="446" spans="1:11" s="52" customFormat="1" ht="12.75">
      <c r="A446" s="53" t="s">
        <v>900</v>
      </c>
      <c r="B446" s="50" t="s">
        <v>976</v>
      </c>
      <c r="C446" s="60" t="s">
        <v>977</v>
      </c>
      <c r="D446" s="50" t="s">
        <v>942</v>
      </c>
      <c r="E446" s="50" t="s">
        <v>943</v>
      </c>
      <c r="F446" s="50">
        <v>10</v>
      </c>
      <c r="G446" s="51">
        <v>2.7</v>
      </c>
      <c r="H446" s="51">
        <v>27</v>
      </c>
      <c r="I446" s="50"/>
      <c r="J446" s="50"/>
      <c r="K446" s="50"/>
    </row>
    <row r="447" spans="1:11" s="52" customFormat="1" ht="12.75">
      <c r="A447" s="53" t="s">
        <v>901</v>
      </c>
      <c r="B447" s="50" t="s">
        <v>978</v>
      </c>
      <c r="C447" s="60" t="s">
        <v>977</v>
      </c>
      <c r="D447" s="50" t="s">
        <v>942</v>
      </c>
      <c r="E447" s="50" t="s">
        <v>943</v>
      </c>
      <c r="F447" s="50">
        <v>6</v>
      </c>
      <c r="G447" s="51">
        <v>5.5</v>
      </c>
      <c r="H447" s="51">
        <v>33</v>
      </c>
      <c r="I447" s="50"/>
      <c r="J447" s="50"/>
      <c r="K447" s="50"/>
    </row>
    <row r="448" spans="1:11" s="52" customFormat="1" ht="12.75">
      <c r="A448" s="53" t="s">
        <v>902</v>
      </c>
      <c r="B448" s="50" t="s">
        <v>979</v>
      </c>
      <c r="C448" s="60" t="s">
        <v>980</v>
      </c>
      <c r="D448" s="50" t="s">
        <v>942</v>
      </c>
      <c r="E448" s="50" t="s">
        <v>943</v>
      </c>
      <c r="F448" s="50">
        <v>4</v>
      </c>
      <c r="G448" s="51">
        <v>1.6</v>
      </c>
      <c r="H448" s="51">
        <v>6.4</v>
      </c>
      <c r="I448" s="50"/>
      <c r="J448" s="50"/>
      <c r="K448" s="50"/>
    </row>
    <row r="449" spans="1:11" s="6" customFormat="1">
      <c r="A449" s="11"/>
      <c r="B449" s="2"/>
      <c r="C449" s="59"/>
      <c r="D449" s="2"/>
      <c r="E449" s="2"/>
      <c r="F449" s="2"/>
      <c r="G449" s="10"/>
      <c r="H449" s="10"/>
      <c r="I449" s="2"/>
      <c r="J449" s="2"/>
      <c r="K449" s="2"/>
    </row>
    <row r="450" spans="1:11" s="49" customFormat="1">
      <c r="A450" s="46">
        <v>5</v>
      </c>
      <c r="B450" s="47" t="s">
        <v>1031</v>
      </c>
      <c r="C450" s="61"/>
      <c r="D450" s="47"/>
      <c r="E450" s="47"/>
      <c r="F450" s="47"/>
      <c r="G450" s="48"/>
      <c r="H450" s="48"/>
      <c r="I450" s="47"/>
      <c r="J450" s="47"/>
      <c r="K450" s="47"/>
    </row>
    <row r="451" spans="1:11" s="52" customFormat="1" ht="36.75">
      <c r="A451" s="22">
        <v>5.0999999999999996</v>
      </c>
      <c r="B451" s="50" t="s">
        <v>1005</v>
      </c>
      <c r="C451" s="60" t="s">
        <v>1006</v>
      </c>
      <c r="D451" s="50" t="s">
        <v>942</v>
      </c>
      <c r="E451" s="50" t="s">
        <v>943</v>
      </c>
      <c r="F451" s="50">
        <v>3</v>
      </c>
      <c r="G451" s="51">
        <v>0.96666666666666667</v>
      </c>
      <c r="H451" s="51">
        <v>2.9</v>
      </c>
      <c r="I451" s="50"/>
      <c r="J451" s="50"/>
      <c r="K451" s="50"/>
    </row>
    <row r="452" spans="1:11" s="52" customFormat="1" ht="63">
      <c r="A452" s="22">
        <v>5.2</v>
      </c>
      <c r="B452" s="50" t="s">
        <v>1007</v>
      </c>
      <c r="C452" s="60" t="s">
        <v>1008</v>
      </c>
      <c r="D452" s="50" t="s">
        <v>942</v>
      </c>
      <c r="E452" s="50" t="s">
        <v>70</v>
      </c>
      <c r="F452" s="50">
        <v>1</v>
      </c>
      <c r="G452" s="51">
        <v>80</v>
      </c>
      <c r="H452" s="51">
        <v>80</v>
      </c>
      <c r="I452" s="50"/>
      <c r="J452" s="50"/>
      <c r="K452" s="50"/>
    </row>
    <row r="453" spans="1:11" s="52" customFormat="1" ht="28.5">
      <c r="A453" s="22">
        <v>5.3</v>
      </c>
      <c r="B453" s="50" t="s">
        <v>1009</v>
      </c>
      <c r="C453" s="60" t="s">
        <v>1010</v>
      </c>
      <c r="D453" s="50" t="s">
        <v>942</v>
      </c>
      <c r="E453" s="50" t="s">
        <v>70</v>
      </c>
      <c r="F453" s="50">
        <v>1</v>
      </c>
      <c r="G453" s="51">
        <v>20</v>
      </c>
      <c r="H453" s="51">
        <v>20</v>
      </c>
      <c r="I453" s="50"/>
      <c r="J453" s="50"/>
      <c r="K453" s="50"/>
    </row>
    <row r="454" spans="1:11" s="52" customFormat="1" ht="25.5">
      <c r="A454" s="22">
        <v>5.4</v>
      </c>
      <c r="B454" s="50" t="s">
        <v>1009</v>
      </c>
      <c r="C454" s="60" t="s">
        <v>1011</v>
      </c>
      <c r="D454" s="50" t="s">
        <v>942</v>
      </c>
      <c r="E454" s="50" t="s">
        <v>70</v>
      </c>
      <c r="F454" s="50">
        <v>1</v>
      </c>
      <c r="G454" s="51">
        <v>15</v>
      </c>
      <c r="H454" s="51">
        <v>15</v>
      </c>
      <c r="I454" s="50"/>
      <c r="J454" s="50"/>
      <c r="K454" s="50"/>
    </row>
    <row r="455" spans="1:11" s="52" customFormat="1" ht="25.5">
      <c r="A455" s="22">
        <v>5.5</v>
      </c>
      <c r="B455" s="50" t="s">
        <v>1012</v>
      </c>
      <c r="C455" s="60" t="s">
        <v>1013</v>
      </c>
      <c r="D455" s="50" t="s">
        <v>942</v>
      </c>
      <c r="E455" s="50" t="s">
        <v>943</v>
      </c>
      <c r="F455" s="50">
        <v>1</v>
      </c>
      <c r="G455" s="51">
        <v>35</v>
      </c>
      <c r="H455" s="51">
        <v>35</v>
      </c>
      <c r="I455" s="50"/>
      <c r="J455" s="50"/>
      <c r="K455" s="50"/>
    </row>
    <row r="456" spans="1:11" s="52" customFormat="1" ht="12">
      <c r="A456" s="22">
        <v>5.6</v>
      </c>
      <c r="B456" s="50" t="s">
        <v>1014</v>
      </c>
      <c r="C456" s="60"/>
      <c r="D456" s="50"/>
      <c r="E456" s="50"/>
      <c r="F456" s="50">
        <v>4</v>
      </c>
      <c r="G456" s="51">
        <v>47.5</v>
      </c>
      <c r="H456" s="51">
        <v>190</v>
      </c>
      <c r="I456" s="50"/>
      <c r="J456" s="50"/>
      <c r="K456" s="50"/>
    </row>
    <row r="457" spans="1:11" s="52" customFormat="1" ht="12">
      <c r="A457" s="22">
        <v>5.7</v>
      </c>
      <c r="B457" s="50" t="s">
        <v>1015</v>
      </c>
      <c r="C457" s="60"/>
      <c r="D457" s="50"/>
      <c r="E457" s="50"/>
      <c r="F457" s="50">
        <v>70</v>
      </c>
      <c r="G457" s="51">
        <v>2.1428571428571428</v>
      </c>
      <c r="H457" s="51">
        <v>150</v>
      </c>
      <c r="I457" s="50"/>
      <c r="J457" s="50"/>
      <c r="K457" s="50"/>
    </row>
    <row r="458" spans="1:11" s="6" customFormat="1">
      <c r="A458" s="12"/>
      <c r="B458" s="2"/>
      <c r="C458" s="59"/>
      <c r="D458" s="2"/>
      <c r="E458" s="2"/>
      <c r="F458" s="2"/>
      <c r="G458" s="10"/>
      <c r="H458" s="10"/>
      <c r="I458" s="2"/>
      <c r="J458" s="2"/>
      <c r="K458" s="2"/>
    </row>
    <row r="459" spans="1:11" s="49" customFormat="1">
      <c r="A459" s="46">
        <v>6</v>
      </c>
      <c r="B459" s="54" t="s">
        <v>904</v>
      </c>
      <c r="C459" s="61"/>
      <c r="D459" s="47"/>
      <c r="E459" s="47"/>
      <c r="F459" s="47"/>
      <c r="G459" s="48"/>
      <c r="H459" s="48"/>
      <c r="I459" s="47"/>
      <c r="J459" s="47"/>
      <c r="K459" s="47"/>
    </row>
    <row r="460" spans="1:11" s="52" customFormat="1" ht="12.75">
      <c r="A460" s="22">
        <v>6.1</v>
      </c>
      <c r="B460" s="55" t="s">
        <v>903</v>
      </c>
      <c r="C460" s="60" t="s">
        <v>1016</v>
      </c>
      <c r="D460" s="50" t="s">
        <v>942</v>
      </c>
      <c r="E460" s="50" t="s">
        <v>943</v>
      </c>
      <c r="F460" s="50">
        <v>1</v>
      </c>
      <c r="G460" s="51">
        <v>11.966666666666667</v>
      </c>
      <c r="H460" s="51">
        <v>11.966666666666667</v>
      </c>
      <c r="I460" s="50"/>
      <c r="J460" s="50"/>
      <c r="K460" s="50"/>
    </row>
    <row r="461" spans="1:11" s="52" customFormat="1" ht="12.75">
      <c r="A461" s="22">
        <v>6.2</v>
      </c>
      <c r="B461" s="50" t="s">
        <v>1017</v>
      </c>
      <c r="C461" s="60" t="s">
        <v>1018</v>
      </c>
      <c r="D461" s="50" t="s">
        <v>942</v>
      </c>
      <c r="E461" s="50" t="s">
        <v>943</v>
      </c>
      <c r="F461" s="50">
        <v>1</v>
      </c>
      <c r="G461" s="51">
        <v>41.5</v>
      </c>
      <c r="H461" s="51">
        <v>41.5</v>
      </c>
      <c r="I461" s="50"/>
      <c r="J461" s="50"/>
      <c r="K461" s="50"/>
    </row>
    <row r="462" spans="1:11" s="52" customFormat="1" ht="12.75">
      <c r="A462" s="22">
        <v>6.3</v>
      </c>
      <c r="B462" s="50" t="s">
        <v>1017</v>
      </c>
      <c r="C462" s="60" t="s">
        <v>1019</v>
      </c>
      <c r="D462" s="50" t="s">
        <v>942</v>
      </c>
      <c r="E462" s="50" t="s">
        <v>943</v>
      </c>
      <c r="F462" s="50">
        <v>2</v>
      </c>
      <c r="G462" s="51">
        <v>25</v>
      </c>
      <c r="H462" s="51">
        <v>50</v>
      </c>
      <c r="I462" s="50"/>
      <c r="J462" s="50"/>
      <c r="K462" s="50"/>
    </row>
    <row r="463" spans="1:11" s="52" customFormat="1" ht="12.75">
      <c r="A463" s="22">
        <v>6.4</v>
      </c>
      <c r="B463" s="50" t="s">
        <v>1020</v>
      </c>
      <c r="C463" s="60" t="s">
        <v>1019</v>
      </c>
      <c r="D463" s="50" t="s">
        <v>942</v>
      </c>
      <c r="E463" s="50" t="s">
        <v>943</v>
      </c>
      <c r="F463" s="50">
        <v>8</v>
      </c>
      <c r="G463" s="51">
        <v>11.5</v>
      </c>
      <c r="H463" s="51">
        <v>92</v>
      </c>
      <c r="I463" s="50"/>
      <c r="J463" s="50"/>
      <c r="K463" s="50"/>
    </row>
    <row r="464" spans="1:11" s="52" customFormat="1" ht="12.75">
      <c r="A464" s="22">
        <v>6.5</v>
      </c>
      <c r="B464" s="50" t="s">
        <v>1021</v>
      </c>
      <c r="C464" s="60" t="s">
        <v>1022</v>
      </c>
      <c r="D464" s="50" t="s">
        <v>942</v>
      </c>
      <c r="E464" s="50" t="s">
        <v>943</v>
      </c>
      <c r="F464" s="50">
        <v>4</v>
      </c>
      <c r="G464" s="51">
        <v>26.4693</v>
      </c>
      <c r="H464" s="51">
        <v>105.8772</v>
      </c>
      <c r="I464" s="50"/>
      <c r="J464" s="50"/>
      <c r="K464" s="50"/>
    </row>
    <row r="465" spans="1:11" s="52" customFormat="1" ht="12.75">
      <c r="A465" s="22">
        <v>6.6</v>
      </c>
      <c r="B465" s="50" t="s">
        <v>1023</v>
      </c>
      <c r="C465" s="60" t="s">
        <v>1024</v>
      </c>
      <c r="D465" s="50" t="s">
        <v>942</v>
      </c>
      <c r="E465" s="50" t="s">
        <v>943</v>
      </c>
      <c r="F465" s="50">
        <v>1</v>
      </c>
      <c r="G465" s="51">
        <v>33.160000000000004</v>
      </c>
      <c r="H465" s="51">
        <v>33.160000000000004</v>
      </c>
      <c r="I465" s="50"/>
      <c r="J465" s="50"/>
      <c r="K465" s="50"/>
    </row>
    <row r="466" spans="1:11" s="52" customFormat="1" ht="12">
      <c r="A466" s="22">
        <v>6.7</v>
      </c>
      <c r="B466" s="50" t="s">
        <v>1025</v>
      </c>
      <c r="C466" s="60" t="s">
        <v>1026</v>
      </c>
      <c r="D466" s="50" t="s">
        <v>942</v>
      </c>
      <c r="E466" s="50" t="s">
        <v>943</v>
      </c>
      <c r="F466" s="50">
        <v>1</v>
      </c>
      <c r="G466" s="51">
        <v>0.8</v>
      </c>
      <c r="H466" s="51">
        <v>0.8</v>
      </c>
      <c r="I466" s="50"/>
      <c r="J466" s="50"/>
      <c r="K466" s="50"/>
    </row>
    <row r="467" spans="1:11" s="52" customFormat="1" ht="12.75">
      <c r="A467" s="22">
        <v>6.8</v>
      </c>
      <c r="B467" s="50" t="s">
        <v>1027</v>
      </c>
      <c r="C467" s="60" t="s">
        <v>1028</v>
      </c>
      <c r="D467" s="50" t="s">
        <v>942</v>
      </c>
      <c r="E467" s="50" t="s">
        <v>943</v>
      </c>
      <c r="F467" s="50">
        <v>2</v>
      </c>
      <c r="G467" s="51">
        <v>15</v>
      </c>
      <c r="H467" s="51">
        <v>30</v>
      </c>
      <c r="I467" s="50"/>
      <c r="J467" s="50"/>
      <c r="K467" s="50"/>
    </row>
    <row r="468" spans="1:11">
      <c r="A468" s="12"/>
      <c r="B468" s="2"/>
      <c r="C468" s="59"/>
      <c r="D468" s="2"/>
      <c r="E468" s="2"/>
      <c r="F468" s="2"/>
      <c r="G468" s="10"/>
      <c r="H468" s="10"/>
      <c r="I468" s="2"/>
      <c r="J468" s="2"/>
      <c r="K468" s="2"/>
    </row>
    <row r="469" spans="1:11" s="3" customFormat="1">
      <c r="A469" s="21"/>
      <c r="B469" s="7" t="s">
        <v>515</v>
      </c>
      <c r="C469" s="58"/>
      <c r="D469" s="7"/>
      <c r="E469" s="7"/>
      <c r="F469" s="7">
        <f>SUM(F404:F468)</f>
        <v>331</v>
      </c>
      <c r="G469" s="9"/>
      <c r="H469" s="9">
        <f t="shared" ref="H469" si="58">SUM(H404:H468)</f>
        <v>2221.0038666666669</v>
      </c>
      <c r="I469" s="7"/>
      <c r="J469" s="7"/>
      <c r="K469" s="7"/>
    </row>
    <row r="470" spans="1:11">
      <c r="A470" s="12"/>
      <c r="B470" s="2"/>
      <c r="C470" s="59"/>
      <c r="D470" s="2"/>
      <c r="E470" s="2"/>
      <c r="F470" s="2"/>
      <c r="G470" s="10"/>
      <c r="H470" s="10"/>
      <c r="I470" s="2"/>
      <c r="J470" s="2"/>
      <c r="K470" s="2"/>
    </row>
    <row r="471" spans="1:11">
      <c r="A471" s="12"/>
      <c r="B471" s="2"/>
      <c r="C471" s="59"/>
      <c r="D471" s="2"/>
      <c r="E471" s="2"/>
      <c r="F471" s="2"/>
      <c r="G471" s="10"/>
      <c r="H471" s="10"/>
      <c r="I471" s="2"/>
      <c r="J471" s="2"/>
      <c r="K471" s="2"/>
    </row>
    <row r="472" spans="1:11" s="3" customFormat="1">
      <c r="A472" s="21" t="s">
        <v>1046</v>
      </c>
      <c r="B472" s="7" t="s">
        <v>420</v>
      </c>
      <c r="C472" s="58"/>
      <c r="D472" s="7"/>
      <c r="E472" s="7"/>
      <c r="F472" s="7"/>
      <c r="G472" s="9"/>
      <c r="H472" s="9">
        <f t="shared" ref="H472:H529" si="59">F472*G472</f>
        <v>0</v>
      </c>
      <c r="I472" s="7"/>
      <c r="J472" s="7"/>
      <c r="K472" s="7"/>
    </row>
    <row r="473" spans="1:11" s="52" customFormat="1" ht="12.75">
      <c r="A473" s="22">
        <v>1</v>
      </c>
      <c r="B473" s="50" t="s">
        <v>1032</v>
      </c>
      <c r="C473" s="60" t="s">
        <v>1033</v>
      </c>
      <c r="D473" s="50" t="s">
        <v>942</v>
      </c>
      <c r="E473" s="50" t="s">
        <v>943</v>
      </c>
      <c r="F473" s="50">
        <v>2</v>
      </c>
      <c r="G473" s="51">
        <v>90</v>
      </c>
      <c r="H473" s="51">
        <v>180</v>
      </c>
      <c r="I473" s="50"/>
      <c r="J473" s="50"/>
      <c r="K473" s="50"/>
    </row>
    <row r="474" spans="1:11" s="52" customFormat="1" ht="12.75">
      <c r="A474" s="22">
        <v>2</v>
      </c>
      <c r="B474" s="50" t="s">
        <v>1032</v>
      </c>
      <c r="C474" s="60" t="s">
        <v>1034</v>
      </c>
      <c r="D474" s="50" t="s">
        <v>942</v>
      </c>
      <c r="E474" s="50" t="s">
        <v>943</v>
      </c>
      <c r="F474" s="50">
        <v>2</v>
      </c>
      <c r="G474" s="51">
        <v>70</v>
      </c>
      <c r="H474" s="51">
        <v>140</v>
      </c>
      <c r="I474" s="50"/>
      <c r="J474" s="50"/>
      <c r="K474" s="50"/>
    </row>
    <row r="475" spans="1:11" s="52" customFormat="1" ht="12.75">
      <c r="A475" s="22">
        <v>3</v>
      </c>
      <c r="B475" s="50" t="s">
        <v>1032</v>
      </c>
      <c r="C475" s="60" t="s">
        <v>1035</v>
      </c>
      <c r="D475" s="50" t="s">
        <v>942</v>
      </c>
      <c r="E475" s="50" t="s">
        <v>943</v>
      </c>
      <c r="F475" s="50">
        <v>2</v>
      </c>
      <c r="G475" s="51">
        <v>35</v>
      </c>
      <c r="H475" s="51">
        <v>70</v>
      </c>
      <c r="I475" s="50"/>
      <c r="J475" s="50"/>
      <c r="K475" s="50"/>
    </row>
    <row r="476" spans="1:11" s="52" customFormat="1" ht="12.75">
      <c r="A476" s="22">
        <v>4</v>
      </c>
      <c r="B476" s="50" t="s">
        <v>1027</v>
      </c>
      <c r="C476" s="60" t="s">
        <v>1028</v>
      </c>
      <c r="D476" s="50" t="s">
        <v>942</v>
      </c>
      <c r="E476" s="50" t="s">
        <v>943</v>
      </c>
      <c r="F476" s="50">
        <v>2</v>
      </c>
      <c r="G476" s="51">
        <v>20</v>
      </c>
      <c r="H476" s="51">
        <v>40</v>
      </c>
      <c r="I476" s="50"/>
      <c r="J476" s="50"/>
      <c r="K476" s="50"/>
    </row>
    <row r="477" spans="1:11" s="52" customFormat="1" ht="12.75">
      <c r="A477" s="22">
        <v>5</v>
      </c>
      <c r="B477" s="50" t="s">
        <v>1027</v>
      </c>
      <c r="C477" s="60" t="s">
        <v>1036</v>
      </c>
      <c r="D477" s="50" t="s">
        <v>942</v>
      </c>
      <c r="E477" s="50" t="s">
        <v>943</v>
      </c>
      <c r="F477" s="50">
        <v>4</v>
      </c>
      <c r="G477" s="51">
        <v>12</v>
      </c>
      <c r="H477" s="51">
        <v>48</v>
      </c>
      <c r="I477" s="50"/>
      <c r="J477" s="50"/>
      <c r="K477" s="50"/>
    </row>
    <row r="478" spans="1:11" s="52" customFormat="1" ht="12.75">
      <c r="A478" s="22">
        <v>6</v>
      </c>
      <c r="B478" s="50" t="s">
        <v>581</v>
      </c>
      <c r="C478" s="60" t="s">
        <v>1037</v>
      </c>
      <c r="D478" s="50" t="s">
        <v>942</v>
      </c>
      <c r="E478" s="50" t="s">
        <v>943</v>
      </c>
      <c r="F478" s="50">
        <v>6</v>
      </c>
      <c r="G478" s="51">
        <v>8</v>
      </c>
      <c r="H478" s="51">
        <v>48</v>
      </c>
      <c r="I478" s="50"/>
      <c r="J478" s="50"/>
      <c r="K478" s="50"/>
    </row>
    <row r="479" spans="1:11">
      <c r="A479" s="12"/>
      <c r="B479" s="2"/>
      <c r="C479" s="59"/>
      <c r="D479" s="2"/>
      <c r="E479" s="2"/>
      <c r="F479" s="2"/>
      <c r="G479" s="10"/>
      <c r="H479" s="10"/>
      <c r="I479" s="2"/>
      <c r="J479" s="2"/>
      <c r="K479" s="2"/>
    </row>
    <row r="480" spans="1:11" s="3" customFormat="1">
      <c r="A480" s="21"/>
      <c r="B480" s="7" t="s">
        <v>515</v>
      </c>
      <c r="C480" s="58"/>
      <c r="D480" s="7"/>
      <c r="E480" s="7"/>
      <c r="F480" s="7">
        <f>SUM(F473:F478)</f>
        <v>18</v>
      </c>
      <c r="G480" s="9"/>
      <c r="H480" s="9">
        <f t="shared" ref="H480" si="60">SUM(H473:H478)</f>
        <v>526</v>
      </c>
      <c r="I480" s="7"/>
      <c r="J480" s="7"/>
      <c r="K480" s="7"/>
    </row>
    <row r="481" spans="1:11">
      <c r="A481" s="12"/>
      <c r="B481" s="2"/>
      <c r="C481" s="59"/>
      <c r="D481" s="2"/>
      <c r="E481" s="2"/>
      <c r="F481" s="2"/>
      <c r="G481" s="10"/>
      <c r="H481" s="10"/>
      <c r="I481" s="2"/>
      <c r="J481" s="2"/>
      <c r="K481" s="2"/>
    </row>
    <row r="482" spans="1:11" s="3" customFormat="1">
      <c r="A482" s="21" t="s">
        <v>1038</v>
      </c>
      <c r="B482" s="7" t="str">
        <f>投资估算表!C52</f>
        <v>内舾装及复合材料加工区</v>
      </c>
      <c r="C482" s="58"/>
      <c r="D482" s="7"/>
      <c r="E482" s="7"/>
      <c r="F482" s="7"/>
      <c r="G482" s="9"/>
      <c r="H482" s="9"/>
      <c r="I482" s="7"/>
      <c r="J482" s="7"/>
      <c r="K482" s="7"/>
    </row>
    <row r="483" spans="1:11">
      <c r="A483" s="12">
        <v>1</v>
      </c>
      <c r="B483" s="2" t="s">
        <v>423</v>
      </c>
      <c r="C483" s="59"/>
      <c r="D483" s="2"/>
      <c r="E483" s="2"/>
      <c r="F483" s="2"/>
      <c r="G483" s="10"/>
      <c r="H483" s="10"/>
      <c r="I483" s="2"/>
      <c r="J483" s="2"/>
      <c r="K483" s="2"/>
    </row>
    <row r="484" spans="1:11">
      <c r="A484" s="12">
        <v>1.1000000000000001</v>
      </c>
      <c r="B484" s="2" t="s">
        <v>51</v>
      </c>
      <c r="C484" s="59"/>
      <c r="D484" s="2" t="s">
        <v>208</v>
      </c>
      <c r="E484" s="2" t="s">
        <v>211</v>
      </c>
      <c r="F484" s="2">
        <v>2</v>
      </c>
      <c r="G484" s="10">
        <v>0.9</v>
      </c>
      <c r="H484" s="10">
        <f t="shared" si="59"/>
        <v>1.8</v>
      </c>
      <c r="I484" s="2"/>
      <c r="J484" s="2"/>
      <c r="K484" s="2"/>
    </row>
    <row r="485" spans="1:11">
      <c r="A485" s="12">
        <v>1.2</v>
      </c>
      <c r="B485" s="2" t="s">
        <v>52</v>
      </c>
      <c r="C485" s="59"/>
      <c r="D485" s="2" t="s">
        <v>208</v>
      </c>
      <c r="E485" s="2" t="s">
        <v>211</v>
      </c>
      <c r="F485" s="2">
        <v>2</v>
      </c>
      <c r="G485" s="10">
        <v>2.2999999999999998</v>
      </c>
      <c r="H485" s="10">
        <f t="shared" si="59"/>
        <v>4.5999999999999996</v>
      </c>
      <c r="I485" s="2"/>
      <c r="J485" s="2"/>
      <c r="K485" s="2"/>
    </row>
    <row r="486" spans="1:11">
      <c r="A486" s="12">
        <v>1.3</v>
      </c>
      <c r="B486" s="2" t="s">
        <v>95</v>
      </c>
      <c r="C486" s="59"/>
      <c r="D486" s="2" t="s">
        <v>208</v>
      </c>
      <c r="E486" s="2" t="s">
        <v>211</v>
      </c>
      <c r="F486" s="2">
        <v>1</v>
      </c>
      <c r="G486" s="10">
        <v>1</v>
      </c>
      <c r="H486" s="10">
        <f t="shared" si="59"/>
        <v>1</v>
      </c>
      <c r="I486" s="2"/>
      <c r="J486" s="2"/>
      <c r="K486" s="2"/>
    </row>
    <row r="487" spans="1:11">
      <c r="A487" s="12">
        <v>1.4</v>
      </c>
      <c r="B487" s="2" t="s">
        <v>53</v>
      </c>
      <c r="C487" s="59"/>
      <c r="D487" s="2" t="s">
        <v>208</v>
      </c>
      <c r="E487" s="2" t="s">
        <v>211</v>
      </c>
      <c r="F487" s="2">
        <v>1</v>
      </c>
      <c r="G487" s="10">
        <v>1</v>
      </c>
      <c r="H487" s="10">
        <f t="shared" si="59"/>
        <v>1</v>
      </c>
      <c r="I487" s="2"/>
      <c r="J487" s="2"/>
      <c r="K487" s="2"/>
    </row>
    <row r="488" spans="1:11">
      <c r="A488" s="12">
        <v>1.5</v>
      </c>
      <c r="B488" s="2" t="s">
        <v>54</v>
      </c>
      <c r="C488" s="59"/>
      <c r="D488" s="2" t="s">
        <v>208</v>
      </c>
      <c r="E488" s="2" t="s">
        <v>211</v>
      </c>
      <c r="F488" s="2">
        <v>1</v>
      </c>
      <c r="G488" s="10">
        <v>0.9</v>
      </c>
      <c r="H488" s="10">
        <f t="shared" si="59"/>
        <v>0.9</v>
      </c>
      <c r="I488" s="2"/>
      <c r="J488" s="2"/>
      <c r="K488" s="2"/>
    </row>
    <row r="489" spans="1:11">
      <c r="A489" s="12">
        <v>1.6</v>
      </c>
      <c r="B489" s="2" t="s">
        <v>55</v>
      </c>
      <c r="C489" s="59"/>
      <c r="D489" s="2" t="s">
        <v>208</v>
      </c>
      <c r="E489" s="2" t="s">
        <v>211</v>
      </c>
      <c r="F489" s="2">
        <v>1</v>
      </c>
      <c r="G489" s="10">
        <v>1.1000000000000001</v>
      </c>
      <c r="H489" s="10">
        <f t="shared" si="59"/>
        <v>1.1000000000000001</v>
      </c>
      <c r="I489" s="2"/>
      <c r="J489" s="2"/>
      <c r="K489" s="2"/>
    </row>
    <row r="490" spans="1:11">
      <c r="A490" s="12">
        <v>1.7</v>
      </c>
      <c r="B490" s="2" t="s">
        <v>56</v>
      </c>
      <c r="C490" s="59"/>
      <c r="D490" s="2" t="s">
        <v>208</v>
      </c>
      <c r="E490" s="2" t="s">
        <v>211</v>
      </c>
      <c r="F490" s="2">
        <v>1</v>
      </c>
      <c r="G490" s="10">
        <v>5.7</v>
      </c>
      <c r="H490" s="10">
        <f t="shared" si="59"/>
        <v>5.7</v>
      </c>
      <c r="I490" s="2"/>
      <c r="J490" s="2"/>
      <c r="K490" s="2"/>
    </row>
    <row r="491" spans="1:11">
      <c r="A491" s="12">
        <v>1.8</v>
      </c>
      <c r="B491" s="2" t="s">
        <v>55</v>
      </c>
      <c r="C491" s="59"/>
      <c r="D491" s="2" t="s">
        <v>208</v>
      </c>
      <c r="E491" s="2" t="s">
        <v>211</v>
      </c>
      <c r="F491" s="2">
        <v>1</v>
      </c>
      <c r="G491" s="10">
        <v>1.1000000000000001</v>
      </c>
      <c r="H491" s="10">
        <f t="shared" si="59"/>
        <v>1.1000000000000001</v>
      </c>
      <c r="I491" s="2"/>
      <c r="J491" s="2"/>
      <c r="K491" s="2"/>
    </row>
    <row r="492" spans="1:11">
      <c r="A492" s="12">
        <v>1.9</v>
      </c>
      <c r="B492" s="2" t="s">
        <v>57</v>
      </c>
      <c r="C492" s="59"/>
      <c r="D492" s="2" t="s">
        <v>208</v>
      </c>
      <c r="E492" s="2" t="s">
        <v>211</v>
      </c>
      <c r="F492" s="2">
        <v>1</v>
      </c>
      <c r="G492" s="10">
        <v>1</v>
      </c>
      <c r="H492" s="10">
        <f t="shared" si="59"/>
        <v>1</v>
      </c>
      <c r="I492" s="2"/>
      <c r="J492" s="2"/>
      <c r="K492" s="2"/>
    </row>
    <row r="493" spans="1:11">
      <c r="A493" s="12" t="s">
        <v>212</v>
      </c>
      <c r="B493" s="2" t="s">
        <v>58</v>
      </c>
      <c r="C493" s="59"/>
      <c r="D493" s="2" t="s">
        <v>208</v>
      </c>
      <c r="E493" s="2" t="s">
        <v>211</v>
      </c>
      <c r="F493" s="2">
        <v>1</v>
      </c>
      <c r="G493" s="10">
        <v>3</v>
      </c>
      <c r="H493" s="10">
        <f t="shared" si="59"/>
        <v>3</v>
      </c>
      <c r="I493" s="2"/>
      <c r="J493" s="2"/>
      <c r="K493" s="2"/>
    </row>
    <row r="494" spans="1:11">
      <c r="A494" s="12">
        <v>1.1100000000000001</v>
      </c>
      <c r="B494" s="2" t="s">
        <v>59</v>
      </c>
      <c r="C494" s="59"/>
      <c r="D494" s="2" t="s">
        <v>208</v>
      </c>
      <c r="E494" s="2" t="s">
        <v>211</v>
      </c>
      <c r="F494" s="2">
        <v>1</v>
      </c>
      <c r="G494" s="10">
        <v>3</v>
      </c>
      <c r="H494" s="10">
        <f t="shared" si="59"/>
        <v>3</v>
      </c>
      <c r="I494" s="2"/>
      <c r="J494" s="2"/>
      <c r="K494" s="2"/>
    </row>
    <row r="495" spans="1:11">
      <c r="A495" s="12">
        <v>1.1200000000000001</v>
      </c>
      <c r="B495" s="2" t="s">
        <v>52</v>
      </c>
      <c r="C495" s="59"/>
      <c r="D495" s="2" t="s">
        <v>208</v>
      </c>
      <c r="E495" s="2" t="s">
        <v>211</v>
      </c>
      <c r="F495" s="2">
        <v>1</v>
      </c>
      <c r="G495" s="10">
        <v>2.2999999999999998</v>
      </c>
      <c r="H495" s="10">
        <f t="shared" si="59"/>
        <v>2.2999999999999998</v>
      </c>
      <c r="I495" s="2"/>
      <c r="J495" s="2"/>
      <c r="K495" s="2"/>
    </row>
    <row r="496" spans="1:11">
      <c r="A496" s="12">
        <v>1.1299999999999999</v>
      </c>
      <c r="B496" s="2" t="s">
        <v>96</v>
      </c>
      <c r="C496" s="59"/>
      <c r="D496" s="2" t="s">
        <v>208</v>
      </c>
      <c r="E496" s="2" t="s">
        <v>211</v>
      </c>
      <c r="F496" s="2">
        <v>1</v>
      </c>
      <c r="G496" s="10">
        <v>0.5</v>
      </c>
      <c r="H496" s="10">
        <f t="shared" si="59"/>
        <v>0.5</v>
      </c>
      <c r="I496" s="2"/>
      <c r="J496" s="2"/>
      <c r="K496" s="2"/>
    </row>
    <row r="497" spans="1:11">
      <c r="A497" s="12">
        <v>1.1399999999999999</v>
      </c>
      <c r="B497" s="2" t="s">
        <v>97</v>
      </c>
      <c r="C497" s="59"/>
      <c r="D497" s="2" t="s">
        <v>208</v>
      </c>
      <c r="E497" s="2" t="s">
        <v>211</v>
      </c>
      <c r="F497" s="2">
        <v>6</v>
      </c>
      <c r="G497" s="10">
        <v>4</v>
      </c>
      <c r="H497" s="10">
        <f t="shared" si="59"/>
        <v>24</v>
      </c>
      <c r="I497" s="2"/>
      <c r="J497" s="2"/>
      <c r="K497" s="2"/>
    </row>
    <row r="498" spans="1:11">
      <c r="A498" s="12">
        <v>1.1499999999999999</v>
      </c>
      <c r="B498" s="2" t="s">
        <v>98</v>
      </c>
      <c r="C498" s="59"/>
      <c r="D498" s="2" t="s">
        <v>208</v>
      </c>
      <c r="E498" s="2" t="s">
        <v>211</v>
      </c>
      <c r="F498" s="2">
        <v>1</v>
      </c>
      <c r="G498" s="10">
        <v>23</v>
      </c>
      <c r="H498" s="10">
        <f t="shared" si="59"/>
        <v>23</v>
      </c>
      <c r="I498" s="2"/>
      <c r="J498" s="2"/>
      <c r="K498" s="2"/>
    </row>
    <row r="499" spans="1:11">
      <c r="A499" s="12">
        <v>1.1599999999999999</v>
      </c>
      <c r="B499" s="2" t="s">
        <v>99</v>
      </c>
      <c r="C499" s="59"/>
      <c r="D499" s="2" t="s">
        <v>208</v>
      </c>
      <c r="E499" s="2" t="s">
        <v>211</v>
      </c>
      <c r="F499" s="2">
        <v>1</v>
      </c>
      <c r="G499" s="10">
        <v>12</v>
      </c>
      <c r="H499" s="10">
        <f t="shared" si="59"/>
        <v>12</v>
      </c>
      <c r="I499" s="2"/>
      <c r="J499" s="2"/>
      <c r="K499" s="2"/>
    </row>
    <row r="500" spans="1:11">
      <c r="A500" s="12">
        <v>1.17</v>
      </c>
      <c r="B500" s="2" t="s">
        <v>100</v>
      </c>
      <c r="C500" s="59"/>
      <c r="D500" s="2" t="s">
        <v>208</v>
      </c>
      <c r="E500" s="2" t="s">
        <v>211</v>
      </c>
      <c r="F500" s="2">
        <v>1</v>
      </c>
      <c r="G500" s="10">
        <v>3</v>
      </c>
      <c r="H500" s="10">
        <f t="shared" si="59"/>
        <v>3</v>
      </c>
      <c r="I500" s="2"/>
      <c r="J500" s="2"/>
      <c r="K500" s="2"/>
    </row>
    <row r="501" spans="1:11">
      <c r="A501" s="12">
        <v>1.18</v>
      </c>
      <c r="B501" s="2" t="s">
        <v>101</v>
      </c>
      <c r="C501" s="59"/>
      <c r="D501" s="2" t="s">
        <v>208</v>
      </c>
      <c r="E501" s="2" t="s">
        <v>211</v>
      </c>
      <c r="F501" s="2">
        <v>1</v>
      </c>
      <c r="G501" s="10">
        <v>3.2</v>
      </c>
      <c r="H501" s="10">
        <f t="shared" si="59"/>
        <v>3.2</v>
      </c>
      <c r="I501" s="2"/>
      <c r="J501" s="2"/>
      <c r="K501" s="2"/>
    </row>
    <row r="502" spans="1:11">
      <c r="A502" s="12">
        <v>1.19</v>
      </c>
      <c r="B502" s="2" t="s">
        <v>102</v>
      </c>
      <c r="C502" s="59"/>
      <c r="D502" s="2" t="s">
        <v>208</v>
      </c>
      <c r="E502" s="2" t="s">
        <v>211</v>
      </c>
      <c r="F502" s="2">
        <v>1</v>
      </c>
      <c r="G502" s="10">
        <v>1</v>
      </c>
      <c r="H502" s="10">
        <f t="shared" si="59"/>
        <v>1</v>
      </c>
      <c r="I502" s="2"/>
      <c r="J502" s="2"/>
      <c r="K502" s="2"/>
    </row>
    <row r="503" spans="1:11">
      <c r="A503" s="12" t="s">
        <v>424</v>
      </c>
      <c r="B503" s="2" t="s">
        <v>103</v>
      </c>
      <c r="C503" s="59"/>
      <c r="D503" s="2" t="s">
        <v>208</v>
      </c>
      <c r="E503" s="2" t="s">
        <v>211</v>
      </c>
      <c r="F503" s="2">
        <v>1</v>
      </c>
      <c r="G503" s="10">
        <v>0.7</v>
      </c>
      <c r="H503" s="10">
        <f t="shared" si="59"/>
        <v>0.7</v>
      </c>
      <c r="I503" s="2"/>
      <c r="J503" s="2"/>
      <c r="K503" s="2"/>
    </row>
    <row r="504" spans="1:11">
      <c r="A504" s="12">
        <v>1.21</v>
      </c>
      <c r="B504" s="2" t="s">
        <v>67</v>
      </c>
      <c r="C504" s="59"/>
      <c r="D504" s="2" t="s">
        <v>208</v>
      </c>
      <c r="E504" s="2" t="s">
        <v>211</v>
      </c>
      <c r="F504" s="2">
        <v>1</v>
      </c>
      <c r="G504" s="10">
        <v>1</v>
      </c>
      <c r="H504" s="10">
        <f t="shared" si="59"/>
        <v>1</v>
      </c>
      <c r="I504" s="2"/>
      <c r="J504" s="2"/>
      <c r="K504" s="2"/>
    </row>
    <row r="505" spans="1:11">
      <c r="A505" s="12">
        <v>1.22</v>
      </c>
      <c r="B505" s="2" t="s">
        <v>60</v>
      </c>
      <c r="C505" s="59"/>
      <c r="D505" s="2" t="s">
        <v>208</v>
      </c>
      <c r="E505" s="2" t="s">
        <v>211</v>
      </c>
      <c r="F505" s="2">
        <v>1</v>
      </c>
      <c r="G505" s="10">
        <v>4.8</v>
      </c>
      <c r="H505" s="10">
        <f t="shared" si="59"/>
        <v>4.8</v>
      </c>
      <c r="I505" s="2"/>
      <c r="J505" s="2"/>
      <c r="K505" s="2"/>
    </row>
    <row r="506" spans="1:11">
      <c r="A506" s="12"/>
      <c r="B506" s="2" t="s">
        <v>48</v>
      </c>
      <c r="C506" s="59"/>
      <c r="D506" s="2"/>
      <c r="E506" s="2"/>
      <c r="F506" s="2">
        <f>SUM(F484:F505)</f>
        <v>29</v>
      </c>
      <c r="G506" s="10"/>
      <c r="H506" s="10">
        <f t="shared" ref="H506" si="61">SUM(H484:H505)</f>
        <v>99.7</v>
      </c>
      <c r="I506" s="2"/>
      <c r="J506" s="2"/>
      <c r="K506" s="2"/>
    </row>
    <row r="507" spans="1:11">
      <c r="A507" s="12"/>
      <c r="B507" s="2"/>
      <c r="C507" s="59"/>
      <c r="D507" s="2"/>
      <c r="E507" s="2"/>
      <c r="F507" s="2"/>
      <c r="G507" s="10"/>
      <c r="H507" s="10"/>
      <c r="I507" s="2"/>
      <c r="J507" s="2"/>
      <c r="K507" s="2"/>
    </row>
    <row r="508" spans="1:11">
      <c r="A508" s="12">
        <v>2</v>
      </c>
      <c r="B508" s="2" t="s">
        <v>425</v>
      </c>
      <c r="C508" s="59"/>
      <c r="D508" s="2"/>
      <c r="E508" s="2"/>
      <c r="F508" s="2"/>
      <c r="G508" s="10"/>
      <c r="H508" s="10"/>
      <c r="I508" s="2"/>
      <c r="J508" s="2"/>
      <c r="K508" s="2"/>
    </row>
    <row r="509" spans="1:11">
      <c r="A509" s="12">
        <v>2.1</v>
      </c>
      <c r="B509" s="2" t="s">
        <v>68</v>
      </c>
      <c r="C509" s="59"/>
      <c r="D509" s="2" t="s">
        <v>208</v>
      </c>
      <c r="E509" s="2" t="s">
        <v>211</v>
      </c>
      <c r="F509" s="2">
        <v>1</v>
      </c>
      <c r="G509" s="10">
        <v>65</v>
      </c>
      <c r="H509" s="10">
        <f t="shared" si="59"/>
        <v>65</v>
      </c>
      <c r="I509" s="2"/>
      <c r="J509" s="2"/>
      <c r="K509" s="2"/>
    </row>
    <row r="510" spans="1:11">
      <c r="A510" s="12">
        <v>2.2000000000000002</v>
      </c>
      <c r="B510" s="2" t="s">
        <v>61</v>
      </c>
      <c r="C510" s="59"/>
      <c r="D510" s="2" t="s">
        <v>208</v>
      </c>
      <c r="E510" s="2" t="s">
        <v>211</v>
      </c>
      <c r="F510" s="2">
        <v>1</v>
      </c>
      <c r="G510" s="10">
        <v>3.6</v>
      </c>
      <c r="H510" s="10">
        <f t="shared" si="59"/>
        <v>3.6</v>
      </c>
      <c r="I510" s="2"/>
      <c r="J510" s="2"/>
      <c r="K510" s="2"/>
    </row>
    <row r="511" spans="1:11">
      <c r="A511" s="12">
        <v>2.2999999999999998</v>
      </c>
      <c r="B511" s="2" t="s">
        <v>55</v>
      </c>
      <c r="C511" s="59"/>
      <c r="D511" s="2" t="s">
        <v>208</v>
      </c>
      <c r="E511" s="2" t="s">
        <v>211</v>
      </c>
      <c r="F511" s="2">
        <v>1</v>
      </c>
      <c r="G511" s="10">
        <v>1.2</v>
      </c>
      <c r="H511" s="10">
        <f t="shared" si="59"/>
        <v>1.2</v>
      </c>
      <c r="I511" s="2"/>
      <c r="J511" s="2"/>
      <c r="K511" s="2"/>
    </row>
    <row r="512" spans="1:11">
      <c r="A512" s="12">
        <v>2.4</v>
      </c>
      <c r="B512" s="2" t="s">
        <v>69</v>
      </c>
      <c r="C512" s="59"/>
      <c r="D512" s="2" t="s">
        <v>208</v>
      </c>
      <c r="E512" s="2" t="s">
        <v>211</v>
      </c>
      <c r="F512" s="2">
        <v>1</v>
      </c>
      <c r="G512" s="10">
        <v>1</v>
      </c>
      <c r="H512" s="10">
        <f t="shared" si="59"/>
        <v>1</v>
      </c>
      <c r="I512" s="2"/>
      <c r="J512" s="2"/>
      <c r="K512" s="2"/>
    </row>
    <row r="513" spans="1:11">
      <c r="A513" s="12">
        <v>2.5</v>
      </c>
      <c r="B513" s="2" t="s">
        <v>62</v>
      </c>
      <c r="C513" s="59"/>
      <c r="D513" s="2" t="s">
        <v>208</v>
      </c>
      <c r="E513" s="2" t="s">
        <v>211</v>
      </c>
      <c r="F513" s="2">
        <v>1</v>
      </c>
      <c r="G513" s="10">
        <v>8.5</v>
      </c>
      <c r="H513" s="10">
        <f t="shared" si="59"/>
        <v>8.5</v>
      </c>
      <c r="I513" s="2"/>
      <c r="J513" s="2"/>
      <c r="K513" s="2"/>
    </row>
    <row r="514" spans="1:11">
      <c r="A514" s="12">
        <v>2.6</v>
      </c>
      <c r="B514" s="2" t="s">
        <v>58</v>
      </c>
      <c r="C514" s="59"/>
      <c r="D514" s="2" t="s">
        <v>208</v>
      </c>
      <c r="E514" s="2" t="s">
        <v>211</v>
      </c>
      <c r="F514" s="2">
        <v>1</v>
      </c>
      <c r="G514" s="10">
        <v>3</v>
      </c>
      <c r="H514" s="10">
        <f t="shared" si="59"/>
        <v>3</v>
      </c>
      <c r="I514" s="2"/>
      <c r="J514" s="2"/>
      <c r="K514" s="2"/>
    </row>
    <row r="515" spans="1:11">
      <c r="A515" s="12">
        <v>2.7</v>
      </c>
      <c r="B515" s="2" t="s">
        <v>63</v>
      </c>
      <c r="C515" s="59"/>
      <c r="D515" s="2" t="s">
        <v>208</v>
      </c>
      <c r="E515" s="2" t="s">
        <v>211</v>
      </c>
      <c r="F515" s="2">
        <v>1</v>
      </c>
      <c r="G515" s="10">
        <v>6.5</v>
      </c>
      <c r="H515" s="10">
        <f t="shared" si="59"/>
        <v>6.5</v>
      </c>
      <c r="I515" s="2"/>
      <c r="J515" s="2"/>
      <c r="K515" s="2"/>
    </row>
    <row r="516" spans="1:11">
      <c r="A516" s="12">
        <v>2.8</v>
      </c>
      <c r="B516" s="2" t="s">
        <v>64</v>
      </c>
      <c r="C516" s="59"/>
      <c r="D516" s="2" t="s">
        <v>208</v>
      </c>
      <c r="E516" s="2" t="s">
        <v>211</v>
      </c>
      <c r="F516" s="2">
        <v>1</v>
      </c>
      <c r="G516" s="10">
        <v>8.5</v>
      </c>
      <c r="H516" s="10">
        <f t="shared" si="59"/>
        <v>8.5</v>
      </c>
      <c r="I516" s="2"/>
      <c r="J516" s="2"/>
      <c r="K516" s="2"/>
    </row>
    <row r="517" spans="1:11">
      <c r="A517" s="12">
        <v>2.9</v>
      </c>
      <c r="B517" s="2" t="s">
        <v>65</v>
      </c>
      <c r="C517" s="59"/>
      <c r="D517" s="2" t="s">
        <v>208</v>
      </c>
      <c r="E517" s="2" t="s">
        <v>211</v>
      </c>
      <c r="F517" s="2">
        <v>2</v>
      </c>
      <c r="G517" s="10">
        <v>40</v>
      </c>
      <c r="H517" s="10">
        <f t="shared" si="59"/>
        <v>80</v>
      </c>
      <c r="I517" s="2"/>
      <c r="J517" s="2"/>
      <c r="K517" s="2"/>
    </row>
    <row r="518" spans="1:11">
      <c r="A518" s="12" t="s">
        <v>426</v>
      </c>
      <c r="B518" s="2" t="s">
        <v>66</v>
      </c>
      <c r="C518" s="59"/>
      <c r="D518" s="2" t="s">
        <v>208</v>
      </c>
      <c r="E518" s="2" t="s">
        <v>211</v>
      </c>
      <c r="F518" s="2">
        <v>6</v>
      </c>
      <c r="G518" s="10">
        <v>4</v>
      </c>
      <c r="H518" s="10">
        <f t="shared" si="59"/>
        <v>24</v>
      </c>
      <c r="I518" s="2"/>
      <c r="J518" s="2"/>
      <c r="K518" s="2"/>
    </row>
    <row r="519" spans="1:11">
      <c r="A519" s="12"/>
      <c r="B519" s="2" t="s">
        <v>210</v>
      </c>
      <c r="C519" s="59"/>
      <c r="D519" s="2"/>
      <c r="E519" s="2"/>
      <c r="F519" s="2">
        <f>SUM(F509:F518)</f>
        <v>16</v>
      </c>
      <c r="G519" s="10"/>
      <c r="H519" s="10">
        <f t="shared" ref="H519" si="62">SUM(H509:H518)</f>
        <v>201.3</v>
      </c>
      <c r="I519" s="2"/>
      <c r="J519" s="2"/>
      <c r="K519" s="2"/>
    </row>
    <row r="520" spans="1:11">
      <c r="A520" s="12"/>
      <c r="B520" s="2"/>
      <c r="C520" s="59"/>
      <c r="D520" s="2"/>
      <c r="E520" s="2"/>
      <c r="F520" s="2"/>
      <c r="G520" s="10"/>
      <c r="H520" s="10"/>
      <c r="I520" s="2"/>
      <c r="J520" s="2"/>
      <c r="K520" s="2"/>
    </row>
    <row r="521" spans="1:11" s="3" customFormat="1">
      <c r="A521" s="21"/>
      <c r="B521" s="7" t="s">
        <v>515</v>
      </c>
      <c r="C521" s="58"/>
      <c r="D521" s="7"/>
      <c r="E521" s="7"/>
      <c r="F521" s="7">
        <f>F519+F506</f>
        <v>45</v>
      </c>
      <c r="G521" s="9"/>
      <c r="H521" s="9">
        <f t="shared" ref="H521" si="63">H519+H506</f>
        <v>301</v>
      </c>
      <c r="I521" s="7"/>
      <c r="J521" s="7"/>
      <c r="K521" s="7"/>
    </row>
    <row r="522" spans="1:11">
      <c r="A522" s="12"/>
      <c r="B522" s="2"/>
      <c r="C522" s="59"/>
      <c r="D522" s="2"/>
      <c r="E522" s="2"/>
      <c r="F522" s="2"/>
      <c r="G522" s="10"/>
      <c r="H522" s="10"/>
      <c r="I522" s="2"/>
      <c r="J522" s="2"/>
      <c r="K522" s="2"/>
    </row>
    <row r="523" spans="1:11" s="3" customFormat="1">
      <c r="A523" s="21" t="s">
        <v>1047</v>
      </c>
      <c r="B523" s="7" t="str">
        <f>投资估算表!C53</f>
        <v>机加中心</v>
      </c>
      <c r="C523" s="58"/>
      <c r="D523" s="7"/>
      <c r="E523" s="7"/>
      <c r="F523" s="7"/>
      <c r="G523" s="9"/>
      <c r="H523" s="9"/>
      <c r="I523" s="7"/>
      <c r="J523" s="7"/>
      <c r="K523" s="7"/>
    </row>
    <row r="524" spans="1:11">
      <c r="A524" s="12">
        <v>1</v>
      </c>
      <c r="B524" s="2" t="str">
        <f>投资估算表!C54</f>
        <v>钛合金加工中心</v>
      </c>
      <c r="C524" s="59"/>
      <c r="D524" s="2"/>
      <c r="E524" s="2"/>
      <c r="F524" s="2"/>
      <c r="G524" s="10"/>
      <c r="H524" s="10"/>
      <c r="I524" s="2"/>
      <c r="J524" s="2"/>
      <c r="K524" s="2"/>
    </row>
    <row r="525" spans="1:11" ht="67.5">
      <c r="A525" s="12">
        <v>1.1000000000000001</v>
      </c>
      <c r="B525" s="2" t="s">
        <v>105</v>
      </c>
      <c r="C525" s="59" t="s">
        <v>213</v>
      </c>
      <c r="D525" s="2" t="s">
        <v>208</v>
      </c>
      <c r="E525" s="2" t="s">
        <v>214</v>
      </c>
      <c r="F525" s="2">
        <v>1</v>
      </c>
      <c r="G525" s="10">
        <v>5000</v>
      </c>
      <c r="H525" s="10">
        <f t="shared" si="59"/>
        <v>5000</v>
      </c>
      <c r="I525" s="2"/>
      <c r="J525" s="2" t="s">
        <v>215</v>
      </c>
      <c r="K525" s="2"/>
    </row>
    <row r="526" spans="1:11" ht="94.5">
      <c r="A526" s="12">
        <v>1.2</v>
      </c>
      <c r="B526" s="2" t="s">
        <v>106</v>
      </c>
      <c r="C526" s="59" t="s">
        <v>216</v>
      </c>
      <c r="D526" s="2" t="s">
        <v>208</v>
      </c>
      <c r="E526" s="2" t="s">
        <v>214</v>
      </c>
      <c r="F526" s="2">
        <v>1</v>
      </c>
      <c r="G526" s="10">
        <v>3500</v>
      </c>
      <c r="H526" s="10">
        <f t="shared" si="59"/>
        <v>3500</v>
      </c>
      <c r="I526" s="2"/>
      <c r="J526" s="2" t="s">
        <v>215</v>
      </c>
      <c r="K526" s="2"/>
    </row>
    <row r="527" spans="1:11" ht="27">
      <c r="A527" s="12">
        <v>1.3</v>
      </c>
      <c r="B527" s="2" t="s">
        <v>107</v>
      </c>
      <c r="C527" s="59" t="s">
        <v>217</v>
      </c>
      <c r="D527" s="2" t="s">
        <v>208</v>
      </c>
      <c r="E527" s="2" t="s">
        <v>214</v>
      </c>
      <c r="F527" s="2">
        <v>1</v>
      </c>
      <c r="G527" s="10">
        <v>3000</v>
      </c>
      <c r="H527" s="10">
        <f t="shared" si="59"/>
        <v>3000</v>
      </c>
      <c r="I527" s="2"/>
      <c r="J527" s="2" t="s">
        <v>215</v>
      </c>
      <c r="K527" s="2"/>
    </row>
    <row r="528" spans="1:11" ht="54">
      <c r="A528" s="12">
        <v>1.4</v>
      </c>
      <c r="B528" s="2" t="s">
        <v>108</v>
      </c>
      <c r="C528" s="59" t="s">
        <v>218</v>
      </c>
      <c r="D528" s="2" t="s">
        <v>208</v>
      </c>
      <c r="E528" s="2" t="s">
        <v>214</v>
      </c>
      <c r="F528" s="2">
        <v>1</v>
      </c>
      <c r="G528" s="10">
        <v>3500</v>
      </c>
      <c r="H528" s="10">
        <f t="shared" si="59"/>
        <v>3500</v>
      </c>
      <c r="I528" s="2"/>
      <c r="J528" s="2" t="s">
        <v>215</v>
      </c>
      <c r="K528" s="2"/>
    </row>
    <row r="529" spans="1:11" ht="40.5">
      <c r="A529" s="12">
        <v>1.5</v>
      </c>
      <c r="B529" s="2" t="s">
        <v>109</v>
      </c>
      <c r="C529" s="59" t="s">
        <v>219</v>
      </c>
      <c r="D529" s="2" t="s">
        <v>208</v>
      </c>
      <c r="E529" s="2" t="s">
        <v>214</v>
      </c>
      <c r="F529" s="2">
        <v>1</v>
      </c>
      <c r="G529" s="10">
        <v>2500</v>
      </c>
      <c r="H529" s="10">
        <f t="shared" si="59"/>
        <v>2500</v>
      </c>
      <c r="I529" s="2"/>
      <c r="J529" s="2" t="s">
        <v>215</v>
      </c>
      <c r="K529" s="2"/>
    </row>
    <row r="530" spans="1:11">
      <c r="A530" s="12"/>
      <c r="B530" s="2" t="s">
        <v>210</v>
      </c>
      <c r="C530" s="59"/>
      <c r="D530" s="2"/>
      <c r="E530" s="2"/>
      <c r="F530" s="2">
        <f>SUM(F525:F529)</f>
        <v>5</v>
      </c>
      <c r="G530" s="2"/>
      <c r="H530" s="10">
        <f t="shared" ref="H530" si="64">SUM(H525:H529)</f>
        <v>17500</v>
      </c>
      <c r="I530" s="2"/>
      <c r="J530" s="2"/>
      <c r="K530" s="2"/>
    </row>
    <row r="531" spans="1:11">
      <c r="A531" s="12"/>
      <c r="B531" s="2"/>
      <c r="C531" s="59"/>
      <c r="D531" s="2"/>
      <c r="E531" s="2"/>
      <c r="F531" s="2"/>
      <c r="G531" s="10"/>
      <c r="H531" s="10"/>
      <c r="I531" s="2"/>
      <c r="J531" s="2"/>
      <c r="K531" s="2"/>
    </row>
    <row r="532" spans="1:11" s="6" customFormat="1">
      <c r="A532" s="12">
        <v>2</v>
      </c>
      <c r="B532" s="2" t="s">
        <v>618</v>
      </c>
      <c r="C532" s="59"/>
      <c r="D532" s="2"/>
      <c r="E532" s="2"/>
      <c r="F532" s="2"/>
      <c r="G532" s="10"/>
      <c r="H532" s="10"/>
      <c r="I532" s="2"/>
      <c r="J532" s="2"/>
      <c r="K532" s="2"/>
    </row>
    <row r="533" spans="1:11">
      <c r="A533" s="38">
        <v>2.1</v>
      </c>
      <c r="B533" s="24" t="s">
        <v>622</v>
      </c>
      <c r="C533" s="27"/>
      <c r="D533" s="24" t="s">
        <v>331</v>
      </c>
      <c r="E533" s="24" t="s">
        <v>49</v>
      </c>
      <c r="F533" s="34">
        <v>1</v>
      </c>
      <c r="G533" s="29">
        <v>30</v>
      </c>
      <c r="H533" s="29">
        <v>30</v>
      </c>
      <c r="I533" s="23"/>
      <c r="J533" s="24"/>
      <c r="K533" s="37"/>
    </row>
    <row r="534" spans="1:11">
      <c r="A534" s="38">
        <v>2.2000000000000002</v>
      </c>
      <c r="B534" s="24" t="s">
        <v>623</v>
      </c>
      <c r="C534" s="27" t="s">
        <v>624</v>
      </c>
      <c r="D534" s="24" t="s">
        <v>331</v>
      </c>
      <c r="E534" s="24" t="s">
        <v>49</v>
      </c>
      <c r="F534" s="34">
        <v>4</v>
      </c>
      <c r="G534" s="29">
        <v>60</v>
      </c>
      <c r="H534" s="29">
        <v>240</v>
      </c>
      <c r="I534" s="23"/>
      <c r="J534" s="24"/>
      <c r="K534" s="37"/>
    </row>
    <row r="535" spans="1:11">
      <c r="A535" s="38">
        <v>2.2999999999999998</v>
      </c>
      <c r="B535" s="24" t="s">
        <v>625</v>
      </c>
      <c r="C535" s="27">
        <v>530</v>
      </c>
      <c r="D535" s="24" t="s">
        <v>331</v>
      </c>
      <c r="E535" s="24" t="s">
        <v>49</v>
      </c>
      <c r="F535" s="34">
        <v>2</v>
      </c>
      <c r="G535" s="29">
        <v>50</v>
      </c>
      <c r="H535" s="29">
        <v>100</v>
      </c>
      <c r="I535" s="23"/>
      <c r="J535" s="24"/>
      <c r="K535" s="37"/>
    </row>
    <row r="536" spans="1:11">
      <c r="A536" s="38">
        <v>2.4</v>
      </c>
      <c r="B536" s="24" t="s">
        <v>625</v>
      </c>
      <c r="C536" s="27">
        <v>800</v>
      </c>
      <c r="D536" s="24" t="s">
        <v>331</v>
      </c>
      <c r="E536" s="24" t="s">
        <v>49</v>
      </c>
      <c r="F536" s="34">
        <v>2</v>
      </c>
      <c r="G536" s="29">
        <v>80</v>
      </c>
      <c r="H536" s="29">
        <v>160</v>
      </c>
      <c r="I536" s="23"/>
      <c r="J536" s="24"/>
      <c r="K536" s="37"/>
    </row>
    <row r="537" spans="1:11">
      <c r="A537" s="38">
        <v>2.5</v>
      </c>
      <c r="B537" s="24" t="s">
        <v>626</v>
      </c>
      <c r="C537" s="27">
        <v>800</v>
      </c>
      <c r="D537" s="24" t="s">
        <v>331</v>
      </c>
      <c r="E537" s="24" t="s">
        <v>49</v>
      </c>
      <c r="F537" s="34">
        <v>2</v>
      </c>
      <c r="G537" s="29">
        <v>100</v>
      </c>
      <c r="H537" s="29">
        <v>200</v>
      </c>
      <c r="I537" s="23"/>
      <c r="J537" s="24"/>
      <c r="K537" s="37"/>
    </row>
    <row r="538" spans="1:11">
      <c r="A538" s="38">
        <v>2.6</v>
      </c>
      <c r="B538" s="24" t="s">
        <v>627</v>
      </c>
      <c r="C538" s="27"/>
      <c r="D538" s="24" t="s">
        <v>331</v>
      </c>
      <c r="E538" s="24" t="s">
        <v>49</v>
      </c>
      <c r="F538" s="32">
        <v>1</v>
      </c>
      <c r="G538" s="29">
        <v>120</v>
      </c>
      <c r="H538" s="29">
        <v>120</v>
      </c>
      <c r="I538" s="23"/>
      <c r="J538" s="24"/>
      <c r="K538" s="37"/>
    </row>
    <row r="539" spans="1:11">
      <c r="A539" s="38">
        <v>2.7</v>
      </c>
      <c r="B539" s="24" t="s">
        <v>628</v>
      </c>
      <c r="C539" s="27" t="s">
        <v>629</v>
      </c>
      <c r="D539" s="24" t="s">
        <v>331</v>
      </c>
      <c r="E539" s="24" t="s">
        <v>49</v>
      </c>
      <c r="F539" s="32">
        <v>2</v>
      </c>
      <c r="G539" s="29">
        <v>45</v>
      </c>
      <c r="H539" s="29">
        <v>90</v>
      </c>
      <c r="I539" s="23"/>
      <c r="J539" s="24"/>
      <c r="K539" s="37"/>
    </row>
    <row r="540" spans="1:11">
      <c r="A540" s="38">
        <v>2.8</v>
      </c>
      <c r="B540" s="24" t="s">
        <v>630</v>
      </c>
      <c r="C540" s="27"/>
      <c r="D540" s="24" t="s">
        <v>331</v>
      </c>
      <c r="E540" s="24" t="s">
        <v>49</v>
      </c>
      <c r="F540" s="32">
        <v>4</v>
      </c>
      <c r="G540" s="29">
        <v>20</v>
      </c>
      <c r="H540" s="29">
        <v>80</v>
      </c>
      <c r="I540" s="23"/>
      <c r="J540" s="24"/>
      <c r="K540" s="37"/>
    </row>
    <row r="541" spans="1:11">
      <c r="A541" s="38">
        <v>2.9</v>
      </c>
      <c r="B541" s="24" t="s">
        <v>631</v>
      </c>
      <c r="C541" s="27"/>
      <c r="D541" s="24" t="s">
        <v>331</v>
      </c>
      <c r="E541" s="24" t="s">
        <v>49</v>
      </c>
      <c r="F541" s="32">
        <v>4</v>
      </c>
      <c r="G541" s="29">
        <v>28</v>
      </c>
      <c r="H541" s="29">
        <v>112</v>
      </c>
      <c r="I541" s="23"/>
      <c r="J541" s="24"/>
      <c r="K541" s="37"/>
    </row>
    <row r="542" spans="1:11">
      <c r="A542" s="62" t="s">
        <v>234</v>
      </c>
      <c r="B542" s="24" t="s">
        <v>632</v>
      </c>
      <c r="C542" s="28" t="s">
        <v>633</v>
      </c>
      <c r="D542" s="24" t="s">
        <v>331</v>
      </c>
      <c r="E542" s="24" t="s">
        <v>49</v>
      </c>
      <c r="F542" s="32">
        <v>2</v>
      </c>
      <c r="G542" s="29">
        <v>20</v>
      </c>
      <c r="H542" s="29">
        <v>40</v>
      </c>
      <c r="I542" s="23"/>
      <c r="J542" s="24"/>
      <c r="K542" s="37"/>
    </row>
    <row r="543" spans="1:11">
      <c r="A543" s="62" t="s">
        <v>896</v>
      </c>
      <c r="B543" s="24" t="s">
        <v>632</v>
      </c>
      <c r="C543" s="28" t="s">
        <v>634</v>
      </c>
      <c r="D543" s="24" t="s">
        <v>331</v>
      </c>
      <c r="E543" s="24" t="s">
        <v>49</v>
      </c>
      <c r="F543" s="32">
        <v>2</v>
      </c>
      <c r="G543" s="29">
        <v>10</v>
      </c>
      <c r="H543" s="29">
        <v>20</v>
      </c>
      <c r="I543" s="23"/>
      <c r="J543" s="24"/>
      <c r="K543" s="37"/>
    </row>
    <row r="544" spans="1:11">
      <c r="A544" s="62" t="s">
        <v>342</v>
      </c>
      <c r="B544" s="24" t="s">
        <v>632</v>
      </c>
      <c r="C544" s="28" t="s">
        <v>635</v>
      </c>
      <c r="D544" s="24" t="s">
        <v>331</v>
      </c>
      <c r="E544" s="24" t="s">
        <v>49</v>
      </c>
      <c r="F544" s="32">
        <v>1</v>
      </c>
      <c r="G544" s="29">
        <v>45</v>
      </c>
      <c r="H544" s="29">
        <v>45</v>
      </c>
      <c r="I544" s="23"/>
      <c r="J544" s="24"/>
      <c r="K544" s="37"/>
    </row>
    <row r="545" spans="1:11">
      <c r="A545" s="62" t="s">
        <v>343</v>
      </c>
      <c r="B545" s="24" t="s">
        <v>632</v>
      </c>
      <c r="C545" s="28" t="s">
        <v>636</v>
      </c>
      <c r="D545" s="24" t="s">
        <v>331</v>
      </c>
      <c r="E545" s="24" t="s">
        <v>49</v>
      </c>
      <c r="F545" s="32">
        <v>1</v>
      </c>
      <c r="G545" s="29">
        <v>25</v>
      </c>
      <c r="H545" s="29">
        <v>25</v>
      </c>
      <c r="I545" s="23"/>
      <c r="J545" s="24"/>
      <c r="K545" s="37"/>
    </row>
    <row r="546" spans="1:11">
      <c r="A546" s="36"/>
      <c r="B546" s="25" t="s">
        <v>637</v>
      </c>
      <c r="C546" s="31"/>
      <c r="D546" s="24"/>
      <c r="E546" s="25"/>
      <c r="F546" s="33">
        <f>SUM(F533:F545)</f>
        <v>28</v>
      </c>
      <c r="G546" s="33"/>
      <c r="H546" s="30">
        <f t="shared" ref="H546" si="65">SUM(H533:H545)</f>
        <v>1262</v>
      </c>
      <c r="I546" s="26"/>
      <c r="J546" s="25"/>
      <c r="K546" s="39"/>
    </row>
    <row r="547" spans="1:11">
      <c r="A547" s="38"/>
      <c r="B547" s="24"/>
      <c r="C547" s="27"/>
      <c r="D547" s="24"/>
      <c r="E547" s="24"/>
      <c r="F547" s="32"/>
      <c r="G547" s="29"/>
      <c r="H547" s="29"/>
      <c r="I547" s="23"/>
      <c r="J547" s="24"/>
      <c r="K547" s="37"/>
    </row>
    <row r="548" spans="1:11" s="6" customFormat="1">
      <c r="A548" s="12">
        <v>3</v>
      </c>
      <c r="B548" s="2" t="s">
        <v>619</v>
      </c>
      <c r="C548" s="59"/>
      <c r="D548" s="2"/>
      <c r="E548" s="2"/>
      <c r="F548" s="2"/>
      <c r="G548" s="10"/>
      <c r="H548" s="10"/>
      <c r="I548" s="2"/>
      <c r="J548" s="2"/>
      <c r="K548" s="2"/>
    </row>
    <row r="549" spans="1:11">
      <c r="A549" s="38">
        <v>3.1</v>
      </c>
      <c r="B549" s="24" t="s">
        <v>638</v>
      </c>
      <c r="C549" s="27" t="s">
        <v>639</v>
      </c>
      <c r="D549" s="24" t="s">
        <v>331</v>
      </c>
      <c r="E549" s="24" t="s">
        <v>49</v>
      </c>
      <c r="F549" s="34">
        <v>5</v>
      </c>
      <c r="G549" s="29">
        <v>15</v>
      </c>
      <c r="H549" s="29">
        <v>75</v>
      </c>
      <c r="I549" s="23"/>
      <c r="J549" s="24"/>
      <c r="K549" s="37"/>
    </row>
    <row r="550" spans="1:11">
      <c r="A550" s="38">
        <v>3.2</v>
      </c>
      <c r="B550" s="24" t="s">
        <v>638</v>
      </c>
      <c r="C550" s="27" t="s">
        <v>640</v>
      </c>
      <c r="D550" s="24" t="s">
        <v>331</v>
      </c>
      <c r="E550" s="24" t="s">
        <v>49</v>
      </c>
      <c r="F550" s="34">
        <v>5</v>
      </c>
      <c r="G550" s="29">
        <v>17</v>
      </c>
      <c r="H550" s="29">
        <v>85</v>
      </c>
      <c r="I550" s="23"/>
      <c r="J550" s="24"/>
      <c r="K550" s="37"/>
    </row>
    <row r="551" spans="1:11">
      <c r="A551" s="38">
        <v>3.3</v>
      </c>
      <c r="B551" s="24" t="s">
        <v>641</v>
      </c>
      <c r="C551" s="27" t="s">
        <v>642</v>
      </c>
      <c r="D551" s="24" t="s">
        <v>331</v>
      </c>
      <c r="E551" s="24" t="s">
        <v>49</v>
      </c>
      <c r="F551" s="34">
        <v>6</v>
      </c>
      <c r="G551" s="29">
        <v>10</v>
      </c>
      <c r="H551" s="29">
        <v>60</v>
      </c>
      <c r="I551" s="23"/>
      <c r="J551" s="24"/>
      <c r="K551" s="37"/>
    </row>
    <row r="552" spans="1:11">
      <c r="A552" s="38">
        <v>3.4</v>
      </c>
      <c r="B552" s="24" t="s">
        <v>641</v>
      </c>
      <c r="C552" s="27" t="s">
        <v>643</v>
      </c>
      <c r="D552" s="24" t="s">
        <v>331</v>
      </c>
      <c r="E552" s="24" t="s">
        <v>49</v>
      </c>
      <c r="F552" s="34">
        <v>6</v>
      </c>
      <c r="G552" s="29">
        <v>11</v>
      </c>
      <c r="H552" s="29">
        <v>66</v>
      </c>
      <c r="I552" s="23"/>
      <c r="J552" s="24"/>
      <c r="K552" s="37"/>
    </row>
    <row r="553" spans="1:11">
      <c r="A553" s="38">
        <v>3.5</v>
      </c>
      <c r="B553" s="24" t="s">
        <v>644</v>
      </c>
      <c r="C553" s="27"/>
      <c r="D553" s="24" t="s">
        <v>331</v>
      </c>
      <c r="E553" s="24" t="s">
        <v>49</v>
      </c>
      <c r="F553" s="34">
        <v>10</v>
      </c>
      <c r="G553" s="29">
        <v>15</v>
      </c>
      <c r="H553" s="29">
        <v>150</v>
      </c>
      <c r="I553" s="23"/>
      <c r="J553" s="24"/>
      <c r="K553" s="37"/>
    </row>
    <row r="554" spans="1:11">
      <c r="A554" s="38">
        <v>3.6</v>
      </c>
      <c r="B554" s="24" t="s">
        <v>645</v>
      </c>
      <c r="C554" s="27" t="s">
        <v>646</v>
      </c>
      <c r="D554" s="24" t="s">
        <v>331</v>
      </c>
      <c r="E554" s="24" t="s">
        <v>49</v>
      </c>
      <c r="F554" s="32">
        <v>6</v>
      </c>
      <c r="G554" s="29">
        <v>37</v>
      </c>
      <c r="H554" s="29">
        <v>222</v>
      </c>
      <c r="I554" s="23"/>
      <c r="J554" s="24"/>
      <c r="K554" s="37"/>
    </row>
    <row r="555" spans="1:11">
      <c r="A555" s="38">
        <v>3.7</v>
      </c>
      <c r="B555" s="24" t="s">
        <v>647</v>
      </c>
      <c r="C555" s="27"/>
      <c r="D555" s="24" t="s">
        <v>331</v>
      </c>
      <c r="E555" s="24" t="s">
        <v>49</v>
      </c>
      <c r="F555" s="32">
        <v>4</v>
      </c>
      <c r="G555" s="29">
        <v>45</v>
      </c>
      <c r="H555" s="29">
        <v>180</v>
      </c>
      <c r="I555" s="23"/>
      <c r="J555" s="24"/>
      <c r="K555" s="37"/>
    </row>
    <row r="556" spans="1:11">
      <c r="A556" s="38">
        <v>3.8</v>
      </c>
      <c r="B556" s="24" t="s">
        <v>648</v>
      </c>
      <c r="C556" s="27" t="s">
        <v>649</v>
      </c>
      <c r="D556" s="24" t="s">
        <v>331</v>
      </c>
      <c r="E556" s="24" t="s">
        <v>49</v>
      </c>
      <c r="F556" s="32">
        <v>16</v>
      </c>
      <c r="G556" s="29">
        <v>30</v>
      </c>
      <c r="H556" s="29">
        <v>480</v>
      </c>
      <c r="I556" s="23"/>
      <c r="J556" s="24"/>
      <c r="K556" s="37"/>
    </row>
    <row r="557" spans="1:11">
      <c r="A557" s="38">
        <v>3.9</v>
      </c>
      <c r="B557" s="24" t="s">
        <v>650</v>
      </c>
      <c r="C557" s="27"/>
      <c r="D557" s="24" t="s">
        <v>331</v>
      </c>
      <c r="E557" s="24" t="s">
        <v>49</v>
      </c>
      <c r="F557" s="32">
        <v>6</v>
      </c>
      <c r="G557" s="29">
        <v>25</v>
      </c>
      <c r="H557" s="29">
        <v>150</v>
      </c>
      <c r="I557" s="23"/>
      <c r="J557" s="24"/>
      <c r="K557" s="37"/>
    </row>
    <row r="558" spans="1:11">
      <c r="A558" s="62" t="s">
        <v>708</v>
      </c>
      <c r="B558" s="24" t="s">
        <v>638</v>
      </c>
      <c r="C558" s="27" t="s">
        <v>651</v>
      </c>
      <c r="D558" s="24" t="s">
        <v>331</v>
      </c>
      <c r="E558" s="24" t="s">
        <v>49</v>
      </c>
      <c r="F558" s="32">
        <v>1</v>
      </c>
      <c r="G558" s="29">
        <v>15</v>
      </c>
      <c r="H558" s="29">
        <v>15</v>
      </c>
      <c r="I558" s="23"/>
      <c r="J558" s="24"/>
      <c r="K558" s="37"/>
    </row>
    <row r="559" spans="1:11">
      <c r="A559" s="62" t="s">
        <v>867</v>
      </c>
      <c r="B559" s="24" t="s">
        <v>652</v>
      </c>
      <c r="C559" s="27" t="s">
        <v>653</v>
      </c>
      <c r="D559" s="24" t="s">
        <v>331</v>
      </c>
      <c r="E559" s="24" t="s">
        <v>49</v>
      </c>
      <c r="F559" s="32">
        <v>2</v>
      </c>
      <c r="G559" s="29">
        <v>45</v>
      </c>
      <c r="H559" s="29">
        <v>90</v>
      </c>
      <c r="I559" s="23"/>
      <c r="J559" s="24"/>
      <c r="K559" s="37"/>
    </row>
    <row r="560" spans="1:11">
      <c r="A560" s="62" t="s">
        <v>355</v>
      </c>
      <c r="B560" s="24" t="s">
        <v>654</v>
      </c>
      <c r="C560" s="27"/>
      <c r="D560" s="24" t="s">
        <v>331</v>
      </c>
      <c r="E560" s="24" t="s">
        <v>49</v>
      </c>
      <c r="F560" s="32">
        <v>5</v>
      </c>
      <c r="G560" s="29">
        <v>10</v>
      </c>
      <c r="H560" s="29">
        <v>50</v>
      </c>
      <c r="I560" s="23"/>
      <c r="J560" s="24"/>
      <c r="K560" s="37"/>
    </row>
    <row r="561" spans="1:11">
      <c r="A561" s="62" t="s">
        <v>356</v>
      </c>
      <c r="B561" s="24" t="s">
        <v>655</v>
      </c>
      <c r="C561" s="27" t="s">
        <v>656</v>
      </c>
      <c r="D561" s="24" t="s">
        <v>331</v>
      </c>
      <c r="E561" s="24" t="s">
        <v>49</v>
      </c>
      <c r="F561" s="32">
        <v>4</v>
      </c>
      <c r="G561" s="29">
        <v>35</v>
      </c>
      <c r="H561" s="29">
        <v>140</v>
      </c>
      <c r="I561" s="23"/>
      <c r="J561" s="24"/>
      <c r="K561" s="37"/>
    </row>
    <row r="562" spans="1:11">
      <c r="A562" s="62" t="s">
        <v>357</v>
      </c>
      <c r="B562" s="24" t="s">
        <v>655</v>
      </c>
      <c r="C562" s="27" t="s">
        <v>657</v>
      </c>
      <c r="D562" s="24" t="s">
        <v>331</v>
      </c>
      <c r="E562" s="24" t="s">
        <v>49</v>
      </c>
      <c r="F562" s="32">
        <v>4</v>
      </c>
      <c r="G562" s="29">
        <v>45</v>
      </c>
      <c r="H562" s="29">
        <v>180</v>
      </c>
      <c r="I562" s="23"/>
      <c r="J562" s="24"/>
      <c r="K562" s="37"/>
    </row>
    <row r="563" spans="1:11">
      <c r="A563" s="62" t="s">
        <v>358</v>
      </c>
      <c r="B563" s="24" t="s">
        <v>658</v>
      </c>
      <c r="C563" s="27" t="s">
        <v>659</v>
      </c>
      <c r="D563" s="24" t="s">
        <v>331</v>
      </c>
      <c r="E563" s="24" t="s">
        <v>49</v>
      </c>
      <c r="F563" s="32">
        <v>4</v>
      </c>
      <c r="G563" s="29">
        <v>45</v>
      </c>
      <c r="H563" s="29">
        <v>180</v>
      </c>
      <c r="I563" s="23"/>
      <c r="J563" s="24"/>
      <c r="K563" s="37"/>
    </row>
    <row r="564" spans="1:11">
      <c r="A564" s="62" t="s">
        <v>359</v>
      </c>
      <c r="B564" s="24" t="s">
        <v>658</v>
      </c>
      <c r="C564" s="27" t="s">
        <v>660</v>
      </c>
      <c r="D564" s="24" t="s">
        <v>331</v>
      </c>
      <c r="E564" s="24" t="s">
        <v>49</v>
      </c>
      <c r="F564" s="32">
        <v>4</v>
      </c>
      <c r="G564" s="29">
        <v>50</v>
      </c>
      <c r="H564" s="29">
        <v>200</v>
      </c>
      <c r="I564" s="23"/>
      <c r="J564" s="24"/>
      <c r="K564" s="37"/>
    </row>
    <row r="565" spans="1:11">
      <c r="A565" s="62" t="s">
        <v>360</v>
      </c>
      <c r="B565" s="24" t="s">
        <v>661</v>
      </c>
      <c r="C565" s="27" t="s">
        <v>662</v>
      </c>
      <c r="D565" s="24" t="s">
        <v>331</v>
      </c>
      <c r="E565" s="24" t="s">
        <v>49</v>
      </c>
      <c r="F565" s="32">
        <v>6</v>
      </c>
      <c r="G565" s="29">
        <v>40</v>
      </c>
      <c r="H565" s="29">
        <v>240</v>
      </c>
      <c r="I565" s="23"/>
      <c r="J565" s="24"/>
      <c r="K565" s="37"/>
    </row>
    <row r="566" spans="1:11">
      <c r="A566" s="62" t="s">
        <v>361</v>
      </c>
      <c r="B566" s="24" t="s">
        <v>663</v>
      </c>
      <c r="C566" s="27" t="s">
        <v>664</v>
      </c>
      <c r="D566" s="24" t="s">
        <v>331</v>
      </c>
      <c r="E566" s="24" t="s">
        <v>49</v>
      </c>
      <c r="F566" s="32">
        <v>2</v>
      </c>
      <c r="G566" s="29">
        <v>35</v>
      </c>
      <c r="H566" s="29">
        <v>70</v>
      </c>
      <c r="I566" s="23"/>
      <c r="J566" s="24"/>
      <c r="K566" s="37"/>
    </row>
    <row r="567" spans="1:11">
      <c r="A567" s="62" t="s">
        <v>557</v>
      </c>
      <c r="B567" s="24" t="s">
        <v>665</v>
      </c>
      <c r="C567" s="27" t="s">
        <v>666</v>
      </c>
      <c r="D567" s="24" t="s">
        <v>331</v>
      </c>
      <c r="E567" s="24" t="s">
        <v>49</v>
      </c>
      <c r="F567" s="32">
        <v>1</v>
      </c>
      <c r="G567" s="29">
        <v>60</v>
      </c>
      <c r="H567" s="29">
        <v>60</v>
      </c>
      <c r="I567" s="23"/>
      <c r="J567" s="24"/>
      <c r="K567" s="37"/>
    </row>
    <row r="568" spans="1:11">
      <c r="A568" s="62" t="s">
        <v>587</v>
      </c>
      <c r="B568" s="24" t="s">
        <v>667</v>
      </c>
      <c r="C568" s="27" t="s">
        <v>668</v>
      </c>
      <c r="D568" s="24" t="s">
        <v>331</v>
      </c>
      <c r="E568" s="24" t="s">
        <v>49</v>
      </c>
      <c r="F568" s="32">
        <v>3</v>
      </c>
      <c r="G568" s="29">
        <v>75</v>
      </c>
      <c r="H568" s="29">
        <v>225</v>
      </c>
      <c r="I568" s="23"/>
      <c r="J568" s="24"/>
      <c r="K568" s="37"/>
    </row>
    <row r="569" spans="1:11">
      <c r="A569" s="62" t="s">
        <v>588</v>
      </c>
      <c r="B569" s="24" t="s">
        <v>661</v>
      </c>
      <c r="C569" s="27" t="s">
        <v>669</v>
      </c>
      <c r="D569" s="24" t="s">
        <v>331</v>
      </c>
      <c r="E569" s="24" t="s">
        <v>49</v>
      </c>
      <c r="F569" s="32">
        <v>6</v>
      </c>
      <c r="G569" s="29">
        <v>45</v>
      </c>
      <c r="H569" s="29">
        <v>270</v>
      </c>
      <c r="I569" s="23"/>
      <c r="J569" s="24"/>
      <c r="K569" s="37"/>
    </row>
    <row r="570" spans="1:11">
      <c r="A570" s="62" t="s">
        <v>589</v>
      </c>
      <c r="B570" s="24" t="s">
        <v>670</v>
      </c>
      <c r="C570" s="27" t="s">
        <v>671</v>
      </c>
      <c r="D570" s="24" t="s">
        <v>331</v>
      </c>
      <c r="E570" s="24" t="s">
        <v>49</v>
      </c>
      <c r="F570" s="32">
        <v>3</v>
      </c>
      <c r="G570" s="29">
        <v>70</v>
      </c>
      <c r="H570" s="29">
        <v>210</v>
      </c>
      <c r="I570" s="23"/>
      <c r="J570" s="24"/>
      <c r="K570" s="37"/>
    </row>
    <row r="571" spans="1:11">
      <c r="A571" s="62" t="s">
        <v>1039</v>
      </c>
      <c r="B571" s="24" t="s">
        <v>632</v>
      </c>
      <c r="C571" s="28" t="s">
        <v>633</v>
      </c>
      <c r="D571" s="24" t="s">
        <v>331</v>
      </c>
      <c r="E571" s="24" t="s">
        <v>49</v>
      </c>
      <c r="F571" s="32">
        <v>2</v>
      </c>
      <c r="G571" s="29">
        <v>20</v>
      </c>
      <c r="H571" s="29">
        <v>40</v>
      </c>
      <c r="I571" s="23"/>
      <c r="J571" s="24"/>
      <c r="K571" s="37"/>
    </row>
    <row r="572" spans="1:11">
      <c r="A572" s="62" t="s">
        <v>1040</v>
      </c>
      <c r="B572" s="24" t="s">
        <v>632</v>
      </c>
      <c r="C572" s="28" t="s">
        <v>634</v>
      </c>
      <c r="D572" s="24" t="s">
        <v>331</v>
      </c>
      <c r="E572" s="24" t="s">
        <v>49</v>
      </c>
      <c r="F572" s="32">
        <v>2</v>
      </c>
      <c r="G572" s="29">
        <v>10</v>
      </c>
      <c r="H572" s="29">
        <v>20</v>
      </c>
      <c r="I572" s="23"/>
      <c r="J572" s="24"/>
      <c r="K572" s="37"/>
    </row>
    <row r="573" spans="1:11">
      <c r="A573" s="62" t="s">
        <v>1041</v>
      </c>
      <c r="B573" s="24" t="s">
        <v>632</v>
      </c>
      <c r="C573" s="28" t="s">
        <v>635</v>
      </c>
      <c r="D573" s="24" t="s">
        <v>331</v>
      </c>
      <c r="E573" s="24" t="s">
        <v>49</v>
      </c>
      <c r="F573" s="32">
        <v>1</v>
      </c>
      <c r="G573" s="29">
        <v>45</v>
      </c>
      <c r="H573" s="29">
        <v>45</v>
      </c>
      <c r="I573" s="23"/>
      <c r="J573" s="24"/>
      <c r="K573" s="37"/>
    </row>
    <row r="574" spans="1:11">
      <c r="A574" s="62" t="s">
        <v>1042</v>
      </c>
      <c r="B574" s="24" t="s">
        <v>632</v>
      </c>
      <c r="C574" s="28" t="s">
        <v>636</v>
      </c>
      <c r="D574" s="24" t="s">
        <v>331</v>
      </c>
      <c r="E574" s="24" t="s">
        <v>49</v>
      </c>
      <c r="F574" s="32">
        <v>1</v>
      </c>
      <c r="G574" s="29">
        <v>25</v>
      </c>
      <c r="H574" s="29">
        <v>25</v>
      </c>
      <c r="I574" s="23"/>
      <c r="J574" s="24"/>
      <c r="K574" s="37"/>
    </row>
    <row r="575" spans="1:11">
      <c r="A575" s="36"/>
      <c r="B575" s="25" t="s">
        <v>637</v>
      </c>
      <c r="C575" s="31"/>
      <c r="D575" s="24"/>
      <c r="E575" s="25"/>
      <c r="F575" s="33">
        <f>SUM(F549:F574)</f>
        <v>115</v>
      </c>
      <c r="G575" s="33"/>
      <c r="H575" s="30">
        <f>SUM(H549:H574)</f>
        <v>3528</v>
      </c>
      <c r="I575" s="26"/>
      <c r="J575" s="25"/>
      <c r="K575" s="39"/>
    </row>
    <row r="576" spans="1:11">
      <c r="A576" s="38"/>
      <c r="B576" s="25"/>
      <c r="C576" s="27"/>
      <c r="D576" s="24"/>
      <c r="E576" s="24"/>
      <c r="F576" s="32"/>
      <c r="G576" s="29"/>
      <c r="H576" s="29"/>
      <c r="I576" s="23"/>
      <c r="J576" s="24"/>
      <c r="K576" s="37"/>
    </row>
    <row r="577" spans="1:11" s="6" customFormat="1">
      <c r="A577" s="12">
        <v>4</v>
      </c>
      <c r="B577" s="2" t="s">
        <v>620</v>
      </c>
      <c r="C577" s="59"/>
      <c r="D577" s="2"/>
      <c r="E577" s="2"/>
      <c r="F577" s="2"/>
      <c r="G577" s="10"/>
      <c r="H577" s="10"/>
      <c r="I577" s="2"/>
      <c r="J577" s="2"/>
      <c r="K577" s="2"/>
    </row>
    <row r="578" spans="1:11">
      <c r="A578" s="62">
        <v>4.0999999999999996</v>
      </c>
      <c r="B578" s="24" t="s">
        <v>672</v>
      </c>
      <c r="C578" s="27" t="s">
        <v>673</v>
      </c>
      <c r="D578" s="24" t="s">
        <v>331</v>
      </c>
      <c r="E578" s="24" t="s">
        <v>49</v>
      </c>
      <c r="F578" s="34">
        <v>2</v>
      </c>
      <c r="G578" s="29">
        <v>35</v>
      </c>
      <c r="H578" s="29">
        <v>70</v>
      </c>
      <c r="I578" s="23"/>
      <c r="J578" s="24"/>
      <c r="K578" s="37"/>
    </row>
    <row r="579" spans="1:11">
      <c r="A579" s="62">
        <v>4.2</v>
      </c>
      <c r="B579" s="24" t="s">
        <v>674</v>
      </c>
      <c r="C579" s="27" t="s">
        <v>675</v>
      </c>
      <c r="D579" s="24" t="s">
        <v>331</v>
      </c>
      <c r="E579" s="24" t="s">
        <v>49</v>
      </c>
      <c r="F579" s="34">
        <v>1</v>
      </c>
      <c r="G579" s="29">
        <v>300</v>
      </c>
      <c r="H579" s="29">
        <v>300</v>
      </c>
      <c r="I579" s="23"/>
      <c r="J579" s="24"/>
      <c r="K579" s="37"/>
    </row>
    <row r="580" spans="1:11">
      <c r="A580" s="62">
        <v>4.3</v>
      </c>
      <c r="B580" s="24" t="s">
        <v>672</v>
      </c>
      <c r="C580" s="27" t="s">
        <v>676</v>
      </c>
      <c r="D580" s="24" t="s">
        <v>331</v>
      </c>
      <c r="E580" s="24" t="s">
        <v>49</v>
      </c>
      <c r="F580" s="34">
        <v>1</v>
      </c>
      <c r="G580" s="29">
        <v>40</v>
      </c>
      <c r="H580" s="29">
        <v>40</v>
      </c>
      <c r="I580" s="23"/>
      <c r="J580" s="24"/>
      <c r="K580" s="37"/>
    </row>
    <row r="581" spans="1:11">
      <c r="A581" s="62">
        <v>4.4000000000000004</v>
      </c>
      <c r="B581" s="24" t="s">
        <v>655</v>
      </c>
      <c r="C581" s="27" t="s">
        <v>677</v>
      </c>
      <c r="D581" s="24" t="s">
        <v>331</v>
      </c>
      <c r="E581" s="24" t="s">
        <v>49</v>
      </c>
      <c r="F581" s="34">
        <v>1</v>
      </c>
      <c r="G581" s="29">
        <v>35</v>
      </c>
      <c r="H581" s="29">
        <v>35</v>
      </c>
      <c r="I581" s="23"/>
      <c r="J581" s="24"/>
      <c r="K581" s="37"/>
    </row>
    <row r="582" spans="1:11">
      <c r="A582" s="62">
        <v>4.5</v>
      </c>
      <c r="B582" s="24" t="s">
        <v>678</v>
      </c>
      <c r="C582" s="27" t="s">
        <v>679</v>
      </c>
      <c r="D582" s="24" t="s">
        <v>331</v>
      </c>
      <c r="E582" s="24" t="s">
        <v>49</v>
      </c>
      <c r="F582" s="34">
        <v>1</v>
      </c>
      <c r="G582" s="29">
        <v>65</v>
      </c>
      <c r="H582" s="29">
        <v>65</v>
      </c>
      <c r="I582" s="23"/>
      <c r="J582" s="24"/>
      <c r="K582" s="37"/>
    </row>
    <row r="583" spans="1:11">
      <c r="A583" s="62">
        <v>4.5999999999999996</v>
      </c>
      <c r="B583" s="24" t="s">
        <v>680</v>
      </c>
      <c r="C583" s="27" t="s">
        <v>681</v>
      </c>
      <c r="D583" s="24" t="s">
        <v>331</v>
      </c>
      <c r="E583" s="24" t="s">
        <v>49</v>
      </c>
      <c r="F583" s="32">
        <v>1</v>
      </c>
      <c r="G583" s="29">
        <v>50</v>
      </c>
      <c r="H583" s="29">
        <v>50</v>
      </c>
      <c r="I583" s="23"/>
      <c r="J583" s="24"/>
      <c r="K583" s="37"/>
    </row>
    <row r="584" spans="1:11">
      <c r="A584" s="62">
        <v>4.7</v>
      </c>
      <c r="B584" s="24" t="s">
        <v>682</v>
      </c>
      <c r="C584" s="27"/>
      <c r="D584" s="24" t="s">
        <v>331</v>
      </c>
      <c r="E584" s="24" t="s">
        <v>49</v>
      </c>
      <c r="F584" s="32">
        <v>2</v>
      </c>
      <c r="G584" s="29">
        <v>80</v>
      </c>
      <c r="H584" s="29">
        <v>160</v>
      </c>
      <c r="I584" s="23"/>
      <c r="J584" s="24"/>
      <c r="K584" s="37"/>
    </row>
    <row r="585" spans="1:11">
      <c r="A585" s="62">
        <v>4.8</v>
      </c>
      <c r="B585" s="24" t="s">
        <v>683</v>
      </c>
      <c r="C585" s="27" t="s">
        <v>684</v>
      </c>
      <c r="D585" s="24" t="s">
        <v>331</v>
      </c>
      <c r="E585" s="24" t="s">
        <v>49</v>
      </c>
      <c r="F585" s="32">
        <v>3</v>
      </c>
      <c r="G585" s="29">
        <v>65</v>
      </c>
      <c r="H585" s="29">
        <v>195</v>
      </c>
      <c r="I585" s="23"/>
      <c r="J585" s="24"/>
      <c r="K585" s="37"/>
    </row>
    <row r="586" spans="1:11">
      <c r="A586" s="62">
        <v>4.9000000000000004</v>
      </c>
      <c r="B586" s="24" t="s">
        <v>685</v>
      </c>
      <c r="C586" s="27" t="s">
        <v>686</v>
      </c>
      <c r="D586" s="24" t="s">
        <v>331</v>
      </c>
      <c r="E586" s="24" t="s">
        <v>49</v>
      </c>
      <c r="F586" s="32">
        <v>3</v>
      </c>
      <c r="G586" s="29">
        <v>120</v>
      </c>
      <c r="H586" s="29">
        <v>360</v>
      </c>
      <c r="I586" s="23"/>
      <c r="J586" s="24"/>
      <c r="K586" s="37"/>
    </row>
    <row r="587" spans="1:11">
      <c r="A587" s="62" t="s">
        <v>709</v>
      </c>
      <c r="B587" s="24" t="s">
        <v>687</v>
      </c>
      <c r="C587" s="27" t="s">
        <v>684</v>
      </c>
      <c r="D587" s="24" t="s">
        <v>331</v>
      </c>
      <c r="E587" s="24" t="s">
        <v>49</v>
      </c>
      <c r="F587" s="32">
        <v>2</v>
      </c>
      <c r="G587" s="29">
        <v>50</v>
      </c>
      <c r="H587" s="29">
        <v>100</v>
      </c>
      <c r="I587" s="23"/>
      <c r="J587" s="24"/>
      <c r="K587" s="37"/>
    </row>
    <row r="588" spans="1:11">
      <c r="A588" s="62" t="s">
        <v>854</v>
      </c>
      <c r="B588" s="24" t="s">
        <v>688</v>
      </c>
      <c r="C588" s="27"/>
      <c r="D588" s="24" t="s">
        <v>331</v>
      </c>
      <c r="E588" s="24" t="s">
        <v>49</v>
      </c>
      <c r="F588" s="32">
        <v>3</v>
      </c>
      <c r="G588" s="29">
        <v>60</v>
      </c>
      <c r="H588" s="29">
        <v>180</v>
      </c>
      <c r="I588" s="23"/>
      <c r="J588" s="24"/>
      <c r="K588" s="37"/>
    </row>
    <row r="589" spans="1:11">
      <c r="A589" s="62" t="s">
        <v>363</v>
      </c>
      <c r="B589" s="24" t="s">
        <v>632</v>
      </c>
      <c r="C589" s="28" t="s">
        <v>689</v>
      </c>
      <c r="D589" s="24" t="s">
        <v>331</v>
      </c>
      <c r="E589" s="24" t="s">
        <v>49</v>
      </c>
      <c r="F589" s="32">
        <v>1</v>
      </c>
      <c r="G589" s="29">
        <v>120</v>
      </c>
      <c r="H589" s="29">
        <v>120</v>
      </c>
      <c r="I589" s="23"/>
      <c r="J589" s="24"/>
      <c r="K589" s="37"/>
    </row>
    <row r="590" spans="1:11">
      <c r="A590" s="62" t="s">
        <v>530</v>
      </c>
      <c r="B590" s="24" t="s">
        <v>632</v>
      </c>
      <c r="C590" s="28" t="s">
        <v>690</v>
      </c>
      <c r="D590" s="24" t="s">
        <v>331</v>
      </c>
      <c r="E590" s="24" t="s">
        <v>49</v>
      </c>
      <c r="F590" s="32">
        <v>1</v>
      </c>
      <c r="G590" s="29">
        <v>30</v>
      </c>
      <c r="H590" s="29">
        <v>30</v>
      </c>
      <c r="I590" s="23"/>
      <c r="J590" s="24"/>
      <c r="K590" s="37"/>
    </row>
    <row r="591" spans="1:11">
      <c r="A591" s="62" t="s">
        <v>531</v>
      </c>
      <c r="B591" s="24" t="s">
        <v>632</v>
      </c>
      <c r="C591" s="28" t="s">
        <v>691</v>
      </c>
      <c r="D591" s="24" t="s">
        <v>331</v>
      </c>
      <c r="E591" s="24" t="s">
        <v>49</v>
      </c>
      <c r="F591" s="32">
        <v>1</v>
      </c>
      <c r="G591" s="29">
        <v>180</v>
      </c>
      <c r="H591" s="29">
        <v>180</v>
      </c>
      <c r="I591" s="23"/>
      <c r="J591" s="24"/>
      <c r="K591" s="37"/>
    </row>
    <row r="592" spans="1:11">
      <c r="A592" s="62" t="s">
        <v>591</v>
      </c>
      <c r="B592" s="24" t="s">
        <v>632</v>
      </c>
      <c r="C592" s="28" t="s">
        <v>692</v>
      </c>
      <c r="D592" s="24" t="s">
        <v>331</v>
      </c>
      <c r="E592" s="24" t="s">
        <v>49</v>
      </c>
      <c r="F592" s="32">
        <v>1</v>
      </c>
      <c r="G592" s="29">
        <v>125</v>
      </c>
      <c r="H592" s="29">
        <v>125</v>
      </c>
      <c r="I592" s="23"/>
      <c r="J592" s="24"/>
      <c r="K592" s="37"/>
    </row>
    <row r="593" spans="1:11">
      <c r="A593" s="62" t="s">
        <v>592</v>
      </c>
      <c r="B593" s="24" t="s">
        <v>632</v>
      </c>
      <c r="C593" s="28" t="s">
        <v>693</v>
      </c>
      <c r="D593" s="24" t="s">
        <v>331</v>
      </c>
      <c r="E593" s="24" t="s">
        <v>49</v>
      </c>
      <c r="F593" s="32">
        <v>1</v>
      </c>
      <c r="G593" s="29">
        <v>35</v>
      </c>
      <c r="H593" s="29">
        <v>35</v>
      </c>
      <c r="I593" s="23"/>
      <c r="J593" s="24"/>
      <c r="K593" s="37"/>
    </row>
    <row r="594" spans="1:11">
      <c r="A594" s="62" t="s">
        <v>593</v>
      </c>
      <c r="B594" s="24" t="s">
        <v>632</v>
      </c>
      <c r="C594" s="28" t="s">
        <v>694</v>
      </c>
      <c r="D594" s="24" t="s">
        <v>331</v>
      </c>
      <c r="E594" s="24" t="s">
        <v>49</v>
      </c>
      <c r="F594" s="32">
        <v>1</v>
      </c>
      <c r="G594" s="29">
        <v>150</v>
      </c>
      <c r="H594" s="29">
        <v>150</v>
      </c>
      <c r="I594" s="23"/>
      <c r="J594" s="24"/>
      <c r="K594" s="37"/>
    </row>
    <row r="595" spans="1:11">
      <c r="A595" s="62" t="s">
        <v>594</v>
      </c>
      <c r="B595" s="24" t="s">
        <v>632</v>
      </c>
      <c r="C595" s="28" t="s">
        <v>695</v>
      </c>
      <c r="D595" s="24" t="s">
        <v>331</v>
      </c>
      <c r="E595" s="24" t="s">
        <v>49</v>
      </c>
      <c r="F595" s="32">
        <v>1</v>
      </c>
      <c r="G595" s="29">
        <v>30</v>
      </c>
      <c r="H595" s="29">
        <v>30</v>
      </c>
      <c r="I595" s="23"/>
      <c r="J595" s="24"/>
      <c r="K595" s="37"/>
    </row>
    <row r="596" spans="1:11">
      <c r="A596" s="62" t="s">
        <v>595</v>
      </c>
      <c r="B596" s="24" t="s">
        <v>632</v>
      </c>
      <c r="C596" s="28" t="s">
        <v>696</v>
      </c>
      <c r="D596" s="24" t="s">
        <v>331</v>
      </c>
      <c r="E596" s="24" t="s">
        <v>49</v>
      </c>
      <c r="F596" s="32">
        <v>1</v>
      </c>
      <c r="G596" s="29">
        <v>16</v>
      </c>
      <c r="H596" s="29">
        <v>16</v>
      </c>
      <c r="I596" s="23"/>
      <c r="J596" s="24"/>
      <c r="K596" s="37"/>
    </row>
    <row r="597" spans="1:11">
      <c r="A597" s="62" t="s">
        <v>596</v>
      </c>
      <c r="B597" s="24" t="s">
        <v>632</v>
      </c>
      <c r="C597" s="28" t="s">
        <v>634</v>
      </c>
      <c r="D597" s="24" t="s">
        <v>331</v>
      </c>
      <c r="E597" s="24" t="s">
        <v>49</v>
      </c>
      <c r="F597" s="32">
        <v>1</v>
      </c>
      <c r="G597" s="29">
        <v>10</v>
      </c>
      <c r="H597" s="29">
        <v>10</v>
      </c>
      <c r="I597" s="23"/>
      <c r="J597" s="24"/>
      <c r="K597" s="37"/>
    </row>
    <row r="598" spans="1:11">
      <c r="A598" s="36"/>
      <c r="B598" s="25" t="s">
        <v>637</v>
      </c>
      <c r="C598" s="35"/>
      <c r="D598" s="24"/>
      <c r="E598" s="25"/>
      <c r="F598" s="33">
        <f>SUM(F578:F597)</f>
        <v>29</v>
      </c>
      <c r="G598" s="33"/>
      <c r="H598" s="30">
        <f>SUM(H578:H597)</f>
        <v>2251</v>
      </c>
      <c r="I598" s="26"/>
      <c r="J598" s="25"/>
      <c r="K598" s="39"/>
    </row>
    <row r="599" spans="1:11">
      <c r="A599" s="38"/>
      <c r="B599" s="25"/>
      <c r="C599" s="28"/>
      <c r="D599" s="24"/>
      <c r="E599" s="24"/>
      <c r="F599" s="32"/>
      <c r="G599" s="29"/>
      <c r="H599" s="29"/>
      <c r="I599" s="23"/>
      <c r="J599" s="24"/>
      <c r="K599" s="37"/>
    </row>
    <row r="600" spans="1:11" s="6" customFormat="1">
      <c r="A600" s="12">
        <v>5</v>
      </c>
      <c r="B600" s="2" t="s">
        <v>621</v>
      </c>
      <c r="C600" s="59"/>
      <c r="D600" s="2"/>
      <c r="E600" s="2"/>
      <c r="F600" s="2"/>
      <c r="G600" s="10"/>
      <c r="H600" s="10"/>
      <c r="I600" s="2"/>
      <c r="J600" s="2"/>
      <c r="K600" s="2"/>
    </row>
    <row r="601" spans="1:11">
      <c r="A601" s="38">
        <v>5.0999999999999996</v>
      </c>
      <c r="B601" s="24" t="s">
        <v>697</v>
      </c>
      <c r="C601" s="27" t="s">
        <v>698</v>
      </c>
      <c r="D601" s="24" t="s">
        <v>331</v>
      </c>
      <c r="E601" s="24" t="s">
        <v>49</v>
      </c>
      <c r="F601" s="34">
        <v>1</v>
      </c>
      <c r="G601" s="29">
        <v>60</v>
      </c>
      <c r="H601" s="29">
        <v>60</v>
      </c>
      <c r="I601" s="23"/>
      <c r="J601" s="24"/>
      <c r="K601" s="37"/>
    </row>
    <row r="602" spans="1:11">
      <c r="A602" s="38">
        <v>5.2</v>
      </c>
      <c r="B602" s="24" t="s">
        <v>654</v>
      </c>
      <c r="C602" s="27"/>
      <c r="D602" s="24" t="s">
        <v>331</v>
      </c>
      <c r="E602" s="24" t="s">
        <v>49</v>
      </c>
      <c r="F602" s="34">
        <v>8</v>
      </c>
      <c r="G602" s="29">
        <v>12</v>
      </c>
      <c r="H602" s="29">
        <v>96</v>
      </c>
      <c r="I602" s="23"/>
      <c r="J602" s="24"/>
      <c r="K602" s="37"/>
    </row>
    <row r="603" spans="1:11">
      <c r="A603" s="38">
        <v>5.3</v>
      </c>
      <c r="B603" s="24" t="s">
        <v>699</v>
      </c>
      <c r="C603" s="27" t="s">
        <v>700</v>
      </c>
      <c r="D603" s="24" t="s">
        <v>331</v>
      </c>
      <c r="E603" s="24" t="s">
        <v>49</v>
      </c>
      <c r="F603" s="34">
        <v>2</v>
      </c>
      <c r="G603" s="29">
        <v>30</v>
      </c>
      <c r="H603" s="29">
        <v>60</v>
      </c>
      <c r="I603" s="23"/>
      <c r="J603" s="24"/>
      <c r="K603" s="37"/>
    </row>
    <row r="604" spans="1:11">
      <c r="A604" s="38">
        <v>5.4</v>
      </c>
      <c r="B604" s="24" t="s">
        <v>697</v>
      </c>
      <c r="C604" s="27" t="s">
        <v>701</v>
      </c>
      <c r="D604" s="24" t="s">
        <v>331</v>
      </c>
      <c r="E604" s="24" t="s">
        <v>49</v>
      </c>
      <c r="F604" s="34">
        <v>1</v>
      </c>
      <c r="G604" s="29">
        <v>300</v>
      </c>
      <c r="H604" s="29">
        <v>300</v>
      </c>
      <c r="I604" s="23"/>
      <c r="J604" s="24"/>
      <c r="K604" s="37"/>
    </row>
    <row r="605" spans="1:11">
      <c r="A605" s="38">
        <v>5.5</v>
      </c>
      <c r="B605" s="24" t="s">
        <v>678</v>
      </c>
      <c r="C605" s="27" t="s">
        <v>679</v>
      </c>
      <c r="D605" s="24" t="s">
        <v>331</v>
      </c>
      <c r="E605" s="24" t="s">
        <v>49</v>
      </c>
      <c r="F605" s="34">
        <v>1</v>
      </c>
      <c r="G605" s="29">
        <v>75</v>
      </c>
      <c r="H605" s="29">
        <v>75</v>
      </c>
      <c r="I605" s="23"/>
      <c r="J605" s="24"/>
      <c r="K605" s="37"/>
    </row>
    <row r="606" spans="1:11">
      <c r="A606" s="38">
        <v>5.6</v>
      </c>
      <c r="B606" s="24" t="s">
        <v>680</v>
      </c>
      <c r="C606" s="27" t="s">
        <v>702</v>
      </c>
      <c r="D606" s="24" t="s">
        <v>331</v>
      </c>
      <c r="E606" s="24" t="s">
        <v>49</v>
      </c>
      <c r="F606" s="32">
        <v>1</v>
      </c>
      <c r="G606" s="29">
        <v>80</v>
      </c>
      <c r="H606" s="29">
        <v>80</v>
      </c>
      <c r="I606" s="23"/>
      <c r="J606" s="24"/>
      <c r="K606" s="37"/>
    </row>
    <row r="607" spans="1:11">
      <c r="A607" s="38">
        <v>5.7</v>
      </c>
      <c r="B607" s="24" t="s">
        <v>632</v>
      </c>
      <c r="C607" s="28" t="s">
        <v>689</v>
      </c>
      <c r="D607" s="24" t="s">
        <v>331</v>
      </c>
      <c r="E607" s="24" t="s">
        <v>49</v>
      </c>
      <c r="F607" s="32">
        <v>1</v>
      </c>
      <c r="G607" s="29">
        <v>120</v>
      </c>
      <c r="H607" s="29">
        <v>120</v>
      </c>
      <c r="I607" s="23"/>
      <c r="J607" s="24"/>
      <c r="K607" s="37"/>
    </row>
    <row r="608" spans="1:11">
      <c r="A608" s="38">
        <v>5.8</v>
      </c>
      <c r="B608" s="24" t="s">
        <v>632</v>
      </c>
      <c r="C608" s="28" t="s">
        <v>690</v>
      </c>
      <c r="D608" s="24" t="s">
        <v>331</v>
      </c>
      <c r="E608" s="24" t="s">
        <v>49</v>
      </c>
      <c r="F608" s="32">
        <v>1</v>
      </c>
      <c r="G608" s="29">
        <v>30</v>
      </c>
      <c r="H608" s="29">
        <v>30</v>
      </c>
      <c r="I608" s="23"/>
      <c r="J608" s="24"/>
      <c r="K608" s="37"/>
    </row>
    <row r="609" spans="1:11">
      <c r="A609" s="38">
        <v>5.9</v>
      </c>
      <c r="B609" s="24" t="s">
        <v>632</v>
      </c>
      <c r="C609" s="28" t="s">
        <v>691</v>
      </c>
      <c r="D609" s="24" t="s">
        <v>331</v>
      </c>
      <c r="E609" s="24" t="s">
        <v>49</v>
      </c>
      <c r="F609" s="32">
        <v>1</v>
      </c>
      <c r="G609" s="29">
        <v>180</v>
      </c>
      <c r="H609" s="29">
        <v>180</v>
      </c>
      <c r="I609" s="23"/>
      <c r="J609" s="24"/>
      <c r="K609" s="37"/>
    </row>
    <row r="610" spans="1:11">
      <c r="A610" s="62" t="s">
        <v>851</v>
      </c>
      <c r="B610" s="24" t="s">
        <v>632</v>
      </c>
      <c r="C610" s="28" t="s">
        <v>692</v>
      </c>
      <c r="D610" s="24" t="s">
        <v>331</v>
      </c>
      <c r="E610" s="24" t="s">
        <v>49</v>
      </c>
      <c r="F610" s="32">
        <v>1</v>
      </c>
      <c r="G610" s="29">
        <v>125</v>
      </c>
      <c r="H610" s="29">
        <v>125</v>
      </c>
      <c r="I610" s="23"/>
      <c r="J610" s="24"/>
      <c r="K610" s="37"/>
    </row>
    <row r="611" spans="1:11">
      <c r="A611" s="62" t="s">
        <v>710</v>
      </c>
      <c r="B611" s="24" t="s">
        <v>632</v>
      </c>
      <c r="C611" s="28" t="s">
        <v>693</v>
      </c>
      <c r="D611" s="24" t="s">
        <v>331</v>
      </c>
      <c r="E611" s="24" t="s">
        <v>49</v>
      </c>
      <c r="F611" s="32">
        <v>1</v>
      </c>
      <c r="G611" s="29">
        <v>35</v>
      </c>
      <c r="H611" s="29">
        <v>35</v>
      </c>
      <c r="I611" s="23"/>
      <c r="J611" s="24"/>
      <c r="K611" s="37"/>
    </row>
    <row r="612" spans="1:11">
      <c r="A612" s="62" t="s">
        <v>364</v>
      </c>
      <c r="B612" s="24" t="s">
        <v>632</v>
      </c>
      <c r="C612" s="28" t="s">
        <v>694</v>
      </c>
      <c r="D612" s="24" t="s">
        <v>331</v>
      </c>
      <c r="E612" s="24" t="s">
        <v>49</v>
      </c>
      <c r="F612" s="32">
        <v>1</v>
      </c>
      <c r="G612" s="29">
        <v>150</v>
      </c>
      <c r="H612" s="29">
        <v>150</v>
      </c>
      <c r="I612" s="23"/>
      <c r="J612" s="24"/>
      <c r="K612" s="37"/>
    </row>
    <row r="613" spans="1:11">
      <c r="A613" s="62" t="s">
        <v>601</v>
      </c>
      <c r="B613" s="24" t="s">
        <v>632</v>
      </c>
      <c r="C613" s="28" t="s">
        <v>695</v>
      </c>
      <c r="D613" s="24" t="s">
        <v>331</v>
      </c>
      <c r="E613" s="24" t="s">
        <v>49</v>
      </c>
      <c r="F613" s="32">
        <v>1</v>
      </c>
      <c r="G613" s="29">
        <v>30</v>
      </c>
      <c r="H613" s="29">
        <v>30</v>
      </c>
      <c r="I613" s="23"/>
      <c r="J613" s="24"/>
      <c r="K613" s="37"/>
    </row>
    <row r="614" spans="1:11">
      <c r="A614" s="62" t="s">
        <v>1043</v>
      </c>
      <c r="B614" s="24" t="s">
        <v>632</v>
      </c>
      <c r="C614" s="28" t="s">
        <v>696</v>
      </c>
      <c r="D614" s="24" t="s">
        <v>331</v>
      </c>
      <c r="E614" s="24" t="s">
        <v>49</v>
      </c>
      <c r="F614" s="32">
        <v>1</v>
      </c>
      <c r="G614" s="29">
        <v>16</v>
      </c>
      <c r="H614" s="29">
        <v>16</v>
      </c>
      <c r="I614" s="23"/>
      <c r="J614" s="24"/>
      <c r="K614" s="37"/>
    </row>
    <row r="615" spans="1:11">
      <c r="A615" s="62" t="s">
        <v>1044</v>
      </c>
      <c r="B615" s="24" t="s">
        <v>632</v>
      </c>
      <c r="C615" s="28" t="s">
        <v>634</v>
      </c>
      <c r="D615" s="24" t="s">
        <v>331</v>
      </c>
      <c r="E615" s="24" t="s">
        <v>49</v>
      </c>
      <c r="F615" s="32">
        <v>1</v>
      </c>
      <c r="G615" s="29">
        <v>10</v>
      </c>
      <c r="H615" s="29">
        <v>10</v>
      </c>
      <c r="I615" s="23"/>
      <c r="J615" s="24"/>
      <c r="K615" s="37"/>
    </row>
    <row r="616" spans="1:11">
      <c r="A616" s="36"/>
      <c r="B616" s="25" t="s">
        <v>637</v>
      </c>
      <c r="C616" s="35"/>
      <c r="D616" s="24"/>
      <c r="E616" s="24"/>
      <c r="F616" s="33">
        <f>SUM(F601:F615)</f>
        <v>23</v>
      </c>
      <c r="G616" s="33"/>
      <c r="H616" s="30">
        <f>SUM(H601:H615)</f>
        <v>1367</v>
      </c>
      <c r="I616" s="26"/>
      <c r="J616" s="25"/>
      <c r="K616" s="39"/>
    </row>
    <row r="617" spans="1:11">
      <c r="A617" s="12"/>
      <c r="B617" s="2"/>
      <c r="C617" s="59"/>
      <c r="D617" s="2"/>
      <c r="E617" s="2"/>
      <c r="F617" s="2"/>
      <c r="G617" s="10"/>
      <c r="H617" s="10"/>
      <c r="I617" s="2"/>
      <c r="J617" s="2"/>
      <c r="K617" s="2"/>
    </row>
    <row r="618" spans="1:11" s="3" customFormat="1">
      <c r="A618" s="21"/>
      <c r="B618" s="7" t="s">
        <v>515</v>
      </c>
      <c r="C618" s="58"/>
      <c r="D618" s="7"/>
      <c r="E618" s="7"/>
      <c r="F618" s="7">
        <f>F616+F598+F575+F546+F530</f>
        <v>200</v>
      </c>
      <c r="G618" s="7"/>
      <c r="H618" s="9">
        <f t="shared" ref="H618" si="66">H616+H598+H575+H546+H530</f>
        <v>25908</v>
      </c>
      <c r="I618" s="7"/>
      <c r="J618" s="7"/>
      <c r="K618" s="7"/>
    </row>
    <row r="619" spans="1:11">
      <c r="A619" s="12"/>
      <c r="B619" s="2"/>
      <c r="C619" s="59"/>
      <c r="D619" s="2"/>
      <c r="E619" s="2"/>
      <c r="F619" s="2"/>
      <c r="G619" s="10"/>
      <c r="H619" s="10"/>
      <c r="I619" s="2"/>
      <c r="J619" s="2"/>
      <c r="K619" s="2"/>
    </row>
    <row r="620" spans="1:11">
      <c r="A620" s="12"/>
      <c r="B620" s="2"/>
      <c r="C620" s="59"/>
      <c r="D620" s="2"/>
      <c r="E620" s="2"/>
      <c r="F620" s="2"/>
      <c r="G620" s="10"/>
      <c r="H620" s="10"/>
      <c r="I620" s="2"/>
      <c r="J620" s="2"/>
      <c r="K620" s="2"/>
    </row>
    <row r="621" spans="1:11" s="3" customFormat="1">
      <c r="A621" s="21"/>
      <c r="B621" s="7" t="s">
        <v>516</v>
      </c>
      <c r="C621" s="58"/>
      <c r="D621" s="7"/>
      <c r="E621" s="7"/>
      <c r="F621" s="7">
        <f>F618+F521+F480+F469+F400+F391+F352+F317+F251+F204+F54</f>
        <v>2212</v>
      </c>
      <c r="G621" s="7"/>
      <c r="H621" s="9">
        <f t="shared" ref="H621" si="67">H618+H521+H480+H469+H400+H391+H352+H317+H251+H204+H54</f>
        <v>110163.50386666667</v>
      </c>
      <c r="I621" s="7"/>
      <c r="J621" s="7"/>
      <c r="K621" s="7"/>
    </row>
    <row r="622" spans="1:11">
      <c r="A622" s="12"/>
      <c r="B622" s="2"/>
      <c r="C622" s="59"/>
      <c r="D622" s="2"/>
      <c r="E622" s="2"/>
      <c r="F622" s="2"/>
      <c r="G622" s="10"/>
      <c r="H622" s="10"/>
      <c r="I622" s="2"/>
      <c r="J622" s="2"/>
      <c r="K622" s="2"/>
    </row>
    <row r="623" spans="1:11" s="3" customFormat="1">
      <c r="A623" s="21" t="s">
        <v>427</v>
      </c>
      <c r="B623" s="7" t="s">
        <v>428</v>
      </c>
      <c r="C623" s="58"/>
      <c r="D623" s="7"/>
      <c r="E623" s="7"/>
      <c r="F623" s="7"/>
      <c r="G623" s="9"/>
      <c r="H623" s="9"/>
      <c r="I623" s="7"/>
      <c r="J623" s="7"/>
      <c r="K623" s="7"/>
    </row>
    <row r="624" spans="1:11" s="3" customFormat="1">
      <c r="A624" s="21" t="s">
        <v>243</v>
      </c>
      <c r="B624" s="7" t="str">
        <f>投资估算表!C62</f>
        <v>备班楼</v>
      </c>
      <c r="C624" s="58"/>
      <c r="D624" s="7"/>
      <c r="E624" s="7"/>
      <c r="F624" s="7"/>
      <c r="G624" s="9"/>
      <c r="H624" s="9"/>
      <c r="I624" s="7"/>
      <c r="J624" s="7"/>
      <c r="K624" s="7"/>
    </row>
    <row r="625" spans="1:11">
      <c r="A625" s="12">
        <v>1</v>
      </c>
      <c r="B625" s="2" t="s">
        <v>111</v>
      </c>
      <c r="C625" s="59"/>
      <c r="D625" s="2" t="s">
        <v>208</v>
      </c>
      <c r="E625" s="2" t="s">
        <v>211</v>
      </c>
      <c r="F625" s="2">
        <v>2</v>
      </c>
      <c r="G625" s="10">
        <v>12</v>
      </c>
      <c r="H625" s="10">
        <f t="shared" ref="H625:H699" si="68">F625*G625</f>
        <v>24</v>
      </c>
      <c r="I625" s="2"/>
      <c r="J625" s="2"/>
      <c r="K625" s="2"/>
    </row>
    <row r="626" spans="1:11">
      <c r="A626" s="12"/>
      <c r="B626" s="2"/>
      <c r="C626" s="59"/>
      <c r="D626" s="2"/>
      <c r="E626" s="2"/>
      <c r="F626" s="2"/>
      <c r="G626" s="10"/>
      <c r="H626" s="10"/>
      <c r="I626" s="2"/>
      <c r="J626" s="2"/>
      <c r="K626" s="2"/>
    </row>
    <row r="627" spans="1:11" s="3" customFormat="1">
      <c r="A627" s="21"/>
      <c r="B627" s="7" t="s">
        <v>515</v>
      </c>
      <c r="C627" s="58"/>
      <c r="D627" s="7"/>
      <c r="E627" s="7"/>
      <c r="F627" s="7">
        <f>SUM(F625:F626)</f>
        <v>2</v>
      </c>
      <c r="G627" s="9"/>
      <c r="H627" s="9">
        <f t="shared" ref="H627" si="69">SUM(H625:H626)</f>
        <v>24</v>
      </c>
      <c r="I627" s="7"/>
      <c r="J627" s="7"/>
      <c r="K627" s="7"/>
    </row>
    <row r="628" spans="1:11">
      <c r="A628" s="12"/>
      <c r="B628" s="2"/>
      <c r="C628" s="59"/>
      <c r="D628" s="2"/>
      <c r="E628" s="2"/>
      <c r="F628" s="2"/>
      <c r="G628" s="10"/>
      <c r="H628" s="10"/>
      <c r="I628" s="2"/>
      <c r="J628" s="2"/>
      <c r="K628" s="2"/>
    </row>
    <row r="629" spans="1:11" s="3" customFormat="1">
      <c r="A629" s="21" t="s">
        <v>395</v>
      </c>
      <c r="B629" s="7" t="str">
        <f>投资估算表!C63</f>
        <v>核应急中心</v>
      </c>
      <c r="C629" s="58"/>
      <c r="D629" s="7"/>
      <c r="E629" s="7"/>
      <c r="F629" s="7"/>
      <c r="G629" s="9"/>
      <c r="H629" s="9"/>
      <c r="I629" s="7"/>
      <c r="J629" s="7"/>
      <c r="K629" s="7"/>
    </row>
    <row r="630" spans="1:11">
      <c r="A630" s="12">
        <v>1</v>
      </c>
      <c r="B630" s="2" t="s">
        <v>112</v>
      </c>
      <c r="C630" s="59"/>
      <c r="D630" s="2" t="s">
        <v>208</v>
      </c>
      <c r="E630" s="2" t="s">
        <v>70</v>
      </c>
      <c r="F630" s="2">
        <v>1</v>
      </c>
      <c r="G630" s="10">
        <v>200</v>
      </c>
      <c r="H630" s="10">
        <f t="shared" si="68"/>
        <v>200</v>
      </c>
      <c r="I630" s="2"/>
      <c r="J630" s="2"/>
      <c r="K630" s="2"/>
    </row>
    <row r="631" spans="1:11">
      <c r="A631" s="12">
        <v>2</v>
      </c>
      <c r="B631" s="2" t="s">
        <v>113</v>
      </c>
      <c r="C631" s="59"/>
      <c r="D631" s="2" t="s">
        <v>208</v>
      </c>
      <c r="E631" s="2" t="s">
        <v>70</v>
      </c>
      <c r="F631" s="2">
        <v>1</v>
      </c>
      <c r="G631" s="10">
        <v>2000</v>
      </c>
      <c r="H631" s="10">
        <f t="shared" si="68"/>
        <v>2000</v>
      </c>
      <c r="I631" s="2"/>
      <c r="J631" s="2"/>
      <c r="K631" s="2"/>
    </row>
    <row r="632" spans="1:11">
      <c r="A632" s="12">
        <v>3</v>
      </c>
      <c r="B632" s="2" t="s">
        <v>114</v>
      </c>
      <c r="C632" s="59"/>
      <c r="D632" s="2" t="s">
        <v>208</v>
      </c>
      <c r="E632" s="2" t="s">
        <v>70</v>
      </c>
      <c r="F632" s="2">
        <v>40</v>
      </c>
      <c r="G632" s="10">
        <v>80</v>
      </c>
      <c r="H632" s="10">
        <f t="shared" si="68"/>
        <v>3200</v>
      </c>
      <c r="I632" s="2"/>
      <c r="J632" s="2"/>
      <c r="K632" s="2"/>
    </row>
    <row r="633" spans="1:11">
      <c r="A633" s="12">
        <v>4</v>
      </c>
      <c r="B633" s="2" t="s">
        <v>115</v>
      </c>
      <c r="C633" s="59"/>
      <c r="D633" s="2" t="s">
        <v>208</v>
      </c>
      <c r="E633" s="2" t="s">
        <v>211</v>
      </c>
      <c r="F633" s="2">
        <v>5</v>
      </c>
      <c r="G633" s="10">
        <v>150</v>
      </c>
      <c r="H633" s="10">
        <f t="shared" si="68"/>
        <v>750</v>
      </c>
      <c r="I633" s="2"/>
      <c r="J633" s="2"/>
      <c r="K633" s="2"/>
    </row>
    <row r="634" spans="1:11">
      <c r="A634" s="12">
        <v>5</v>
      </c>
      <c r="B634" s="2" t="s">
        <v>116</v>
      </c>
      <c r="C634" s="59"/>
      <c r="D634" s="2" t="s">
        <v>208</v>
      </c>
      <c r="E634" s="2" t="s">
        <v>211</v>
      </c>
      <c r="F634" s="2">
        <v>3</v>
      </c>
      <c r="G634" s="10">
        <v>60</v>
      </c>
      <c r="H634" s="10">
        <f t="shared" si="68"/>
        <v>180</v>
      </c>
      <c r="I634" s="2"/>
      <c r="J634" s="2"/>
      <c r="K634" s="2"/>
    </row>
    <row r="635" spans="1:11">
      <c r="A635" s="12"/>
      <c r="B635" s="2"/>
      <c r="C635" s="59"/>
      <c r="D635" s="2"/>
      <c r="E635" s="2"/>
      <c r="F635" s="2"/>
      <c r="G635" s="10"/>
      <c r="H635" s="10"/>
      <c r="I635" s="2"/>
      <c r="J635" s="2"/>
      <c r="K635" s="2"/>
    </row>
    <row r="636" spans="1:11" s="3" customFormat="1">
      <c r="A636" s="21"/>
      <c r="B636" s="7" t="s">
        <v>515</v>
      </c>
      <c r="C636" s="58"/>
      <c r="D636" s="7"/>
      <c r="E636" s="7"/>
      <c r="F636" s="7">
        <f>SUM(F630:F635)</f>
        <v>50</v>
      </c>
      <c r="G636" s="9"/>
      <c r="H636" s="9">
        <f t="shared" ref="H636" si="70">SUM(H630:H635)</f>
        <v>6330</v>
      </c>
      <c r="I636" s="7"/>
      <c r="J636" s="7"/>
      <c r="K636" s="7"/>
    </row>
    <row r="637" spans="1:11">
      <c r="A637" s="12"/>
      <c r="B637" s="2"/>
      <c r="C637" s="59"/>
      <c r="D637" s="2"/>
      <c r="E637" s="2"/>
      <c r="F637" s="2"/>
      <c r="G637" s="10"/>
      <c r="H637" s="10"/>
      <c r="I637" s="2"/>
      <c r="J637" s="2"/>
      <c r="K637" s="2"/>
    </row>
    <row r="638" spans="1:11" s="3" customFormat="1">
      <c r="A638" s="21" t="s">
        <v>245</v>
      </c>
      <c r="B638" s="7" t="str">
        <f>投资估算表!C64</f>
        <v>反应堆预装车间</v>
      </c>
      <c r="C638" s="58"/>
      <c r="D638" s="7"/>
      <c r="E638" s="7"/>
      <c r="F638" s="7"/>
      <c r="G638" s="9"/>
      <c r="H638" s="9"/>
      <c r="I638" s="7"/>
      <c r="J638" s="7"/>
      <c r="K638" s="7"/>
    </row>
    <row r="639" spans="1:11">
      <c r="A639" s="12">
        <v>1</v>
      </c>
      <c r="B639" s="2" t="s">
        <v>569</v>
      </c>
      <c r="C639" s="59"/>
      <c r="D639" s="2" t="s">
        <v>173</v>
      </c>
      <c r="E639" s="2" t="s">
        <v>70</v>
      </c>
      <c r="F639" s="2">
        <v>1</v>
      </c>
      <c r="G639" s="10">
        <v>120</v>
      </c>
      <c r="H639" s="10">
        <f t="shared" ref="H639:H643" si="71">F639*G639</f>
        <v>120</v>
      </c>
      <c r="I639" s="2"/>
      <c r="J639" s="2"/>
      <c r="K639" s="2"/>
    </row>
    <row r="640" spans="1:11">
      <c r="A640" s="12">
        <v>2</v>
      </c>
      <c r="B640" s="2" t="s">
        <v>570</v>
      </c>
      <c r="C640" s="59"/>
      <c r="D640" s="2" t="s">
        <v>173</v>
      </c>
      <c r="E640" s="2" t="s">
        <v>70</v>
      </c>
      <c r="F640" s="2">
        <v>1</v>
      </c>
      <c r="G640" s="10">
        <v>50</v>
      </c>
      <c r="H640" s="10">
        <f t="shared" si="71"/>
        <v>50</v>
      </c>
      <c r="I640" s="2"/>
      <c r="J640" s="2"/>
      <c r="K640" s="2"/>
    </row>
    <row r="641" spans="1:11">
      <c r="A641" s="12">
        <v>3</v>
      </c>
      <c r="B641" s="2" t="s">
        <v>571</v>
      </c>
      <c r="C641" s="59"/>
      <c r="D641" s="2" t="s">
        <v>173</v>
      </c>
      <c r="E641" s="2" t="s">
        <v>70</v>
      </c>
      <c r="F641" s="2">
        <v>1</v>
      </c>
      <c r="G641" s="10">
        <v>80</v>
      </c>
      <c r="H641" s="10">
        <f t="shared" si="71"/>
        <v>80</v>
      </c>
      <c r="I641" s="2"/>
      <c r="J641" s="2"/>
      <c r="K641" s="2"/>
    </row>
    <row r="642" spans="1:11">
      <c r="A642" s="12">
        <v>4</v>
      </c>
      <c r="B642" s="2" t="s">
        <v>572</v>
      </c>
      <c r="C642" s="59"/>
      <c r="D642" s="2" t="s">
        <v>173</v>
      </c>
      <c r="E642" s="2" t="s">
        <v>211</v>
      </c>
      <c r="F642" s="2">
        <v>1</v>
      </c>
      <c r="G642" s="10">
        <v>150</v>
      </c>
      <c r="H642" s="10">
        <f t="shared" si="71"/>
        <v>150</v>
      </c>
      <c r="I642" s="2"/>
      <c r="J642" s="2"/>
      <c r="K642" s="2"/>
    </row>
    <row r="643" spans="1:11">
      <c r="A643" s="12">
        <v>5</v>
      </c>
      <c r="B643" s="2" t="s">
        <v>573</v>
      </c>
      <c r="C643" s="59" t="s">
        <v>574</v>
      </c>
      <c r="D643" s="2" t="s">
        <v>173</v>
      </c>
      <c r="E643" s="2" t="s">
        <v>211</v>
      </c>
      <c r="F643" s="2">
        <v>2</v>
      </c>
      <c r="G643" s="10">
        <v>200</v>
      </c>
      <c r="H643" s="10">
        <f t="shared" si="71"/>
        <v>400</v>
      </c>
      <c r="I643" s="2"/>
      <c r="J643" s="2"/>
      <c r="K643" s="2"/>
    </row>
    <row r="644" spans="1:11">
      <c r="A644" s="12"/>
      <c r="B644" s="2"/>
      <c r="C644" s="59"/>
      <c r="D644" s="2"/>
      <c r="E644" s="2"/>
      <c r="F644" s="2"/>
      <c r="G644" s="10"/>
      <c r="H644" s="10"/>
      <c r="I644" s="2"/>
      <c r="J644" s="2"/>
      <c r="K644" s="2"/>
    </row>
    <row r="645" spans="1:11" s="3" customFormat="1">
      <c r="A645" s="21"/>
      <c r="B645" s="7" t="s">
        <v>515</v>
      </c>
      <c r="C645" s="58"/>
      <c r="D645" s="7"/>
      <c r="E645" s="7"/>
      <c r="F645" s="7">
        <f>SUM(F639:F644)</f>
        <v>6</v>
      </c>
      <c r="G645" s="9"/>
      <c r="H645" s="9">
        <f>SUM(H639:H644)</f>
        <v>800</v>
      </c>
      <c r="I645" s="7"/>
      <c r="J645" s="7"/>
      <c r="K645" s="7"/>
    </row>
    <row r="646" spans="1:11">
      <c r="A646" s="12"/>
      <c r="B646" s="2"/>
      <c r="C646" s="59"/>
      <c r="D646" s="2"/>
      <c r="E646" s="2"/>
      <c r="F646" s="2"/>
      <c r="G646" s="10"/>
      <c r="H646" s="10"/>
      <c r="I646" s="2"/>
      <c r="J646" s="2"/>
      <c r="K646" s="2"/>
    </row>
    <row r="647" spans="1:11" s="3" customFormat="1">
      <c r="A647" s="21" t="s">
        <v>246</v>
      </c>
      <c r="B647" s="7" t="str">
        <f>投资估算表!C65</f>
        <v>核燃料库</v>
      </c>
      <c r="C647" s="58"/>
      <c r="D647" s="7"/>
      <c r="E647" s="7"/>
      <c r="F647" s="7"/>
      <c r="G647" s="9"/>
      <c r="H647" s="9"/>
      <c r="I647" s="7"/>
      <c r="J647" s="7"/>
      <c r="K647" s="7"/>
    </row>
    <row r="648" spans="1:11">
      <c r="A648" s="12">
        <v>1</v>
      </c>
      <c r="B648" s="2" t="s">
        <v>576</v>
      </c>
      <c r="C648" s="59"/>
      <c r="D648" s="2" t="s">
        <v>173</v>
      </c>
      <c r="E648" s="2" t="s">
        <v>70</v>
      </c>
      <c r="F648" s="2">
        <v>1</v>
      </c>
      <c r="G648" s="10">
        <v>20</v>
      </c>
      <c r="H648" s="10">
        <f t="shared" ref="H648:H651" si="72">F648*G648</f>
        <v>20</v>
      </c>
      <c r="I648" s="2"/>
      <c r="J648" s="2"/>
      <c r="K648" s="2"/>
    </row>
    <row r="649" spans="1:11">
      <c r="A649" s="12">
        <v>2</v>
      </c>
      <c r="B649" s="2" t="s">
        <v>577</v>
      </c>
      <c r="C649" s="59"/>
      <c r="D649" s="2" t="s">
        <v>173</v>
      </c>
      <c r="E649" s="2" t="s">
        <v>70</v>
      </c>
      <c r="F649" s="2">
        <v>1</v>
      </c>
      <c r="G649" s="10">
        <v>50</v>
      </c>
      <c r="H649" s="10">
        <f t="shared" si="72"/>
        <v>50</v>
      </c>
      <c r="I649" s="2"/>
      <c r="J649" s="2"/>
      <c r="K649" s="2"/>
    </row>
    <row r="650" spans="1:11">
      <c r="A650" s="12">
        <v>3</v>
      </c>
      <c r="B650" s="2" t="s">
        <v>578</v>
      </c>
      <c r="C650" s="59"/>
      <c r="D650" s="2" t="s">
        <v>173</v>
      </c>
      <c r="E650" s="2" t="s">
        <v>70</v>
      </c>
      <c r="F650" s="2">
        <v>1</v>
      </c>
      <c r="G650" s="10">
        <v>80</v>
      </c>
      <c r="H650" s="10">
        <f t="shared" si="72"/>
        <v>80</v>
      </c>
      <c r="I650" s="2"/>
      <c r="J650" s="2"/>
      <c r="K650" s="2"/>
    </row>
    <row r="651" spans="1:11">
      <c r="A651" s="12">
        <v>5</v>
      </c>
      <c r="B651" s="2" t="s">
        <v>573</v>
      </c>
      <c r="C651" s="59" t="s">
        <v>579</v>
      </c>
      <c r="D651" s="2" t="s">
        <v>173</v>
      </c>
      <c r="E651" s="2" t="s">
        <v>211</v>
      </c>
      <c r="F651" s="2">
        <v>1</v>
      </c>
      <c r="G651" s="10">
        <v>30</v>
      </c>
      <c r="H651" s="10">
        <f t="shared" si="72"/>
        <v>30</v>
      </c>
      <c r="I651" s="2"/>
      <c r="J651" s="2"/>
      <c r="K651" s="2"/>
    </row>
    <row r="652" spans="1:11">
      <c r="A652" s="12"/>
      <c r="B652" s="2"/>
      <c r="C652" s="59"/>
      <c r="D652" s="2"/>
      <c r="E652" s="2"/>
      <c r="F652" s="2"/>
      <c r="G652" s="10"/>
      <c r="H652" s="10"/>
      <c r="I652" s="2"/>
      <c r="J652" s="2"/>
      <c r="K652" s="2"/>
    </row>
    <row r="653" spans="1:11" s="3" customFormat="1">
      <c r="A653" s="21"/>
      <c r="B653" s="7" t="s">
        <v>515</v>
      </c>
      <c r="C653" s="58"/>
      <c r="D653" s="7"/>
      <c r="E653" s="7"/>
      <c r="F653" s="7">
        <f>SUM(F648:F652)</f>
        <v>4</v>
      </c>
      <c r="G653" s="9"/>
      <c r="H653" s="9">
        <f>SUM(H648:H652)</f>
        <v>180</v>
      </c>
      <c r="I653" s="7"/>
      <c r="J653" s="7"/>
      <c r="K653" s="7"/>
    </row>
    <row r="654" spans="1:11">
      <c r="A654" s="12"/>
      <c r="B654" s="2"/>
      <c r="C654" s="59"/>
      <c r="D654" s="2"/>
      <c r="E654" s="2"/>
      <c r="F654" s="2"/>
      <c r="G654" s="10"/>
      <c r="H654" s="10"/>
      <c r="I654" s="2"/>
      <c r="J654" s="2"/>
      <c r="K654" s="2"/>
    </row>
    <row r="655" spans="1:11" s="3" customFormat="1">
      <c r="A655" s="21" t="s">
        <v>412</v>
      </c>
      <c r="B655" s="7" t="str">
        <f>投资估算表!C66</f>
        <v>核废弃物处置库</v>
      </c>
      <c r="C655" s="58"/>
      <c r="D655" s="7"/>
      <c r="E655" s="7"/>
      <c r="F655" s="7"/>
      <c r="G655" s="9"/>
      <c r="H655" s="9"/>
      <c r="I655" s="7"/>
      <c r="J655" s="7"/>
      <c r="K655" s="7"/>
    </row>
    <row r="656" spans="1:11">
      <c r="A656" s="12" t="s">
        <v>365</v>
      </c>
      <c r="B656" s="2" t="s">
        <v>573</v>
      </c>
      <c r="C656" s="59" t="s">
        <v>580</v>
      </c>
      <c r="D656" s="2" t="s">
        <v>173</v>
      </c>
      <c r="E656" s="2" t="s">
        <v>211</v>
      </c>
      <c r="F656" s="2">
        <v>1</v>
      </c>
      <c r="G656" s="10">
        <v>50</v>
      </c>
      <c r="H656" s="10">
        <f t="shared" ref="H656" si="73">F656*G656</f>
        <v>50</v>
      </c>
      <c r="I656" s="2"/>
      <c r="J656" s="2"/>
      <c r="K656" s="2"/>
    </row>
    <row r="657" spans="1:11">
      <c r="A657" s="12"/>
      <c r="B657" s="2"/>
      <c r="C657" s="59"/>
      <c r="D657" s="2"/>
      <c r="E657" s="2"/>
      <c r="F657" s="2"/>
      <c r="G657" s="10"/>
      <c r="H657" s="10"/>
      <c r="I657" s="2"/>
      <c r="J657" s="2"/>
      <c r="K657" s="2"/>
    </row>
    <row r="658" spans="1:11" s="3" customFormat="1">
      <c r="A658" s="21"/>
      <c r="B658" s="7" t="s">
        <v>515</v>
      </c>
      <c r="C658" s="58"/>
      <c r="D658" s="7"/>
      <c r="E658" s="7"/>
      <c r="F658" s="7">
        <f>SUM(F656:F657)</f>
        <v>1</v>
      </c>
      <c r="G658" s="9"/>
      <c r="H658" s="9">
        <f t="shared" ref="H658" si="74">SUM(H656:H657)</f>
        <v>50</v>
      </c>
      <c r="I658" s="7"/>
      <c r="J658" s="7"/>
      <c r="K658" s="7"/>
    </row>
    <row r="659" spans="1:11">
      <c r="A659" s="12"/>
      <c r="B659" s="2"/>
      <c r="C659" s="59"/>
      <c r="D659" s="2"/>
      <c r="E659" s="2"/>
      <c r="F659" s="2"/>
      <c r="G659" s="10"/>
      <c r="H659" s="10"/>
      <c r="I659" s="2"/>
      <c r="J659" s="2"/>
      <c r="K659" s="2"/>
    </row>
    <row r="660" spans="1:11" s="3" customFormat="1">
      <c r="A660" s="21" t="s">
        <v>430</v>
      </c>
      <c r="B660" s="7" t="s">
        <v>429</v>
      </c>
      <c r="C660" s="58"/>
      <c r="D660" s="7"/>
      <c r="E660" s="7"/>
      <c r="F660" s="7"/>
      <c r="G660" s="9"/>
      <c r="H660" s="9"/>
      <c r="I660" s="7"/>
      <c r="J660" s="7"/>
      <c r="K660" s="7"/>
    </row>
    <row r="661" spans="1:11">
      <c r="A661" s="12"/>
      <c r="B661" s="2"/>
      <c r="C661" s="59"/>
      <c r="D661" s="2"/>
      <c r="E661" s="2"/>
      <c r="F661" s="2"/>
      <c r="G661" s="10"/>
      <c r="H661" s="10"/>
      <c r="I661" s="2"/>
      <c r="J661" s="2"/>
      <c r="K661" s="2"/>
    </row>
    <row r="662" spans="1:11" s="3" customFormat="1">
      <c r="A662" s="21" t="s">
        <v>1045</v>
      </c>
      <c r="B662" s="7" t="str">
        <f>投资估算表!C68</f>
        <v>信息化工程</v>
      </c>
      <c r="C662" s="58"/>
      <c r="D662" s="7"/>
      <c r="E662" s="7"/>
      <c r="F662" s="7"/>
      <c r="G662" s="9"/>
      <c r="H662" s="9"/>
      <c r="I662" s="7"/>
      <c r="J662" s="7"/>
      <c r="K662" s="7"/>
    </row>
    <row r="663" spans="1:11">
      <c r="A663" s="12">
        <v>1</v>
      </c>
      <c r="B663" s="2" t="s">
        <v>220</v>
      </c>
      <c r="C663" s="59"/>
      <c r="D663" s="2"/>
      <c r="E663" s="2"/>
      <c r="F663" s="2"/>
      <c r="G663" s="10"/>
      <c r="H663" s="10"/>
      <c r="I663" s="2"/>
      <c r="J663" s="2"/>
      <c r="K663" s="2"/>
    </row>
    <row r="664" spans="1:11" ht="27">
      <c r="A664" s="12">
        <v>1.1000000000000001</v>
      </c>
      <c r="B664" s="2" t="s">
        <v>470</v>
      </c>
      <c r="C664" s="59" t="s">
        <v>117</v>
      </c>
      <c r="D664" s="2" t="s">
        <v>208</v>
      </c>
      <c r="E664" s="2" t="s">
        <v>49</v>
      </c>
      <c r="F664" s="2">
        <v>2</v>
      </c>
      <c r="G664" s="10">
        <v>50</v>
      </c>
      <c r="H664" s="10">
        <f t="shared" si="68"/>
        <v>100</v>
      </c>
      <c r="I664" s="2"/>
      <c r="J664" s="2"/>
      <c r="K664" s="2"/>
    </row>
    <row r="665" spans="1:11" ht="27">
      <c r="A665" s="12">
        <v>1.2</v>
      </c>
      <c r="B665" s="2" t="s">
        <v>471</v>
      </c>
      <c r="C665" s="59" t="s">
        <v>118</v>
      </c>
      <c r="D665" s="2" t="s">
        <v>208</v>
      </c>
      <c r="E665" s="2" t="s">
        <v>49</v>
      </c>
      <c r="F665" s="2">
        <v>6</v>
      </c>
      <c r="G665" s="10">
        <v>6</v>
      </c>
      <c r="H665" s="10">
        <f t="shared" si="68"/>
        <v>36</v>
      </c>
      <c r="I665" s="2"/>
      <c r="J665" s="2"/>
      <c r="K665" s="2"/>
    </row>
    <row r="666" spans="1:11" ht="27">
      <c r="A666" s="12">
        <v>1.3</v>
      </c>
      <c r="B666" s="2" t="s">
        <v>472</v>
      </c>
      <c r="C666" s="59" t="s">
        <v>221</v>
      </c>
      <c r="D666" s="2" t="s">
        <v>208</v>
      </c>
      <c r="E666" s="2" t="s">
        <v>49</v>
      </c>
      <c r="F666" s="2">
        <v>21</v>
      </c>
      <c r="G666" s="10">
        <v>5</v>
      </c>
      <c r="H666" s="10">
        <f t="shared" si="68"/>
        <v>105</v>
      </c>
      <c r="I666" s="2"/>
      <c r="J666" s="2"/>
      <c r="K666" s="2"/>
    </row>
    <row r="667" spans="1:11" ht="27">
      <c r="A667" s="12">
        <v>1.4</v>
      </c>
      <c r="B667" s="2" t="s">
        <v>472</v>
      </c>
      <c r="C667" s="59" t="s">
        <v>119</v>
      </c>
      <c r="D667" s="2" t="s">
        <v>208</v>
      </c>
      <c r="E667" s="2" t="s">
        <v>49</v>
      </c>
      <c r="F667" s="2">
        <v>1</v>
      </c>
      <c r="G667" s="10">
        <v>2</v>
      </c>
      <c r="H667" s="10">
        <f t="shared" si="68"/>
        <v>2</v>
      </c>
      <c r="I667" s="2"/>
      <c r="J667" s="2"/>
      <c r="K667" s="2"/>
    </row>
    <row r="668" spans="1:11" ht="27">
      <c r="A668" s="12">
        <v>1.5</v>
      </c>
      <c r="B668" s="2" t="s">
        <v>472</v>
      </c>
      <c r="C668" s="59" t="s">
        <v>120</v>
      </c>
      <c r="D668" s="2" t="s">
        <v>208</v>
      </c>
      <c r="E668" s="2" t="s">
        <v>49</v>
      </c>
      <c r="F668" s="2">
        <v>14</v>
      </c>
      <c r="G668" s="10">
        <v>1.3</v>
      </c>
      <c r="H668" s="10">
        <f t="shared" si="68"/>
        <v>18.2</v>
      </c>
      <c r="I668" s="2"/>
      <c r="J668" s="2"/>
      <c r="K668" s="2"/>
    </row>
    <row r="669" spans="1:11" ht="27">
      <c r="A669" s="12">
        <v>1.6</v>
      </c>
      <c r="B669" s="2" t="s">
        <v>473</v>
      </c>
      <c r="C669" s="59" t="s">
        <v>121</v>
      </c>
      <c r="D669" s="2" t="s">
        <v>222</v>
      </c>
      <c r="E669" s="2" t="s">
        <v>49</v>
      </c>
      <c r="F669" s="2">
        <v>6</v>
      </c>
      <c r="G669" s="10">
        <v>40</v>
      </c>
      <c r="H669" s="10">
        <f t="shared" si="68"/>
        <v>240</v>
      </c>
      <c r="I669" s="2"/>
      <c r="J669" s="2"/>
      <c r="K669" s="2"/>
    </row>
    <row r="670" spans="1:11">
      <c r="A670" s="12">
        <v>1.7</v>
      </c>
      <c r="B670" s="2" t="s">
        <v>474</v>
      </c>
      <c r="C670" s="59" t="s">
        <v>122</v>
      </c>
      <c r="D670" s="2" t="s">
        <v>222</v>
      </c>
      <c r="E670" s="2" t="s">
        <v>70</v>
      </c>
      <c r="F670" s="2">
        <v>1</v>
      </c>
      <c r="G670" s="10">
        <v>120</v>
      </c>
      <c r="H670" s="10">
        <f t="shared" si="68"/>
        <v>120</v>
      </c>
      <c r="I670" s="2"/>
      <c r="J670" s="2" t="s">
        <v>223</v>
      </c>
      <c r="K670" s="2"/>
    </row>
    <row r="671" spans="1:11">
      <c r="A671" s="12">
        <v>1.8</v>
      </c>
      <c r="B671" s="2" t="s">
        <v>475</v>
      </c>
      <c r="C671" s="59"/>
      <c r="D671" s="2"/>
      <c r="E671" s="2"/>
      <c r="F671" s="2"/>
      <c r="G671" s="10"/>
      <c r="H671" s="10"/>
      <c r="I671" s="2"/>
      <c r="J671" s="2" t="s">
        <v>224</v>
      </c>
      <c r="K671" s="2" t="s">
        <v>225</v>
      </c>
    </row>
    <row r="672" spans="1:11" ht="27">
      <c r="A672" s="12" t="s">
        <v>226</v>
      </c>
      <c r="B672" s="2" t="s">
        <v>476</v>
      </c>
      <c r="C672" s="59" t="s">
        <v>123</v>
      </c>
      <c r="D672" s="2" t="s">
        <v>222</v>
      </c>
      <c r="E672" s="2" t="s">
        <v>70</v>
      </c>
      <c r="F672" s="2">
        <v>1</v>
      </c>
      <c r="G672" s="10">
        <v>15</v>
      </c>
      <c r="H672" s="10">
        <f t="shared" si="68"/>
        <v>15</v>
      </c>
      <c r="I672" s="2"/>
      <c r="J672" s="2"/>
      <c r="K672" s="2"/>
    </row>
    <row r="673" spans="1:11" ht="27">
      <c r="A673" s="12" t="s">
        <v>227</v>
      </c>
      <c r="B673" s="2" t="s">
        <v>477</v>
      </c>
      <c r="C673" s="59" t="s">
        <v>124</v>
      </c>
      <c r="D673" s="2" t="s">
        <v>222</v>
      </c>
      <c r="E673" s="2" t="s">
        <v>70</v>
      </c>
      <c r="F673" s="2">
        <v>1</v>
      </c>
      <c r="G673" s="10">
        <v>16</v>
      </c>
      <c r="H673" s="10">
        <f t="shared" si="68"/>
        <v>16</v>
      </c>
      <c r="I673" s="2"/>
      <c r="J673" s="2"/>
      <c r="K673" s="2"/>
    </row>
    <row r="674" spans="1:11">
      <c r="A674" s="12" t="s">
        <v>82</v>
      </c>
      <c r="B674" s="2" t="s">
        <v>478</v>
      </c>
      <c r="C674" s="59" t="s">
        <v>125</v>
      </c>
      <c r="D674" s="2" t="s">
        <v>222</v>
      </c>
      <c r="E674" s="2" t="s">
        <v>70</v>
      </c>
      <c r="F674" s="2">
        <v>1</v>
      </c>
      <c r="G674" s="10">
        <v>15</v>
      </c>
      <c r="H674" s="10">
        <f t="shared" si="68"/>
        <v>15</v>
      </c>
      <c r="I674" s="2"/>
      <c r="J674" s="2"/>
      <c r="K674" s="2"/>
    </row>
    <row r="675" spans="1:11" ht="40.5">
      <c r="A675" s="12" t="s">
        <v>78</v>
      </c>
      <c r="B675" s="2" t="s">
        <v>479</v>
      </c>
      <c r="C675" s="59" t="s">
        <v>126</v>
      </c>
      <c r="D675" s="2" t="s">
        <v>222</v>
      </c>
      <c r="E675" s="2" t="s">
        <v>70</v>
      </c>
      <c r="F675" s="2">
        <v>1</v>
      </c>
      <c r="G675" s="10">
        <v>18</v>
      </c>
      <c r="H675" s="10">
        <f t="shared" si="68"/>
        <v>18</v>
      </c>
      <c r="I675" s="2"/>
      <c r="J675" s="2"/>
      <c r="K675" s="2"/>
    </row>
    <row r="676" spans="1:11" ht="27">
      <c r="A676" s="12" t="s">
        <v>83</v>
      </c>
      <c r="B676" s="2" t="s">
        <v>480</v>
      </c>
      <c r="C676" s="59" t="s">
        <v>127</v>
      </c>
      <c r="D676" s="2" t="s">
        <v>222</v>
      </c>
      <c r="E676" s="2" t="s">
        <v>70</v>
      </c>
      <c r="F676" s="2">
        <v>1</v>
      </c>
      <c r="G676" s="10">
        <v>16</v>
      </c>
      <c r="H676" s="10">
        <f t="shared" si="68"/>
        <v>16</v>
      </c>
      <c r="I676" s="2"/>
      <c r="J676" s="2"/>
      <c r="K676" s="2"/>
    </row>
    <row r="677" spans="1:11" ht="27">
      <c r="A677" s="12" t="s">
        <v>79</v>
      </c>
      <c r="B677" s="2" t="s">
        <v>481</v>
      </c>
      <c r="C677" s="59" t="s">
        <v>228</v>
      </c>
      <c r="D677" s="2" t="s">
        <v>222</v>
      </c>
      <c r="E677" s="2" t="s">
        <v>49</v>
      </c>
      <c r="F677" s="2">
        <v>1</v>
      </c>
      <c r="G677" s="10">
        <v>20</v>
      </c>
      <c r="H677" s="10">
        <f t="shared" si="68"/>
        <v>20</v>
      </c>
      <c r="I677" s="2"/>
      <c r="J677" s="2"/>
      <c r="K677" s="2"/>
    </row>
    <row r="678" spans="1:11">
      <c r="A678" s="12" t="s">
        <v>84</v>
      </c>
      <c r="B678" s="2" t="s">
        <v>482</v>
      </c>
      <c r="C678" s="59" t="s">
        <v>229</v>
      </c>
      <c r="D678" s="2" t="s">
        <v>222</v>
      </c>
      <c r="E678" s="2" t="s">
        <v>49</v>
      </c>
      <c r="F678" s="2">
        <v>1</v>
      </c>
      <c r="G678" s="10">
        <v>10</v>
      </c>
      <c r="H678" s="10">
        <f t="shared" si="68"/>
        <v>10</v>
      </c>
      <c r="I678" s="2"/>
      <c r="J678" s="2"/>
      <c r="K678" s="2"/>
    </row>
    <row r="679" spans="1:11">
      <c r="A679" s="12">
        <v>1.9</v>
      </c>
      <c r="B679" s="2" t="s">
        <v>166</v>
      </c>
      <c r="C679" s="59" t="s">
        <v>128</v>
      </c>
      <c r="D679" s="2" t="s">
        <v>222</v>
      </c>
      <c r="E679" s="2" t="s">
        <v>70</v>
      </c>
      <c r="F679" s="2">
        <v>2</v>
      </c>
      <c r="G679" s="10">
        <v>38</v>
      </c>
      <c r="H679" s="10">
        <f t="shared" si="68"/>
        <v>76</v>
      </c>
      <c r="I679" s="2"/>
      <c r="J679" s="2"/>
      <c r="K679" s="2"/>
    </row>
    <row r="680" spans="1:11">
      <c r="A680" s="12" t="s">
        <v>230</v>
      </c>
      <c r="B680" s="2" t="s">
        <v>167</v>
      </c>
      <c r="C680" s="59" t="s">
        <v>1</v>
      </c>
      <c r="D680" s="2" t="s">
        <v>222</v>
      </c>
      <c r="E680" s="2" t="s">
        <v>70</v>
      </c>
      <c r="F680" s="2">
        <v>1</v>
      </c>
      <c r="G680" s="10">
        <v>100</v>
      </c>
      <c r="H680" s="10">
        <f t="shared" si="68"/>
        <v>100</v>
      </c>
      <c r="I680" s="2"/>
      <c r="J680" s="2" t="s">
        <v>223</v>
      </c>
      <c r="K680" s="2"/>
    </row>
    <row r="681" spans="1:11">
      <c r="A681" s="12">
        <v>1.1100000000000001</v>
      </c>
      <c r="B681" s="2" t="s">
        <v>168</v>
      </c>
      <c r="C681" s="59" t="s">
        <v>2</v>
      </c>
      <c r="D681" s="2" t="s">
        <v>222</v>
      </c>
      <c r="E681" s="2" t="s">
        <v>70</v>
      </c>
      <c r="F681" s="2">
        <v>6</v>
      </c>
      <c r="G681" s="10">
        <v>2</v>
      </c>
      <c r="H681" s="10">
        <f t="shared" si="68"/>
        <v>12</v>
      </c>
      <c r="I681" s="2"/>
      <c r="J681" s="2"/>
      <c r="K681" s="2"/>
    </row>
    <row r="682" spans="1:11">
      <c r="A682" s="12">
        <v>1.1200000000000001</v>
      </c>
      <c r="B682" s="2" t="s">
        <v>483</v>
      </c>
      <c r="C682" s="59" t="s">
        <v>129</v>
      </c>
      <c r="D682" s="2" t="s">
        <v>222</v>
      </c>
      <c r="E682" s="2" t="s">
        <v>70</v>
      </c>
      <c r="F682" s="2">
        <v>1</v>
      </c>
      <c r="G682" s="10">
        <v>10</v>
      </c>
      <c r="H682" s="10">
        <f t="shared" si="68"/>
        <v>10</v>
      </c>
      <c r="I682" s="2"/>
      <c r="J682" s="2"/>
      <c r="K682" s="2"/>
    </row>
    <row r="683" spans="1:11">
      <c r="A683" s="12">
        <v>1.1299999999999999</v>
      </c>
      <c r="B683" s="2" t="s">
        <v>484</v>
      </c>
      <c r="C683" s="59" t="s">
        <v>130</v>
      </c>
      <c r="D683" s="2" t="s">
        <v>222</v>
      </c>
      <c r="E683" s="2" t="s">
        <v>70</v>
      </c>
      <c r="F683" s="2">
        <v>1</v>
      </c>
      <c r="G683" s="10">
        <v>2</v>
      </c>
      <c r="H683" s="10">
        <f t="shared" si="68"/>
        <v>2</v>
      </c>
      <c r="I683" s="2"/>
      <c r="J683" s="2"/>
      <c r="K683" s="2"/>
    </row>
    <row r="684" spans="1:11">
      <c r="A684" s="12">
        <v>1.1399999999999999</v>
      </c>
      <c r="B684" s="2" t="s">
        <v>485</v>
      </c>
      <c r="C684" s="59"/>
      <c r="D684" s="2"/>
      <c r="E684" s="2"/>
      <c r="F684" s="2"/>
      <c r="G684" s="10"/>
      <c r="H684" s="10"/>
      <c r="I684" s="2"/>
      <c r="J684" s="2"/>
      <c r="K684" s="2"/>
    </row>
    <row r="685" spans="1:11" ht="27">
      <c r="A685" s="12" t="s">
        <v>231</v>
      </c>
      <c r="B685" s="2" t="s">
        <v>170</v>
      </c>
      <c r="C685" s="59" t="s">
        <v>131</v>
      </c>
      <c r="D685" s="2" t="s">
        <v>209</v>
      </c>
      <c r="E685" s="2" t="s">
        <v>49</v>
      </c>
      <c r="F685" s="2">
        <v>200</v>
      </c>
      <c r="G685" s="10">
        <v>0.5</v>
      </c>
      <c r="H685" s="10">
        <f t="shared" si="68"/>
        <v>100</v>
      </c>
      <c r="I685" s="2"/>
      <c r="J685" s="2" t="s">
        <v>232</v>
      </c>
      <c r="K685" s="2"/>
    </row>
    <row r="686" spans="1:11">
      <c r="A686" s="12" t="s">
        <v>233</v>
      </c>
      <c r="B686" s="2" t="s">
        <v>486</v>
      </c>
      <c r="C686" s="59" t="s">
        <v>132</v>
      </c>
      <c r="D686" s="2" t="s">
        <v>209</v>
      </c>
      <c r="E686" s="2" t="s">
        <v>49</v>
      </c>
      <c r="F686" s="2">
        <v>6</v>
      </c>
      <c r="G686" s="10">
        <v>1.4</v>
      </c>
      <c r="H686" s="10">
        <f t="shared" si="68"/>
        <v>8.3999999999999986</v>
      </c>
      <c r="I686" s="2"/>
      <c r="J686" s="2"/>
      <c r="K686" s="2"/>
    </row>
    <row r="687" spans="1:11">
      <c r="A687" s="12" t="s">
        <v>80</v>
      </c>
      <c r="B687" s="2" t="s">
        <v>487</v>
      </c>
      <c r="C687" s="59" t="s">
        <v>133</v>
      </c>
      <c r="D687" s="2" t="s">
        <v>209</v>
      </c>
      <c r="E687" s="2" t="s">
        <v>49</v>
      </c>
      <c r="F687" s="2">
        <v>20</v>
      </c>
      <c r="G687" s="10">
        <v>0.4</v>
      </c>
      <c r="H687" s="10">
        <f t="shared" si="68"/>
        <v>8</v>
      </c>
      <c r="I687" s="2"/>
      <c r="J687" s="2"/>
      <c r="K687" s="2"/>
    </row>
    <row r="688" spans="1:11">
      <c r="A688" s="12" t="s">
        <v>81</v>
      </c>
      <c r="B688" s="2" t="s">
        <v>488</v>
      </c>
      <c r="C688" s="59" t="s">
        <v>134</v>
      </c>
      <c r="D688" s="2" t="s">
        <v>209</v>
      </c>
      <c r="E688" s="2" t="s">
        <v>49</v>
      </c>
      <c r="F688" s="2">
        <v>10</v>
      </c>
      <c r="G688" s="10">
        <v>0.4</v>
      </c>
      <c r="H688" s="10">
        <f t="shared" si="68"/>
        <v>4</v>
      </c>
      <c r="I688" s="2"/>
      <c r="J688" s="2"/>
      <c r="K688" s="2"/>
    </row>
    <row r="689" spans="1:11" ht="27">
      <c r="A689" s="12">
        <v>1.1499999999999999</v>
      </c>
      <c r="B689" s="2" t="s">
        <v>489</v>
      </c>
      <c r="C689" s="59" t="s">
        <v>135</v>
      </c>
      <c r="D689" s="2" t="s">
        <v>209</v>
      </c>
      <c r="E689" s="2" t="s">
        <v>70</v>
      </c>
      <c r="F689" s="2">
        <v>1</v>
      </c>
      <c r="G689" s="10">
        <v>25</v>
      </c>
      <c r="H689" s="10">
        <f t="shared" si="68"/>
        <v>25</v>
      </c>
      <c r="I689" s="2"/>
      <c r="J689" s="2"/>
      <c r="K689" s="2"/>
    </row>
    <row r="690" spans="1:11" ht="67.5">
      <c r="A690" s="12">
        <v>1.1599999999999999</v>
      </c>
      <c r="B690" s="2" t="s">
        <v>490</v>
      </c>
      <c r="C690" s="59" t="s">
        <v>136</v>
      </c>
      <c r="D690" s="2" t="s">
        <v>209</v>
      </c>
      <c r="E690" s="2" t="s">
        <v>70</v>
      </c>
      <c r="F690" s="2">
        <v>1</v>
      </c>
      <c r="G690" s="10">
        <v>360</v>
      </c>
      <c r="H690" s="10">
        <f t="shared" si="68"/>
        <v>360</v>
      </c>
      <c r="I690" s="2"/>
      <c r="J690" s="2" t="s">
        <v>232</v>
      </c>
      <c r="K690" s="2"/>
    </row>
    <row r="691" spans="1:11">
      <c r="A691" s="12"/>
      <c r="B691" s="2" t="s">
        <v>210</v>
      </c>
      <c r="C691" s="59"/>
      <c r="D691" s="2"/>
      <c r="E691" s="2"/>
      <c r="F691" s="2">
        <f>SUM(F664:F690)</f>
        <v>307</v>
      </c>
      <c r="G691" s="10"/>
      <c r="H691" s="10">
        <f t="shared" ref="H691" si="75">SUM(H664:H690)</f>
        <v>1436.6000000000001</v>
      </c>
      <c r="I691" s="2"/>
      <c r="J691" s="2"/>
      <c r="K691" s="2"/>
    </row>
    <row r="692" spans="1:11">
      <c r="A692" s="12"/>
      <c r="B692" s="2"/>
      <c r="C692" s="59"/>
      <c r="D692" s="2"/>
      <c r="E692" s="2"/>
      <c r="F692" s="2"/>
      <c r="G692" s="10"/>
      <c r="H692" s="10"/>
      <c r="I692" s="2"/>
      <c r="J692" s="2"/>
      <c r="K692" s="2"/>
    </row>
    <row r="693" spans="1:11">
      <c r="A693" s="12">
        <v>2</v>
      </c>
      <c r="B693" s="2" t="s">
        <v>137</v>
      </c>
      <c r="C693" s="59"/>
      <c r="D693" s="2"/>
      <c r="E693" s="2"/>
      <c r="F693" s="2"/>
      <c r="G693" s="10"/>
      <c r="H693" s="10"/>
      <c r="I693" s="2"/>
      <c r="J693" s="2"/>
      <c r="K693" s="2"/>
    </row>
    <row r="694" spans="1:11">
      <c r="A694" s="12">
        <v>2.1</v>
      </c>
      <c r="B694" s="2" t="s">
        <v>491</v>
      </c>
      <c r="C694" s="59" t="s">
        <v>138</v>
      </c>
      <c r="D694" s="2" t="s">
        <v>209</v>
      </c>
      <c r="E694" s="2" t="s">
        <v>70</v>
      </c>
      <c r="F694" s="2">
        <v>1</v>
      </c>
      <c r="G694" s="10">
        <v>20</v>
      </c>
      <c r="H694" s="10">
        <f t="shared" si="68"/>
        <v>20</v>
      </c>
      <c r="I694" s="2"/>
      <c r="J694" s="2"/>
      <c r="K694" s="2"/>
    </row>
    <row r="695" spans="1:11" ht="27">
      <c r="A695" s="12">
        <v>2.2000000000000002</v>
      </c>
      <c r="B695" s="2" t="s">
        <v>492</v>
      </c>
      <c r="C695" s="59" t="s">
        <v>139</v>
      </c>
      <c r="D695" s="2" t="s">
        <v>209</v>
      </c>
      <c r="E695" s="2" t="s">
        <v>70</v>
      </c>
      <c r="F695" s="2">
        <v>1</v>
      </c>
      <c r="G695" s="10">
        <v>60</v>
      </c>
      <c r="H695" s="10">
        <f t="shared" si="68"/>
        <v>60</v>
      </c>
      <c r="I695" s="2"/>
      <c r="J695" s="2"/>
      <c r="K695" s="2"/>
    </row>
    <row r="696" spans="1:11">
      <c r="A696" s="12">
        <v>2.2999999999999998</v>
      </c>
      <c r="B696" s="2" t="s">
        <v>493</v>
      </c>
      <c r="C696" s="59" t="s">
        <v>140</v>
      </c>
      <c r="D696" s="2" t="s">
        <v>209</v>
      </c>
      <c r="E696" s="2" t="s">
        <v>70</v>
      </c>
      <c r="F696" s="2">
        <v>1</v>
      </c>
      <c r="G696" s="10">
        <v>60</v>
      </c>
      <c r="H696" s="10">
        <f t="shared" si="68"/>
        <v>60</v>
      </c>
      <c r="I696" s="2"/>
      <c r="J696" s="2"/>
      <c r="K696" s="2"/>
    </row>
    <row r="697" spans="1:11">
      <c r="A697" s="12">
        <v>2.4</v>
      </c>
      <c r="B697" s="2" t="s">
        <v>494</v>
      </c>
      <c r="C697" s="59" t="s">
        <v>141</v>
      </c>
      <c r="D697" s="2" t="s">
        <v>209</v>
      </c>
      <c r="E697" s="2" t="s">
        <v>70</v>
      </c>
      <c r="F697" s="2">
        <v>1</v>
      </c>
      <c r="G697" s="10">
        <v>90</v>
      </c>
      <c r="H697" s="10">
        <f t="shared" si="68"/>
        <v>90</v>
      </c>
      <c r="I697" s="2"/>
      <c r="J697" s="2"/>
      <c r="K697" s="2"/>
    </row>
    <row r="698" spans="1:11" ht="27">
      <c r="A698" s="12">
        <v>2.5</v>
      </c>
      <c r="B698" s="2" t="s">
        <v>495</v>
      </c>
      <c r="C698" s="59" t="s">
        <v>142</v>
      </c>
      <c r="D698" s="2" t="s">
        <v>209</v>
      </c>
      <c r="E698" s="2" t="s">
        <v>70</v>
      </c>
      <c r="F698" s="2">
        <v>1</v>
      </c>
      <c r="G698" s="10">
        <v>50</v>
      </c>
      <c r="H698" s="10">
        <f t="shared" si="68"/>
        <v>50</v>
      </c>
      <c r="I698" s="2"/>
      <c r="J698" s="2"/>
      <c r="K698" s="2"/>
    </row>
    <row r="699" spans="1:11" ht="27">
      <c r="A699" s="12">
        <v>2.6</v>
      </c>
      <c r="B699" s="2" t="s">
        <v>496</v>
      </c>
      <c r="C699" s="59" t="s">
        <v>143</v>
      </c>
      <c r="D699" s="2" t="s">
        <v>209</v>
      </c>
      <c r="E699" s="2" t="s">
        <v>70</v>
      </c>
      <c r="F699" s="2">
        <v>1</v>
      </c>
      <c r="G699" s="10">
        <v>300</v>
      </c>
      <c r="H699" s="10">
        <f t="shared" si="68"/>
        <v>300</v>
      </c>
      <c r="I699" s="2"/>
      <c r="J699" s="2" t="s">
        <v>232</v>
      </c>
      <c r="K699" s="2"/>
    </row>
    <row r="700" spans="1:11">
      <c r="A700" s="12">
        <v>2.7</v>
      </c>
      <c r="B700" s="2" t="s">
        <v>497</v>
      </c>
      <c r="C700" s="59" t="s">
        <v>144</v>
      </c>
      <c r="D700" s="2" t="s">
        <v>209</v>
      </c>
      <c r="E700" s="2" t="s">
        <v>70</v>
      </c>
      <c r="F700" s="2">
        <v>1</v>
      </c>
      <c r="G700" s="10">
        <v>90</v>
      </c>
      <c r="H700" s="10">
        <f t="shared" ref="H700:H728" si="76">F700*G700</f>
        <v>90</v>
      </c>
      <c r="I700" s="2"/>
      <c r="J700" s="2"/>
      <c r="K700" s="2"/>
    </row>
    <row r="701" spans="1:11" ht="40.5">
      <c r="A701" s="12">
        <v>2.8</v>
      </c>
      <c r="B701" s="2" t="s">
        <v>498</v>
      </c>
      <c r="C701" s="59" t="s">
        <v>145</v>
      </c>
      <c r="D701" s="2" t="s">
        <v>209</v>
      </c>
      <c r="E701" s="2" t="s">
        <v>70</v>
      </c>
      <c r="F701" s="2">
        <v>1</v>
      </c>
      <c r="G701" s="10">
        <v>40</v>
      </c>
      <c r="H701" s="10">
        <f t="shared" si="76"/>
        <v>40</v>
      </c>
      <c r="I701" s="2"/>
      <c r="J701" s="2"/>
      <c r="K701" s="2"/>
    </row>
    <row r="702" spans="1:11" ht="27">
      <c r="A702" s="12">
        <v>2.9</v>
      </c>
      <c r="B702" s="2" t="s">
        <v>499</v>
      </c>
      <c r="C702" s="59" t="s">
        <v>146</v>
      </c>
      <c r="D702" s="2" t="s">
        <v>209</v>
      </c>
      <c r="E702" s="2" t="s">
        <v>70</v>
      </c>
      <c r="F702" s="2">
        <v>1</v>
      </c>
      <c r="G702" s="10">
        <v>90</v>
      </c>
      <c r="H702" s="10">
        <f t="shared" si="76"/>
        <v>90</v>
      </c>
      <c r="I702" s="2"/>
      <c r="J702" s="2"/>
      <c r="K702" s="2"/>
    </row>
    <row r="703" spans="1:11" ht="27">
      <c r="A703" s="12" t="s">
        <v>234</v>
      </c>
      <c r="B703" s="2" t="s">
        <v>500</v>
      </c>
      <c r="C703" s="59" t="s">
        <v>147</v>
      </c>
      <c r="D703" s="2" t="s">
        <v>209</v>
      </c>
      <c r="E703" s="2" t="s">
        <v>70</v>
      </c>
      <c r="F703" s="2">
        <v>1</v>
      </c>
      <c r="G703" s="10">
        <v>80</v>
      </c>
      <c r="H703" s="10">
        <f t="shared" si="76"/>
        <v>80</v>
      </c>
      <c r="I703" s="2"/>
      <c r="J703" s="2"/>
      <c r="K703" s="2"/>
    </row>
    <row r="704" spans="1:11" ht="40.5">
      <c r="A704" s="12">
        <v>2.11</v>
      </c>
      <c r="B704" s="2" t="s">
        <v>501</v>
      </c>
      <c r="C704" s="59" t="s">
        <v>148</v>
      </c>
      <c r="D704" s="2" t="s">
        <v>209</v>
      </c>
      <c r="E704" s="2" t="s">
        <v>70</v>
      </c>
      <c r="F704" s="2">
        <v>1</v>
      </c>
      <c r="G704" s="10">
        <v>100</v>
      </c>
      <c r="H704" s="10">
        <f t="shared" si="76"/>
        <v>100</v>
      </c>
      <c r="I704" s="2"/>
      <c r="J704" s="2" t="s">
        <v>232</v>
      </c>
      <c r="K704" s="2"/>
    </row>
    <row r="705" spans="1:11" ht="27">
      <c r="A705" s="12">
        <v>2.12</v>
      </c>
      <c r="B705" s="2" t="s">
        <v>502</v>
      </c>
      <c r="C705" s="59" t="s">
        <v>149</v>
      </c>
      <c r="D705" s="2" t="s">
        <v>209</v>
      </c>
      <c r="E705" s="2" t="s">
        <v>70</v>
      </c>
      <c r="F705" s="2">
        <v>1</v>
      </c>
      <c r="G705" s="10">
        <v>60</v>
      </c>
      <c r="H705" s="10">
        <f t="shared" si="76"/>
        <v>60</v>
      </c>
      <c r="I705" s="2"/>
      <c r="J705" s="2"/>
      <c r="K705" s="2"/>
    </row>
    <row r="706" spans="1:11">
      <c r="A706" s="12"/>
      <c r="B706" s="2" t="s">
        <v>210</v>
      </c>
      <c r="C706" s="59"/>
      <c r="D706" s="2"/>
      <c r="E706" s="2"/>
      <c r="F706" s="2">
        <f>SUM(F694:F705)</f>
        <v>12</v>
      </c>
      <c r="G706" s="10"/>
      <c r="H706" s="10">
        <f t="shared" ref="H706" si="77">SUM(H694:H705)</f>
        <v>1040</v>
      </c>
      <c r="I706" s="2"/>
      <c r="J706" s="2"/>
      <c r="K706" s="2"/>
    </row>
    <row r="707" spans="1:11">
      <c r="A707" s="12"/>
      <c r="B707" s="2"/>
      <c r="C707" s="59"/>
      <c r="D707" s="2"/>
      <c r="E707" s="2"/>
      <c r="F707" s="2"/>
      <c r="G707" s="10"/>
      <c r="H707" s="10"/>
      <c r="I707" s="2"/>
      <c r="J707" s="2"/>
      <c r="K707" s="2"/>
    </row>
    <row r="708" spans="1:11">
      <c r="A708" s="12">
        <v>3</v>
      </c>
      <c r="B708" s="2" t="s">
        <v>150</v>
      </c>
      <c r="C708" s="59"/>
      <c r="D708" s="2"/>
      <c r="E708" s="2"/>
      <c r="F708" s="2"/>
      <c r="G708" s="10"/>
      <c r="H708" s="10"/>
      <c r="I708" s="2"/>
      <c r="J708" s="2"/>
      <c r="K708" s="2"/>
    </row>
    <row r="709" spans="1:11">
      <c r="A709" s="12">
        <v>3.1</v>
      </c>
      <c r="B709" s="2" t="s">
        <v>503</v>
      </c>
      <c r="C709" s="59" t="s">
        <v>151</v>
      </c>
      <c r="D709" s="2" t="s">
        <v>209</v>
      </c>
      <c r="E709" s="2" t="s">
        <v>70</v>
      </c>
      <c r="F709" s="2">
        <v>1</v>
      </c>
      <c r="G709" s="10">
        <v>150</v>
      </c>
      <c r="H709" s="10">
        <f t="shared" si="76"/>
        <v>150</v>
      </c>
      <c r="I709" s="2"/>
      <c r="J709" s="2" t="s">
        <v>232</v>
      </c>
      <c r="K709" s="2"/>
    </row>
    <row r="710" spans="1:11">
      <c r="A710" s="12">
        <v>3.2</v>
      </c>
      <c r="B710" s="2" t="s">
        <v>504</v>
      </c>
      <c r="C710" s="59" t="s">
        <v>152</v>
      </c>
      <c r="D710" s="2" t="s">
        <v>209</v>
      </c>
      <c r="E710" s="2" t="s">
        <v>70</v>
      </c>
      <c r="F710" s="2">
        <v>1</v>
      </c>
      <c r="G710" s="10">
        <v>120</v>
      </c>
      <c r="H710" s="10">
        <f t="shared" si="76"/>
        <v>120</v>
      </c>
      <c r="I710" s="2"/>
      <c r="J710" s="2" t="s">
        <v>232</v>
      </c>
      <c r="K710" s="2"/>
    </row>
    <row r="711" spans="1:11">
      <c r="A711" s="12">
        <v>3.3</v>
      </c>
      <c r="B711" s="2" t="s">
        <v>505</v>
      </c>
      <c r="C711" s="59" t="s">
        <v>153</v>
      </c>
      <c r="D711" s="2" t="s">
        <v>209</v>
      </c>
      <c r="E711" s="2" t="s">
        <v>70</v>
      </c>
      <c r="F711" s="2">
        <v>1</v>
      </c>
      <c r="G711" s="10">
        <v>120</v>
      </c>
      <c r="H711" s="10">
        <f t="shared" si="76"/>
        <v>120</v>
      </c>
      <c r="I711" s="2"/>
      <c r="J711" s="2" t="s">
        <v>232</v>
      </c>
      <c r="K711" s="2"/>
    </row>
    <row r="712" spans="1:11">
      <c r="A712" s="12">
        <v>3.4</v>
      </c>
      <c r="B712" s="2" t="s">
        <v>506</v>
      </c>
      <c r="C712" s="59" t="s">
        <v>154</v>
      </c>
      <c r="D712" s="2" t="s">
        <v>209</v>
      </c>
      <c r="E712" s="2" t="s">
        <v>70</v>
      </c>
      <c r="F712" s="2">
        <v>1</v>
      </c>
      <c r="G712" s="10">
        <v>160</v>
      </c>
      <c r="H712" s="10">
        <f t="shared" si="76"/>
        <v>160</v>
      </c>
      <c r="I712" s="2"/>
      <c r="J712" s="2" t="s">
        <v>232</v>
      </c>
      <c r="K712" s="2"/>
    </row>
    <row r="713" spans="1:11">
      <c r="A713" s="12">
        <v>3.5</v>
      </c>
      <c r="B713" s="2" t="s">
        <v>507</v>
      </c>
      <c r="C713" s="59" t="s">
        <v>155</v>
      </c>
      <c r="D713" s="2" t="s">
        <v>209</v>
      </c>
      <c r="E713" s="2" t="s">
        <v>70</v>
      </c>
      <c r="F713" s="2">
        <v>1</v>
      </c>
      <c r="G713" s="10">
        <v>150</v>
      </c>
      <c r="H713" s="10">
        <f t="shared" si="76"/>
        <v>150</v>
      </c>
      <c r="I713" s="2"/>
      <c r="J713" s="2" t="s">
        <v>232</v>
      </c>
      <c r="K713" s="2"/>
    </row>
    <row r="714" spans="1:11">
      <c r="A714" s="12">
        <v>3.6</v>
      </c>
      <c r="B714" s="2" t="s">
        <v>508</v>
      </c>
      <c r="C714" s="59" t="s">
        <v>156</v>
      </c>
      <c r="D714" s="2" t="s">
        <v>209</v>
      </c>
      <c r="E714" s="2" t="s">
        <v>70</v>
      </c>
      <c r="F714" s="2">
        <v>1</v>
      </c>
      <c r="G714" s="10">
        <v>160</v>
      </c>
      <c r="H714" s="10">
        <f t="shared" si="76"/>
        <v>160</v>
      </c>
      <c r="I714" s="2"/>
      <c r="J714" s="2" t="s">
        <v>232</v>
      </c>
      <c r="K714" s="2"/>
    </row>
    <row r="715" spans="1:11">
      <c r="A715" s="12">
        <v>3.7</v>
      </c>
      <c r="B715" s="2" t="s">
        <v>509</v>
      </c>
      <c r="C715" s="59" t="s">
        <v>157</v>
      </c>
      <c r="D715" s="2" t="s">
        <v>209</v>
      </c>
      <c r="E715" s="2" t="s">
        <v>49</v>
      </c>
      <c r="F715" s="2">
        <v>6</v>
      </c>
      <c r="G715" s="10">
        <v>24</v>
      </c>
      <c r="H715" s="10">
        <f t="shared" si="76"/>
        <v>144</v>
      </c>
      <c r="I715" s="2"/>
      <c r="J715" s="2"/>
      <c r="K715" s="2"/>
    </row>
    <row r="716" spans="1:11">
      <c r="A716" s="12">
        <v>3.8</v>
      </c>
      <c r="B716" s="2" t="s">
        <v>510</v>
      </c>
      <c r="C716" s="59" t="s">
        <v>158</v>
      </c>
      <c r="D716" s="2" t="s">
        <v>209</v>
      </c>
      <c r="E716" s="2" t="s">
        <v>70</v>
      </c>
      <c r="F716" s="2">
        <v>1</v>
      </c>
      <c r="G716" s="10">
        <v>600</v>
      </c>
      <c r="H716" s="10">
        <f t="shared" si="76"/>
        <v>600</v>
      </c>
      <c r="I716" s="2"/>
      <c r="J716" s="2" t="s">
        <v>232</v>
      </c>
      <c r="K716" s="2"/>
    </row>
    <row r="717" spans="1:11" ht="40.5">
      <c r="A717" s="12">
        <v>3.9</v>
      </c>
      <c r="B717" s="2" t="s">
        <v>511</v>
      </c>
      <c r="C717" s="59" t="s">
        <v>159</v>
      </c>
      <c r="D717" s="2" t="s">
        <v>209</v>
      </c>
      <c r="E717" s="2" t="s">
        <v>70</v>
      </c>
      <c r="F717" s="2">
        <v>1</v>
      </c>
      <c r="G717" s="10">
        <v>180</v>
      </c>
      <c r="H717" s="10">
        <f t="shared" si="76"/>
        <v>180</v>
      </c>
      <c r="I717" s="2"/>
      <c r="J717" s="2" t="s">
        <v>232</v>
      </c>
      <c r="K717" s="2"/>
    </row>
    <row r="718" spans="1:11">
      <c r="A718" s="12"/>
      <c r="B718" s="2" t="s">
        <v>210</v>
      </c>
      <c r="C718" s="59"/>
      <c r="D718" s="2"/>
      <c r="E718" s="2"/>
      <c r="F718" s="2">
        <f>SUM(F709:F717)</f>
        <v>14</v>
      </c>
      <c r="G718" s="10"/>
      <c r="H718" s="10">
        <f t="shared" ref="H718" si="78">SUM(H709:H717)</f>
        <v>1784</v>
      </c>
      <c r="I718" s="2"/>
      <c r="J718" s="2"/>
      <c r="K718" s="2"/>
    </row>
    <row r="719" spans="1:11">
      <c r="A719" s="12"/>
      <c r="B719" s="2"/>
      <c r="C719" s="59"/>
      <c r="D719" s="2"/>
      <c r="E719" s="2"/>
      <c r="F719" s="2"/>
      <c r="G719" s="10"/>
      <c r="H719" s="10"/>
      <c r="I719" s="2"/>
      <c r="J719" s="2"/>
      <c r="K719" s="2"/>
    </row>
    <row r="720" spans="1:11">
      <c r="A720" s="12">
        <v>4</v>
      </c>
      <c r="B720" s="2" t="s">
        <v>235</v>
      </c>
      <c r="C720" s="59"/>
      <c r="D720" s="2"/>
      <c r="E720" s="2"/>
      <c r="F720" s="2"/>
      <c r="G720" s="10"/>
      <c r="H720" s="10"/>
      <c r="I720" s="2"/>
      <c r="J720" s="2"/>
      <c r="K720" s="2"/>
    </row>
    <row r="721" spans="1:11">
      <c r="A721" s="12">
        <v>4.0999999999999996</v>
      </c>
      <c r="B721" s="2" t="s">
        <v>169</v>
      </c>
      <c r="C721" s="59"/>
      <c r="D721" s="2"/>
      <c r="E721" s="2"/>
      <c r="F721" s="2"/>
      <c r="G721" s="10"/>
      <c r="H721" s="10"/>
      <c r="I721" s="2"/>
      <c r="J721" s="2"/>
      <c r="K721" s="2"/>
    </row>
    <row r="722" spans="1:11" ht="27">
      <c r="A722" s="12" t="s">
        <v>236</v>
      </c>
      <c r="B722" s="2" t="s">
        <v>170</v>
      </c>
      <c r="C722" s="59" t="s">
        <v>160</v>
      </c>
      <c r="D722" s="2" t="s">
        <v>209</v>
      </c>
      <c r="E722" s="2" t="s">
        <v>49</v>
      </c>
      <c r="F722" s="2">
        <v>15</v>
      </c>
      <c r="G722" s="10">
        <v>0.4</v>
      </c>
      <c r="H722" s="10">
        <f t="shared" si="76"/>
        <v>6</v>
      </c>
      <c r="I722" s="2"/>
      <c r="J722" s="2"/>
      <c r="K722" s="2"/>
    </row>
    <row r="723" spans="1:11" ht="27">
      <c r="A723" s="12" t="s">
        <v>237</v>
      </c>
      <c r="B723" s="2" t="s">
        <v>171</v>
      </c>
      <c r="C723" s="59" t="s">
        <v>161</v>
      </c>
      <c r="D723" s="2" t="s">
        <v>209</v>
      </c>
      <c r="E723" s="2" t="s">
        <v>49</v>
      </c>
      <c r="F723" s="2">
        <v>1</v>
      </c>
      <c r="G723" s="10">
        <v>56</v>
      </c>
      <c r="H723" s="10">
        <f t="shared" si="76"/>
        <v>56</v>
      </c>
      <c r="I723" s="2"/>
      <c r="J723" s="2"/>
      <c r="K723" s="2"/>
    </row>
    <row r="724" spans="1:11">
      <c r="A724" s="12">
        <v>4.2</v>
      </c>
      <c r="B724" s="2" t="s">
        <v>512</v>
      </c>
      <c r="C724" s="59"/>
      <c r="D724" s="2"/>
      <c r="E724" s="2"/>
      <c r="F724" s="2"/>
      <c r="G724" s="10"/>
      <c r="H724" s="10"/>
      <c r="I724" s="2"/>
      <c r="J724" s="2"/>
      <c r="K724" s="2"/>
    </row>
    <row r="725" spans="1:11" ht="81">
      <c r="A725" s="12" t="s">
        <v>238</v>
      </c>
      <c r="B725" s="2" t="s">
        <v>512</v>
      </c>
      <c r="C725" s="59" t="s">
        <v>162</v>
      </c>
      <c r="D725" s="2" t="s">
        <v>209</v>
      </c>
      <c r="E725" s="2" t="s">
        <v>70</v>
      </c>
      <c r="F725" s="2">
        <v>1</v>
      </c>
      <c r="G725" s="10">
        <v>150</v>
      </c>
      <c r="H725" s="10">
        <f t="shared" si="76"/>
        <v>150</v>
      </c>
      <c r="I725" s="2"/>
      <c r="J725" s="2" t="s">
        <v>232</v>
      </c>
      <c r="K725" s="2"/>
    </row>
    <row r="726" spans="1:11">
      <c r="A726" s="12">
        <v>4.3</v>
      </c>
      <c r="B726" s="2" t="s">
        <v>172</v>
      </c>
      <c r="C726" s="59"/>
      <c r="D726" s="2"/>
      <c r="E726" s="2"/>
      <c r="F726" s="2"/>
      <c r="G726" s="10"/>
      <c r="H726" s="10"/>
      <c r="I726" s="2"/>
      <c r="J726" s="2"/>
      <c r="K726" s="2"/>
    </row>
    <row r="727" spans="1:11" ht="67.5">
      <c r="A727" s="12" t="s">
        <v>239</v>
      </c>
      <c r="B727" s="2" t="s">
        <v>513</v>
      </c>
      <c r="C727" s="59" t="s">
        <v>163</v>
      </c>
      <c r="D727" s="2" t="s">
        <v>209</v>
      </c>
      <c r="E727" s="2" t="s">
        <v>70</v>
      </c>
      <c r="F727" s="2">
        <v>1</v>
      </c>
      <c r="G727" s="10">
        <v>26</v>
      </c>
      <c r="H727" s="10">
        <f t="shared" si="76"/>
        <v>26</v>
      </c>
      <c r="I727" s="2"/>
      <c r="J727" s="2"/>
      <c r="K727" s="2"/>
    </row>
    <row r="728" spans="1:11">
      <c r="A728" s="12" t="s">
        <v>240</v>
      </c>
      <c r="B728" s="2" t="s">
        <v>514</v>
      </c>
      <c r="C728" s="59" t="s">
        <v>164</v>
      </c>
      <c r="D728" s="2" t="s">
        <v>241</v>
      </c>
      <c r="E728" s="2" t="s">
        <v>165</v>
      </c>
      <c r="F728" s="2">
        <v>22</v>
      </c>
      <c r="G728" s="10">
        <v>0.5</v>
      </c>
      <c r="H728" s="10">
        <f t="shared" si="76"/>
        <v>11</v>
      </c>
      <c r="I728" s="2"/>
      <c r="J728" s="2"/>
      <c r="K728" s="2"/>
    </row>
    <row r="729" spans="1:11">
      <c r="A729" s="12"/>
      <c r="B729" s="2" t="s">
        <v>210</v>
      </c>
      <c r="C729" s="59"/>
      <c r="D729" s="2"/>
      <c r="E729" s="2"/>
      <c r="F729" s="2">
        <f>SUM(F722:F728)</f>
        <v>40</v>
      </c>
      <c r="G729" s="10"/>
      <c r="H729" s="10">
        <f t="shared" ref="H729" si="79">SUM(H722:H728)</f>
        <v>249</v>
      </c>
      <c r="I729" s="2"/>
      <c r="J729" s="2"/>
      <c r="K729" s="2"/>
    </row>
    <row r="730" spans="1:11">
      <c r="A730" s="12"/>
      <c r="B730" s="2"/>
      <c r="C730" s="59"/>
      <c r="D730" s="2"/>
      <c r="E730" s="2"/>
      <c r="F730" s="2"/>
      <c r="G730" s="10"/>
      <c r="H730" s="10"/>
      <c r="I730" s="2"/>
      <c r="J730" s="2"/>
      <c r="K730" s="2"/>
    </row>
    <row r="731" spans="1:11" s="3" customFormat="1">
      <c r="A731" s="21"/>
      <c r="B731" s="7" t="s">
        <v>515</v>
      </c>
      <c r="C731" s="58"/>
      <c r="D731" s="7"/>
      <c r="E731" s="7"/>
      <c r="F731" s="7">
        <f>F729+F718+F706+F691</f>
        <v>373</v>
      </c>
      <c r="G731" s="9"/>
      <c r="H731" s="9">
        <f t="shared" ref="H731" si="80">H729+H718+H706+H691</f>
        <v>4509.6000000000004</v>
      </c>
      <c r="I731" s="7"/>
      <c r="J731" s="7"/>
      <c r="K731" s="7"/>
    </row>
    <row r="732" spans="1:11">
      <c r="A732" s="12"/>
      <c r="B732" s="2"/>
      <c r="C732" s="59"/>
      <c r="D732" s="2"/>
      <c r="E732" s="2"/>
      <c r="F732" s="2"/>
      <c r="G732" s="10"/>
      <c r="H732" s="10"/>
      <c r="I732" s="2"/>
      <c r="J732" s="2"/>
      <c r="K732" s="2"/>
    </row>
    <row r="733" spans="1:11">
      <c r="A733" s="12"/>
      <c r="B733" s="2"/>
      <c r="C733" s="59"/>
      <c r="D733" s="2"/>
      <c r="E733" s="2"/>
      <c r="F733" s="2"/>
      <c r="G733" s="10"/>
      <c r="H733" s="10"/>
      <c r="I733" s="2"/>
      <c r="J733" s="2"/>
      <c r="K733" s="2"/>
    </row>
    <row r="734" spans="1:11" s="3" customFormat="1">
      <c r="A734" s="21"/>
      <c r="B734" s="7" t="s">
        <v>516</v>
      </c>
      <c r="C734" s="58"/>
      <c r="D734" s="7"/>
      <c r="E734" s="7"/>
      <c r="F734" s="7">
        <f>F731+F658+F653+F645+F636+F627</f>
        <v>436</v>
      </c>
      <c r="G734" s="7"/>
      <c r="H734" s="9">
        <f t="shared" ref="G734:H734" si="81">H731+H658+H653+H645+H636+H627</f>
        <v>11893.6</v>
      </c>
      <c r="I734" s="7"/>
      <c r="J734" s="7"/>
      <c r="K734" s="7"/>
    </row>
    <row r="735" spans="1:11">
      <c r="A735" s="12"/>
      <c r="B735" s="2"/>
      <c r="C735" s="59"/>
      <c r="D735" s="2"/>
      <c r="E735" s="2"/>
      <c r="F735" s="2"/>
      <c r="G735" s="10"/>
      <c r="H735" s="10"/>
      <c r="I735" s="2"/>
      <c r="J735" s="2"/>
      <c r="K735" s="2"/>
    </row>
    <row r="736" spans="1:11" s="3" customFormat="1">
      <c r="A736" s="21" t="s">
        <v>199</v>
      </c>
      <c r="B736" s="7" t="s">
        <v>45</v>
      </c>
      <c r="C736" s="58"/>
      <c r="D736" s="7"/>
      <c r="E736" s="7"/>
      <c r="F736" s="7"/>
      <c r="G736" s="9"/>
      <c r="H736" s="9"/>
      <c r="I736" s="7"/>
      <c r="J736" s="7"/>
      <c r="K736" s="7"/>
    </row>
    <row r="737" spans="1:11" s="3" customFormat="1">
      <c r="A737" s="21" t="s">
        <v>243</v>
      </c>
      <c r="B737" s="7" t="s">
        <v>194</v>
      </c>
      <c r="C737" s="58"/>
      <c r="D737" s="7"/>
      <c r="E737" s="7"/>
      <c r="F737" s="7"/>
      <c r="G737" s="9"/>
      <c r="H737" s="9"/>
      <c r="I737" s="7"/>
      <c r="J737" s="7"/>
      <c r="K737" s="7"/>
    </row>
    <row r="738" spans="1:11" ht="14.25">
      <c r="A738" s="12">
        <v>1</v>
      </c>
      <c r="B738" s="2" t="s">
        <v>58</v>
      </c>
      <c r="C738" s="59" t="s">
        <v>518</v>
      </c>
      <c r="D738" s="2" t="s">
        <v>173</v>
      </c>
      <c r="E738" s="2" t="s">
        <v>47</v>
      </c>
      <c r="F738" s="2">
        <v>1</v>
      </c>
      <c r="G738" s="10">
        <v>220</v>
      </c>
      <c r="H738" s="10">
        <f>F738*G738</f>
        <v>220</v>
      </c>
      <c r="I738" s="2"/>
      <c r="J738" s="2"/>
      <c r="K738" s="2"/>
    </row>
    <row r="739" spans="1:11" ht="14.25">
      <c r="A739" s="12">
        <v>2</v>
      </c>
      <c r="B739" s="2" t="s">
        <v>58</v>
      </c>
      <c r="C739" s="59" t="s">
        <v>519</v>
      </c>
      <c r="D739" s="2" t="s">
        <v>173</v>
      </c>
      <c r="E739" s="2" t="s">
        <v>47</v>
      </c>
      <c r="F739" s="2">
        <v>1</v>
      </c>
      <c r="G739" s="10">
        <v>140</v>
      </c>
      <c r="H739" s="10">
        <f>F739*G739</f>
        <v>140</v>
      </c>
      <c r="I739" s="2"/>
      <c r="J739" s="2"/>
      <c r="K739" s="2"/>
    </row>
    <row r="740" spans="1:11">
      <c r="A740" s="12"/>
      <c r="B740" s="2"/>
      <c r="C740" s="59"/>
      <c r="D740" s="2"/>
      <c r="E740" s="2"/>
      <c r="F740" s="2"/>
      <c r="G740" s="10"/>
      <c r="H740" s="10"/>
      <c r="I740" s="2"/>
      <c r="J740" s="2"/>
      <c r="K740" s="2"/>
    </row>
    <row r="741" spans="1:11" s="3" customFormat="1">
      <c r="A741" s="21"/>
      <c r="B741" s="7" t="s">
        <v>742</v>
      </c>
      <c r="C741" s="58"/>
      <c r="D741" s="7"/>
      <c r="E741" s="7"/>
      <c r="F741" s="7">
        <f>SUM(F738:F740)</f>
        <v>2</v>
      </c>
      <c r="G741" s="9"/>
      <c r="H741" s="9">
        <f t="shared" ref="H741" si="82">SUM(H738:H740)</f>
        <v>360</v>
      </c>
      <c r="I741" s="7"/>
      <c r="J741" s="7"/>
      <c r="K741" s="7"/>
    </row>
    <row r="742" spans="1:11">
      <c r="A742" s="12"/>
      <c r="B742" s="2"/>
      <c r="C742" s="59"/>
      <c r="D742" s="2"/>
      <c r="E742" s="2"/>
      <c r="F742" s="2"/>
      <c r="G742" s="10"/>
      <c r="H742" s="10"/>
      <c r="I742" s="2"/>
      <c r="J742" s="2"/>
      <c r="K742" s="2"/>
    </row>
    <row r="743" spans="1:11" s="3" customFormat="1">
      <c r="A743" s="21" t="s">
        <v>395</v>
      </c>
      <c r="B743" s="7" t="s">
        <v>195</v>
      </c>
      <c r="C743" s="58"/>
      <c r="D743" s="7"/>
      <c r="E743" s="7"/>
      <c r="F743" s="7"/>
      <c r="G743" s="9"/>
      <c r="H743" s="9"/>
      <c r="I743" s="7"/>
      <c r="J743" s="7"/>
      <c r="K743" s="7"/>
    </row>
    <row r="744" spans="1:11">
      <c r="A744" s="12" t="s">
        <v>365</v>
      </c>
      <c r="B744" s="2" t="s">
        <v>520</v>
      </c>
      <c r="C744" s="59" t="s">
        <v>522</v>
      </c>
      <c r="D744" s="2" t="s">
        <v>173</v>
      </c>
      <c r="E744" s="2" t="s">
        <v>47</v>
      </c>
      <c r="F744" s="2">
        <v>1</v>
      </c>
      <c r="G744" s="10">
        <v>280</v>
      </c>
      <c r="H744" s="10">
        <f>F744*G744</f>
        <v>280</v>
      </c>
      <c r="I744" s="2"/>
      <c r="J744" s="2"/>
      <c r="K744" s="2"/>
    </row>
    <row r="745" spans="1:11">
      <c r="A745" s="12"/>
      <c r="B745" s="2"/>
      <c r="C745" s="59"/>
      <c r="D745" s="2"/>
      <c r="E745" s="2"/>
      <c r="F745" s="2"/>
      <c r="G745" s="10"/>
      <c r="H745" s="10"/>
      <c r="I745" s="2"/>
      <c r="J745" s="2"/>
      <c r="K745" s="2"/>
    </row>
    <row r="746" spans="1:11" s="3" customFormat="1">
      <c r="A746" s="21"/>
      <c r="B746" s="7" t="s">
        <v>742</v>
      </c>
      <c r="C746" s="58"/>
      <c r="D746" s="7"/>
      <c r="E746" s="7"/>
      <c r="F746" s="7">
        <f>SUM(F744:F745)</f>
        <v>1</v>
      </c>
      <c r="G746" s="9"/>
      <c r="H746" s="9">
        <f t="shared" ref="H746" si="83">SUM(H744:H745)</f>
        <v>280</v>
      </c>
      <c r="I746" s="7"/>
      <c r="J746" s="7"/>
      <c r="K746" s="7"/>
    </row>
    <row r="747" spans="1:11">
      <c r="A747" s="12"/>
      <c r="B747" s="2"/>
      <c r="C747" s="59"/>
      <c r="D747" s="2"/>
      <c r="E747" s="2"/>
      <c r="F747" s="2"/>
      <c r="G747" s="10"/>
      <c r="H747" s="10"/>
      <c r="I747" s="2"/>
      <c r="J747" s="2"/>
      <c r="K747" s="2"/>
    </row>
    <row r="748" spans="1:11">
      <c r="A748" s="12"/>
      <c r="B748" s="2"/>
      <c r="C748" s="59"/>
      <c r="D748" s="2"/>
      <c r="E748" s="2"/>
      <c r="F748" s="2"/>
      <c r="G748" s="10"/>
      <c r="H748" s="10"/>
      <c r="I748" s="2"/>
      <c r="J748" s="2"/>
      <c r="K748" s="2"/>
    </row>
    <row r="749" spans="1:11" s="3" customFormat="1">
      <c r="A749" s="21"/>
      <c r="B749" s="7" t="s">
        <v>516</v>
      </c>
      <c r="C749" s="58"/>
      <c r="D749" s="7"/>
      <c r="E749" s="7"/>
      <c r="F749" s="7">
        <f>F741+F746</f>
        <v>3</v>
      </c>
      <c r="G749" s="9"/>
      <c r="H749" s="9">
        <f t="shared" ref="H749" si="84">H741+H746</f>
        <v>640</v>
      </c>
      <c r="I749" s="7"/>
      <c r="J749" s="7"/>
      <c r="K749" s="7"/>
    </row>
    <row r="750" spans="1:11">
      <c r="A750" s="12"/>
      <c r="B750" s="2"/>
      <c r="C750" s="59"/>
      <c r="D750" s="2"/>
      <c r="E750" s="2"/>
      <c r="F750" s="2"/>
      <c r="G750" s="10"/>
      <c r="H750" s="10"/>
      <c r="I750" s="2"/>
      <c r="J750" s="2"/>
      <c r="K750" s="2"/>
    </row>
    <row r="751" spans="1:11">
      <c r="A751" s="12"/>
      <c r="B751" s="2"/>
      <c r="C751" s="59"/>
      <c r="D751" s="2"/>
      <c r="E751" s="2"/>
      <c r="F751" s="2"/>
      <c r="G751" s="10"/>
      <c r="H751" s="10"/>
      <c r="I751" s="2"/>
      <c r="J751" s="2"/>
      <c r="K751" s="2"/>
    </row>
    <row r="752" spans="1:11" s="3" customFormat="1">
      <c r="A752" s="21"/>
      <c r="B752" s="7" t="s">
        <v>517</v>
      </c>
      <c r="C752" s="58"/>
      <c r="D752" s="7"/>
      <c r="E752" s="7"/>
      <c r="F752" s="7">
        <f>F749+F734+F621+F33</f>
        <v>3352</v>
      </c>
      <c r="G752" s="7"/>
      <c r="H752" s="9">
        <f>H749+H734+H621+H33</f>
        <v>158109.10386666667</v>
      </c>
      <c r="I752" s="7"/>
      <c r="J752" s="7"/>
      <c r="K752" s="7"/>
    </row>
  </sheetData>
  <mergeCells count="13">
    <mergeCell ref="A1:B1"/>
    <mergeCell ref="A2:K2"/>
    <mergeCell ref="A3:C3"/>
    <mergeCell ref="G3:K3"/>
    <mergeCell ref="A4:A5"/>
    <mergeCell ref="B4:B5"/>
    <mergeCell ref="C4:C5"/>
    <mergeCell ref="D4:D5"/>
    <mergeCell ref="E4:E5"/>
    <mergeCell ref="F4:F5"/>
    <mergeCell ref="G4:I4"/>
    <mergeCell ref="J4:J5"/>
    <mergeCell ref="K4:K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H13" sqref="H13"/>
    </sheetView>
  </sheetViews>
  <sheetFormatPr defaultRowHeight="13.5"/>
  <cols>
    <col min="1" max="1" width="28.125" customWidth="1"/>
    <col min="9" max="9" width="30.875" bestFit="1" customWidth="1"/>
  </cols>
  <sheetData>
    <row r="1" spans="1:9">
      <c r="A1" t="s">
        <v>20</v>
      </c>
    </row>
    <row r="2" spans="1:9">
      <c r="A2" s="45" t="s">
        <v>21</v>
      </c>
      <c r="B2" s="45"/>
      <c r="C2" s="45"/>
      <c r="D2" s="45"/>
      <c r="E2" s="45"/>
      <c r="F2" s="45"/>
      <c r="G2" s="45"/>
      <c r="H2" s="45"/>
      <c r="I2" s="45"/>
    </row>
    <row r="3" spans="1:9">
      <c r="A3" t="str">
        <f>设备!A3</f>
        <v>项目名称：XXXXXX建设项目</v>
      </c>
    </row>
    <row r="4" spans="1:9">
      <c r="A4" s="45"/>
      <c r="B4" s="45" t="s">
        <v>22</v>
      </c>
      <c r="C4" s="45"/>
      <c r="D4" s="45" t="s">
        <v>23</v>
      </c>
      <c r="E4" s="45"/>
      <c r="F4" s="45" t="s">
        <v>24</v>
      </c>
      <c r="G4" s="45"/>
      <c r="H4" s="45" t="s">
        <v>25</v>
      </c>
      <c r="I4" s="45" t="s">
        <v>26</v>
      </c>
    </row>
    <row r="5" spans="1:9">
      <c r="A5" s="45"/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s="45"/>
      <c r="I5" s="45"/>
    </row>
    <row r="6" spans="1:9">
      <c r="A6" t="s">
        <v>33</v>
      </c>
      <c r="H6" t="s">
        <v>34</v>
      </c>
      <c r="I6" t="s">
        <v>41</v>
      </c>
    </row>
    <row r="7" spans="1:9">
      <c r="A7" t="s">
        <v>35</v>
      </c>
      <c r="H7" t="s">
        <v>34</v>
      </c>
      <c r="I7" t="s">
        <v>36</v>
      </c>
    </row>
    <row r="8" spans="1:9">
      <c r="A8" t="s">
        <v>37</v>
      </c>
      <c r="H8" t="s">
        <v>34</v>
      </c>
      <c r="I8" t="s">
        <v>42</v>
      </c>
    </row>
    <row r="9" spans="1:9">
      <c r="A9" t="s">
        <v>38</v>
      </c>
      <c r="H9" t="s">
        <v>34</v>
      </c>
      <c r="I9" t="s">
        <v>42</v>
      </c>
    </row>
    <row r="10" spans="1:9">
      <c r="A10" t="s">
        <v>39</v>
      </c>
      <c r="H10" t="s">
        <v>34</v>
      </c>
      <c r="I10" t="s">
        <v>41</v>
      </c>
    </row>
    <row r="11" spans="1:9">
      <c r="A11" t="s">
        <v>40</v>
      </c>
    </row>
  </sheetData>
  <mergeCells count="7">
    <mergeCell ref="A2:I2"/>
    <mergeCell ref="A4:A5"/>
    <mergeCell ref="B4:C4"/>
    <mergeCell ref="D4:E4"/>
    <mergeCell ref="F4:G4"/>
    <mergeCell ref="H4:H5"/>
    <mergeCell ref="I4:I5"/>
  </mergeCells>
  <phoneticPr fontId="10" type="noConversion"/>
  <pageMargins left="0.70866141732283472" right="0.70866141732283472" top="1.0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K22"/>
  <sheetViews>
    <sheetView workbookViewId="0">
      <selection activeCell="K23" sqref="K23"/>
    </sheetView>
  </sheetViews>
  <sheetFormatPr defaultRowHeight="13.5"/>
  <sheetData>
    <row r="1" spans="2:9">
      <c r="B1">
        <f>1311.8*2+12740.6+24449.9+42777.9+42707.9</f>
        <v>125299.9</v>
      </c>
    </row>
    <row r="2" spans="2:9">
      <c r="B2">
        <f>B1-124985.4</f>
        <v>314.5</v>
      </c>
    </row>
    <row r="4" spans="2:9">
      <c r="G4">
        <f>42707.9-B2</f>
        <v>42393.4</v>
      </c>
    </row>
    <row r="14" spans="2:9">
      <c r="G14">
        <v>1250.9000000000001</v>
      </c>
      <c r="H14">
        <f>G14*3</f>
        <v>3752.7000000000003</v>
      </c>
    </row>
    <row r="15" spans="2:9">
      <c r="G15">
        <v>1934</v>
      </c>
      <c r="H15">
        <f>G15</f>
        <v>1934</v>
      </c>
    </row>
    <row r="16" spans="2:9">
      <c r="I16">
        <f>22257.1-4407-5687</f>
        <v>12163.099999999999</v>
      </c>
    </row>
    <row r="20" spans="10:11">
      <c r="J20">
        <f>74606-28000</f>
        <v>46606</v>
      </c>
    </row>
    <row r="21" spans="10:11">
      <c r="J21">
        <f>14900.6-10296</f>
        <v>4604.6000000000004</v>
      </c>
    </row>
    <row r="22" spans="10:11">
      <c r="K22">
        <f>40373-10766.2-7441</f>
        <v>22165.8</v>
      </c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投资估算表</vt:lpstr>
      <vt:lpstr>设备</vt:lpstr>
      <vt:lpstr>招标表</vt:lpstr>
      <vt:lpstr>Sheet2</vt:lpstr>
      <vt:lpstr>投资估算表!Print_Area</vt:lpstr>
      <vt:lpstr>设备!Print_Titles</vt:lpstr>
      <vt:lpstr>投资估算表!Print_Titles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2015-02-09T09:02:25Z</dcterms:modified>
</cp:coreProperties>
</file>