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27915" windowHeight="12495" activeTab="2"/>
  </bookViews>
  <sheets>
    <sheet name="Sheet1" sheetId="1" r:id="rId1"/>
    <sheet name="需求分析" sheetId="2" r:id="rId2"/>
    <sheet name="设备清单" sheetId="3" r:id="rId3"/>
    <sheet name="Sheet4" sheetId="4" r:id="rId4"/>
  </sheets>
  <calcPr calcId="144525"/>
</workbook>
</file>

<file path=xl/calcChain.xml><?xml version="1.0" encoding="utf-8"?>
<calcChain xmlns="http://schemas.openxmlformats.org/spreadsheetml/2006/main">
  <c r="I88" i="3" l="1"/>
  <c r="H88" i="3"/>
  <c r="H70" i="3"/>
  <c r="H71" i="3"/>
  <c r="H72" i="3"/>
  <c r="H74" i="3"/>
  <c r="H75" i="3"/>
  <c r="H76" i="3"/>
  <c r="H77" i="3"/>
  <c r="H78" i="3"/>
  <c r="H80" i="3"/>
  <c r="H81" i="3"/>
  <c r="H82" i="3"/>
  <c r="H83" i="3"/>
  <c r="H84" i="3"/>
  <c r="H85" i="3"/>
  <c r="H86" i="3"/>
  <c r="H87" i="3"/>
  <c r="H69" i="3"/>
  <c r="H55" i="3"/>
  <c r="H56" i="3"/>
  <c r="H57" i="3"/>
  <c r="H58" i="3"/>
  <c r="H62" i="3"/>
  <c r="H63" i="3"/>
  <c r="H64" i="3"/>
  <c r="H65" i="3"/>
  <c r="H66" i="3"/>
  <c r="H67" i="3"/>
  <c r="H68" i="3"/>
  <c r="H54" i="3"/>
  <c r="H39" i="3"/>
  <c r="H40" i="3"/>
  <c r="H42" i="3"/>
  <c r="H43" i="3"/>
  <c r="H45" i="3"/>
  <c r="H46" i="3"/>
  <c r="H47" i="3"/>
  <c r="H48" i="3"/>
  <c r="H49" i="3"/>
  <c r="H51" i="3"/>
  <c r="H52" i="3"/>
  <c r="H38" i="3"/>
  <c r="H4" i="3"/>
  <c r="H5" i="3"/>
  <c r="H6" i="3"/>
  <c r="H9" i="3"/>
  <c r="H10" i="3"/>
  <c r="H11" i="3"/>
  <c r="H13" i="3"/>
  <c r="H15" i="3"/>
  <c r="H17" i="3"/>
  <c r="H18" i="3"/>
  <c r="H20" i="3"/>
  <c r="H21" i="3"/>
  <c r="H22" i="3"/>
  <c r="H24" i="3"/>
  <c r="H25" i="3"/>
  <c r="H26" i="3"/>
  <c r="H27" i="3"/>
  <c r="H28" i="3"/>
  <c r="H29" i="3"/>
  <c r="H30" i="3"/>
  <c r="H31" i="3"/>
  <c r="H32" i="3"/>
  <c r="H33" i="3"/>
  <c r="H34" i="3"/>
  <c r="H35" i="3"/>
  <c r="H36" i="3"/>
  <c r="H37" i="3"/>
  <c r="H3" i="3"/>
</calcChain>
</file>

<file path=xl/sharedStrings.xml><?xml version="1.0" encoding="utf-8"?>
<sst xmlns="http://schemas.openxmlformats.org/spreadsheetml/2006/main" count="883" uniqueCount="224">
  <si>
    <t>序号</t>
  </si>
  <si>
    <t>设  备  名  称</t>
  </si>
  <si>
    <t>主要技术指标</t>
  </si>
  <si>
    <t>主要产品对象</t>
  </si>
  <si>
    <t>工作负荷</t>
  </si>
  <si>
    <t>（小时）</t>
  </si>
  <si>
    <t>现工艺设备状况</t>
  </si>
  <si>
    <t>国别</t>
  </si>
  <si>
    <t>类别</t>
  </si>
  <si>
    <t>数量</t>
  </si>
  <si>
    <t>设 备 价 格</t>
  </si>
  <si>
    <t>搬迁检修费用</t>
  </si>
  <si>
    <t>单价</t>
  </si>
  <si>
    <t>合计</t>
  </si>
  <si>
    <t>桥式起重机</t>
  </si>
  <si>
    <t>Q=5t,LK=18m,H=9m</t>
  </si>
  <si>
    <t>国产</t>
  </si>
  <si>
    <t>新购</t>
  </si>
  <si>
    <t>Q=10t,LK=18m,H=9m</t>
  </si>
  <si>
    <t>Q=32t,LK=18m,H=9m</t>
  </si>
  <si>
    <t>普通车床</t>
  </si>
  <si>
    <t>φ400/φ630</t>
  </si>
  <si>
    <t>各型阀件、系统管路附件、补偿装置、连接件、液压元器件、吊装孔、典型贯穿件、门及管件、液压装置、减速器、船体安装件</t>
  </si>
  <si>
    <t>现采用35台C6140\C6163普通车床、13台简易数控车床、7台PUMA215类数控车床，共计55台设备完成加工</t>
  </si>
  <si>
    <t>利旧</t>
  </si>
  <si>
    <t>小型数控车床</t>
  </si>
  <si>
    <t>PUMA215</t>
  </si>
  <si>
    <t>合资</t>
  </si>
  <si>
    <t>中型数控车削中心</t>
  </si>
  <si>
    <t>PUMA2100S</t>
  </si>
  <si>
    <t>进口</t>
  </si>
  <si>
    <t>小型数控车削中心</t>
  </si>
  <si>
    <t>PUMA2100</t>
  </si>
  <si>
    <t>车铣复合中心</t>
  </si>
  <si>
    <t>PUMA2600</t>
  </si>
  <si>
    <t>数控立式车床</t>
  </si>
  <si>
    <t>C534J1</t>
  </si>
  <si>
    <t>首舱口、快漂、集体漂浮舱、焊接垫板</t>
  </si>
  <si>
    <t>现采用1977年始用的1台C534J1改装数控立式车床和1台1958年投入使用的C527型普通立式车床完成工作。</t>
  </si>
  <si>
    <t>CK5135</t>
  </si>
  <si>
    <t>CK5116</t>
  </si>
  <si>
    <t>圆门、舱口、阀盖、多型填料函</t>
  </si>
  <si>
    <t>现采用5台70年代投入的C512型普通立车和1台CK5116型数控立车完成加工</t>
  </si>
  <si>
    <t>小型立式加工中心</t>
  </si>
  <si>
    <t>F500</t>
  </si>
  <si>
    <t>现在加工设备以70年代投入的14台普通铣床为主，还有1台2003年始用的简易数控铣床，加上2013年投入使用的4台F500型数控立式加工中心，共计有19台设备。</t>
  </si>
  <si>
    <t>DNL556</t>
  </si>
  <si>
    <t>中型立式加工中心</t>
  </si>
  <si>
    <t>DMU65</t>
  </si>
  <si>
    <t>数控卧式加工中心</t>
  </si>
  <si>
    <t>HT125</t>
  </si>
  <si>
    <t>　高压阀柱、截止阀、速开阀等精密阀件</t>
  </si>
  <si>
    <t>　以70年代投入使用的普通镗床、普通车床、立式铣床进行多工序转序加工。2001年和2010年投入使用的两台国产卧式加工中心进行关键工序加工。</t>
  </si>
  <si>
    <t>HS4-4R</t>
  </si>
  <si>
    <t>EC-1600</t>
  </si>
  <si>
    <t>数控五轴联动加工中心</t>
  </si>
  <si>
    <t>DMU-85</t>
  </si>
  <si>
    <t>数控龙门铣镗床</t>
  </si>
  <si>
    <t>XK2420</t>
  </si>
  <si>
    <t>焊接垫板、快填装置、外部装填装置</t>
  </si>
  <si>
    <t>以两台数控龙门铣床为主，辅以两台龙门刨床进行加工。</t>
  </si>
  <si>
    <t>数控龙门加工中心</t>
  </si>
  <si>
    <t>XK2720</t>
  </si>
  <si>
    <t>XK2115</t>
  </si>
  <si>
    <t>卧式数控镗床</t>
  </si>
  <si>
    <t>TK6111</t>
  </si>
  <si>
    <t>通海阀、舱口、舌阀等</t>
  </si>
  <si>
    <t>以7台普通镗床和3台数控镗床为主要生产设备</t>
  </si>
  <si>
    <t>数控镗床</t>
  </si>
  <si>
    <t>TKP6513</t>
  </si>
  <si>
    <t>齿加工设备</t>
  </si>
  <si>
    <t>M6/M12.5/M25</t>
  </si>
  <si>
    <t>舵机减速器、双缸液压机等</t>
  </si>
  <si>
    <t>现在共计有6台滚齿机进行JG生产。分别为2台50年代投入的滚齿机、2台70年代投入的滚齿机、2台80年代投入的滚齿机。</t>
  </si>
  <si>
    <t>磨削精密加工设备</t>
  </si>
  <si>
    <t>外圆磨床/平面磨床</t>
  </si>
  <si>
    <t>中间产品多类型部件的精密加工</t>
  </si>
  <si>
    <t>现有3台70年代投入到外圆磨床，和2台平面磨床进行加工。</t>
  </si>
  <si>
    <t>AGV转运小车</t>
  </si>
  <si>
    <t>智能物流生产线</t>
  </si>
  <si>
    <t xml:space="preserve">450m </t>
  </si>
  <si>
    <t>三座标测量机</t>
  </si>
  <si>
    <t>GN2540</t>
  </si>
  <si>
    <t>模拟运动装置</t>
  </si>
  <si>
    <t>自制</t>
  </si>
  <si>
    <t>船舶管路系统联调装置</t>
  </si>
  <si>
    <t>传动系统综合试验装置</t>
  </si>
  <si>
    <t>阀件综合试验装置</t>
  </si>
  <si>
    <t>内压密封试验装置</t>
  </si>
  <si>
    <t>气压60MPa</t>
  </si>
  <si>
    <t>设备名称</t>
  </si>
  <si>
    <r>
      <t>Q=20t</t>
    </r>
    <r>
      <rPr>
        <sz val="12"/>
        <color theme="1"/>
        <rFont val="仿宋_GB2312"/>
        <family val="3"/>
        <charset val="134"/>
      </rPr>
      <t>，</t>
    </r>
    <r>
      <rPr>
        <sz val="12"/>
        <color theme="1"/>
        <rFont val="Arial Narrow"/>
        <family val="2"/>
      </rPr>
      <t>LK=22.5m</t>
    </r>
    <r>
      <rPr>
        <sz val="12"/>
        <color theme="1"/>
        <rFont val="仿宋_GB2312"/>
        <family val="3"/>
        <charset val="134"/>
      </rPr>
      <t>，</t>
    </r>
    <r>
      <rPr>
        <sz val="12"/>
        <color theme="1"/>
        <rFont val="Arial Narrow"/>
        <family val="2"/>
      </rPr>
      <t>H=12m</t>
    </r>
  </si>
  <si>
    <r>
      <t>Q=10t</t>
    </r>
    <r>
      <rPr>
        <sz val="12"/>
        <color theme="1"/>
        <rFont val="仿宋_GB2312"/>
        <family val="3"/>
        <charset val="134"/>
      </rPr>
      <t>，</t>
    </r>
    <r>
      <rPr>
        <sz val="12"/>
        <color theme="1"/>
        <rFont val="Arial Narrow"/>
        <family val="2"/>
      </rPr>
      <t>LK=22.5m</t>
    </r>
    <r>
      <rPr>
        <sz val="12"/>
        <color theme="1"/>
        <rFont val="仿宋_GB2312"/>
        <family val="3"/>
        <charset val="134"/>
      </rPr>
      <t>，</t>
    </r>
    <r>
      <rPr>
        <sz val="12"/>
        <color theme="1"/>
        <rFont val="Arial Narrow"/>
        <family val="2"/>
      </rPr>
      <t>H=12m</t>
    </r>
  </si>
  <si>
    <r>
      <t>Q=5t</t>
    </r>
    <r>
      <rPr>
        <sz val="12"/>
        <color theme="1"/>
        <rFont val="仿宋_GB2312"/>
        <family val="3"/>
        <charset val="134"/>
      </rPr>
      <t>，</t>
    </r>
    <r>
      <rPr>
        <sz val="12"/>
        <color theme="1"/>
        <rFont val="Arial Narrow"/>
        <family val="2"/>
      </rPr>
      <t>LK=22.5m</t>
    </r>
    <r>
      <rPr>
        <sz val="12"/>
        <color theme="1"/>
        <rFont val="仿宋_GB2312"/>
        <family val="3"/>
        <charset val="134"/>
      </rPr>
      <t>，</t>
    </r>
    <r>
      <rPr>
        <sz val="12"/>
        <color theme="1"/>
        <rFont val="Arial Narrow"/>
        <family val="2"/>
      </rPr>
      <t>H=12m</t>
    </r>
  </si>
  <si>
    <t>数控高压水射流切割机</t>
  </si>
  <si>
    <t>FLOW 3020</t>
  </si>
  <si>
    <t>水上排气外舌阀、通气管止回操纵废气舌阀、进气外舌阀、通气管排气外舌阀、低压废气双向舌阀、进排气舌阀集中润滑管路、通气管排气压力测量及疏水管路、排气管路冷却水管、信号浮标装置，各种钛合金安装螺栓、螺母、垫圈等。</t>
  </si>
  <si>
    <t>现采用1台FLOW 3020型数控高压水射流切割机进行钛合金板下料，由于水射流切割速度较慢，1台设备不能满足JP生产需要。再因采购的板材有部分超出现用切割机3000mm×2000mm切割范围，需添置一台切割范围较大的水切割机。</t>
  </si>
  <si>
    <t>FLOW 5030</t>
  </si>
  <si>
    <t>数控三辊卷板机</t>
  </si>
  <si>
    <t>Q30-20</t>
  </si>
  <si>
    <t>现采用1台4HEL2139型四辊卷板机进行加工，一是生产效率不能满足需要，二是现用卷板机工作辊直径为285mm，φ350以下的圆筒不能卷制，因此还需添置一台卷板机卷制小筒径钛管。</t>
  </si>
  <si>
    <t>数控四辊卷板机</t>
  </si>
  <si>
    <t>4HEL2139</t>
  </si>
  <si>
    <t>油压机</t>
  </si>
  <si>
    <t>1000t</t>
  </si>
  <si>
    <t>现采用400t油压机进行多步模拟压型，成型质量差，工作效率低下。需用压力较大的油压机用模具一次压制成型。</t>
  </si>
  <si>
    <t>等离子复合焊接系统</t>
  </si>
  <si>
    <t>PM320A</t>
  </si>
  <si>
    <t>现采用氩弧加气罩手工焊接，效率低、焊接质量差、钛合金保护差有发兰现象。需添置新工艺提高产品质量和生产效率。</t>
  </si>
  <si>
    <t>微弧氧化处理系统</t>
  </si>
  <si>
    <t>现有微弧氧化处理系统工作功率和工作槽面积较小，不能满足进排气管处理要求，现采用分段处理的方式进行微弧氧化处理，表面质量较差，需添置设备加以改进。</t>
  </si>
  <si>
    <t>钛合金材料成份分析仪</t>
  </si>
  <si>
    <t>现无相应仪器，外协检测，效率极低。</t>
  </si>
  <si>
    <t>钛合金高温力学性能试验系统</t>
  </si>
  <si>
    <t>真空退火炉</t>
  </si>
  <si>
    <t>现有一台真空退火炉，热处理加工一炉产品需要3-5天，一条船需进行热处理对产品有17件，由于受加热区域限制，每件产品均需单独开炉进行处理，再考虑造船生产负荷的不均匀性，一台真空炉不能满足生产需要。</t>
  </si>
  <si>
    <t>真空焊接箱</t>
  </si>
  <si>
    <t>现有一台，但由于是早期产品，设计不够完善，现不能使用</t>
  </si>
  <si>
    <t>数控液压制管机</t>
  </si>
  <si>
    <t>WE67K-650/4200</t>
  </si>
  <si>
    <t>　利旧</t>
  </si>
  <si>
    <t>工作负荷（小时）</t>
  </si>
  <si>
    <t>Q=50t，LK=32m，H=18m</t>
  </si>
  <si>
    <t>Q=32t，LK=32m，H=18m</t>
  </si>
  <si>
    <t>Q=20t，LK=32m，H=18m</t>
  </si>
  <si>
    <t>Q=10t，LK=32m，H=18m</t>
  </si>
  <si>
    <t>数控大型卧式车床</t>
  </si>
  <si>
    <t>CK61100×14000</t>
  </si>
  <si>
    <t>纵向装填装置丝杆</t>
  </si>
  <si>
    <t>现采用三台1972年投入使用的CW61100型大型普通车床进行加工，由于机床使用年限长，机床精度丧失，传动件磨损导致故障频繁，修理手段不能恢复机床性能，需要更新。</t>
  </si>
  <si>
    <t>重型卧式车床</t>
  </si>
  <si>
    <t>C61125×17000</t>
  </si>
  <si>
    <t>轴系加工</t>
  </si>
  <si>
    <t>数控重型卧式车床</t>
  </si>
  <si>
    <t>CK61200×16000</t>
  </si>
  <si>
    <t>数控落地镗铣床</t>
  </si>
  <si>
    <t>TK6916</t>
  </si>
  <si>
    <t>浮筏架</t>
  </si>
  <si>
    <t>数控落地五轴加工中心</t>
  </si>
  <si>
    <t>UNI FORCE 6C-3</t>
  </si>
  <si>
    <t>舵叶</t>
  </si>
  <si>
    <t>现采用国产数控落地镗铣床加工，加工精度差，后期靠钳工长时间反复拂配才勉强达到工艺要求，建议用进口高精度加工中心加工，提高舵系建造质量。</t>
  </si>
  <si>
    <t>数控龙门五轴加工中心</t>
  </si>
  <si>
    <t>CMS35/10000</t>
  </si>
  <si>
    <t>轴系、隐式救生平台、II舱出入舱口、VI舱出入舱口、二孔和四孔通海阀、弹性通舱管件废物抛出装置、排气内舌阀、防波板及传动装置、实施压力机、艉轴前后轴承、艉轴隔振装置</t>
  </si>
  <si>
    <t>现采用国产数控龙门铣床加工，加工精度差，后期靠钳工长时间反复拂配才勉强达到工艺要求，建议用进口高精度加工中心加工，提高建造质量。</t>
  </si>
  <si>
    <t>热处理工业炉窖</t>
  </si>
  <si>
    <t>各零部件热处理</t>
  </si>
  <si>
    <t>现有热处理炉11台</t>
  </si>
  <si>
    <t>快漂试验装置</t>
  </si>
  <si>
    <t>用于快漂装置试验</t>
  </si>
  <si>
    <t>研制</t>
  </si>
  <si>
    <t>外压围井</t>
  </si>
  <si>
    <t>智能转运小车</t>
  </si>
  <si>
    <t>Q=50t，LK=22.5m，H=12m</t>
  </si>
  <si>
    <t>Q=20t，LK=22.5m，H=12m</t>
  </si>
  <si>
    <t>Q=10t，LK=22.5m，H=12m</t>
  </si>
  <si>
    <t>Q=5t，LK=22.5m，H=12m</t>
  </si>
  <si>
    <t>精密数控火焰等离子切割机</t>
  </si>
  <si>
    <t>　6×25m</t>
  </si>
  <si>
    <t>耐压船体安装件（杯型管节、人孔盖、围阱、围栏、填料函壳体、电缆盒壳体、通舱管件等1500余品种产品。)</t>
  </si>
  <si>
    <t>专用设备（有纵向装填装置、存放架、复式滑车、吊装前后梁、可弃压载装置、水密门、800升油箱、900升油箱、高置水箱、隐式救生平台、II舱出入舱口、VI舱出入舱口、吊艇杆、二孔和四孔通海阀、弹性通舱管件废物抛出装置、排气内舌阀、防波板及传动装置、实施压力机、艉轴前后轴承、艉轴隔振装置、升降舵、水平舵、围壳舵防回转导轨、蒸馏水冷却器、轴系滑油冷却器、离子交换器、气味滤器、空气冷却器、厕所容器、油水分离器、刮片式滑油滤器、阳极盒、分罗经密封套筒、信号浮标及传装、电缆截断器、各种舌阀传装及专用工具等800余品种产品。）</t>
  </si>
  <si>
    <t>另有外部装填装置、带顶盖耐压筒、带检修门圆筒、气幕弹发射筒等产品与设计所签订合同承制。</t>
  </si>
  <si>
    <t>舵系</t>
  </si>
  <si>
    <t>数控剪板机</t>
  </si>
  <si>
    <t>最大板厚尺寸20mm</t>
  </si>
  <si>
    <t>现有一台2000年投入使用剪板机，至今使用15年，液压部件老化，运行故障频繁，无修理价值，需要更新。</t>
  </si>
  <si>
    <t>数控卷板机</t>
  </si>
  <si>
    <t>最大板厚尺寸60mm</t>
  </si>
  <si>
    <t>现有卷板机最大卷板厚度16mm，1986年投入使用，工作辊断裂补焊使用，运行状况差，建议更新</t>
  </si>
  <si>
    <t>160吨数控折弯机</t>
  </si>
  <si>
    <t>160t/3200mm</t>
  </si>
  <si>
    <t>现有2002年始用63t/3200折边机一台，液压部件老化，折边压板变形，输出压力小，不能满足现代高强度板加工，需要更新大规格设备。</t>
  </si>
  <si>
    <t>650吨数控折弯机</t>
  </si>
  <si>
    <t>650t×3200mm</t>
  </si>
  <si>
    <t>喉框式压力机</t>
  </si>
  <si>
    <t>160t</t>
  </si>
  <si>
    <t>现有160t喉框式压力机一台</t>
  </si>
  <si>
    <t>1000t油压机</t>
  </si>
  <si>
    <t>公称力100～1000t可调</t>
  </si>
  <si>
    <t>现有1985年投入使用400t油压机1台，1972年投入使用100t油压机1台,2001年投入使用160t油压机一台，液压部件老化，修理费用高，建议更新。</t>
  </si>
  <si>
    <t>压力机</t>
  </si>
  <si>
    <t>100t</t>
  </si>
  <si>
    <t>各类焊机</t>
  </si>
  <si>
    <t>多型焊机</t>
  </si>
  <si>
    <t>现有焊机96台</t>
  </si>
  <si>
    <t>柔性装焊生产线（包含数控机械手）</t>
  </si>
  <si>
    <t>现采用舵叶台架进行手工装焊，效率低、质量不稳定。建议采用数控机械手辅以数控工作台形成柔性装焊单元，提高工作效率和装焊质量</t>
  </si>
  <si>
    <t>绞车、舱口</t>
  </si>
  <si>
    <t>现采用变位机辅以工装进行手工装焊，效率低、质量不稳定。建议采用数控机械手辅以数控工作台形成柔性装焊单元，提高工作效率和装焊质量</t>
  </si>
  <si>
    <t>AGV小车</t>
  </si>
  <si>
    <t>互联物流设施</t>
  </si>
  <si>
    <t>柔性装焊生产线（包含数控机械手）</t>
    <phoneticPr fontId="5" type="noConversion"/>
  </si>
  <si>
    <t>仓储货架</t>
    <phoneticPr fontId="5" type="noConversion"/>
  </si>
  <si>
    <t>需求分析</t>
    <phoneticPr fontId="5" type="noConversion"/>
  </si>
  <si>
    <t>DMU310</t>
    <phoneticPr fontId="5" type="noConversion"/>
  </si>
  <si>
    <t xml:space="preserve">    现采用1977年始用的1台C534J1改装数控立式车床和1台1958年投入使用的C527型普通立式车床完成工作。现有加工工艺缺陷：
1.加工精度差，工作承压性能需靠人工长时间拂配调整，才可能满足工艺需求。
2. 机床使用年限长，运行可靠性差，机床配件市场不能买到，故障后修复时间长，对生产正常进行会有很大影响。
    随着下一代大深度QT的研发，快速上浮脱险装置也会由单人脱险到双人甚至多人同时脱险的方向发展，且快速上浮脱险装置受外压的强度及尺寸均会增大，快漂试验装置的耐压筒结构内空尺寸按照双人快漂装置的初步设计进行确定，设定为Φ3200×8000㎜，工作压力满足最大深度为600m的QT建造配套要求，最大试验压力9MPa（试验安全系数1.5），考虑到其它深海装备、QT的配套设备的外压试验要求，故将耐压筒的工作压力设计为10MPa,由于承压加大现有加工设备加工精度不能满足下一代大深度QT快漂装置的外压强度所需工艺精度要求。</t>
    <phoneticPr fontId="5" type="noConversion"/>
  </si>
  <si>
    <t>QT通常采用内部平面舱壁分隔舱室，内部舱壁结构作为艇体安全性和救生性的一种保障，具备在救生深度下一次承载能力。舱门孔是舱壁上的最大开孔，能保证人员和小型设备通舱。圆门是耐压舱壁上最为常用的一种结构形式，密封性要求高。现采用5台70年代投入的C512型普通立车和1台2000年投入的CK5116型数控立车进行加工。由于机床使用年限长，加工产品尺寸精度和形位精度都不能保证满足工艺要求，加工后靠人工拂配调正，才能达到工艺要求。这种工艺有较大的弊病：1. 工作效率低下；2. 组装完工后，如需再次复装就需重新进行拂配调正，工作量非常大。
    因此需要添置性能高、精度高的数控设备进行加工，保证各部件精度的情况下，人工对产品影响降到最低，工作效率和产品质量才会得到有效保证。</t>
    <phoneticPr fontId="5" type="noConversion"/>
  </si>
  <si>
    <t xml:space="preserve">    现采用35台C6140\C6163普通车床、13台简易数控车床、7台PUMA215类数控车床，共计55台设备进行加工。现工艺状况缺陷：
1. 加工产品精度一致性差、离散性大。
2. 高精度产品保障性差，对人员技能要求高。
3. 转序工艺多，累积误差大。
4. 其中48台设备使用年限超过15年，加工精度及运行性能差。
    QT管路部件应用于QT各管路系统，包括：海、淡水管路系统，燃油管路系统，舱底疏水管路系统，高压空气系统等。QT管路部件包括管子、成型管件、螺纹接头以及法兰四类产品。承压达到5Mpa,外形尺寸要求达到GB16866高精级要求，由于新型号QT开工，产品质量工艺性能较前期产品有显著提升，材料有铜合金、双向不锈钢等，为保证新产品工艺质量要求，避免因多次装夹造成加工累积误差，提高工件的加工精度。同时简化加工工艺流程，提高加工效率。
通过测算分析，为保证产品质量和提升工作效率，利用现有部分性能尚好的15台设备，添置30台性能优良的数控车削机床，共45台机床通过优化工艺和各种管理流程，可以完成该类型产品任务。</t>
    <phoneticPr fontId="5" type="noConversion"/>
  </si>
  <si>
    <r>
      <t xml:space="preserve">    在制艇用高压空气系统阀件、液压系统阀件等，其静音性、耐火性、重量控制、密封性能、承压能力及工作压力、耐腐能力均达不到大深度QT的使用要求。新型号艇阀件产品性能要求将越来越高，高强度、高硬度材质应用将更加广泛，阀件加工尺寸精度、形位公差、粗糙度要求也将明显提升，公司在制造阀体、阀杆、导向阀瓣等重要零部件时，</t>
    </r>
    <r>
      <rPr>
        <sz val="12"/>
        <rFont val="仿宋_GB2312"/>
        <family val="3"/>
        <charset val="134"/>
      </rPr>
      <t>主要加工设备以70年代投入的14台普通铣床为主，还有1台2003年始用的简易数控铣床，加上2013年投入使用的2台F500型数控立式加工中心，共计有17台设备。采用的普通车床和铣床加工，效率不高，反复装夹次数多</t>
    </r>
    <r>
      <rPr>
        <sz val="12"/>
        <color theme="1"/>
        <rFont val="仿宋_GB2312"/>
        <family val="3"/>
        <charset val="134"/>
      </rPr>
      <t>，精度难于控制的现象将更加突出，因此公司急需配置一批车铣复合加工中心，从而保证阀件加工时能保证，同台设备上一次装夹完成车、铣加工，提高阀件加工精度，并能适应公司单件、小批量产品需求。</t>
    </r>
    <phoneticPr fontId="5" type="noConversion"/>
  </si>
  <si>
    <t>　高压阀柱、截止阀、速开阀、通海阀、舱口、舌阀等精密阀件</t>
    <phoneticPr fontId="5" type="noConversion"/>
  </si>
  <si>
    <t xml:space="preserve">　  现在役艇高压阀柱、截止阀、速开阀、通海阀、舱口、舌阀等，其静音性、耐火性、重量控制、密封性能、承压能力及工作压力、耐腐能力均达不到大深度QT的使用要求。其加工主要设备为以70年代投入使用的普通镗床、普通车床、立式铣床、7台普通镗床和3台数控镗床进行多工序转序加工。2001年和2010年投入使用的两台国产卧式加工中心进行关键工序加工。由于加工机床使用年限长，加工精度不能满足产品工艺要求。
    新型艇总体所对艇用油、水、气管路系统系列阀件及相关设备提出了更高的要求，主要对小型化、重量轻、流阻小、低噪音、低震动、双密封等提出了具体的要求，要满足上述要求，必须从设计和制造两方面解决，在设计上必须有相关的计算机有限元分析软件、仿真软件进行辅助设计；未来阀件产品性能要求将越来越高，高强度、高硬度材质应用将更加广泛，阀件加工尺寸精度、形位公差、粗糙度要求也将更加严格，公司在制造：阀体、阀杆、导向阀瓣等重要零部件时，目前采用的普通车床和铣床加工，效率不高，反复装夹次数多，精度难于控制的现象将更加突出，因此公司急需配置一批车铣复合加工中心，从而保证阀件加工时能保证，同台设备上一次装夹完成车、铣、镗加工，提高阀件加工精度，满足大潜深阀件承压要求。
</t>
    <phoneticPr fontId="5" type="noConversion"/>
  </si>
  <si>
    <t xml:space="preserve">    纵向装填装置为艇内艏舱用于装雷的重要部件。其与存放架装置、复式滑车装置、吊运装置等一并实现雷弹在艇内的转运和装雷动作，以两台数控龙门铣床为主，辅以两台龙门刨床进行加工。龙门刨床加工变形大，不适合进行快填装置薄壁型导轨加工，两台现役龙门铣床由于使用年限长，加工表面粗糙度和直线度很难达到产品工艺要求。
    根据噪声产生的机理，通过对快填装置制造、安装中的各个环节进行初步分析和噪声对比，雷弹纵向装填装置中产生机械主要噪声源主要有：螺母与螺杆的螺旋运动副、螺母与T型梁滑动运动副、螺母与弹簧套筒碰撞、齿轮箱齿轮运动副和液压马达。噪声指标须进行检测并在制造过程严格控制，以提高声隐身能力。纵向装填装置框架结构由T型梁组成，T型梁长度为8.7m，表面粗糙度达Ra1.6μm，直线度为0.06/1000。T型梁为典型的薄壁件，焊后加工精度不易控制，需采用先进大型数控加工设备进行精密加工才能保证加工精度，有效保证产品质量，降低快填装置运行噪声。</t>
    <phoneticPr fontId="5" type="noConversion"/>
  </si>
  <si>
    <t>舵机减速器、双缸液压机、纵向装填装置减速器等</t>
    <phoneticPr fontId="5" type="noConversion"/>
  </si>
  <si>
    <t xml:space="preserve">    现在共计有6台滚齿机进行JG生产。分别为2台50年代投入的滚齿机、2台70年代投入的滚齿机、2台80年代投入的滚齿机。现有齿加工机床都是使用了35年以上的老设备，加工齿轮时齿形误差大、表面粗糙度差，是减速器产品运行噪声、运行效率低的主要因素。因此更新齿加工机床是必须的。</t>
    <phoneticPr fontId="5" type="noConversion"/>
  </si>
  <si>
    <t>现有3台70年代投入到外圆磨床，和2台平面磨床进行加工。这些设备现已使用约45年，由于机床自身磨损，机床自身精度已丧失，不能满足精密加工要求，必须更新。</t>
    <phoneticPr fontId="5" type="noConversion"/>
  </si>
  <si>
    <t>用于中间产品精度检测</t>
    <phoneticPr fontId="5" type="noConversion"/>
  </si>
  <si>
    <t>现有一台三坐标测量机，不能满足生产需要</t>
    <phoneticPr fontId="5" type="noConversion"/>
  </si>
  <si>
    <t>各型阀件、系统管路附件、补偿装置、连接件、液压元器件、吊装孔、典型贯穿件、门及管件、液压装置、减速器、船体安装件</t>
    <phoneticPr fontId="5" type="noConversion"/>
  </si>
  <si>
    <t>舵机减速器、双缸液压机、纵向装填装置、减速器、各型阀件等均需进行型式试验</t>
    <phoneticPr fontId="5" type="noConversion"/>
  </si>
  <si>
    <t>现有模拟运动装置和传动系统综合实验装置都是简易台架，没用数字监控、检测系统，靠压载铁推算所需检测数据，没用先进的数据检测系统，需要对其进行更新。
没有阀件综合试验装置，现用加压泵进行进行检测，效率低、可靠性差。没用办法检测阀件运动可靠性，因此急需添置阀件综合试验装置。</t>
    <phoneticPr fontId="5" type="noConversion"/>
  </si>
  <si>
    <t>水上排气外舌阀、通气管止回操纵废气舌阀、进气外舌阀、通气管排气外舌阀、低压废气双向舌阀、进排气舌阀集中润滑管路、通气管排气压力测量及疏水管路、排气管路冷却水管、信号浮标装置，各种钛合金安装螺栓、螺母、垫圈等。</t>
    <phoneticPr fontId="5" type="noConversion"/>
  </si>
  <si>
    <t>现有三台1972年投入使用的CW61100普通卧式车床</t>
    <phoneticPr fontId="5" type="noConversion"/>
  </si>
  <si>
    <t>现有热处理炉11台</t>
    <phoneticPr fontId="5" type="noConversion"/>
  </si>
  <si>
    <t>现采用三台1972年投入使用的CW61100型大型普通车床进行加工，由于机床使用年限长，机床精度丧失，传动件磨损导致故障频繁，修理手段不能恢复机床性能，需要更新。</t>
    <phoneticPr fontId="5" type="noConversion"/>
  </si>
  <si>
    <t>细长轴系加工</t>
    <phoneticPr fontId="5" type="noConversion"/>
  </si>
  <si>
    <t>TK6920</t>
    <phoneticPr fontId="5" type="noConversion"/>
  </si>
  <si>
    <t>现有焊机96台，已使用8年以上，焊接电流不稳定，需更新。</t>
    <phoneticPr fontId="5" type="noConversion"/>
  </si>
  <si>
    <t>各型产品中间转序</t>
    <phoneticPr fontId="5" type="noConversion"/>
  </si>
  <si>
    <t>现采用人工小车、电瓶车等转运，效率低、人为因素影响大，需建设智能物流设施，提高生产效率。</t>
    <phoneticPr fontId="5" type="noConversion"/>
  </si>
  <si>
    <t>现无专用仓储货架，放置随意性强。</t>
    <phoneticPr fontId="5" type="noConversion"/>
  </si>
  <si>
    <t>DMU310</t>
    <phoneticPr fontId="5" type="noConversion"/>
  </si>
  <si>
    <r>
      <t>Q=20t</t>
    </r>
    <r>
      <rPr>
        <sz val="12"/>
        <color theme="1"/>
        <rFont val="仿宋_GB2312"/>
        <family val="3"/>
        <charset val="134"/>
      </rPr>
      <t>，</t>
    </r>
    <r>
      <rPr>
        <sz val="12"/>
        <color theme="1"/>
        <rFont val="Arial Narrow"/>
        <family val="2"/>
      </rPr>
      <t>LK=22.5m</t>
    </r>
    <r>
      <rPr>
        <sz val="12"/>
        <color theme="1"/>
        <rFont val="仿宋_GB2312"/>
        <family val="3"/>
        <charset val="134"/>
      </rPr>
      <t>，</t>
    </r>
    <r>
      <rPr>
        <sz val="12"/>
        <color theme="1"/>
        <rFont val="Arial Narrow"/>
        <family val="2"/>
      </rPr>
      <t>H=12m</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</si>
</sst>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宋体"/>
      <family val="2"/>
      <charset val="134"/>
      <scheme val="minor"/>
    </font>
    <font>
      <sz val="10.5"/>
      <color theme="1"/>
      <name val="Times New Roman"/>
      <family val="1"/>
    </font>
    <font>
      <sz val="12"/>
      <color theme="1"/>
      <name val="仿宋_GB2312"/>
      <family val="3"/>
      <charset val="134"/>
    </font>
    <font>
      <sz val="12"/>
      <color theme="1"/>
      <name val="宋体"/>
      <family val="3"/>
      <charset val="134"/>
    </font>
    <font>
      <sz val="12"/>
      <color theme="1"/>
      <name val="Arial Narrow"/>
      <family val="2"/>
    </font>
    <font>
      <sz val="9"/>
      <name val="宋体"/>
      <family val="2"/>
      <charset val="134"/>
      <scheme val="minor"/>
    </font>
    <font>
      <sz val="12"/>
      <name val="仿宋_GB2312"/>
      <family val="3"/>
      <charset val="134"/>
    </font>
  </fonts>
  <fills count="4">
    <fill>
      <patternFill patternType="none"/>
    </fill>
    <fill>
      <patternFill patternType="gray125"/>
    </fill>
    <fill>
      <patternFill patternType="solid">
        <fgColor theme="0"/>
        <bgColor indexed="64"/>
      </patternFill>
    </fill>
    <fill>
      <patternFill patternType="solid">
        <fgColor rgb="FFFFC000"/>
        <bgColor indexed="64"/>
      </patternFill>
    </fill>
  </fills>
  <borders count="14">
    <border>
      <left/>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alignment vertical="center"/>
    </xf>
  </cellStyleXfs>
  <cellXfs count="111">
    <xf numFmtId="0" fontId="0" fillId="0" borderId="0" xfId="0">
      <alignment vertical="center"/>
    </xf>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justify" vertical="center"/>
    </xf>
    <xf numFmtId="0" fontId="2" fillId="0" borderId="1" xfId="0" applyFont="1" applyBorder="1" applyAlignment="1">
      <alignment horizontal="justify" vertical="center" wrapText="1"/>
    </xf>
    <xf numFmtId="0" fontId="3" fillId="0" borderId="5"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justify" vertical="center" wrapText="1"/>
    </xf>
    <xf numFmtId="0" fontId="3" fillId="0" borderId="1" xfId="0" applyFont="1" applyBorder="1" applyAlignment="1">
      <alignment horizontal="justify" vertical="center"/>
    </xf>
    <xf numFmtId="0" fontId="4" fillId="0" borderId="1" xfId="0" applyFont="1" applyBorder="1" applyAlignment="1">
      <alignment horizontal="justify" vertical="center"/>
    </xf>
    <xf numFmtId="0" fontId="3" fillId="0" borderId="1" xfId="0" applyFont="1" applyBorder="1" applyAlignment="1">
      <alignment horizontal="justify" vertical="center" wrapText="1"/>
    </xf>
    <xf numFmtId="0" fontId="3" fillId="0" borderId="3" xfId="0" applyFont="1" applyBorder="1" applyAlignment="1">
      <alignment horizontal="center" vertical="center"/>
    </xf>
    <xf numFmtId="0" fontId="3" fillId="0" borderId="1" xfId="0" applyFont="1" applyBorder="1" applyAlignment="1">
      <alignment horizontal="left" vertical="center"/>
    </xf>
    <xf numFmtId="0" fontId="1" fillId="0" borderId="1" xfId="0" applyFont="1" applyBorder="1" applyAlignment="1">
      <alignment horizontal="right" vertical="center"/>
    </xf>
    <xf numFmtId="0" fontId="3" fillId="0" borderId="1" xfId="0" applyFont="1" applyBorder="1" applyAlignment="1">
      <alignment horizontal="left" vertical="center" wrapText="1"/>
    </xf>
    <xf numFmtId="0" fontId="3" fillId="0" borderId="1" xfId="0" applyFont="1" applyBorder="1" applyAlignment="1">
      <alignment horizontal="right" vertical="center"/>
    </xf>
    <xf numFmtId="0" fontId="3" fillId="0" borderId="3"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xf>
    <xf numFmtId="0" fontId="3" fillId="0" borderId="6" xfId="0" applyFont="1" applyBorder="1" applyAlignment="1">
      <alignment horizontal="left" vertical="center" wrapText="1"/>
    </xf>
    <xf numFmtId="0" fontId="0" fillId="0" borderId="6" xfId="0" applyBorder="1" applyAlignment="1">
      <alignment vertical="center" wrapText="1"/>
    </xf>
    <xf numFmtId="0" fontId="0" fillId="0" borderId="1" xfId="0" applyBorder="1" applyAlignment="1">
      <alignment vertical="center" wrapText="1"/>
    </xf>
    <xf numFmtId="0" fontId="4" fillId="0" borderId="9" xfId="0" applyFont="1" applyBorder="1" applyAlignment="1">
      <alignment horizontal="justify" vertical="center" wrapText="1"/>
    </xf>
    <xf numFmtId="0" fontId="3" fillId="0" borderId="9" xfId="0" applyFont="1" applyBorder="1" applyAlignment="1">
      <alignment horizontal="justify" vertical="center"/>
    </xf>
    <xf numFmtId="0" fontId="2" fillId="0" borderId="9" xfId="0" applyFont="1" applyBorder="1" applyAlignment="1">
      <alignment horizontal="left" vertical="center" wrapText="1"/>
    </xf>
    <xf numFmtId="0" fontId="0" fillId="0" borderId="9" xfId="0" applyBorder="1">
      <alignment vertical="center"/>
    </xf>
    <xf numFmtId="0" fontId="3" fillId="0" borderId="9" xfId="0" applyFont="1" applyBorder="1" applyAlignment="1">
      <alignment horizontal="justify" vertical="center" wrapText="1"/>
    </xf>
    <xf numFmtId="0" fontId="3" fillId="0" borderId="9" xfId="0" applyFont="1" applyBorder="1" applyAlignment="1">
      <alignment horizontal="left" vertical="center"/>
    </xf>
    <xf numFmtId="0" fontId="2" fillId="0" borderId="9" xfId="0" applyFont="1" applyBorder="1" applyAlignment="1">
      <alignment horizontal="justify" vertical="center" wrapText="1"/>
    </xf>
    <xf numFmtId="0" fontId="2" fillId="0" borderId="9" xfId="0" applyFont="1" applyBorder="1" applyAlignment="1">
      <alignment horizontal="left" vertical="center"/>
    </xf>
    <xf numFmtId="0" fontId="2" fillId="0" borderId="9" xfId="0" applyFont="1" applyBorder="1" applyAlignment="1">
      <alignment horizontal="justify" vertical="center"/>
    </xf>
    <xf numFmtId="0" fontId="2" fillId="0" borderId="9" xfId="0" applyFont="1" applyBorder="1" applyAlignment="1">
      <alignment horizontal="center" vertical="center" wrapText="1"/>
    </xf>
    <xf numFmtId="0" fontId="2" fillId="0" borderId="9" xfId="0" applyFont="1" applyBorder="1" applyAlignment="1">
      <alignment horizontal="center" vertical="center"/>
    </xf>
    <xf numFmtId="0" fontId="0" fillId="2" borderId="13" xfId="0" applyFill="1" applyBorder="1" applyAlignment="1">
      <alignment horizontal="center" vertical="center"/>
    </xf>
    <xf numFmtId="0" fontId="2" fillId="3" borderId="9" xfId="0" applyFont="1" applyFill="1" applyBorder="1" applyAlignment="1">
      <alignment horizontal="justify"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justify" vertical="center" wrapText="1"/>
    </xf>
    <xf numFmtId="0" fontId="2" fillId="0" borderId="8"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2" xfId="0" applyFont="1" applyBorder="1" applyAlignment="1">
      <alignment horizontal="justify" vertical="center"/>
    </xf>
    <xf numFmtId="0" fontId="2" fillId="0" borderId="8" xfId="0" applyFont="1" applyBorder="1" applyAlignment="1">
      <alignment horizontal="justify" vertical="center"/>
    </xf>
    <xf numFmtId="0" fontId="2" fillId="0" borderId="3" xfId="0" applyFont="1" applyBorder="1" applyAlignment="1">
      <alignment horizontal="justify"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justify" vertical="center" wrapText="1"/>
    </xf>
    <xf numFmtId="0" fontId="3" fillId="0" borderId="8"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2" xfId="0" applyFont="1" applyBorder="1" applyAlignment="1">
      <alignment horizontal="justify" vertical="center"/>
    </xf>
    <xf numFmtId="0" fontId="3" fillId="0" borderId="8" xfId="0" applyFont="1" applyBorder="1" applyAlignment="1">
      <alignment horizontal="justify" vertical="center"/>
    </xf>
    <xf numFmtId="0" fontId="3" fillId="0" borderId="3" xfId="0" applyFont="1" applyBorder="1" applyAlignment="1">
      <alignment horizontal="justify"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right" vertical="center"/>
    </xf>
    <xf numFmtId="0" fontId="3" fillId="0" borderId="8" xfId="0" applyFont="1" applyBorder="1" applyAlignment="1">
      <alignment horizontal="right" vertical="center"/>
    </xf>
    <xf numFmtId="0" fontId="3" fillId="0" borderId="3" xfId="0" applyFont="1" applyBorder="1" applyAlignment="1">
      <alignment horizontal="right" vertic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8" xfId="0" applyFont="1" applyBorder="1" applyAlignment="1">
      <alignment horizontal="left" vertical="center" wrapText="1"/>
    </xf>
    <xf numFmtId="0" fontId="0" fillId="2" borderId="13" xfId="0" applyFill="1" applyBorder="1" applyAlignment="1">
      <alignment horizontal="center" vertical="center"/>
    </xf>
    <xf numFmtId="0" fontId="2" fillId="0" borderId="9" xfId="0" applyFont="1" applyBorder="1" applyAlignment="1">
      <alignment horizontal="center" vertical="center" wrapText="1"/>
    </xf>
    <xf numFmtId="0" fontId="2" fillId="0" borderId="9" xfId="0" applyFont="1" applyBorder="1" applyAlignment="1">
      <alignment horizontal="center" vertical="center"/>
    </xf>
    <xf numFmtId="0" fontId="4" fillId="0" borderId="9" xfId="0" applyFont="1" applyBorder="1" applyAlignment="1">
      <alignment horizontal="justify" vertical="center"/>
    </xf>
    <xf numFmtId="0" fontId="3" fillId="0" borderId="9" xfId="0" applyFont="1" applyBorder="1" applyAlignment="1">
      <alignment horizontal="right" vertical="center"/>
    </xf>
    <xf numFmtId="0" fontId="2" fillId="2" borderId="9" xfId="0" applyFont="1" applyFill="1" applyBorder="1" applyAlignment="1">
      <alignment horizontal="center" vertical="center"/>
    </xf>
    <xf numFmtId="0" fontId="2" fillId="2" borderId="9" xfId="0" applyFont="1" applyFill="1" applyBorder="1" applyAlignment="1">
      <alignment horizontal="center" vertical="center" wrapText="1"/>
    </xf>
    <xf numFmtId="0" fontId="2" fillId="2" borderId="9" xfId="0" applyFont="1" applyFill="1" applyBorder="1" applyAlignment="1">
      <alignment horizontal="left" vertical="center"/>
    </xf>
    <xf numFmtId="0" fontId="0" fillId="2" borderId="0" xfId="0" applyFill="1">
      <alignment vertical="center"/>
    </xf>
    <xf numFmtId="0" fontId="2" fillId="2" borderId="9" xfId="0" applyFont="1" applyFill="1" applyBorder="1" applyAlignment="1">
      <alignment horizontal="center" vertical="center"/>
    </xf>
    <xf numFmtId="0" fontId="2" fillId="2" borderId="9" xfId="0" applyFont="1" applyFill="1" applyBorder="1" applyAlignment="1">
      <alignment horizontal="justify" vertical="center"/>
    </xf>
    <xf numFmtId="0" fontId="2" fillId="2" borderId="9" xfId="0" applyFont="1" applyFill="1" applyBorder="1" applyAlignment="1">
      <alignment horizontal="justify" vertical="center" wrapText="1"/>
    </xf>
    <xf numFmtId="0" fontId="2" fillId="2" borderId="9" xfId="0" applyFont="1" applyFill="1" applyBorder="1" applyAlignment="1">
      <alignment horizontal="left" vertical="center"/>
    </xf>
    <xf numFmtId="0" fontId="2" fillId="2" borderId="9" xfId="0" applyFont="1" applyFill="1" applyBorder="1" applyAlignment="1">
      <alignment horizontal="justify" vertical="center"/>
    </xf>
    <xf numFmtId="0" fontId="2" fillId="2" borderId="10" xfId="0" applyFont="1" applyFill="1" applyBorder="1" applyAlignment="1">
      <alignment horizontal="left" vertical="center" wrapText="1"/>
    </xf>
    <xf numFmtId="0" fontId="2" fillId="2" borderId="10" xfId="0" applyFont="1" applyFill="1" applyBorder="1" applyAlignment="1">
      <alignment horizontal="center" vertical="center"/>
    </xf>
    <xf numFmtId="0" fontId="2" fillId="2" borderId="11" xfId="0" applyFont="1" applyFill="1" applyBorder="1" applyAlignment="1">
      <alignment horizontal="left" vertical="center" wrapText="1"/>
    </xf>
    <xf numFmtId="0" fontId="2" fillId="2" borderId="11" xfId="0" applyFont="1" applyFill="1" applyBorder="1" applyAlignment="1">
      <alignment horizontal="center" vertical="center"/>
    </xf>
    <xf numFmtId="0" fontId="2" fillId="2" borderId="12" xfId="0" applyFont="1" applyFill="1" applyBorder="1" applyAlignment="1">
      <alignment horizontal="left" vertical="center" wrapText="1"/>
    </xf>
    <xf numFmtId="0" fontId="2" fillId="2" borderId="12" xfId="0" applyFont="1" applyFill="1" applyBorder="1" applyAlignment="1">
      <alignment horizontal="center" vertical="center"/>
    </xf>
    <xf numFmtId="0" fontId="2" fillId="2" borderId="9" xfId="0" applyFont="1" applyFill="1" applyBorder="1" applyAlignment="1">
      <alignment horizontal="justify" vertical="center" wrapText="1"/>
    </xf>
    <xf numFmtId="0" fontId="3" fillId="2" borderId="9" xfId="0" applyFont="1" applyFill="1" applyBorder="1" applyAlignment="1">
      <alignment horizontal="left" vertical="center"/>
    </xf>
    <xf numFmtId="0" fontId="4" fillId="2" borderId="9" xfId="0" applyFont="1" applyFill="1" applyBorder="1" applyAlignment="1">
      <alignment horizontal="justify" vertical="center" wrapText="1"/>
    </xf>
    <xf numFmtId="0" fontId="3" fillId="2" borderId="9" xfId="0" applyFont="1" applyFill="1" applyBorder="1" applyAlignment="1">
      <alignment horizontal="justify" vertical="center" wrapText="1"/>
    </xf>
    <xf numFmtId="0" fontId="3" fillId="2" borderId="9" xfId="0" applyFont="1" applyFill="1" applyBorder="1" applyAlignment="1">
      <alignment horizontal="left" vertical="center"/>
    </xf>
    <xf numFmtId="0" fontId="4" fillId="2" borderId="9" xfId="0" applyFont="1" applyFill="1" applyBorder="1" applyAlignment="1">
      <alignment horizontal="center" vertical="center" wrapText="1"/>
    </xf>
    <xf numFmtId="0" fontId="3" fillId="2" borderId="9" xfId="0" applyFont="1" applyFill="1" applyBorder="1" applyAlignment="1">
      <alignment horizontal="justify" vertical="center" wrapText="1"/>
    </xf>
    <xf numFmtId="0" fontId="3" fillId="2" borderId="9" xfId="0" applyFont="1" applyFill="1" applyBorder="1" applyAlignment="1">
      <alignment horizontal="justify" vertical="center"/>
    </xf>
    <xf numFmtId="0" fontId="4" fillId="2" borderId="9" xfId="0" applyFont="1" applyFill="1" applyBorder="1" applyAlignment="1">
      <alignment horizontal="center" vertical="center"/>
    </xf>
    <xf numFmtId="0" fontId="1" fillId="2" borderId="9" xfId="0" applyFont="1" applyFill="1" applyBorder="1" applyAlignment="1">
      <alignment horizontal="left" vertical="center"/>
    </xf>
    <xf numFmtId="0" fontId="3" fillId="2" borderId="9" xfId="0" applyFont="1" applyFill="1" applyBorder="1" applyAlignment="1">
      <alignment horizontal="left" vertical="center" wrapText="1"/>
    </xf>
    <xf numFmtId="0" fontId="2" fillId="2" borderId="9" xfId="0" applyFont="1" applyFill="1" applyBorder="1" applyAlignment="1">
      <alignment horizontal="center" vertical="center" wrapText="1"/>
    </xf>
    <xf numFmtId="0" fontId="2" fillId="2" borderId="9" xfId="0" applyFont="1" applyFill="1" applyBorder="1" applyAlignment="1">
      <alignment horizontal="left" vertical="center" wrapText="1"/>
    </xf>
    <xf numFmtId="0" fontId="3" fillId="2" borderId="10" xfId="0" applyFont="1" applyFill="1" applyBorder="1" applyAlignment="1">
      <alignment horizontal="left" vertical="center"/>
    </xf>
    <xf numFmtId="0" fontId="0" fillId="2" borderId="11" xfId="0" applyFill="1" applyBorder="1" applyAlignment="1">
      <alignment horizontal="left" vertical="center"/>
    </xf>
    <xf numFmtId="0" fontId="3" fillId="2" borderId="9" xfId="0" applyFont="1" applyFill="1" applyBorder="1" applyAlignment="1">
      <alignment horizontal="left" vertical="center" wrapText="1"/>
    </xf>
    <xf numFmtId="0" fontId="0" fillId="2" borderId="9" xfId="0" applyFill="1" applyBorder="1" applyAlignment="1">
      <alignment vertical="center" wrapText="1"/>
    </xf>
    <xf numFmtId="0" fontId="0" fillId="2" borderId="12" xfId="0" applyFill="1" applyBorder="1" applyAlignment="1">
      <alignment horizontal="left" vertical="center"/>
    </xf>
    <xf numFmtId="0" fontId="0" fillId="2" borderId="9" xfId="0" applyFill="1" applyBorder="1">
      <alignment vertical="center"/>
    </xf>
    <xf numFmtId="0" fontId="0" fillId="2" borderId="0" xfId="0" applyFill="1" applyAlignment="1">
      <alignment horizontal="left" vertical="center"/>
    </xf>
    <xf numFmtId="0" fontId="0" fillId="2" borderId="0" xfId="0" applyFill="1" applyAlignment="1">
      <alignment horizontal="center" vertical="center"/>
    </xf>
    <xf numFmtId="0" fontId="2" fillId="3" borderId="9" xfId="0" applyFont="1" applyFill="1" applyBorder="1" applyAlignment="1">
      <alignment horizontal="center" vertical="center"/>
    </xf>
    <xf numFmtId="0" fontId="3" fillId="3" borderId="9" xfId="0" applyFont="1" applyFill="1" applyBorder="1" applyAlignment="1">
      <alignment horizontal="left" vertical="center"/>
    </xf>
    <xf numFmtId="0" fontId="0" fillId="3" borderId="0" xfId="0"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5"/>
  <sheetViews>
    <sheetView workbookViewId="0">
      <selection sqref="A1:XFD1048576"/>
    </sheetView>
  </sheetViews>
  <sheetFormatPr defaultRowHeight="13.5" x14ac:dyDescent="0.15"/>
  <cols>
    <col min="1" max="1" width="5.375" customWidth="1"/>
    <col min="2" max="2" width="24.375" customWidth="1"/>
    <col min="3" max="3" width="32" customWidth="1"/>
  </cols>
  <sheetData>
    <row r="1" spans="1:12" ht="15" customHeight="1" thickBot="1" x14ac:dyDescent="0.2">
      <c r="A1" s="37" t="s">
        <v>0</v>
      </c>
      <c r="B1" s="37" t="s">
        <v>1</v>
      </c>
      <c r="C1" s="39" t="s">
        <v>2</v>
      </c>
      <c r="D1" s="37" t="s">
        <v>3</v>
      </c>
      <c r="E1" s="1" t="s">
        <v>4</v>
      </c>
      <c r="F1" s="37" t="s">
        <v>6</v>
      </c>
      <c r="G1" s="37" t="s">
        <v>7</v>
      </c>
      <c r="H1" s="39" t="s">
        <v>8</v>
      </c>
      <c r="I1" s="39" t="s">
        <v>9</v>
      </c>
      <c r="J1" s="41" t="s">
        <v>10</v>
      </c>
      <c r="K1" s="42"/>
      <c r="L1" s="39" t="s">
        <v>11</v>
      </c>
    </row>
    <row r="2" spans="1:12" ht="15" thickBot="1" x14ac:dyDescent="0.2">
      <c r="A2" s="38"/>
      <c r="B2" s="38"/>
      <c r="C2" s="40"/>
      <c r="D2" s="38"/>
      <c r="E2" s="2" t="s">
        <v>5</v>
      </c>
      <c r="F2" s="38"/>
      <c r="G2" s="38"/>
      <c r="H2" s="40"/>
      <c r="I2" s="40"/>
      <c r="J2" s="2" t="s">
        <v>12</v>
      </c>
      <c r="K2" s="2" t="s">
        <v>13</v>
      </c>
      <c r="L2" s="40"/>
    </row>
    <row r="3" spans="1:12" ht="15" thickBot="1" x14ac:dyDescent="0.2">
      <c r="A3" s="3">
        <v>1</v>
      </c>
      <c r="B3" s="4" t="s">
        <v>14</v>
      </c>
      <c r="C3" s="4" t="s">
        <v>15</v>
      </c>
      <c r="D3" s="4"/>
      <c r="E3" s="4"/>
      <c r="F3" s="4"/>
      <c r="G3" s="4" t="s">
        <v>16</v>
      </c>
      <c r="H3" s="4" t="s">
        <v>17</v>
      </c>
      <c r="I3" s="4">
        <v>16</v>
      </c>
      <c r="J3" s="4">
        <v>20</v>
      </c>
      <c r="K3" s="4">
        <v>320</v>
      </c>
      <c r="L3" s="4"/>
    </row>
    <row r="4" spans="1:12" ht="15" thickBot="1" x14ac:dyDescent="0.2">
      <c r="A4" s="3">
        <v>2</v>
      </c>
      <c r="B4" s="4" t="s">
        <v>14</v>
      </c>
      <c r="C4" s="4" t="s">
        <v>18</v>
      </c>
      <c r="D4" s="4"/>
      <c r="E4" s="4"/>
      <c r="F4" s="4"/>
      <c r="G4" s="4" t="s">
        <v>16</v>
      </c>
      <c r="H4" s="4" t="s">
        <v>17</v>
      </c>
      <c r="I4" s="4">
        <v>8</v>
      </c>
      <c r="J4" s="4">
        <v>25</v>
      </c>
      <c r="K4" s="4">
        <v>200</v>
      </c>
      <c r="L4" s="4"/>
    </row>
    <row r="5" spans="1:12" ht="15" thickBot="1" x14ac:dyDescent="0.2">
      <c r="A5" s="3">
        <v>3</v>
      </c>
      <c r="B5" s="4" t="s">
        <v>14</v>
      </c>
      <c r="C5" s="4" t="s">
        <v>19</v>
      </c>
      <c r="D5" s="4"/>
      <c r="E5" s="4"/>
      <c r="F5" s="4"/>
      <c r="G5" s="4" t="s">
        <v>16</v>
      </c>
      <c r="H5" s="4" t="s">
        <v>17</v>
      </c>
      <c r="I5" s="4">
        <v>4</v>
      </c>
      <c r="J5" s="4">
        <v>80</v>
      </c>
      <c r="K5" s="4">
        <v>320</v>
      </c>
      <c r="L5" s="4"/>
    </row>
    <row r="6" spans="1:12" ht="53.25" customHeight="1" thickBot="1" x14ac:dyDescent="0.2">
      <c r="A6" s="3">
        <v>4</v>
      </c>
      <c r="B6" s="4" t="s">
        <v>20</v>
      </c>
      <c r="C6" s="4" t="s">
        <v>21</v>
      </c>
      <c r="D6" s="43" t="s">
        <v>22</v>
      </c>
      <c r="E6" s="46">
        <v>26560</v>
      </c>
      <c r="F6" s="43" t="s">
        <v>23</v>
      </c>
      <c r="G6" s="4" t="s">
        <v>16</v>
      </c>
      <c r="H6" s="4" t="s">
        <v>24</v>
      </c>
      <c r="I6" s="4">
        <v>8</v>
      </c>
      <c r="J6" s="4">
        <v>5</v>
      </c>
      <c r="K6" s="4">
        <v>0</v>
      </c>
      <c r="L6" s="4">
        <v>6</v>
      </c>
    </row>
    <row r="7" spans="1:12" ht="15" thickBot="1" x14ac:dyDescent="0.2">
      <c r="A7" s="3">
        <v>5</v>
      </c>
      <c r="B7" s="4" t="s">
        <v>25</v>
      </c>
      <c r="C7" s="4" t="s">
        <v>26</v>
      </c>
      <c r="D7" s="44"/>
      <c r="E7" s="47"/>
      <c r="F7" s="44"/>
      <c r="G7" s="4" t="s">
        <v>27</v>
      </c>
      <c r="H7" s="4" t="s">
        <v>24</v>
      </c>
      <c r="I7" s="4">
        <v>6</v>
      </c>
      <c r="J7" s="4">
        <v>55</v>
      </c>
      <c r="K7" s="4">
        <v>0</v>
      </c>
      <c r="L7" s="4">
        <v>49.5</v>
      </c>
    </row>
    <row r="8" spans="1:12" ht="15" thickBot="1" x14ac:dyDescent="0.2">
      <c r="A8" s="3">
        <v>6</v>
      </c>
      <c r="B8" s="4" t="s">
        <v>28</v>
      </c>
      <c r="C8" s="4" t="s">
        <v>29</v>
      </c>
      <c r="D8" s="44"/>
      <c r="E8" s="47"/>
      <c r="F8" s="44"/>
      <c r="G8" s="4" t="s">
        <v>30</v>
      </c>
      <c r="H8" s="4" t="s">
        <v>24</v>
      </c>
      <c r="I8" s="4">
        <v>1</v>
      </c>
      <c r="J8" s="4">
        <v>110</v>
      </c>
      <c r="K8" s="4">
        <v>0</v>
      </c>
      <c r="L8" s="4">
        <v>16.5</v>
      </c>
    </row>
    <row r="9" spans="1:12" ht="15" thickBot="1" x14ac:dyDescent="0.2">
      <c r="A9" s="3">
        <v>7</v>
      </c>
      <c r="B9" s="4" t="s">
        <v>31</v>
      </c>
      <c r="C9" s="4" t="s">
        <v>26</v>
      </c>
      <c r="D9" s="44"/>
      <c r="E9" s="47"/>
      <c r="F9" s="44"/>
      <c r="G9" s="4" t="s">
        <v>27</v>
      </c>
      <c r="H9" s="4" t="s">
        <v>17</v>
      </c>
      <c r="I9" s="4">
        <v>16</v>
      </c>
      <c r="J9" s="4">
        <v>55</v>
      </c>
      <c r="K9" s="4">
        <v>880</v>
      </c>
      <c r="L9" s="4"/>
    </row>
    <row r="10" spans="1:12" ht="15" thickBot="1" x14ac:dyDescent="0.2">
      <c r="A10" s="3">
        <v>8</v>
      </c>
      <c r="B10" s="4" t="s">
        <v>28</v>
      </c>
      <c r="C10" s="4" t="s">
        <v>32</v>
      </c>
      <c r="D10" s="44"/>
      <c r="E10" s="47"/>
      <c r="F10" s="44"/>
      <c r="G10" s="4" t="s">
        <v>30</v>
      </c>
      <c r="H10" s="4" t="s">
        <v>17</v>
      </c>
      <c r="I10" s="4">
        <v>12</v>
      </c>
      <c r="J10" s="4">
        <v>85</v>
      </c>
      <c r="K10" s="4">
        <v>1020</v>
      </c>
      <c r="L10" s="4"/>
    </row>
    <row r="11" spans="1:12" ht="15" thickBot="1" x14ac:dyDescent="0.2">
      <c r="A11" s="3">
        <v>9</v>
      </c>
      <c r="B11" s="4" t="s">
        <v>33</v>
      </c>
      <c r="C11" s="4" t="s">
        <v>34</v>
      </c>
      <c r="D11" s="45"/>
      <c r="E11" s="48"/>
      <c r="F11" s="45"/>
      <c r="G11" s="4" t="s">
        <v>30</v>
      </c>
      <c r="H11" s="4" t="s">
        <v>17</v>
      </c>
      <c r="I11" s="4">
        <v>2</v>
      </c>
      <c r="J11" s="4">
        <v>295</v>
      </c>
      <c r="K11" s="4">
        <v>590</v>
      </c>
      <c r="L11" s="4"/>
    </row>
    <row r="12" spans="1:12" ht="141.75" customHeight="1" thickBot="1" x14ac:dyDescent="0.2">
      <c r="A12" s="3">
        <v>10</v>
      </c>
      <c r="B12" s="4" t="s">
        <v>35</v>
      </c>
      <c r="C12" s="4" t="s">
        <v>36</v>
      </c>
      <c r="D12" s="46" t="s">
        <v>37</v>
      </c>
      <c r="E12" s="46">
        <v>22550</v>
      </c>
      <c r="F12" s="43" t="s">
        <v>38</v>
      </c>
      <c r="G12" s="4" t="s">
        <v>16</v>
      </c>
      <c r="H12" s="4" t="s">
        <v>24</v>
      </c>
      <c r="I12" s="4">
        <v>1</v>
      </c>
      <c r="J12" s="4">
        <v>560</v>
      </c>
      <c r="K12" s="4">
        <v>0</v>
      </c>
      <c r="L12" s="4">
        <v>168</v>
      </c>
    </row>
    <row r="13" spans="1:12" ht="15" thickBot="1" x14ac:dyDescent="0.2">
      <c r="A13" s="3">
        <v>11</v>
      </c>
      <c r="B13" s="4" t="s">
        <v>35</v>
      </c>
      <c r="C13" s="4" t="s">
        <v>39</v>
      </c>
      <c r="D13" s="48"/>
      <c r="E13" s="48"/>
      <c r="F13" s="45"/>
      <c r="G13" s="4" t="s">
        <v>27</v>
      </c>
      <c r="H13" s="4" t="s">
        <v>17</v>
      </c>
      <c r="I13" s="4">
        <v>1</v>
      </c>
      <c r="J13" s="4">
        <v>560</v>
      </c>
      <c r="K13" s="4">
        <v>560</v>
      </c>
      <c r="L13" s="4"/>
    </row>
    <row r="14" spans="1:12" ht="99" customHeight="1" thickBot="1" x14ac:dyDescent="0.2">
      <c r="A14" s="3">
        <v>12</v>
      </c>
      <c r="B14" s="4" t="s">
        <v>35</v>
      </c>
      <c r="C14" s="4" t="s">
        <v>40</v>
      </c>
      <c r="D14" s="46" t="s">
        <v>41</v>
      </c>
      <c r="E14" s="46">
        <v>24192</v>
      </c>
      <c r="F14" s="43" t="s">
        <v>42</v>
      </c>
      <c r="G14" s="4" t="s">
        <v>16</v>
      </c>
      <c r="H14" s="4" t="s">
        <v>24</v>
      </c>
      <c r="I14" s="4">
        <v>1</v>
      </c>
      <c r="J14" s="4">
        <v>150</v>
      </c>
      <c r="K14" s="4">
        <v>0</v>
      </c>
      <c r="L14" s="4">
        <v>45</v>
      </c>
    </row>
    <row r="15" spans="1:12" ht="15" thickBot="1" x14ac:dyDescent="0.2">
      <c r="A15" s="3">
        <v>13</v>
      </c>
      <c r="B15" s="4" t="s">
        <v>35</v>
      </c>
      <c r="C15" s="4" t="s">
        <v>40</v>
      </c>
      <c r="D15" s="48"/>
      <c r="E15" s="48"/>
      <c r="F15" s="45"/>
      <c r="G15" s="4" t="s">
        <v>27</v>
      </c>
      <c r="H15" s="4" t="s">
        <v>17</v>
      </c>
      <c r="I15" s="4">
        <v>4</v>
      </c>
      <c r="J15" s="4">
        <v>150</v>
      </c>
      <c r="K15" s="4">
        <v>600</v>
      </c>
      <c r="L15" s="4"/>
    </row>
    <row r="16" spans="1:12" ht="198" customHeight="1" thickBot="1" x14ac:dyDescent="0.2">
      <c r="A16" s="3">
        <v>14</v>
      </c>
      <c r="B16" s="4" t="s">
        <v>43</v>
      </c>
      <c r="C16" s="4" t="s">
        <v>44</v>
      </c>
      <c r="D16" s="43" t="s">
        <v>22</v>
      </c>
      <c r="E16" s="46">
        <v>93797</v>
      </c>
      <c r="F16" s="43" t="s">
        <v>45</v>
      </c>
      <c r="G16" s="4" t="s">
        <v>27</v>
      </c>
      <c r="H16" s="4" t="s">
        <v>24</v>
      </c>
      <c r="I16" s="4">
        <v>2</v>
      </c>
      <c r="J16" s="4">
        <v>65</v>
      </c>
      <c r="K16" s="4">
        <v>0</v>
      </c>
      <c r="L16" s="4">
        <v>19.5</v>
      </c>
    </row>
    <row r="17" spans="1:12" ht="15" thickBot="1" x14ac:dyDescent="0.2">
      <c r="A17" s="3">
        <v>15</v>
      </c>
      <c r="B17" s="4" t="s">
        <v>43</v>
      </c>
      <c r="C17" s="4" t="s">
        <v>46</v>
      </c>
      <c r="D17" s="44"/>
      <c r="E17" s="47"/>
      <c r="F17" s="44"/>
      <c r="G17" s="4" t="s">
        <v>27</v>
      </c>
      <c r="H17" s="4" t="s">
        <v>17</v>
      </c>
      <c r="I17" s="4">
        <v>8</v>
      </c>
      <c r="J17" s="4">
        <v>65</v>
      </c>
      <c r="K17" s="4">
        <v>520</v>
      </c>
      <c r="L17" s="4">
        <v>1</v>
      </c>
    </row>
    <row r="18" spans="1:12" ht="15" thickBot="1" x14ac:dyDescent="0.2">
      <c r="A18" s="3">
        <v>16</v>
      </c>
      <c r="B18" s="4" t="s">
        <v>47</v>
      </c>
      <c r="C18" s="4" t="s">
        <v>48</v>
      </c>
      <c r="D18" s="45"/>
      <c r="E18" s="48"/>
      <c r="F18" s="45"/>
      <c r="G18" s="4" t="s">
        <v>27</v>
      </c>
      <c r="H18" s="4" t="s">
        <v>17</v>
      </c>
      <c r="I18" s="4">
        <v>6</v>
      </c>
      <c r="J18" s="4">
        <v>125</v>
      </c>
      <c r="K18" s="4">
        <v>750</v>
      </c>
      <c r="L18" s="4"/>
    </row>
    <row r="19" spans="1:12" ht="15" thickBot="1" x14ac:dyDescent="0.2">
      <c r="A19" s="3">
        <v>17</v>
      </c>
      <c r="B19" s="4" t="s">
        <v>49</v>
      </c>
      <c r="C19" s="4" t="s">
        <v>50</v>
      </c>
      <c r="D19" s="46" t="s">
        <v>51</v>
      </c>
      <c r="E19" s="46">
        <v>105928</v>
      </c>
      <c r="F19" s="46" t="s">
        <v>52</v>
      </c>
      <c r="G19" s="4" t="s">
        <v>16</v>
      </c>
      <c r="H19" s="4" t="s">
        <v>24</v>
      </c>
      <c r="I19" s="4">
        <v>1</v>
      </c>
      <c r="J19" s="4">
        <v>158</v>
      </c>
      <c r="K19" s="4">
        <v>0</v>
      </c>
      <c r="L19" s="4">
        <v>47.4</v>
      </c>
    </row>
    <row r="20" spans="1:12" ht="15" thickBot="1" x14ac:dyDescent="0.2">
      <c r="A20" s="3">
        <v>18</v>
      </c>
      <c r="B20" s="4" t="s">
        <v>49</v>
      </c>
      <c r="C20" s="4" t="s">
        <v>53</v>
      </c>
      <c r="D20" s="47"/>
      <c r="E20" s="47"/>
      <c r="F20" s="47"/>
      <c r="G20" s="4" t="s">
        <v>30</v>
      </c>
      <c r="H20" s="4" t="s">
        <v>17</v>
      </c>
      <c r="I20" s="4">
        <v>2</v>
      </c>
      <c r="J20" s="4">
        <v>380</v>
      </c>
      <c r="K20" s="4">
        <v>760</v>
      </c>
      <c r="L20" s="4"/>
    </row>
    <row r="21" spans="1:12" ht="15" thickBot="1" x14ac:dyDescent="0.2">
      <c r="A21" s="3">
        <v>19</v>
      </c>
      <c r="B21" s="4" t="s">
        <v>49</v>
      </c>
      <c r="C21" s="4" t="s">
        <v>54</v>
      </c>
      <c r="D21" s="47"/>
      <c r="E21" s="47"/>
      <c r="F21" s="47"/>
      <c r="G21" s="4" t="s">
        <v>30</v>
      </c>
      <c r="H21" s="4" t="s">
        <v>17</v>
      </c>
      <c r="I21" s="4">
        <v>2</v>
      </c>
      <c r="J21" s="4">
        <v>320</v>
      </c>
      <c r="K21" s="4">
        <v>640</v>
      </c>
      <c r="L21" s="4"/>
    </row>
    <row r="22" spans="1:12" ht="15" thickBot="1" x14ac:dyDescent="0.2">
      <c r="A22" s="3">
        <v>20</v>
      </c>
      <c r="B22" s="4" t="s">
        <v>55</v>
      </c>
      <c r="C22" s="4" t="s">
        <v>56</v>
      </c>
      <c r="D22" s="48"/>
      <c r="E22" s="48"/>
      <c r="F22" s="48"/>
      <c r="G22" s="4" t="s">
        <v>30</v>
      </c>
      <c r="H22" s="4" t="s">
        <v>17</v>
      </c>
      <c r="I22" s="4">
        <v>2</v>
      </c>
      <c r="J22" s="4">
        <v>480</v>
      </c>
      <c r="K22" s="4">
        <v>960</v>
      </c>
      <c r="L22" s="4"/>
    </row>
    <row r="23" spans="1:12" ht="41.25" customHeight="1" thickBot="1" x14ac:dyDescent="0.2">
      <c r="A23" s="3">
        <v>21</v>
      </c>
      <c r="B23" s="4" t="s">
        <v>57</v>
      </c>
      <c r="C23" s="4" t="s">
        <v>58</v>
      </c>
      <c r="D23" s="43" t="s">
        <v>59</v>
      </c>
      <c r="E23" s="46">
        <v>45578</v>
      </c>
      <c r="F23" s="43" t="s">
        <v>60</v>
      </c>
      <c r="G23" s="4" t="s">
        <v>16</v>
      </c>
      <c r="H23" s="4" t="s">
        <v>24</v>
      </c>
      <c r="I23" s="4">
        <v>2</v>
      </c>
      <c r="J23" s="4">
        <v>480</v>
      </c>
      <c r="K23" s="4">
        <v>0</v>
      </c>
      <c r="L23" s="4">
        <v>288</v>
      </c>
    </row>
    <row r="24" spans="1:12" ht="15" thickBot="1" x14ac:dyDescent="0.2">
      <c r="A24" s="3">
        <v>22</v>
      </c>
      <c r="B24" s="4" t="s">
        <v>61</v>
      </c>
      <c r="C24" s="4" t="s">
        <v>62</v>
      </c>
      <c r="D24" s="44"/>
      <c r="E24" s="47"/>
      <c r="F24" s="44"/>
      <c r="G24" s="4" t="s">
        <v>27</v>
      </c>
      <c r="H24" s="4" t="s">
        <v>17</v>
      </c>
      <c r="I24" s="4">
        <v>1</v>
      </c>
      <c r="J24" s="4">
        <v>680</v>
      </c>
      <c r="K24" s="4">
        <v>680</v>
      </c>
      <c r="L24" s="4"/>
    </row>
    <row r="25" spans="1:12" ht="15" thickBot="1" x14ac:dyDescent="0.2">
      <c r="A25" s="3">
        <v>23</v>
      </c>
      <c r="B25" s="4" t="s">
        <v>57</v>
      </c>
      <c r="C25" s="4" t="s">
        <v>63</v>
      </c>
      <c r="D25" s="45"/>
      <c r="E25" s="48"/>
      <c r="F25" s="45"/>
      <c r="G25" s="4" t="s">
        <v>27</v>
      </c>
      <c r="H25" s="4" t="s">
        <v>17</v>
      </c>
      <c r="I25" s="4">
        <v>2</v>
      </c>
      <c r="J25" s="4">
        <v>350</v>
      </c>
      <c r="K25" s="4">
        <v>700</v>
      </c>
      <c r="L25" s="4"/>
    </row>
    <row r="26" spans="1:12" ht="70.5" customHeight="1" thickBot="1" x14ac:dyDescent="0.2">
      <c r="A26" s="3">
        <v>24</v>
      </c>
      <c r="B26" s="4" t="s">
        <v>64</v>
      </c>
      <c r="C26" s="4" t="s">
        <v>65</v>
      </c>
      <c r="D26" s="46" t="s">
        <v>66</v>
      </c>
      <c r="E26" s="46">
        <v>78696</v>
      </c>
      <c r="F26" s="43" t="s">
        <v>67</v>
      </c>
      <c r="G26" s="4" t="s">
        <v>27</v>
      </c>
      <c r="H26" s="4" t="s">
        <v>17</v>
      </c>
      <c r="I26" s="4">
        <v>4</v>
      </c>
      <c r="J26" s="4">
        <v>165</v>
      </c>
      <c r="K26" s="4">
        <v>660</v>
      </c>
      <c r="L26" s="4"/>
    </row>
    <row r="27" spans="1:12" ht="15" thickBot="1" x14ac:dyDescent="0.2">
      <c r="A27" s="3">
        <v>25</v>
      </c>
      <c r="B27" s="4" t="s">
        <v>68</v>
      </c>
      <c r="C27" s="4" t="s">
        <v>69</v>
      </c>
      <c r="D27" s="48"/>
      <c r="E27" s="48"/>
      <c r="F27" s="45"/>
      <c r="G27" s="4" t="s">
        <v>27</v>
      </c>
      <c r="H27" s="4" t="s">
        <v>17</v>
      </c>
      <c r="I27" s="4">
        <v>4</v>
      </c>
      <c r="J27" s="4">
        <v>310</v>
      </c>
      <c r="K27" s="4">
        <v>1240</v>
      </c>
      <c r="L27" s="4"/>
    </row>
    <row r="28" spans="1:12" ht="200.25" thickBot="1" x14ac:dyDescent="0.2">
      <c r="A28" s="3">
        <v>26</v>
      </c>
      <c r="B28" s="4" t="s">
        <v>70</v>
      </c>
      <c r="C28" s="4" t="s">
        <v>71</v>
      </c>
      <c r="D28" s="5" t="s">
        <v>72</v>
      </c>
      <c r="E28" s="4">
        <v>32414</v>
      </c>
      <c r="F28" s="5" t="s">
        <v>73</v>
      </c>
      <c r="G28" s="4" t="s">
        <v>16</v>
      </c>
      <c r="H28" s="4" t="s">
        <v>17</v>
      </c>
      <c r="I28" s="4">
        <v>4</v>
      </c>
      <c r="J28" s="4">
        <v>195</v>
      </c>
      <c r="K28" s="4">
        <v>780</v>
      </c>
      <c r="L28" s="4"/>
    </row>
    <row r="29" spans="1:12" ht="100.5" thickBot="1" x14ac:dyDescent="0.2">
      <c r="A29" s="3">
        <v>27</v>
      </c>
      <c r="B29" s="4" t="s">
        <v>74</v>
      </c>
      <c r="C29" s="4" t="s">
        <v>75</v>
      </c>
      <c r="D29" s="5" t="s">
        <v>76</v>
      </c>
      <c r="E29" s="4">
        <v>14000</v>
      </c>
      <c r="F29" s="5" t="s">
        <v>77</v>
      </c>
      <c r="G29" s="4" t="s">
        <v>27</v>
      </c>
      <c r="H29" s="4" t="s">
        <v>17</v>
      </c>
      <c r="I29" s="4">
        <v>4</v>
      </c>
      <c r="J29" s="4">
        <v>82</v>
      </c>
      <c r="K29" s="4">
        <v>328</v>
      </c>
      <c r="L29" s="4"/>
    </row>
    <row r="30" spans="1:12" ht="15" thickBot="1" x14ac:dyDescent="0.2">
      <c r="A30" s="3">
        <v>28</v>
      </c>
      <c r="B30" s="4" t="s">
        <v>78</v>
      </c>
      <c r="C30" s="5"/>
      <c r="D30" s="4"/>
      <c r="E30" s="4"/>
      <c r="F30" s="4"/>
      <c r="G30" s="4" t="s">
        <v>27</v>
      </c>
      <c r="H30" s="4" t="s">
        <v>17</v>
      </c>
      <c r="I30" s="4">
        <v>10</v>
      </c>
      <c r="J30" s="4">
        <v>25</v>
      </c>
      <c r="K30" s="4">
        <v>250</v>
      </c>
      <c r="L30" s="4"/>
    </row>
    <row r="31" spans="1:12" ht="15" thickBot="1" x14ac:dyDescent="0.2">
      <c r="A31" s="3">
        <v>29</v>
      </c>
      <c r="B31" s="4" t="s">
        <v>79</v>
      </c>
      <c r="C31" s="5" t="s">
        <v>80</v>
      </c>
      <c r="D31" s="4"/>
      <c r="E31" s="4"/>
      <c r="F31" s="4"/>
      <c r="G31" s="4" t="s">
        <v>27</v>
      </c>
      <c r="H31" s="4" t="s">
        <v>17</v>
      </c>
      <c r="I31" s="4">
        <v>1</v>
      </c>
      <c r="J31" s="4">
        <v>450</v>
      </c>
      <c r="K31" s="4">
        <v>450</v>
      </c>
      <c r="L31" s="4"/>
    </row>
    <row r="32" spans="1:12" ht="15" thickBot="1" x14ac:dyDescent="0.2">
      <c r="A32" s="3">
        <v>30</v>
      </c>
      <c r="B32" s="4" t="s">
        <v>81</v>
      </c>
      <c r="C32" s="4" t="s">
        <v>82</v>
      </c>
      <c r="D32" s="4"/>
      <c r="E32" s="4"/>
      <c r="F32" s="4"/>
      <c r="G32" s="4" t="s">
        <v>30</v>
      </c>
      <c r="H32" s="4" t="s">
        <v>17</v>
      </c>
      <c r="I32" s="4">
        <v>2</v>
      </c>
      <c r="J32" s="4">
        <v>264</v>
      </c>
      <c r="K32" s="4">
        <v>528</v>
      </c>
      <c r="L32" s="4"/>
    </row>
    <row r="33" spans="1:12" ht="15" thickBot="1" x14ac:dyDescent="0.2">
      <c r="A33" s="3">
        <v>31</v>
      </c>
      <c r="B33" s="4" t="s">
        <v>83</v>
      </c>
      <c r="C33" s="4"/>
      <c r="D33" s="4"/>
      <c r="E33" s="4"/>
      <c r="F33" s="4"/>
      <c r="G33" s="4" t="s">
        <v>84</v>
      </c>
      <c r="H33" s="4" t="s">
        <v>17</v>
      </c>
      <c r="I33" s="4">
        <v>1</v>
      </c>
      <c r="J33" s="4">
        <v>320</v>
      </c>
      <c r="K33" s="4">
        <v>320</v>
      </c>
      <c r="L33" s="4"/>
    </row>
    <row r="34" spans="1:12" ht="15" thickBot="1" x14ac:dyDescent="0.2">
      <c r="A34" s="3">
        <v>32</v>
      </c>
      <c r="B34" s="4" t="s">
        <v>85</v>
      </c>
      <c r="C34" s="4"/>
      <c r="D34" s="4"/>
      <c r="E34" s="4"/>
      <c r="F34" s="4"/>
      <c r="G34" s="4" t="s">
        <v>84</v>
      </c>
      <c r="H34" s="4" t="s">
        <v>17</v>
      </c>
      <c r="I34" s="4">
        <v>1</v>
      </c>
      <c r="J34" s="4">
        <v>300</v>
      </c>
      <c r="K34" s="4">
        <v>300</v>
      </c>
      <c r="L34" s="4"/>
    </row>
    <row r="35" spans="1:12" ht="15" thickBot="1" x14ac:dyDescent="0.2">
      <c r="A35" s="3">
        <v>33</v>
      </c>
      <c r="B35" s="4" t="s">
        <v>86</v>
      </c>
      <c r="C35" s="4"/>
      <c r="D35" s="4"/>
      <c r="E35" s="4"/>
      <c r="F35" s="4"/>
      <c r="G35" s="4" t="s">
        <v>84</v>
      </c>
      <c r="H35" s="4" t="s">
        <v>17</v>
      </c>
      <c r="I35" s="4">
        <v>1</v>
      </c>
      <c r="J35" s="4">
        <v>285</v>
      </c>
      <c r="K35" s="4">
        <v>285</v>
      </c>
      <c r="L35" s="4"/>
    </row>
    <row r="36" spans="1:12" ht="15" thickBot="1" x14ac:dyDescent="0.2">
      <c r="A36" s="3">
        <v>34</v>
      </c>
      <c r="B36" s="4" t="s">
        <v>87</v>
      </c>
      <c r="C36" s="4"/>
      <c r="D36" s="4"/>
      <c r="E36" s="4"/>
      <c r="F36" s="4"/>
      <c r="G36" s="4" t="s">
        <v>84</v>
      </c>
      <c r="H36" s="4" t="s">
        <v>17</v>
      </c>
      <c r="I36" s="4">
        <v>4</v>
      </c>
      <c r="J36" s="4">
        <v>165</v>
      </c>
      <c r="K36" s="4">
        <v>660</v>
      </c>
      <c r="L36" s="4"/>
    </row>
    <row r="37" spans="1:12" ht="15" thickBot="1" x14ac:dyDescent="0.2">
      <c r="A37" s="3">
        <v>35</v>
      </c>
      <c r="B37" s="4" t="s">
        <v>88</v>
      </c>
      <c r="C37" s="4" t="s">
        <v>89</v>
      </c>
      <c r="D37" s="4"/>
      <c r="E37" s="4"/>
      <c r="F37" s="4"/>
      <c r="G37" s="4" t="s">
        <v>84</v>
      </c>
      <c r="H37" s="4" t="s">
        <v>17</v>
      </c>
      <c r="I37" s="4">
        <v>1</v>
      </c>
      <c r="J37" s="4">
        <v>315</v>
      </c>
      <c r="K37" s="4">
        <v>315</v>
      </c>
      <c r="L37" s="4"/>
    </row>
    <row r="38" spans="1:12" ht="15" thickBot="1" x14ac:dyDescent="0.2">
      <c r="A38" s="3">
        <v>36</v>
      </c>
      <c r="B38" s="4"/>
      <c r="C38" s="4"/>
      <c r="D38" s="4"/>
      <c r="E38" s="4"/>
      <c r="F38" s="4"/>
      <c r="G38" s="4"/>
      <c r="H38" s="4"/>
      <c r="I38" s="4"/>
      <c r="J38" s="4"/>
      <c r="K38" s="4">
        <v>15616</v>
      </c>
      <c r="L38" s="4">
        <v>639.9</v>
      </c>
    </row>
    <row r="39" spans="1:12" ht="15" thickBot="1" x14ac:dyDescent="0.2">
      <c r="A39" s="37" t="s">
        <v>0</v>
      </c>
      <c r="B39" s="37" t="s">
        <v>90</v>
      </c>
      <c r="C39" s="39" t="s">
        <v>2</v>
      </c>
      <c r="D39" s="49" t="s">
        <v>3</v>
      </c>
      <c r="E39" s="6" t="s">
        <v>4</v>
      </c>
      <c r="F39" s="49" t="s">
        <v>6</v>
      </c>
      <c r="G39" s="37" t="s">
        <v>7</v>
      </c>
      <c r="H39" s="39" t="s">
        <v>8</v>
      </c>
      <c r="I39" s="39" t="s">
        <v>9</v>
      </c>
      <c r="J39" s="41" t="s">
        <v>10</v>
      </c>
      <c r="K39" s="42"/>
      <c r="L39" s="39" t="s">
        <v>11</v>
      </c>
    </row>
    <row r="40" spans="1:12" ht="15" thickBot="1" x14ac:dyDescent="0.2">
      <c r="A40" s="38"/>
      <c r="B40" s="38"/>
      <c r="C40" s="40"/>
      <c r="D40" s="50"/>
      <c r="E40" s="7" t="s">
        <v>5</v>
      </c>
      <c r="F40" s="50"/>
      <c r="G40" s="38"/>
      <c r="H40" s="40"/>
      <c r="I40" s="40"/>
      <c r="J40" s="4" t="s">
        <v>12</v>
      </c>
      <c r="K40" s="4" t="s">
        <v>13</v>
      </c>
      <c r="L40" s="40"/>
    </row>
    <row r="41" spans="1:12" ht="16.5" thickBot="1" x14ac:dyDescent="0.2">
      <c r="A41" s="3">
        <v>1</v>
      </c>
      <c r="B41" s="5" t="s">
        <v>14</v>
      </c>
      <c r="C41" s="8" t="s">
        <v>91</v>
      </c>
      <c r="D41" s="9"/>
      <c r="E41" s="9"/>
      <c r="F41" s="9"/>
      <c r="G41" s="5" t="s">
        <v>16</v>
      </c>
      <c r="H41" s="4"/>
      <c r="I41" s="8">
        <v>4</v>
      </c>
      <c r="J41" s="10">
        <v>35</v>
      </c>
      <c r="K41" s="10">
        <v>140</v>
      </c>
      <c r="L41" s="4"/>
    </row>
    <row r="42" spans="1:12" ht="16.5" thickBot="1" x14ac:dyDescent="0.2">
      <c r="A42" s="3">
        <v>2</v>
      </c>
      <c r="B42" s="5" t="s">
        <v>14</v>
      </c>
      <c r="C42" s="8" t="s">
        <v>92</v>
      </c>
      <c r="D42" s="9"/>
      <c r="E42" s="9"/>
      <c r="F42" s="9"/>
      <c r="G42" s="5" t="s">
        <v>16</v>
      </c>
      <c r="H42" s="4"/>
      <c r="I42" s="8">
        <v>4</v>
      </c>
      <c r="J42" s="10">
        <v>25</v>
      </c>
      <c r="K42" s="10">
        <v>100</v>
      </c>
      <c r="L42" s="4"/>
    </row>
    <row r="43" spans="1:12" ht="16.5" thickBot="1" x14ac:dyDescent="0.2">
      <c r="A43" s="3">
        <v>3</v>
      </c>
      <c r="B43" s="5" t="s">
        <v>14</v>
      </c>
      <c r="C43" s="8" t="s">
        <v>93</v>
      </c>
      <c r="D43" s="9"/>
      <c r="E43" s="9"/>
      <c r="F43" s="9"/>
      <c r="G43" s="5" t="s">
        <v>16</v>
      </c>
      <c r="H43" s="4"/>
      <c r="I43" s="8">
        <v>6</v>
      </c>
      <c r="J43" s="10">
        <v>20</v>
      </c>
      <c r="K43" s="10">
        <v>120</v>
      </c>
      <c r="L43" s="4"/>
    </row>
    <row r="44" spans="1:12" ht="327" customHeight="1" thickBot="1" x14ac:dyDescent="0.2">
      <c r="A44" s="3">
        <v>4</v>
      </c>
      <c r="B44" s="5" t="s">
        <v>94</v>
      </c>
      <c r="C44" s="8" t="s">
        <v>95</v>
      </c>
      <c r="D44" s="51" t="s">
        <v>96</v>
      </c>
      <c r="E44" s="54">
        <v>126000</v>
      </c>
      <c r="F44" s="51" t="s">
        <v>97</v>
      </c>
      <c r="G44" s="5"/>
      <c r="H44" s="4" t="s">
        <v>24</v>
      </c>
      <c r="I44" s="8">
        <v>1</v>
      </c>
      <c r="J44" s="10">
        <v>185</v>
      </c>
      <c r="K44" s="10">
        <v>0</v>
      </c>
      <c r="L44" s="4">
        <v>55.5</v>
      </c>
    </row>
    <row r="45" spans="1:12" ht="16.5" thickBot="1" x14ac:dyDescent="0.2">
      <c r="A45" s="3">
        <v>5</v>
      </c>
      <c r="B45" s="5" t="s">
        <v>94</v>
      </c>
      <c r="C45" s="8" t="s">
        <v>98</v>
      </c>
      <c r="D45" s="52"/>
      <c r="E45" s="55"/>
      <c r="F45" s="53"/>
      <c r="G45" s="5" t="s">
        <v>30</v>
      </c>
      <c r="H45" s="4"/>
      <c r="I45" s="8">
        <v>1</v>
      </c>
      <c r="J45" s="10">
        <v>225</v>
      </c>
      <c r="K45" s="10">
        <v>225</v>
      </c>
      <c r="L45" s="4"/>
    </row>
    <row r="46" spans="1:12" ht="298.5" customHeight="1" thickBot="1" x14ac:dyDescent="0.2">
      <c r="A46" s="3">
        <v>6</v>
      </c>
      <c r="B46" s="5" t="s">
        <v>99</v>
      </c>
      <c r="C46" s="8" t="s">
        <v>100</v>
      </c>
      <c r="D46" s="52"/>
      <c r="E46" s="55"/>
      <c r="F46" s="51" t="s">
        <v>101</v>
      </c>
      <c r="G46" s="5" t="s">
        <v>16</v>
      </c>
      <c r="H46" s="4"/>
      <c r="I46" s="8">
        <v>1</v>
      </c>
      <c r="J46" s="10">
        <v>95</v>
      </c>
      <c r="K46" s="10">
        <v>95</v>
      </c>
      <c r="L46" s="4"/>
    </row>
    <row r="47" spans="1:12" ht="16.5" thickBot="1" x14ac:dyDescent="0.2">
      <c r="A47" s="3">
        <v>7</v>
      </c>
      <c r="B47" s="5" t="s">
        <v>102</v>
      </c>
      <c r="C47" s="5" t="s">
        <v>103</v>
      </c>
      <c r="D47" s="52"/>
      <c r="E47" s="55"/>
      <c r="F47" s="53"/>
      <c r="G47" s="5" t="s">
        <v>30</v>
      </c>
      <c r="H47" s="4" t="s">
        <v>24</v>
      </c>
      <c r="I47" s="8">
        <v>1</v>
      </c>
      <c r="J47" s="10">
        <v>270</v>
      </c>
      <c r="K47" s="10">
        <v>0</v>
      </c>
      <c r="L47" s="4">
        <v>81</v>
      </c>
    </row>
    <row r="48" spans="1:12" ht="186" thickBot="1" x14ac:dyDescent="0.2">
      <c r="A48" s="3">
        <v>8</v>
      </c>
      <c r="B48" s="5" t="s">
        <v>104</v>
      </c>
      <c r="C48" s="5" t="s">
        <v>105</v>
      </c>
      <c r="D48" s="52"/>
      <c r="E48" s="55"/>
      <c r="F48" s="11" t="s">
        <v>106</v>
      </c>
      <c r="G48" s="5" t="s">
        <v>16</v>
      </c>
      <c r="H48" s="4"/>
      <c r="I48" s="8">
        <v>1</v>
      </c>
      <c r="J48" s="10">
        <v>500</v>
      </c>
      <c r="K48" s="10">
        <v>500</v>
      </c>
      <c r="L48" s="4"/>
    </row>
    <row r="49" spans="1:12" ht="200.25" thickBot="1" x14ac:dyDescent="0.2">
      <c r="A49" s="3">
        <v>9</v>
      </c>
      <c r="B49" s="5" t="s">
        <v>107</v>
      </c>
      <c r="C49" s="8" t="s">
        <v>108</v>
      </c>
      <c r="D49" s="52"/>
      <c r="E49" s="55"/>
      <c r="F49" s="11" t="s">
        <v>109</v>
      </c>
      <c r="G49" s="5" t="s">
        <v>30</v>
      </c>
      <c r="H49" s="4"/>
      <c r="I49" s="8">
        <v>1</v>
      </c>
      <c r="J49" s="10">
        <v>315</v>
      </c>
      <c r="K49" s="10">
        <v>315</v>
      </c>
      <c r="L49" s="4"/>
    </row>
    <row r="50" spans="1:12" ht="257.25" thickBot="1" x14ac:dyDescent="0.2">
      <c r="A50" s="3">
        <v>10</v>
      </c>
      <c r="B50" s="4" t="s">
        <v>110</v>
      </c>
      <c r="C50" s="9"/>
      <c r="D50" s="52"/>
      <c r="E50" s="55"/>
      <c r="F50" s="11" t="s">
        <v>111</v>
      </c>
      <c r="G50" s="4" t="s">
        <v>16</v>
      </c>
      <c r="H50" s="4"/>
      <c r="I50" s="10">
        <v>1</v>
      </c>
      <c r="J50" s="10">
        <v>270</v>
      </c>
      <c r="K50" s="10">
        <v>270</v>
      </c>
      <c r="L50" s="4"/>
    </row>
    <row r="51" spans="1:12" ht="72" thickBot="1" x14ac:dyDescent="0.2">
      <c r="A51" s="3">
        <v>11</v>
      </c>
      <c r="B51" s="4" t="s">
        <v>112</v>
      </c>
      <c r="C51" s="9"/>
      <c r="D51" s="52"/>
      <c r="E51" s="55"/>
      <c r="F51" s="11" t="s">
        <v>113</v>
      </c>
      <c r="G51" s="4" t="s">
        <v>30</v>
      </c>
      <c r="H51" s="4"/>
      <c r="I51" s="10">
        <v>1</v>
      </c>
      <c r="J51" s="10">
        <v>350</v>
      </c>
      <c r="K51" s="10">
        <v>350</v>
      </c>
      <c r="L51" s="4"/>
    </row>
    <row r="52" spans="1:12" ht="72" thickBot="1" x14ac:dyDescent="0.2">
      <c r="A52" s="3">
        <v>12</v>
      </c>
      <c r="B52" s="4" t="s">
        <v>114</v>
      </c>
      <c r="C52" s="9"/>
      <c r="D52" s="52"/>
      <c r="E52" s="55"/>
      <c r="F52" s="11" t="s">
        <v>113</v>
      </c>
      <c r="G52" s="4" t="s">
        <v>30</v>
      </c>
      <c r="H52" s="4"/>
      <c r="I52" s="10">
        <v>1</v>
      </c>
      <c r="J52" s="10">
        <v>255</v>
      </c>
      <c r="K52" s="10">
        <v>255</v>
      </c>
      <c r="L52" s="4"/>
    </row>
    <row r="53" spans="1:12" ht="312.75" customHeight="1" thickBot="1" x14ac:dyDescent="0.2">
      <c r="A53" s="3">
        <v>13</v>
      </c>
      <c r="B53" s="5" t="s">
        <v>115</v>
      </c>
      <c r="C53" s="9"/>
      <c r="D53" s="52"/>
      <c r="E53" s="55"/>
      <c r="F53" s="51" t="s">
        <v>116</v>
      </c>
      <c r="G53" s="4" t="s">
        <v>16</v>
      </c>
      <c r="H53" s="4" t="s">
        <v>24</v>
      </c>
      <c r="I53" s="10">
        <v>1</v>
      </c>
      <c r="J53" s="10">
        <v>198</v>
      </c>
      <c r="K53" s="10">
        <v>0</v>
      </c>
      <c r="L53" s="4">
        <v>59.4</v>
      </c>
    </row>
    <row r="54" spans="1:12" ht="16.5" thickBot="1" x14ac:dyDescent="0.2">
      <c r="A54" s="3">
        <v>14</v>
      </c>
      <c r="B54" s="5" t="s">
        <v>115</v>
      </c>
      <c r="C54" s="11"/>
      <c r="D54" s="53"/>
      <c r="E54" s="55"/>
      <c r="F54" s="53"/>
      <c r="G54" s="4" t="s">
        <v>16</v>
      </c>
      <c r="H54" s="4"/>
      <c r="I54" s="10">
        <v>1</v>
      </c>
      <c r="J54" s="10">
        <v>198</v>
      </c>
      <c r="K54" s="10">
        <v>198</v>
      </c>
      <c r="L54" s="4"/>
    </row>
    <row r="55" spans="1:12" ht="100.5" thickBot="1" x14ac:dyDescent="0.2">
      <c r="A55" s="3">
        <v>15</v>
      </c>
      <c r="B55" s="5" t="s">
        <v>117</v>
      </c>
      <c r="C55" s="11"/>
      <c r="D55" s="11"/>
      <c r="E55" s="55"/>
      <c r="F55" s="11" t="s">
        <v>118</v>
      </c>
      <c r="G55" s="4" t="s">
        <v>16</v>
      </c>
      <c r="H55" s="4"/>
      <c r="I55" s="10">
        <v>1</v>
      </c>
      <c r="J55" s="10">
        <v>85</v>
      </c>
      <c r="K55" s="10">
        <v>85</v>
      </c>
      <c r="L55" s="4"/>
    </row>
    <row r="56" spans="1:12" ht="15" thickBot="1" x14ac:dyDescent="0.2">
      <c r="A56" s="3">
        <v>16</v>
      </c>
      <c r="B56" s="5" t="s">
        <v>119</v>
      </c>
      <c r="C56" s="5" t="s">
        <v>120</v>
      </c>
      <c r="D56" s="11"/>
      <c r="E56" s="56"/>
      <c r="F56" s="11"/>
      <c r="G56" s="4"/>
      <c r="H56" s="4" t="s">
        <v>121</v>
      </c>
      <c r="I56" s="4">
        <v>1</v>
      </c>
      <c r="J56" s="4">
        <v>135</v>
      </c>
      <c r="K56" s="4"/>
      <c r="L56" s="4">
        <v>40.5</v>
      </c>
    </row>
    <row r="57" spans="1:12" ht="15" thickBot="1" x14ac:dyDescent="0.2">
      <c r="A57" s="37" t="s">
        <v>0</v>
      </c>
      <c r="B57" s="37" t="s">
        <v>1</v>
      </c>
      <c r="C57" s="39" t="s">
        <v>2</v>
      </c>
      <c r="D57" s="57" t="s">
        <v>3</v>
      </c>
      <c r="E57" s="57" t="s">
        <v>122</v>
      </c>
      <c r="F57" s="57" t="s">
        <v>6</v>
      </c>
      <c r="G57" s="37" t="s">
        <v>7</v>
      </c>
      <c r="H57" s="39" t="s">
        <v>8</v>
      </c>
      <c r="I57" s="39" t="s">
        <v>9</v>
      </c>
      <c r="J57" s="41" t="s">
        <v>10</v>
      </c>
      <c r="K57" s="42"/>
      <c r="L57" s="39" t="s">
        <v>11</v>
      </c>
    </row>
    <row r="58" spans="1:12" ht="15" thickBot="1" x14ac:dyDescent="0.2">
      <c r="A58" s="38"/>
      <c r="B58" s="38"/>
      <c r="C58" s="40"/>
      <c r="D58" s="58"/>
      <c r="E58" s="58"/>
      <c r="F58" s="58"/>
      <c r="G58" s="38"/>
      <c r="H58" s="40"/>
      <c r="I58" s="40"/>
      <c r="J58" s="2" t="s">
        <v>12</v>
      </c>
      <c r="K58" s="2" t="s">
        <v>13</v>
      </c>
      <c r="L58" s="40"/>
    </row>
    <row r="59" spans="1:12" ht="15" thickBot="1" x14ac:dyDescent="0.2">
      <c r="A59" s="12">
        <v>1</v>
      </c>
      <c r="B59" s="5" t="s">
        <v>14</v>
      </c>
      <c r="C59" s="5" t="s">
        <v>123</v>
      </c>
      <c r="D59" s="13"/>
      <c r="E59" s="13"/>
      <c r="F59" s="13"/>
      <c r="G59" s="5" t="s">
        <v>16</v>
      </c>
      <c r="H59" s="13"/>
      <c r="I59" s="5">
        <v>2</v>
      </c>
      <c r="J59" s="4">
        <v>120</v>
      </c>
      <c r="K59" s="4">
        <v>240</v>
      </c>
      <c r="L59" s="13"/>
    </row>
    <row r="60" spans="1:12" ht="15" thickBot="1" x14ac:dyDescent="0.2">
      <c r="A60" s="12">
        <v>2</v>
      </c>
      <c r="B60" s="5" t="s">
        <v>14</v>
      </c>
      <c r="C60" s="5" t="s">
        <v>124</v>
      </c>
      <c r="D60" s="13"/>
      <c r="E60" s="13"/>
      <c r="F60" s="13"/>
      <c r="G60" s="5" t="s">
        <v>16</v>
      </c>
      <c r="H60" s="13"/>
      <c r="I60" s="5">
        <v>4</v>
      </c>
      <c r="J60" s="4">
        <v>80</v>
      </c>
      <c r="K60" s="4">
        <v>320</v>
      </c>
      <c r="L60" s="13"/>
    </row>
    <row r="61" spans="1:12" ht="15" thickBot="1" x14ac:dyDescent="0.2">
      <c r="A61" s="12">
        <v>3</v>
      </c>
      <c r="B61" s="5" t="s">
        <v>14</v>
      </c>
      <c r="C61" s="5" t="s">
        <v>125</v>
      </c>
      <c r="D61" s="13"/>
      <c r="E61" s="13"/>
      <c r="F61" s="13"/>
      <c r="G61" s="5" t="s">
        <v>16</v>
      </c>
      <c r="H61" s="13"/>
      <c r="I61" s="5">
        <v>4</v>
      </c>
      <c r="J61" s="4">
        <v>35</v>
      </c>
      <c r="K61" s="4">
        <v>140</v>
      </c>
      <c r="L61" s="13"/>
    </row>
    <row r="62" spans="1:12" ht="15" thickBot="1" x14ac:dyDescent="0.2">
      <c r="A62" s="12">
        <v>4</v>
      </c>
      <c r="B62" s="5" t="s">
        <v>14</v>
      </c>
      <c r="C62" s="5" t="s">
        <v>126</v>
      </c>
      <c r="D62" s="13"/>
      <c r="E62" s="13"/>
      <c r="F62" s="13"/>
      <c r="G62" s="5" t="s">
        <v>16</v>
      </c>
      <c r="H62" s="13"/>
      <c r="I62" s="5">
        <v>4</v>
      </c>
      <c r="J62" s="4">
        <v>25</v>
      </c>
      <c r="K62" s="4">
        <v>100</v>
      </c>
      <c r="L62" s="13"/>
    </row>
    <row r="63" spans="1:12" ht="285.75" thickBot="1" x14ac:dyDescent="0.2">
      <c r="A63" s="12">
        <v>5</v>
      </c>
      <c r="B63" s="4" t="s">
        <v>127</v>
      </c>
      <c r="C63" s="4" t="s">
        <v>128</v>
      </c>
      <c r="D63" s="13" t="s">
        <v>129</v>
      </c>
      <c r="E63" s="14">
        <v>22084</v>
      </c>
      <c r="F63" s="15" t="s">
        <v>130</v>
      </c>
      <c r="G63" s="4" t="s">
        <v>16</v>
      </c>
      <c r="H63" s="13"/>
      <c r="I63" s="5">
        <v>2</v>
      </c>
      <c r="J63" s="4">
        <v>180</v>
      </c>
      <c r="K63" s="4">
        <v>360</v>
      </c>
      <c r="L63" s="13"/>
    </row>
    <row r="64" spans="1:12" ht="15" thickBot="1" x14ac:dyDescent="0.2">
      <c r="A64" s="12">
        <v>6</v>
      </c>
      <c r="B64" s="4" t="s">
        <v>131</v>
      </c>
      <c r="C64" s="4" t="s">
        <v>132</v>
      </c>
      <c r="D64" s="13" t="s">
        <v>133</v>
      </c>
      <c r="E64" s="14">
        <v>10627</v>
      </c>
      <c r="F64" s="13"/>
      <c r="G64" s="4" t="s">
        <v>16</v>
      </c>
      <c r="H64" s="13" t="s">
        <v>24</v>
      </c>
      <c r="I64" s="4">
        <v>1</v>
      </c>
      <c r="J64" s="4">
        <v>350</v>
      </c>
      <c r="K64" s="4">
        <v>0</v>
      </c>
      <c r="L64" s="16">
        <v>140</v>
      </c>
    </row>
    <row r="65" spans="1:12" ht="15" thickBot="1" x14ac:dyDescent="0.2">
      <c r="A65" s="12">
        <v>7</v>
      </c>
      <c r="B65" s="4" t="s">
        <v>134</v>
      </c>
      <c r="C65" s="4" t="s">
        <v>135</v>
      </c>
      <c r="D65" s="13" t="s">
        <v>133</v>
      </c>
      <c r="E65" s="14">
        <v>10627</v>
      </c>
      <c r="F65" s="13"/>
      <c r="G65" s="4" t="s">
        <v>16</v>
      </c>
      <c r="H65" s="13" t="s">
        <v>24</v>
      </c>
      <c r="I65" s="4">
        <v>1</v>
      </c>
      <c r="J65" s="4">
        <v>850</v>
      </c>
      <c r="K65" s="4">
        <v>0</v>
      </c>
      <c r="L65" s="16">
        <v>340</v>
      </c>
    </row>
    <row r="66" spans="1:12" ht="15" thickBot="1" x14ac:dyDescent="0.2">
      <c r="A66" s="12">
        <v>8</v>
      </c>
      <c r="B66" s="4" t="s">
        <v>136</v>
      </c>
      <c r="C66" s="4" t="s">
        <v>137</v>
      </c>
      <c r="D66" s="13" t="s">
        <v>138</v>
      </c>
      <c r="E66" s="14">
        <v>21254</v>
      </c>
      <c r="F66" s="13"/>
      <c r="G66" s="4" t="s">
        <v>16</v>
      </c>
      <c r="H66" s="13" t="s">
        <v>24</v>
      </c>
      <c r="I66" s="4">
        <v>2</v>
      </c>
      <c r="J66" s="4">
        <v>850</v>
      </c>
      <c r="K66" s="4">
        <v>0</v>
      </c>
      <c r="L66" s="16">
        <v>680</v>
      </c>
    </row>
    <row r="67" spans="1:12" ht="243" thickBot="1" x14ac:dyDescent="0.2">
      <c r="A67" s="12">
        <v>9</v>
      </c>
      <c r="B67" s="4" t="s">
        <v>139</v>
      </c>
      <c r="C67" s="4" t="s">
        <v>140</v>
      </c>
      <c r="D67" s="13" t="s">
        <v>141</v>
      </c>
      <c r="E67" s="14">
        <v>10886</v>
      </c>
      <c r="F67" s="15" t="s">
        <v>142</v>
      </c>
      <c r="G67" s="4" t="s">
        <v>30</v>
      </c>
      <c r="H67" s="13"/>
      <c r="I67" s="4">
        <v>1</v>
      </c>
      <c r="J67" s="4">
        <v>1986</v>
      </c>
      <c r="K67" s="4">
        <v>1986</v>
      </c>
      <c r="L67" s="13"/>
    </row>
    <row r="68" spans="1:12" ht="285.75" thickBot="1" x14ac:dyDescent="0.2">
      <c r="A68" s="12">
        <v>10</v>
      </c>
      <c r="B68" s="4" t="s">
        <v>143</v>
      </c>
      <c r="C68" s="4" t="s">
        <v>144</v>
      </c>
      <c r="D68" s="15" t="s">
        <v>145</v>
      </c>
      <c r="E68" s="14">
        <v>10886</v>
      </c>
      <c r="F68" s="15" t="s">
        <v>146</v>
      </c>
      <c r="G68" s="4" t="s">
        <v>30</v>
      </c>
      <c r="H68" s="13"/>
      <c r="I68" s="4">
        <v>1</v>
      </c>
      <c r="J68" s="4">
        <v>2200</v>
      </c>
      <c r="K68" s="4">
        <v>2200</v>
      </c>
      <c r="L68" s="13"/>
    </row>
    <row r="69" spans="1:12" ht="15" thickBot="1" x14ac:dyDescent="0.2">
      <c r="A69" s="12">
        <v>11</v>
      </c>
      <c r="B69" s="4" t="s">
        <v>147</v>
      </c>
      <c r="C69" s="4"/>
      <c r="D69" s="13" t="s">
        <v>148</v>
      </c>
      <c r="E69" s="13"/>
      <c r="F69" s="13" t="s">
        <v>149</v>
      </c>
      <c r="G69" s="4" t="s">
        <v>16</v>
      </c>
      <c r="H69" s="13"/>
      <c r="I69" s="4">
        <v>7</v>
      </c>
      <c r="J69" s="4">
        <v>35</v>
      </c>
      <c r="K69" s="4">
        <v>245</v>
      </c>
      <c r="L69" s="13"/>
    </row>
    <row r="70" spans="1:12" ht="15" thickBot="1" x14ac:dyDescent="0.2">
      <c r="A70" s="12">
        <v>12</v>
      </c>
      <c r="B70" s="4" t="s">
        <v>150</v>
      </c>
      <c r="C70" s="4"/>
      <c r="D70" s="13" t="s">
        <v>151</v>
      </c>
      <c r="E70" s="13"/>
      <c r="F70" s="13"/>
      <c r="G70" s="4" t="s">
        <v>152</v>
      </c>
      <c r="H70" s="13"/>
      <c r="I70" s="4">
        <v>1</v>
      </c>
      <c r="J70" s="4">
        <v>370</v>
      </c>
      <c r="K70" s="4">
        <v>370</v>
      </c>
      <c r="L70" s="13"/>
    </row>
    <row r="71" spans="1:12" ht="15" thickBot="1" x14ac:dyDescent="0.2">
      <c r="A71" s="12">
        <v>13</v>
      </c>
      <c r="B71" s="4" t="s">
        <v>153</v>
      </c>
      <c r="C71" s="4"/>
      <c r="D71" s="13"/>
      <c r="E71" s="13"/>
      <c r="F71" s="13"/>
      <c r="G71" s="4" t="s">
        <v>152</v>
      </c>
      <c r="H71" s="13"/>
      <c r="I71" s="4">
        <v>1</v>
      </c>
      <c r="J71" s="4">
        <v>325</v>
      </c>
      <c r="K71" s="4">
        <v>325</v>
      </c>
      <c r="L71" s="13"/>
    </row>
    <row r="72" spans="1:12" ht="15" thickBot="1" x14ac:dyDescent="0.2">
      <c r="A72" s="12">
        <v>14</v>
      </c>
      <c r="B72" s="4" t="s">
        <v>154</v>
      </c>
      <c r="C72" s="4"/>
      <c r="D72" s="13"/>
      <c r="E72" s="13"/>
      <c r="F72" s="13"/>
      <c r="G72" s="4"/>
      <c r="H72" s="13"/>
      <c r="I72" s="4">
        <v>4</v>
      </c>
      <c r="J72" s="4">
        <v>35</v>
      </c>
      <c r="K72" s="4">
        <v>140</v>
      </c>
      <c r="L72" s="13"/>
    </row>
    <row r="73" spans="1:12" ht="15" thickBot="1" x14ac:dyDescent="0.2">
      <c r="A73" s="12">
        <v>15</v>
      </c>
      <c r="B73" s="4" t="s">
        <v>79</v>
      </c>
      <c r="C73" s="4"/>
      <c r="D73" s="13"/>
      <c r="E73" s="13"/>
      <c r="F73" s="13"/>
      <c r="G73" s="4"/>
      <c r="H73" s="13"/>
      <c r="I73" s="4">
        <v>450</v>
      </c>
      <c r="J73" s="4">
        <v>1</v>
      </c>
      <c r="K73" s="4">
        <v>450</v>
      </c>
      <c r="L73" s="13"/>
    </row>
    <row r="74" spans="1:12" ht="15" thickBot="1" x14ac:dyDescent="0.2">
      <c r="A74" s="12">
        <v>16</v>
      </c>
      <c r="B74" s="13"/>
      <c r="C74" s="4"/>
      <c r="D74" s="13"/>
      <c r="E74" s="13"/>
      <c r="F74" s="13"/>
      <c r="G74" s="4"/>
      <c r="H74" s="13"/>
      <c r="I74" s="4"/>
      <c r="J74" s="4"/>
      <c r="K74" s="4">
        <v>6876</v>
      </c>
      <c r="L74" s="16">
        <v>1160</v>
      </c>
    </row>
    <row r="75" spans="1:12" ht="15" thickBot="1" x14ac:dyDescent="0.2">
      <c r="A75" s="37" t="s">
        <v>0</v>
      </c>
      <c r="B75" s="37" t="s">
        <v>90</v>
      </c>
      <c r="C75" s="39" t="s">
        <v>2</v>
      </c>
      <c r="D75" s="49" t="s">
        <v>3</v>
      </c>
      <c r="E75" s="59" t="s">
        <v>122</v>
      </c>
      <c r="F75" s="49" t="s">
        <v>6</v>
      </c>
      <c r="G75" s="37" t="s">
        <v>7</v>
      </c>
      <c r="H75" s="39" t="s">
        <v>8</v>
      </c>
      <c r="I75" s="39" t="s">
        <v>9</v>
      </c>
      <c r="J75" s="41" t="s">
        <v>10</v>
      </c>
      <c r="K75" s="42"/>
      <c r="L75" s="39" t="s">
        <v>11</v>
      </c>
    </row>
    <row r="76" spans="1:12" ht="15" thickBot="1" x14ac:dyDescent="0.2">
      <c r="A76" s="38"/>
      <c r="B76" s="38"/>
      <c r="C76" s="40"/>
      <c r="D76" s="50"/>
      <c r="E76" s="60"/>
      <c r="F76" s="50"/>
      <c r="G76" s="38"/>
      <c r="H76" s="40"/>
      <c r="I76" s="40"/>
      <c r="J76" s="2" t="s">
        <v>12</v>
      </c>
      <c r="K76" s="2" t="s">
        <v>13</v>
      </c>
      <c r="L76" s="40"/>
    </row>
    <row r="77" spans="1:12" ht="15" thickBot="1" x14ac:dyDescent="0.2">
      <c r="A77" s="3">
        <v>1</v>
      </c>
      <c r="B77" s="18" t="s">
        <v>14</v>
      </c>
      <c r="C77" s="18" t="s">
        <v>155</v>
      </c>
      <c r="D77" s="13"/>
      <c r="E77" s="13"/>
      <c r="F77" s="13"/>
      <c r="G77" s="19" t="s">
        <v>16</v>
      </c>
      <c r="H77" s="13" t="s">
        <v>17</v>
      </c>
      <c r="I77" s="19">
        <v>2</v>
      </c>
      <c r="J77" s="2">
        <v>120</v>
      </c>
      <c r="K77" s="2">
        <v>240</v>
      </c>
      <c r="L77" s="20"/>
    </row>
    <row r="78" spans="1:12" ht="15" thickBot="1" x14ac:dyDescent="0.2">
      <c r="A78" s="3">
        <v>2</v>
      </c>
      <c r="B78" s="18" t="s">
        <v>14</v>
      </c>
      <c r="C78" s="18" t="s">
        <v>156</v>
      </c>
      <c r="D78" s="13"/>
      <c r="E78" s="13"/>
      <c r="F78" s="13"/>
      <c r="G78" s="19" t="s">
        <v>16</v>
      </c>
      <c r="H78" s="13" t="s">
        <v>17</v>
      </c>
      <c r="I78" s="19">
        <v>2</v>
      </c>
      <c r="J78" s="2">
        <v>35</v>
      </c>
      <c r="K78" s="2">
        <v>140</v>
      </c>
      <c r="L78" s="20"/>
    </row>
    <row r="79" spans="1:12" ht="15" thickBot="1" x14ac:dyDescent="0.2">
      <c r="A79" s="3">
        <v>3</v>
      </c>
      <c r="B79" s="18" t="s">
        <v>14</v>
      </c>
      <c r="C79" s="18" t="s">
        <v>157</v>
      </c>
      <c r="D79" s="13"/>
      <c r="E79" s="13"/>
      <c r="F79" s="13"/>
      <c r="G79" s="19" t="s">
        <v>16</v>
      </c>
      <c r="H79" s="13" t="s">
        <v>17</v>
      </c>
      <c r="I79" s="19">
        <v>2</v>
      </c>
      <c r="J79" s="2">
        <v>25</v>
      </c>
      <c r="K79" s="2">
        <v>100</v>
      </c>
      <c r="L79" s="20"/>
    </row>
    <row r="80" spans="1:12" ht="15" thickBot="1" x14ac:dyDescent="0.2">
      <c r="A80" s="3">
        <v>4</v>
      </c>
      <c r="B80" s="18" t="s">
        <v>14</v>
      </c>
      <c r="C80" s="18" t="s">
        <v>158</v>
      </c>
      <c r="D80" s="13"/>
      <c r="E80" s="13"/>
      <c r="F80" s="15"/>
      <c r="G80" s="19" t="s">
        <v>16</v>
      </c>
      <c r="H80" s="13" t="s">
        <v>17</v>
      </c>
      <c r="I80" s="19">
        <v>4</v>
      </c>
      <c r="J80" s="2">
        <v>20</v>
      </c>
      <c r="K80" s="2">
        <v>80</v>
      </c>
      <c r="L80" s="20"/>
    </row>
    <row r="81" spans="1:12" ht="186" thickBot="1" x14ac:dyDescent="0.2">
      <c r="A81" s="3">
        <v>5</v>
      </c>
      <c r="B81" s="18" t="s">
        <v>159</v>
      </c>
      <c r="C81" s="20" t="s">
        <v>160</v>
      </c>
      <c r="D81" s="21" t="s">
        <v>161</v>
      </c>
      <c r="E81" s="61">
        <v>420000</v>
      </c>
      <c r="F81" s="13"/>
      <c r="G81" s="2" t="s">
        <v>27</v>
      </c>
      <c r="H81" s="13" t="s">
        <v>24</v>
      </c>
      <c r="I81" s="2">
        <v>1</v>
      </c>
      <c r="J81" s="2">
        <v>185</v>
      </c>
      <c r="K81" s="2">
        <v>0</v>
      </c>
      <c r="L81" s="20">
        <v>55.5</v>
      </c>
    </row>
    <row r="82" spans="1:12" ht="409.6" thickBot="1" x14ac:dyDescent="0.2">
      <c r="A82" s="3">
        <v>6</v>
      </c>
      <c r="B82" s="20" t="s">
        <v>165</v>
      </c>
      <c r="C82" s="18" t="s">
        <v>166</v>
      </c>
      <c r="D82" s="21" t="s">
        <v>162</v>
      </c>
      <c r="E82" s="62"/>
      <c r="F82" s="15" t="s">
        <v>167</v>
      </c>
      <c r="G82" s="2" t="s">
        <v>16</v>
      </c>
      <c r="H82" s="13" t="s">
        <v>17</v>
      </c>
      <c r="I82" s="2">
        <v>1</v>
      </c>
      <c r="J82" s="2">
        <v>92</v>
      </c>
      <c r="K82" s="2">
        <v>92</v>
      </c>
      <c r="L82" s="20"/>
    </row>
    <row r="83" spans="1:12" ht="157.5" thickBot="1" x14ac:dyDescent="0.2">
      <c r="A83" s="3">
        <v>7</v>
      </c>
      <c r="B83" s="18" t="s">
        <v>168</v>
      </c>
      <c r="C83" s="18" t="s">
        <v>169</v>
      </c>
      <c r="D83" s="21" t="s">
        <v>163</v>
      </c>
      <c r="E83" s="62"/>
      <c r="F83" s="64" t="s">
        <v>170</v>
      </c>
      <c r="G83" s="2" t="s">
        <v>16</v>
      </c>
      <c r="H83" s="13" t="s">
        <v>17</v>
      </c>
      <c r="I83" s="2">
        <v>1</v>
      </c>
      <c r="J83" s="2">
        <v>150</v>
      </c>
      <c r="K83" s="2">
        <v>150</v>
      </c>
      <c r="L83" s="20"/>
    </row>
    <row r="84" spans="1:12" ht="15" thickBot="1" x14ac:dyDescent="0.2">
      <c r="A84" s="3">
        <v>8</v>
      </c>
      <c r="B84" s="18" t="s">
        <v>168</v>
      </c>
      <c r="C84" s="18" t="s">
        <v>166</v>
      </c>
      <c r="D84" s="21" t="s">
        <v>164</v>
      </c>
      <c r="E84" s="62"/>
      <c r="F84" s="65"/>
      <c r="G84" s="2" t="s">
        <v>16</v>
      </c>
      <c r="H84" s="13" t="s">
        <v>17</v>
      </c>
      <c r="I84" s="2">
        <v>1</v>
      </c>
      <c r="J84" s="2">
        <v>52</v>
      </c>
      <c r="K84" s="2">
        <v>52</v>
      </c>
      <c r="L84" s="20"/>
    </row>
    <row r="85" spans="1:12" ht="198.75" customHeight="1" thickBot="1" x14ac:dyDescent="0.2">
      <c r="A85" s="3">
        <v>9</v>
      </c>
      <c r="B85" s="18" t="s">
        <v>171</v>
      </c>
      <c r="C85" s="18" t="s">
        <v>172</v>
      </c>
      <c r="D85" s="22"/>
      <c r="E85" s="62"/>
      <c r="F85" s="64" t="s">
        <v>173</v>
      </c>
      <c r="G85" s="2" t="s">
        <v>16</v>
      </c>
      <c r="H85" s="13" t="s">
        <v>17</v>
      </c>
      <c r="I85" s="2">
        <v>1</v>
      </c>
      <c r="J85" s="2">
        <v>85</v>
      </c>
      <c r="K85" s="2">
        <v>85</v>
      </c>
      <c r="L85" s="20"/>
    </row>
    <row r="86" spans="1:12" ht="15" thickBot="1" x14ac:dyDescent="0.2">
      <c r="A86" s="3">
        <v>10</v>
      </c>
      <c r="B86" s="18" t="s">
        <v>174</v>
      </c>
      <c r="C86" s="18" t="s">
        <v>175</v>
      </c>
      <c r="D86" s="22"/>
      <c r="E86" s="62"/>
      <c r="F86" s="65"/>
      <c r="G86" s="2" t="s">
        <v>16</v>
      </c>
      <c r="H86" s="13" t="s">
        <v>17</v>
      </c>
      <c r="I86" s="2">
        <v>1</v>
      </c>
      <c r="J86" s="2">
        <v>155</v>
      </c>
      <c r="K86" s="2">
        <v>155</v>
      </c>
      <c r="L86" s="20"/>
    </row>
    <row r="87" spans="1:12" ht="43.5" thickBot="1" x14ac:dyDescent="0.2">
      <c r="A87" s="3">
        <v>11</v>
      </c>
      <c r="B87" s="18" t="s">
        <v>176</v>
      </c>
      <c r="C87" s="18" t="s">
        <v>177</v>
      </c>
      <c r="D87" s="22"/>
      <c r="E87" s="62"/>
      <c r="F87" s="15" t="s">
        <v>178</v>
      </c>
      <c r="G87" s="2" t="s">
        <v>16</v>
      </c>
      <c r="H87" s="13" t="s">
        <v>24</v>
      </c>
      <c r="I87" s="2">
        <v>1</v>
      </c>
      <c r="J87" s="2">
        <v>58</v>
      </c>
      <c r="K87" s="2">
        <v>58</v>
      </c>
      <c r="L87" s="20">
        <v>17.399999999999999</v>
      </c>
    </row>
    <row r="88" spans="1:12" ht="226.5" customHeight="1" thickBot="1" x14ac:dyDescent="0.2">
      <c r="A88" s="3">
        <v>12</v>
      </c>
      <c r="B88" s="18" t="s">
        <v>179</v>
      </c>
      <c r="C88" s="18" t="s">
        <v>180</v>
      </c>
      <c r="D88" s="22"/>
      <c r="E88" s="62"/>
      <c r="F88" s="64" t="s">
        <v>181</v>
      </c>
      <c r="G88" s="2" t="s">
        <v>16</v>
      </c>
      <c r="H88" s="13" t="s">
        <v>17</v>
      </c>
      <c r="I88" s="2">
        <v>1</v>
      </c>
      <c r="J88" s="2">
        <v>500</v>
      </c>
      <c r="K88" s="2">
        <v>500</v>
      </c>
      <c r="L88" s="20"/>
    </row>
    <row r="89" spans="1:12" ht="15" thickBot="1" x14ac:dyDescent="0.2">
      <c r="A89" s="17">
        <v>13</v>
      </c>
      <c r="B89" s="18" t="s">
        <v>182</v>
      </c>
      <c r="C89" s="18" t="s">
        <v>183</v>
      </c>
      <c r="D89" s="22"/>
      <c r="E89" s="62"/>
      <c r="F89" s="66"/>
      <c r="G89" s="2" t="s">
        <v>16</v>
      </c>
      <c r="H89" s="13" t="s">
        <v>17</v>
      </c>
      <c r="I89" s="2">
        <v>1</v>
      </c>
      <c r="J89" s="2">
        <v>63</v>
      </c>
      <c r="K89" s="2">
        <v>63</v>
      </c>
      <c r="L89" s="13"/>
    </row>
    <row r="90" spans="1:12" ht="15" thickBot="1" x14ac:dyDescent="0.2">
      <c r="A90" s="17">
        <v>14</v>
      </c>
      <c r="B90" s="18" t="s">
        <v>182</v>
      </c>
      <c r="C90" s="18" t="s">
        <v>177</v>
      </c>
      <c r="D90" s="22"/>
      <c r="E90" s="62"/>
      <c r="F90" s="65"/>
      <c r="G90" s="2" t="s">
        <v>16</v>
      </c>
      <c r="H90" s="13" t="s">
        <v>17</v>
      </c>
      <c r="I90" s="2">
        <v>1</v>
      </c>
      <c r="J90" s="2">
        <v>125</v>
      </c>
      <c r="K90" s="2">
        <v>125</v>
      </c>
      <c r="L90" s="13"/>
    </row>
    <row r="91" spans="1:12" ht="15" thickBot="1" x14ac:dyDescent="0.2">
      <c r="A91" s="17">
        <v>15</v>
      </c>
      <c r="B91" s="20" t="s">
        <v>184</v>
      </c>
      <c r="C91" s="20" t="s">
        <v>185</v>
      </c>
      <c r="D91" s="23"/>
      <c r="E91" s="63"/>
      <c r="F91" s="13" t="s">
        <v>186</v>
      </c>
      <c r="G91" s="2" t="s">
        <v>16</v>
      </c>
      <c r="H91" s="13" t="s">
        <v>17</v>
      </c>
      <c r="I91" s="2">
        <v>100</v>
      </c>
      <c r="J91" s="2">
        <v>2</v>
      </c>
      <c r="K91" s="2">
        <v>200</v>
      </c>
      <c r="L91" s="13"/>
    </row>
    <row r="92" spans="1:12" ht="228.75" thickBot="1" x14ac:dyDescent="0.2">
      <c r="A92" s="17">
        <v>16</v>
      </c>
      <c r="B92" s="18" t="s">
        <v>187</v>
      </c>
      <c r="C92" s="18" t="s">
        <v>141</v>
      </c>
      <c r="D92" s="13"/>
      <c r="E92" s="13"/>
      <c r="F92" s="15" t="s">
        <v>188</v>
      </c>
      <c r="G92" s="2" t="s">
        <v>16</v>
      </c>
      <c r="H92" s="13" t="s">
        <v>17</v>
      </c>
      <c r="I92" s="2">
        <v>1</v>
      </c>
      <c r="J92" s="2">
        <v>550</v>
      </c>
      <c r="K92" s="2">
        <v>550</v>
      </c>
      <c r="L92" s="13"/>
    </row>
    <row r="93" spans="1:12" ht="243" thickBot="1" x14ac:dyDescent="0.2">
      <c r="A93" s="17">
        <v>17</v>
      </c>
      <c r="B93" s="18" t="s">
        <v>187</v>
      </c>
      <c r="C93" s="18" t="s">
        <v>189</v>
      </c>
      <c r="D93" s="13"/>
      <c r="E93" s="13"/>
      <c r="F93" s="15" t="s">
        <v>190</v>
      </c>
      <c r="G93" s="2" t="s">
        <v>16</v>
      </c>
      <c r="H93" s="13" t="s">
        <v>17</v>
      </c>
      <c r="I93" s="2">
        <v>1</v>
      </c>
      <c r="J93" s="2">
        <v>380</v>
      </c>
      <c r="K93" s="2">
        <v>380</v>
      </c>
      <c r="L93" s="13"/>
    </row>
    <row r="94" spans="1:12" ht="15" thickBot="1" x14ac:dyDescent="0.2">
      <c r="A94" s="17">
        <v>18</v>
      </c>
      <c r="B94" s="18" t="s">
        <v>191</v>
      </c>
      <c r="C94" s="18"/>
      <c r="D94" s="13"/>
      <c r="E94" s="13"/>
      <c r="F94" s="13"/>
      <c r="G94" s="2"/>
      <c r="H94" s="13"/>
      <c r="I94" s="2">
        <v>16</v>
      </c>
      <c r="J94" s="2">
        <v>25</v>
      </c>
      <c r="K94" s="2">
        <v>400</v>
      </c>
      <c r="L94" s="13"/>
    </row>
    <row r="95" spans="1:12" ht="15" thickBot="1" x14ac:dyDescent="0.2">
      <c r="A95" s="17">
        <v>19</v>
      </c>
      <c r="B95" s="18" t="s">
        <v>192</v>
      </c>
      <c r="C95" s="18">
        <v>300</v>
      </c>
      <c r="D95" s="13"/>
      <c r="E95" s="13"/>
      <c r="F95" s="13"/>
      <c r="G95" s="2"/>
      <c r="H95" s="13"/>
      <c r="I95" s="2"/>
      <c r="J95" s="2">
        <v>300</v>
      </c>
      <c r="K95" s="2">
        <v>300</v>
      </c>
      <c r="L95" s="13"/>
    </row>
  </sheetData>
  <mergeCells count="72">
    <mergeCell ref="E81:E91"/>
    <mergeCell ref="F83:F84"/>
    <mergeCell ref="F85:F86"/>
    <mergeCell ref="F88:F90"/>
    <mergeCell ref="F75:F76"/>
    <mergeCell ref="G75:G76"/>
    <mergeCell ref="H75:H76"/>
    <mergeCell ref="I75:I76"/>
    <mergeCell ref="J75:K75"/>
    <mergeCell ref="L75:L76"/>
    <mergeCell ref="A75:A76"/>
    <mergeCell ref="B75:B76"/>
    <mergeCell ref="C75:C76"/>
    <mergeCell ref="D75:D76"/>
    <mergeCell ref="E75:E76"/>
    <mergeCell ref="A57:A58"/>
    <mergeCell ref="B57:B58"/>
    <mergeCell ref="C57:C58"/>
    <mergeCell ref="D57:D58"/>
    <mergeCell ref="E57:E58"/>
    <mergeCell ref="F57:F58"/>
    <mergeCell ref="H39:H40"/>
    <mergeCell ref="I39:I40"/>
    <mergeCell ref="J39:K39"/>
    <mergeCell ref="L39:L40"/>
    <mergeCell ref="G39:G40"/>
    <mergeCell ref="G57:G58"/>
    <mergeCell ref="H57:H58"/>
    <mergeCell ref="I57:I58"/>
    <mergeCell ref="J57:K57"/>
    <mergeCell ref="L57:L58"/>
    <mergeCell ref="D44:D54"/>
    <mergeCell ref="E44:E56"/>
    <mergeCell ref="F44:F45"/>
    <mergeCell ref="F46:F47"/>
    <mergeCell ref="F53:F54"/>
    <mergeCell ref="A39:A40"/>
    <mergeCell ref="B39:B40"/>
    <mergeCell ref="C39:C40"/>
    <mergeCell ref="D39:D40"/>
    <mergeCell ref="F39:F40"/>
    <mergeCell ref="D23:D25"/>
    <mergeCell ref="E23:E25"/>
    <mergeCell ref="F23:F25"/>
    <mergeCell ref="D26:D27"/>
    <mergeCell ref="E26:E27"/>
    <mergeCell ref="F26:F27"/>
    <mergeCell ref="D16:D18"/>
    <mergeCell ref="E16:E18"/>
    <mergeCell ref="F16:F18"/>
    <mergeCell ref="D19:D22"/>
    <mergeCell ref="E19:E22"/>
    <mergeCell ref="F19:F22"/>
    <mergeCell ref="D12:D13"/>
    <mergeCell ref="E12:E13"/>
    <mergeCell ref="F12:F13"/>
    <mergeCell ref="D14:D15"/>
    <mergeCell ref="E14:E15"/>
    <mergeCell ref="F14:F15"/>
    <mergeCell ref="H1:H2"/>
    <mergeCell ref="I1:I2"/>
    <mergeCell ref="J1:K1"/>
    <mergeCell ref="L1:L2"/>
    <mergeCell ref="D6:D11"/>
    <mergeCell ref="E6:E11"/>
    <mergeCell ref="F6:F11"/>
    <mergeCell ref="G1:G2"/>
    <mergeCell ref="A1:A2"/>
    <mergeCell ref="B1:B2"/>
    <mergeCell ref="C1:C2"/>
    <mergeCell ref="D1:D2"/>
    <mergeCell ref="F1:F2"/>
  </mergeCells>
  <phoneticPr fontId="5" type="noConversion"/>
  <pageMargins left="0.7" right="0.7" top="0.75" bottom="0.75" header="0.3" footer="0.3"/>
  <pageSetup paperSize="9" orientation="portrait" horizontalDpi="96" verticalDpi="96"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0"/>
  <sheetViews>
    <sheetView workbookViewId="0">
      <pane ySplit="2" topLeftCell="A69" activePane="bottomLeft" state="frozen"/>
      <selection pane="bottomLeft" activeCell="A56" sqref="A56:G70"/>
    </sheetView>
  </sheetViews>
  <sheetFormatPr defaultRowHeight="13.5" x14ac:dyDescent="0.15"/>
  <cols>
    <col min="1" max="1" width="5.375" style="75" customWidth="1"/>
    <col min="2" max="2" width="21" style="75" customWidth="1"/>
    <col min="3" max="3" width="22.125" style="75" customWidth="1"/>
    <col min="4" max="4" width="21.625" style="75" customWidth="1"/>
    <col min="5" max="5" width="9" style="106"/>
    <col min="6" max="6" width="52.875" style="75" customWidth="1"/>
    <col min="7" max="7" width="6.25" style="107" customWidth="1"/>
    <col min="8" max="16384" width="9" style="75"/>
  </cols>
  <sheetData>
    <row r="1" spans="1:8" ht="30" customHeight="1" x14ac:dyDescent="0.15">
      <c r="A1" s="72" t="s">
        <v>0</v>
      </c>
      <c r="B1" s="72" t="s">
        <v>1</v>
      </c>
      <c r="C1" s="73" t="s">
        <v>2</v>
      </c>
      <c r="D1" s="72" t="s">
        <v>3</v>
      </c>
      <c r="E1" s="74" t="s">
        <v>4</v>
      </c>
      <c r="F1" s="72" t="s">
        <v>195</v>
      </c>
      <c r="G1" s="73" t="s">
        <v>9</v>
      </c>
    </row>
    <row r="2" spans="1:8" ht="30" customHeight="1" x14ac:dyDescent="0.15">
      <c r="A2" s="72"/>
      <c r="B2" s="72"/>
      <c r="C2" s="73"/>
      <c r="D2" s="72"/>
      <c r="E2" s="74" t="s">
        <v>5</v>
      </c>
      <c r="F2" s="72"/>
      <c r="G2" s="73"/>
    </row>
    <row r="3" spans="1:8" ht="54.95" customHeight="1" x14ac:dyDescent="0.15">
      <c r="A3" s="76">
        <v>1</v>
      </c>
      <c r="B3" s="77" t="s">
        <v>20</v>
      </c>
      <c r="C3" s="77" t="s">
        <v>21</v>
      </c>
      <c r="D3" s="78" t="s">
        <v>209</v>
      </c>
      <c r="E3" s="79">
        <v>26560</v>
      </c>
      <c r="F3" s="78" t="s">
        <v>199</v>
      </c>
      <c r="G3" s="76">
        <v>8</v>
      </c>
    </row>
    <row r="4" spans="1:8" ht="54.95" customHeight="1" x14ac:dyDescent="0.15">
      <c r="A4" s="76">
        <v>2</v>
      </c>
      <c r="B4" s="77" t="s">
        <v>25</v>
      </c>
      <c r="C4" s="77" t="s">
        <v>26</v>
      </c>
      <c r="D4" s="78"/>
      <c r="E4" s="79"/>
      <c r="F4" s="78"/>
      <c r="G4" s="76">
        <v>6</v>
      </c>
      <c r="H4" s="35"/>
    </row>
    <row r="5" spans="1:8" ht="54.95" customHeight="1" x14ac:dyDescent="0.15">
      <c r="A5" s="76">
        <v>3</v>
      </c>
      <c r="B5" s="77" t="s">
        <v>28</v>
      </c>
      <c r="C5" s="77" t="s">
        <v>29</v>
      </c>
      <c r="D5" s="78"/>
      <c r="E5" s="79"/>
      <c r="F5" s="78"/>
      <c r="G5" s="76">
        <v>1</v>
      </c>
      <c r="H5" s="35"/>
    </row>
    <row r="6" spans="1:8" ht="54.95" customHeight="1" x14ac:dyDescent="0.15">
      <c r="A6" s="76">
        <v>4</v>
      </c>
      <c r="B6" s="77" t="s">
        <v>31</v>
      </c>
      <c r="C6" s="77" t="s">
        <v>196</v>
      </c>
      <c r="D6" s="78"/>
      <c r="E6" s="79"/>
      <c r="F6" s="78"/>
      <c r="G6" s="76">
        <v>16</v>
      </c>
      <c r="H6" s="67">
        <v>30</v>
      </c>
    </row>
    <row r="7" spans="1:8" ht="54.95" customHeight="1" x14ac:dyDescent="0.15">
      <c r="A7" s="76">
        <v>5</v>
      </c>
      <c r="B7" s="77" t="s">
        <v>28</v>
      </c>
      <c r="C7" s="77" t="s">
        <v>32</v>
      </c>
      <c r="D7" s="78"/>
      <c r="E7" s="79"/>
      <c r="F7" s="78"/>
      <c r="G7" s="76">
        <v>12</v>
      </c>
      <c r="H7" s="67"/>
    </row>
    <row r="8" spans="1:8" ht="54.95" customHeight="1" x14ac:dyDescent="0.15">
      <c r="A8" s="76">
        <v>6</v>
      </c>
      <c r="B8" s="77" t="s">
        <v>33</v>
      </c>
      <c r="C8" s="77" t="s">
        <v>34</v>
      </c>
      <c r="D8" s="78"/>
      <c r="E8" s="79"/>
      <c r="F8" s="78"/>
      <c r="G8" s="76">
        <v>2</v>
      </c>
      <c r="H8" s="67"/>
    </row>
    <row r="9" spans="1:8" ht="126" customHeight="1" x14ac:dyDescent="0.15">
      <c r="A9" s="76">
        <v>7</v>
      </c>
      <c r="B9" s="77" t="s">
        <v>35</v>
      </c>
      <c r="C9" s="77" t="s">
        <v>36</v>
      </c>
      <c r="D9" s="80" t="s">
        <v>37</v>
      </c>
      <c r="E9" s="79">
        <v>22550</v>
      </c>
      <c r="F9" s="78" t="s">
        <v>197</v>
      </c>
      <c r="G9" s="76">
        <v>1</v>
      </c>
    </row>
    <row r="10" spans="1:8" ht="126" customHeight="1" x14ac:dyDescent="0.15">
      <c r="A10" s="76">
        <v>8</v>
      </c>
      <c r="B10" s="77" t="s">
        <v>35</v>
      </c>
      <c r="C10" s="77" t="s">
        <v>39</v>
      </c>
      <c r="D10" s="80"/>
      <c r="E10" s="79"/>
      <c r="F10" s="78"/>
      <c r="G10" s="76">
        <v>1</v>
      </c>
    </row>
    <row r="11" spans="1:8" ht="99.95" customHeight="1" x14ac:dyDescent="0.15">
      <c r="A11" s="76">
        <v>9</v>
      </c>
      <c r="B11" s="77" t="s">
        <v>35</v>
      </c>
      <c r="C11" s="77" t="s">
        <v>40</v>
      </c>
      <c r="D11" s="80" t="s">
        <v>41</v>
      </c>
      <c r="E11" s="79">
        <v>24192</v>
      </c>
      <c r="F11" s="78" t="s">
        <v>198</v>
      </c>
      <c r="G11" s="76">
        <v>1</v>
      </c>
    </row>
    <row r="12" spans="1:8" ht="99.95" customHeight="1" x14ac:dyDescent="0.15">
      <c r="A12" s="76">
        <v>10</v>
      </c>
      <c r="B12" s="77" t="s">
        <v>35</v>
      </c>
      <c r="C12" s="77" t="s">
        <v>40</v>
      </c>
      <c r="D12" s="80"/>
      <c r="E12" s="79"/>
      <c r="F12" s="78"/>
      <c r="G12" s="76">
        <v>4</v>
      </c>
    </row>
    <row r="13" spans="1:8" ht="75" customHeight="1" x14ac:dyDescent="0.15">
      <c r="A13" s="76">
        <v>11</v>
      </c>
      <c r="B13" s="77" t="s">
        <v>43</v>
      </c>
      <c r="C13" s="77" t="s">
        <v>44</v>
      </c>
      <c r="D13" s="78" t="s">
        <v>22</v>
      </c>
      <c r="E13" s="79">
        <v>93797</v>
      </c>
      <c r="F13" s="78" t="s">
        <v>200</v>
      </c>
      <c r="G13" s="76">
        <v>2</v>
      </c>
    </row>
    <row r="14" spans="1:8" ht="75" customHeight="1" x14ac:dyDescent="0.15">
      <c r="A14" s="76">
        <v>12</v>
      </c>
      <c r="B14" s="77" t="s">
        <v>43</v>
      </c>
      <c r="C14" s="77" t="s">
        <v>46</v>
      </c>
      <c r="D14" s="78"/>
      <c r="E14" s="79"/>
      <c r="F14" s="78"/>
      <c r="G14" s="76">
        <v>8</v>
      </c>
    </row>
    <row r="15" spans="1:8" ht="75" customHeight="1" x14ac:dyDescent="0.15">
      <c r="A15" s="76">
        <v>13</v>
      </c>
      <c r="B15" s="77" t="s">
        <v>47</v>
      </c>
      <c r="C15" s="77" t="s">
        <v>48</v>
      </c>
      <c r="D15" s="78"/>
      <c r="E15" s="79"/>
      <c r="F15" s="78"/>
      <c r="G15" s="76">
        <v>6</v>
      </c>
    </row>
    <row r="16" spans="1:8" ht="55.5" customHeight="1" x14ac:dyDescent="0.15">
      <c r="A16" s="76">
        <v>14</v>
      </c>
      <c r="B16" s="77" t="s">
        <v>49</v>
      </c>
      <c r="C16" s="77" t="s">
        <v>50</v>
      </c>
      <c r="D16" s="81" t="s">
        <v>201</v>
      </c>
      <c r="E16" s="82">
        <v>184624</v>
      </c>
      <c r="F16" s="81" t="s">
        <v>202</v>
      </c>
      <c r="G16" s="76">
        <v>1</v>
      </c>
    </row>
    <row r="17" spans="1:7" ht="55.5" customHeight="1" x14ac:dyDescent="0.15">
      <c r="A17" s="76">
        <v>15</v>
      </c>
      <c r="B17" s="77" t="s">
        <v>49</v>
      </c>
      <c r="C17" s="77" t="s">
        <v>53</v>
      </c>
      <c r="D17" s="83"/>
      <c r="E17" s="84"/>
      <c r="F17" s="83"/>
      <c r="G17" s="76">
        <v>2</v>
      </c>
    </row>
    <row r="18" spans="1:7" ht="55.5" customHeight="1" x14ac:dyDescent="0.15">
      <c r="A18" s="76">
        <v>16</v>
      </c>
      <c r="B18" s="77" t="s">
        <v>49</v>
      </c>
      <c r="C18" s="77" t="s">
        <v>54</v>
      </c>
      <c r="D18" s="83"/>
      <c r="E18" s="84"/>
      <c r="F18" s="83"/>
      <c r="G18" s="76">
        <v>2</v>
      </c>
    </row>
    <row r="19" spans="1:7" ht="55.5" customHeight="1" x14ac:dyDescent="0.15">
      <c r="A19" s="76">
        <v>17</v>
      </c>
      <c r="B19" s="77" t="s">
        <v>55</v>
      </c>
      <c r="C19" s="77" t="s">
        <v>56</v>
      </c>
      <c r="D19" s="83"/>
      <c r="E19" s="84"/>
      <c r="F19" s="83"/>
      <c r="G19" s="76">
        <v>2</v>
      </c>
    </row>
    <row r="20" spans="1:7" ht="55.5" customHeight="1" x14ac:dyDescent="0.15">
      <c r="A20" s="76">
        <v>18</v>
      </c>
      <c r="B20" s="77" t="s">
        <v>64</v>
      </c>
      <c r="C20" s="77" t="s">
        <v>65</v>
      </c>
      <c r="D20" s="83"/>
      <c r="E20" s="84"/>
      <c r="F20" s="83"/>
      <c r="G20" s="76">
        <v>4</v>
      </c>
    </row>
    <row r="21" spans="1:7" ht="55.5" customHeight="1" x14ac:dyDescent="0.15">
      <c r="A21" s="76">
        <v>19</v>
      </c>
      <c r="B21" s="77" t="s">
        <v>68</v>
      </c>
      <c r="C21" s="77" t="s">
        <v>69</v>
      </c>
      <c r="D21" s="85"/>
      <c r="E21" s="86"/>
      <c r="F21" s="85"/>
      <c r="G21" s="76">
        <v>4</v>
      </c>
    </row>
    <row r="22" spans="1:7" ht="78" customHeight="1" x14ac:dyDescent="0.15">
      <c r="A22" s="76">
        <v>20</v>
      </c>
      <c r="B22" s="77" t="s">
        <v>57</v>
      </c>
      <c r="C22" s="77" t="s">
        <v>58</v>
      </c>
      <c r="D22" s="78" t="s">
        <v>59</v>
      </c>
      <c r="E22" s="79">
        <v>45578</v>
      </c>
      <c r="F22" s="78" t="s">
        <v>203</v>
      </c>
      <c r="G22" s="76">
        <v>2</v>
      </c>
    </row>
    <row r="23" spans="1:7" ht="78" customHeight="1" x14ac:dyDescent="0.15">
      <c r="A23" s="76">
        <v>21</v>
      </c>
      <c r="B23" s="77" t="s">
        <v>61</v>
      </c>
      <c r="C23" s="77" t="s">
        <v>62</v>
      </c>
      <c r="D23" s="78"/>
      <c r="E23" s="79"/>
      <c r="F23" s="78"/>
      <c r="G23" s="76">
        <v>1</v>
      </c>
    </row>
    <row r="24" spans="1:7" ht="78" customHeight="1" x14ac:dyDescent="0.15">
      <c r="A24" s="76">
        <v>22</v>
      </c>
      <c r="B24" s="77" t="s">
        <v>57</v>
      </c>
      <c r="C24" s="77" t="s">
        <v>63</v>
      </c>
      <c r="D24" s="78"/>
      <c r="E24" s="79"/>
      <c r="F24" s="78"/>
      <c r="G24" s="76">
        <v>2</v>
      </c>
    </row>
    <row r="25" spans="1:7" ht="90.75" customHeight="1" x14ac:dyDescent="0.15">
      <c r="A25" s="76">
        <v>23</v>
      </c>
      <c r="B25" s="77" t="s">
        <v>70</v>
      </c>
      <c r="C25" s="77" t="s">
        <v>71</v>
      </c>
      <c r="D25" s="87" t="s">
        <v>204</v>
      </c>
      <c r="E25" s="74">
        <v>32414</v>
      </c>
      <c r="F25" s="87" t="s">
        <v>205</v>
      </c>
      <c r="G25" s="76">
        <v>4</v>
      </c>
    </row>
    <row r="26" spans="1:7" ht="53.25" customHeight="1" x14ac:dyDescent="0.15">
      <c r="A26" s="76">
        <v>24</v>
      </c>
      <c r="B26" s="77" t="s">
        <v>74</v>
      </c>
      <c r="C26" s="77" t="s">
        <v>75</v>
      </c>
      <c r="D26" s="87" t="s">
        <v>76</v>
      </c>
      <c r="E26" s="74">
        <v>14000</v>
      </c>
      <c r="F26" s="87" t="s">
        <v>206</v>
      </c>
      <c r="G26" s="76">
        <v>4</v>
      </c>
    </row>
    <row r="27" spans="1:7" ht="30" customHeight="1" x14ac:dyDescent="0.15">
      <c r="A27" s="76">
        <v>25</v>
      </c>
      <c r="B27" s="77" t="s">
        <v>81</v>
      </c>
      <c r="C27" s="77" t="s">
        <v>82</v>
      </c>
      <c r="D27" s="77" t="s">
        <v>207</v>
      </c>
      <c r="E27" s="74"/>
      <c r="F27" s="77" t="s">
        <v>208</v>
      </c>
      <c r="G27" s="76">
        <v>2</v>
      </c>
    </row>
    <row r="28" spans="1:7" ht="30" customHeight="1" x14ac:dyDescent="0.15">
      <c r="A28" s="76">
        <v>26</v>
      </c>
      <c r="B28" s="77" t="s">
        <v>83</v>
      </c>
      <c r="C28" s="77"/>
      <c r="D28" s="81" t="s">
        <v>210</v>
      </c>
      <c r="E28" s="74"/>
      <c r="F28" s="81" t="s">
        <v>211</v>
      </c>
      <c r="G28" s="76">
        <v>1</v>
      </c>
    </row>
    <row r="29" spans="1:7" ht="30" customHeight="1" x14ac:dyDescent="0.15">
      <c r="A29" s="76">
        <v>27</v>
      </c>
      <c r="B29" s="77" t="s">
        <v>85</v>
      </c>
      <c r="C29" s="77"/>
      <c r="D29" s="83"/>
      <c r="E29" s="74"/>
      <c r="F29" s="83"/>
      <c r="G29" s="76">
        <v>1</v>
      </c>
    </row>
    <row r="30" spans="1:7" ht="30" customHeight="1" x14ac:dyDescent="0.15">
      <c r="A30" s="76">
        <v>28</v>
      </c>
      <c r="B30" s="77" t="s">
        <v>86</v>
      </c>
      <c r="C30" s="77"/>
      <c r="D30" s="83"/>
      <c r="E30" s="74"/>
      <c r="F30" s="83"/>
      <c r="G30" s="76">
        <v>1</v>
      </c>
    </row>
    <row r="31" spans="1:7" ht="30" customHeight="1" x14ac:dyDescent="0.15">
      <c r="A31" s="76">
        <v>29</v>
      </c>
      <c r="B31" s="77" t="s">
        <v>87</v>
      </c>
      <c r="C31" s="77"/>
      <c r="D31" s="83"/>
      <c r="E31" s="74"/>
      <c r="F31" s="83"/>
      <c r="G31" s="76">
        <v>4</v>
      </c>
    </row>
    <row r="32" spans="1:7" ht="30" customHeight="1" x14ac:dyDescent="0.15">
      <c r="A32" s="76">
        <v>30</v>
      </c>
      <c r="B32" s="77" t="s">
        <v>88</v>
      </c>
      <c r="C32" s="77" t="s">
        <v>89</v>
      </c>
      <c r="D32" s="85"/>
      <c r="E32" s="74"/>
      <c r="F32" s="85"/>
      <c r="G32" s="76">
        <v>1</v>
      </c>
    </row>
    <row r="33" spans="1:7" s="110" customFormat="1" ht="30" customHeight="1" x14ac:dyDescent="0.15">
      <c r="A33" s="108">
        <v>31</v>
      </c>
      <c r="B33" s="36" t="s">
        <v>150</v>
      </c>
      <c r="C33" s="36"/>
      <c r="D33" s="109" t="s">
        <v>151</v>
      </c>
      <c r="E33" s="109"/>
      <c r="F33" s="109"/>
      <c r="G33" s="108">
        <v>1</v>
      </c>
    </row>
    <row r="34" spans="1:7" s="110" customFormat="1" ht="30" customHeight="1" x14ac:dyDescent="0.15">
      <c r="A34" s="108">
        <v>32</v>
      </c>
      <c r="B34" s="36" t="s">
        <v>153</v>
      </c>
      <c r="C34" s="36"/>
      <c r="D34" s="109"/>
      <c r="E34" s="109"/>
      <c r="F34" s="109"/>
      <c r="G34" s="108">
        <v>1</v>
      </c>
    </row>
    <row r="35" spans="1:7" ht="50.1" customHeight="1" x14ac:dyDescent="0.15">
      <c r="A35" s="76">
        <v>33</v>
      </c>
      <c r="B35" s="87" t="s">
        <v>94</v>
      </c>
      <c r="C35" s="89" t="s">
        <v>95</v>
      </c>
      <c r="D35" s="90" t="s">
        <v>212</v>
      </c>
      <c r="E35" s="91">
        <v>126000</v>
      </c>
      <c r="F35" s="90" t="s">
        <v>97</v>
      </c>
      <c r="G35" s="92">
        <v>1</v>
      </c>
    </row>
    <row r="36" spans="1:7" ht="50.1" customHeight="1" x14ac:dyDescent="0.15">
      <c r="A36" s="76">
        <v>34</v>
      </c>
      <c r="B36" s="87" t="s">
        <v>94</v>
      </c>
      <c r="C36" s="89" t="s">
        <v>98</v>
      </c>
      <c r="D36" s="90"/>
      <c r="E36" s="91"/>
      <c r="F36" s="90"/>
      <c r="G36" s="92">
        <v>1</v>
      </c>
    </row>
    <row r="37" spans="1:7" ht="50.1" customHeight="1" x14ac:dyDescent="0.15">
      <c r="A37" s="76">
        <v>35</v>
      </c>
      <c r="B37" s="87" t="s">
        <v>99</v>
      </c>
      <c r="C37" s="89" t="s">
        <v>100</v>
      </c>
      <c r="D37" s="90"/>
      <c r="E37" s="91"/>
      <c r="F37" s="90" t="s">
        <v>101</v>
      </c>
      <c r="G37" s="92">
        <v>1</v>
      </c>
    </row>
    <row r="38" spans="1:7" ht="50.1" customHeight="1" x14ac:dyDescent="0.15">
      <c r="A38" s="76">
        <v>36</v>
      </c>
      <c r="B38" s="87" t="s">
        <v>102</v>
      </c>
      <c r="C38" s="87" t="s">
        <v>103</v>
      </c>
      <c r="D38" s="90"/>
      <c r="E38" s="91"/>
      <c r="F38" s="90"/>
      <c r="G38" s="92">
        <v>1</v>
      </c>
    </row>
    <row r="39" spans="1:7" ht="60" customHeight="1" x14ac:dyDescent="0.15">
      <c r="A39" s="76">
        <v>37</v>
      </c>
      <c r="B39" s="87" t="s">
        <v>104</v>
      </c>
      <c r="C39" s="87" t="s">
        <v>105</v>
      </c>
      <c r="D39" s="90"/>
      <c r="E39" s="91"/>
      <c r="F39" s="93" t="s">
        <v>106</v>
      </c>
      <c r="G39" s="92">
        <v>1</v>
      </c>
    </row>
    <row r="40" spans="1:7" ht="60" customHeight="1" x14ac:dyDescent="0.15">
      <c r="A40" s="76">
        <v>38</v>
      </c>
      <c r="B40" s="87" t="s">
        <v>107</v>
      </c>
      <c r="C40" s="89" t="s">
        <v>108</v>
      </c>
      <c r="D40" s="90"/>
      <c r="E40" s="91"/>
      <c r="F40" s="93" t="s">
        <v>109</v>
      </c>
      <c r="G40" s="92">
        <v>1</v>
      </c>
    </row>
    <row r="41" spans="1:7" ht="60" customHeight="1" x14ac:dyDescent="0.15">
      <c r="A41" s="76">
        <v>39</v>
      </c>
      <c r="B41" s="77" t="s">
        <v>110</v>
      </c>
      <c r="C41" s="94"/>
      <c r="D41" s="90"/>
      <c r="E41" s="91"/>
      <c r="F41" s="93" t="s">
        <v>111</v>
      </c>
      <c r="G41" s="95">
        <v>1</v>
      </c>
    </row>
    <row r="42" spans="1:7" ht="30" customHeight="1" x14ac:dyDescent="0.15">
      <c r="A42" s="76">
        <v>40</v>
      </c>
      <c r="B42" s="77" t="s">
        <v>112</v>
      </c>
      <c r="C42" s="94"/>
      <c r="D42" s="90"/>
      <c r="E42" s="91"/>
      <c r="F42" s="93" t="s">
        <v>113</v>
      </c>
      <c r="G42" s="95">
        <v>1</v>
      </c>
    </row>
    <row r="43" spans="1:7" ht="30" customHeight="1" x14ac:dyDescent="0.15">
      <c r="A43" s="76">
        <v>41</v>
      </c>
      <c r="B43" s="77" t="s">
        <v>114</v>
      </c>
      <c r="C43" s="94"/>
      <c r="D43" s="90"/>
      <c r="E43" s="91"/>
      <c r="F43" s="93" t="s">
        <v>113</v>
      </c>
      <c r="G43" s="95">
        <v>1</v>
      </c>
    </row>
    <row r="44" spans="1:7" ht="60" customHeight="1" x14ac:dyDescent="0.15">
      <c r="A44" s="76">
        <v>42</v>
      </c>
      <c r="B44" s="87" t="s">
        <v>115</v>
      </c>
      <c r="C44" s="94"/>
      <c r="D44" s="90"/>
      <c r="E44" s="91"/>
      <c r="F44" s="90" t="s">
        <v>116</v>
      </c>
      <c r="G44" s="95">
        <v>1</v>
      </c>
    </row>
    <row r="45" spans="1:7" ht="60" customHeight="1" x14ac:dyDescent="0.15">
      <c r="A45" s="76">
        <v>43</v>
      </c>
      <c r="B45" s="87" t="s">
        <v>115</v>
      </c>
      <c r="C45" s="93"/>
      <c r="D45" s="90"/>
      <c r="E45" s="91"/>
      <c r="F45" s="90"/>
      <c r="G45" s="95">
        <v>1</v>
      </c>
    </row>
    <row r="46" spans="1:7" ht="60" customHeight="1" x14ac:dyDescent="0.15">
      <c r="A46" s="76">
        <v>44</v>
      </c>
      <c r="B46" s="87" t="s">
        <v>117</v>
      </c>
      <c r="C46" s="93"/>
      <c r="D46" s="93"/>
      <c r="E46" s="91"/>
      <c r="F46" s="93" t="s">
        <v>118</v>
      </c>
      <c r="G46" s="95">
        <v>1</v>
      </c>
    </row>
    <row r="47" spans="1:7" ht="30" customHeight="1" x14ac:dyDescent="0.15">
      <c r="A47" s="76">
        <v>45</v>
      </c>
      <c r="B47" s="87" t="s">
        <v>119</v>
      </c>
      <c r="C47" s="87" t="s">
        <v>120</v>
      </c>
      <c r="D47" s="93"/>
      <c r="E47" s="91"/>
      <c r="F47" s="93"/>
      <c r="G47" s="76">
        <v>1</v>
      </c>
    </row>
    <row r="48" spans="1:7" ht="74.25" customHeight="1" x14ac:dyDescent="0.15">
      <c r="A48" s="76">
        <v>46</v>
      </c>
      <c r="B48" s="77" t="s">
        <v>127</v>
      </c>
      <c r="C48" s="77" t="s">
        <v>128</v>
      </c>
      <c r="D48" s="88" t="s">
        <v>129</v>
      </c>
      <c r="E48" s="96">
        <v>22084</v>
      </c>
      <c r="F48" s="97" t="s">
        <v>215</v>
      </c>
      <c r="G48" s="98">
        <v>2</v>
      </c>
    </row>
    <row r="49" spans="1:7" ht="30" customHeight="1" x14ac:dyDescent="0.15">
      <c r="A49" s="76">
        <v>47</v>
      </c>
      <c r="B49" s="77" t="s">
        <v>131</v>
      </c>
      <c r="C49" s="77" t="s">
        <v>132</v>
      </c>
      <c r="D49" s="88" t="s">
        <v>216</v>
      </c>
      <c r="E49" s="96">
        <v>10627</v>
      </c>
      <c r="F49" s="88" t="s">
        <v>213</v>
      </c>
      <c r="G49" s="76">
        <v>1</v>
      </c>
    </row>
    <row r="50" spans="1:7" ht="30" customHeight="1" x14ac:dyDescent="0.15">
      <c r="A50" s="76">
        <v>48</v>
      </c>
      <c r="B50" s="77" t="s">
        <v>134</v>
      </c>
      <c r="C50" s="77" t="s">
        <v>135</v>
      </c>
      <c r="D50" s="88" t="s">
        <v>133</v>
      </c>
      <c r="E50" s="96">
        <v>10627</v>
      </c>
      <c r="F50" s="88"/>
      <c r="G50" s="76">
        <v>1</v>
      </c>
    </row>
    <row r="51" spans="1:7" ht="30" customHeight="1" x14ac:dyDescent="0.15">
      <c r="A51" s="76">
        <v>49</v>
      </c>
      <c r="B51" s="77" t="s">
        <v>136</v>
      </c>
      <c r="C51" s="77" t="s">
        <v>137</v>
      </c>
      <c r="D51" s="88" t="s">
        <v>138</v>
      </c>
      <c r="E51" s="96">
        <v>21254</v>
      </c>
      <c r="F51" s="88"/>
      <c r="G51" s="76">
        <v>2</v>
      </c>
    </row>
    <row r="52" spans="1:7" ht="30" customHeight="1" x14ac:dyDescent="0.15">
      <c r="A52" s="76">
        <v>50</v>
      </c>
      <c r="B52" s="77" t="s">
        <v>136</v>
      </c>
      <c r="C52" s="77" t="s">
        <v>217</v>
      </c>
      <c r="D52" s="88"/>
      <c r="E52" s="96"/>
      <c r="F52" s="88"/>
      <c r="G52" s="76">
        <v>1</v>
      </c>
    </row>
    <row r="53" spans="1:7" ht="60" customHeight="1" x14ac:dyDescent="0.15">
      <c r="A53" s="76">
        <v>51</v>
      </c>
      <c r="B53" s="77" t="s">
        <v>139</v>
      </c>
      <c r="C53" s="77" t="s">
        <v>140</v>
      </c>
      <c r="D53" s="88" t="s">
        <v>141</v>
      </c>
      <c r="E53" s="96">
        <v>10886</v>
      </c>
      <c r="F53" s="97" t="s">
        <v>142</v>
      </c>
      <c r="G53" s="76">
        <v>1</v>
      </c>
    </row>
    <row r="54" spans="1:7" ht="93.75" customHeight="1" x14ac:dyDescent="0.15">
      <c r="A54" s="76">
        <v>52</v>
      </c>
      <c r="B54" s="77" t="s">
        <v>143</v>
      </c>
      <c r="C54" s="77" t="s">
        <v>144</v>
      </c>
      <c r="D54" s="97" t="s">
        <v>145</v>
      </c>
      <c r="E54" s="96">
        <v>10886</v>
      </c>
      <c r="F54" s="97" t="s">
        <v>146</v>
      </c>
      <c r="G54" s="76">
        <v>1</v>
      </c>
    </row>
    <row r="55" spans="1:7" ht="30" customHeight="1" x14ac:dyDescent="0.15">
      <c r="A55" s="76">
        <v>53</v>
      </c>
      <c r="B55" s="77" t="s">
        <v>147</v>
      </c>
      <c r="C55" s="77"/>
      <c r="D55" s="88" t="s">
        <v>148</v>
      </c>
      <c r="E55" s="88"/>
      <c r="F55" s="88" t="s">
        <v>214</v>
      </c>
      <c r="G55" s="76">
        <v>7</v>
      </c>
    </row>
    <row r="56" spans="1:7" ht="108.75" customHeight="1" x14ac:dyDescent="0.15">
      <c r="A56" s="76">
        <v>54</v>
      </c>
      <c r="B56" s="99" t="s">
        <v>159</v>
      </c>
      <c r="C56" s="74" t="s">
        <v>160</v>
      </c>
      <c r="D56" s="97" t="s">
        <v>161</v>
      </c>
      <c r="E56" s="100">
        <v>420000</v>
      </c>
      <c r="F56" s="88"/>
      <c r="G56" s="76">
        <v>1</v>
      </c>
    </row>
    <row r="57" spans="1:7" ht="280.5" customHeight="1" x14ac:dyDescent="0.15">
      <c r="A57" s="76">
        <v>55</v>
      </c>
      <c r="B57" s="74" t="s">
        <v>165</v>
      </c>
      <c r="C57" s="99" t="s">
        <v>166</v>
      </c>
      <c r="D57" s="97" t="s">
        <v>162</v>
      </c>
      <c r="E57" s="101"/>
      <c r="F57" s="97" t="s">
        <v>167</v>
      </c>
      <c r="G57" s="76">
        <v>1</v>
      </c>
    </row>
    <row r="58" spans="1:7" ht="61.5" customHeight="1" x14ac:dyDescent="0.15">
      <c r="A58" s="76">
        <v>56</v>
      </c>
      <c r="B58" s="99" t="s">
        <v>168</v>
      </c>
      <c r="C58" s="99" t="s">
        <v>169</v>
      </c>
      <c r="D58" s="97" t="s">
        <v>163</v>
      </c>
      <c r="E58" s="101"/>
      <c r="F58" s="102" t="s">
        <v>170</v>
      </c>
      <c r="G58" s="76">
        <v>1</v>
      </c>
    </row>
    <row r="59" spans="1:7" ht="51.75" customHeight="1" x14ac:dyDescent="0.15">
      <c r="A59" s="76">
        <v>57</v>
      </c>
      <c r="B59" s="99" t="s">
        <v>168</v>
      </c>
      <c r="C59" s="99" t="s">
        <v>166</v>
      </c>
      <c r="D59" s="97" t="s">
        <v>164</v>
      </c>
      <c r="E59" s="101"/>
      <c r="F59" s="102"/>
      <c r="G59" s="76">
        <v>1</v>
      </c>
    </row>
    <row r="60" spans="1:7" ht="30" customHeight="1" x14ac:dyDescent="0.15">
      <c r="A60" s="76">
        <v>58</v>
      </c>
      <c r="B60" s="99" t="s">
        <v>171</v>
      </c>
      <c r="C60" s="99" t="s">
        <v>172</v>
      </c>
      <c r="D60" s="103"/>
      <c r="E60" s="101"/>
      <c r="F60" s="102" t="s">
        <v>173</v>
      </c>
      <c r="G60" s="76">
        <v>1</v>
      </c>
    </row>
    <row r="61" spans="1:7" ht="30" customHeight="1" x14ac:dyDescent="0.15">
      <c r="A61" s="76">
        <v>59</v>
      </c>
      <c r="B61" s="99" t="s">
        <v>174</v>
      </c>
      <c r="C61" s="99" t="s">
        <v>175</v>
      </c>
      <c r="D61" s="103"/>
      <c r="E61" s="101"/>
      <c r="F61" s="102"/>
      <c r="G61" s="76">
        <v>1</v>
      </c>
    </row>
    <row r="62" spans="1:7" ht="30" customHeight="1" x14ac:dyDescent="0.15">
      <c r="A62" s="76">
        <v>60</v>
      </c>
      <c r="B62" s="99" t="s">
        <v>176</v>
      </c>
      <c r="C62" s="99" t="s">
        <v>177</v>
      </c>
      <c r="D62" s="103"/>
      <c r="E62" s="101"/>
      <c r="F62" s="97" t="s">
        <v>178</v>
      </c>
      <c r="G62" s="76">
        <v>1</v>
      </c>
    </row>
    <row r="63" spans="1:7" ht="30" customHeight="1" x14ac:dyDescent="0.15">
      <c r="A63" s="76">
        <v>61</v>
      </c>
      <c r="B63" s="99" t="s">
        <v>179</v>
      </c>
      <c r="C63" s="99" t="s">
        <v>180</v>
      </c>
      <c r="D63" s="103"/>
      <c r="E63" s="101"/>
      <c r="F63" s="102" t="s">
        <v>181</v>
      </c>
      <c r="G63" s="76">
        <v>1</v>
      </c>
    </row>
    <row r="64" spans="1:7" ht="30" customHeight="1" x14ac:dyDescent="0.15">
      <c r="A64" s="76">
        <v>62</v>
      </c>
      <c r="B64" s="99" t="s">
        <v>182</v>
      </c>
      <c r="C64" s="99" t="s">
        <v>183</v>
      </c>
      <c r="D64" s="103"/>
      <c r="E64" s="101"/>
      <c r="F64" s="102"/>
      <c r="G64" s="76">
        <v>1</v>
      </c>
    </row>
    <row r="65" spans="1:7" ht="30" customHeight="1" x14ac:dyDescent="0.15">
      <c r="A65" s="76">
        <v>63</v>
      </c>
      <c r="B65" s="99" t="s">
        <v>182</v>
      </c>
      <c r="C65" s="99" t="s">
        <v>177</v>
      </c>
      <c r="D65" s="103"/>
      <c r="E65" s="101"/>
      <c r="F65" s="102"/>
      <c r="G65" s="76">
        <v>1</v>
      </c>
    </row>
    <row r="66" spans="1:7" ht="30" customHeight="1" x14ac:dyDescent="0.15">
      <c r="A66" s="76">
        <v>64</v>
      </c>
      <c r="B66" s="74" t="s">
        <v>184</v>
      </c>
      <c r="C66" s="74" t="s">
        <v>185</v>
      </c>
      <c r="D66" s="103"/>
      <c r="E66" s="101"/>
      <c r="F66" s="88" t="s">
        <v>218</v>
      </c>
      <c r="G66" s="76">
        <v>100</v>
      </c>
    </row>
    <row r="67" spans="1:7" ht="60" customHeight="1" x14ac:dyDescent="0.15">
      <c r="A67" s="76">
        <v>65</v>
      </c>
      <c r="B67" s="99" t="s">
        <v>193</v>
      </c>
      <c r="C67" s="99" t="s">
        <v>141</v>
      </c>
      <c r="D67" s="88"/>
      <c r="E67" s="101"/>
      <c r="F67" s="97" t="s">
        <v>188</v>
      </c>
      <c r="G67" s="76">
        <v>1</v>
      </c>
    </row>
    <row r="68" spans="1:7" ht="60" customHeight="1" x14ac:dyDescent="0.15">
      <c r="A68" s="76">
        <v>66</v>
      </c>
      <c r="B68" s="99" t="s">
        <v>187</v>
      </c>
      <c r="C68" s="99" t="s">
        <v>189</v>
      </c>
      <c r="D68" s="88"/>
      <c r="E68" s="104"/>
      <c r="F68" s="97" t="s">
        <v>190</v>
      </c>
      <c r="G68" s="76">
        <v>1</v>
      </c>
    </row>
    <row r="69" spans="1:7" ht="30" customHeight="1" x14ac:dyDescent="0.15">
      <c r="A69" s="76">
        <v>67</v>
      </c>
      <c r="B69" s="99" t="s">
        <v>192</v>
      </c>
      <c r="C69" s="99"/>
      <c r="D69" s="88" t="s">
        <v>219</v>
      </c>
      <c r="E69" s="88"/>
      <c r="F69" s="97" t="s">
        <v>220</v>
      </c>
      <c r="G69" s="76"/>
    </row>
    <row r="70" spans="1:7" ht="30" customHeight="1" x14ac:dyDescent="0.15">
      <c r="A70" s="76">
        <v>68</v>
      </c>
      <c r="B70" s="105" t="s">
        <v>194</v>
      </c>
      <c r="C70" s="99"/>
      <c r="D70" s="88"/>
      <c r="E70" s="88"/>
      <c r="F70" s="88" t="s">
        <v>221</v>
      </c>
      <c r="G70" s="76"/>
    </row>
  </sheetData>
  <mergeCells count="36">
    <mergeCell ref="F28:F32"/>
    <mergeCell ref="D28:D32"/>
    <mergeCell ref="F58:F59"/>
    <mergeCell ref="F60:F61"/>
    <mergeCell ref="F63:F65"/>
    <mergeCell ref="E56:E68"/>
    <mergeCell ref="D35:D45"/>
    <mergeCell ref="E35:E47"/>
    <mergeCell ref="F35:F36"/>
    <mergeCell ref="F37:F38"/>
    <mergeCell ref="F44:F45"/>
    <mergeCell ref="D22:D24"/>
    <mergeCell ref="E22:E24"/>
    <mergeCell ref="F22:F24"/>
    <mergeCell ref="D16:D21"/>
    <mergeCell ref="E16:E21"/>
    <mergeCell ref="F16:F21"/>
    <mergeCell ref="D13:D15"/>
    <mergeCell ref="E13:E15"/>
    <mergeCell ref="F13:F15"/>
    <mergeCell ref="D9:D10"/>
    <mergeCell ref="E9:E10"/>
    <mergeCell ref="F9:F10"/>
    <mergeCell ref="D11:D12"/>
    <mergeCell ref="E11:E12"/>
    <mergeCell ref="F11:F12"/>
    <mergeCell ref="A1:A2"/>
    <mergeCell ref="B1:B2"/>
    <mergeCell ref="C1:C2"/>
    <mergeCell ref="D1:D2"/>
    <mergeCell ref="F1:F2"/>
    <mergeCell ref="H6:H8"/>
    <mergeCell ref="G1:G2"/>
    <mergeCell ref="D3:D8"/>
    <mergeCell ref="E3:E8"/>
    <mergeCell ref="F3:F8"/>
  </mergeCells>
  <phoneticPr fontId="5" type="noConversion"/>
  <printOptions horizontalCentered="1"/>
  <pageMargins left="0.31496062992125984" right="0.31496062992125984" top="0.74803149606299213" bottom="0.74803149606299213" header="0.31496062992125984" footer="0.31496062992125984"/>
  <pageSetup paperSize="9" orientation="landscape" horizontalDpi="96" verticalDpi="9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9"/>
  <sheetViews>
    <sheetView tabSelected="1" topLeftCell="A77" workbookViewId="0">
      <selection activeCell="I88" sqref="A1:I88"/>
    </sheetView>
  </sheetViews>
  <sheetFormatPr defaultRowHeight="13.5" x14ac:dyDescent="0.15"/>
  <cols>
    <col min="1" max="1" width="4.375" customWidth="1"/>
    <col min="2" max="2" width="23.875" customWidth="1"/>
    <col min="3" max="3" width="20.75" customWidth="1"/>
    <col min="4" max="4" width="5.125" customWidth="1"/>
    <col min="5" max="5" width="6.625" customWidth="1"/>
    <col min="6" max="6" width="5.125" customWidth="1"/>
    <col min="7" max="9" width="5.875" customWidth="1"/>
  </cols>
  <sheetData>
    <row r="1" spans="1:9" ht="27" customHeight="1" x14ac:dyDescent="0.15">
      <c r="A1" s="69" t="s">
        <v>0</v>
      </c>
      <c r="B1" s="69" t="s">
        <v>1</v>
      </c>
      <c r="C1" s="68" t="s">
        <v>2</v>
      </c>
      <c r="D1" s="69" t="s">
        <v>7</v>
      </c>
      <c r="E1" s="68" t="s">
        <v>8</v>
      </c>
      <c r="F1" s="68" t="s">
        <v>9</v>
      </c>
      <c r="G1" s="69" t="s">
        <v>10</v>
      </c>
      <c r="H1" s="69"/>
      <c r="I1" s="68" t="s">
        <v>11</v>
      </c>
    </row>
    <row r="2" spans="1:9" ht="27" customHeight="1" x14ac:dyDescent="0.15">
      <c r="A2" s="69"/>
      <c r="B2" s="69"/>
      <c r="C2" s="68"/>
      <c r="D2" s="69"/>
      <c r="E2" s="68"/>
      <c r="F2" s="68"/>
      <c r="G2" s="34" t="s">
        <v>12</v>
      </c>
      <c r="H2" s="34" t="s">
        <v>13</v>
      </c>
      <c r="I2" s="68"/>
    </row>
    <row r="3" spans="1:9" ht="25.5" customHeight="1" x14ac:dyDescent="0.15">
      <c r="A3" s="34">
        <v>1</v>
      </c>
      <c r="B3" s="32" t="s">
        <v>14</v>
      </c>
      <c r="C3" s="32" t="s">
        <v>15</v>
      </c>
      <c r="D3" s="32" t="s">
        <v>16</v>
      </c>
      <c r="E3" s="32" t="s">
        <v>17</v>
      </c>
      <c r="F3" s="32">
        <v>16</v>
      </c>
      <c r="G3" s="32">
        <v>20</v>
      </c>
      <c r="H3" s="32">
        <f>G3*F3</f>
        <v>320</v>
      </c>
      <c r="I3" s="32"/>
    </row>
    <row r="4" spans="1:9" ht="25.5" customHeight="1" x14ac:dyDescent="0.15">
      <c r="A4" s="34">
        <v>2</v>
      </c>
      <c r="B4" s="32" t="s">
        <v>14</v>
      </c>
      <c r="C4" s="32" t="s">
        <v>18</v>
      </c>
      <c r="D4" s="32" t="s">
        <v>16</v>
      </c>
      <c r="E4" s="32" t="s">
        <v>17</v>
      </c>
      <c r="F4" s="32">
        <v>8</v>
      </c>
      <c r="G4" s="32">
        <v>25</v>
      </c>
      <c r="H4" s="32">
        <f t="shared" ref="H4:H37" si="0">G4*F4</f>
        <v>200</v>
      </c>
      <c r="I4" s="32"/>
    </row>
    <row r="5" spans="1:9" ht="25.5" customHeight="1" x14ac:dyDescent="0.15">
      <c r="A5" s="34">
        <v>3</v>
      </c>
      <c r="B5" s="32" t="s">
        <v>14</v>
      </c>
      <c r="C5" s="32" t="s">
        <v>19</v>
      </c>
      <c r="D5" s="32" t="s">
        <v>16</v>
      </c>
      <c r="E5" s="32" t="s">
        <v>17</v>
      </c>
      <c r="F5" s="32">
        <v>4</v>
      </c>
      <c r="G5" s="32">
        <v>80</v>
      </c>
      <c r="H5" s="32">
        <f t="shared" si="0"/>
        <v>320</v>
      </c>
      <c r="I5" s="32"/>
    </row>
    <row r="6" spans="1:9" ht="25.5" customHeight="1" x14ac:dyDescent="0.15">
      <c r="A6" s="34">
        <v>4</v>
      </c>
      <c r="B6" s="32" t="s">
        <v>20</v>
      </c>
      <c r="C6" s="32" t="s">
        <v>21</v>
      </c>
      <c r="D6" s="32" t="s">
        <v>16</v>
      </c>
      <c r="E6" s="32" t="s">
        <v>24</v>
      </c>
      <c r="F6" s="32">
        <v>8</v>
      </c>
      <c r="G6" s="32">
        <v>5</v>
      </c>
      <c r="H6" s="32">
        <f t="shared" si="0"/>
        <v>40</v>
      </c>
      <c r="I6" s="32">
        <v>6</v>
      </c>
    </row>
    <row r="7" spans="1:9" ht="25.5" customHeight="1" x14ac:dyDescent="0.15">
      <c r="A7" s="34">
        <v>5</v>
      </c>
      <c r="B7" s="32" t="s">
        <v>25</v>
      </c>
      <c r="C7" s="32" t="s">
        <v>26</v>
      </c>
      <c r="D7" s="32" t="s">
        <v>27</v>
      </c>
      <c r="E7" s="32" t="s">
        <v>24</v>
      </c>
      <c r="F7" s="32">
        <v>6</v>
      </c>
      <c r="G7" s="32">
        <v>55</v>
      </c>
      <c r="H7" s="32">
        <v>0</v>
      </c>
      <c r="I7" s="32">
        <v>49.5</v>
      </c>
    </row>
    <row r="8" spans="1:9" ht="25.5" customHeight="1" x14ac:dyDescent="0.15">
      <c r="A8" s="34">
        <v>6</v>
      </c>
      <c r="B8" s="32" t="s">
        <v>28</v>
      </c>
      <c r="C8" s="32" t="s">
        <v>29</v>
      </c>
      <c r="D8" s="32" t="s">
        <v>30</v>
      </c>
      <c r="E8" s="32" t="s">
        <v>24</v>
      </c>
      <c r="F8" s="32">
        <v>1</v>
      </c>
      <c r="G8" s="32">
        <v>110</v>
      </c>
      <c r="H8" s="32">
        <v>0</v>
      </c>
      <c r="I8" s="32">
        <v>16.5</v>
      </c>
    </row>
    <row r="9" spans="1:9" ht="25.5" customHeight="1" x14ac:dyDescent="0.15">
      <c r="A9" s="34">
        <v>7</v>
      </c>
      <c r="B9" s="32" t="s">
        <v>31</v>
      </c>
      <c r="C9" s="32" t="s">
        <v>222</v>
      </c>
      <c r="D9" s="32" t="s">
        <v>27</v>
      </c>
      <c r="E9" s="32" t="s">
        <v>17</v>
      </c>
      <c r="F9" s="32">
        <v>16</v>
      </c>
      <c r="G9" s="32">
        <v>55</v>
      </c>
      <c r="H9" s="32">
        <f t="shared" si="0"/>
        <v>880</v>
      </c>
      <c r="I9" s="32"/>
    </row>
    <row r="10" spans="1:9" ht="25.5" customHeight="1" x14ac:dyDescent="0.15">
      <c r="A10" s="34">
        <v>8</v>
      </c>
      <c r="B10" s="32" t="s">
        <v>28</v>
      </c>
      <c r="C10" s="32" t="s">
        <v>32</v>
      </c>
      <c r="D10" s="32" t="s">
        <v>30</v>
      </c>
      <c r="E10" s="32" t="s">
        <v>17</v>
      </c>
      <c r="F10" s="32">
        <v>12</v>
      </c>
      <c r="G10" s="32">
        <v>85</v>
      </c>
      <c r="H10" s="32">
        <f t="shared" si="0"/>
        <v>1020</v>
      </c>
      <c r="I10" s="32"/>
    </row>
    <row r="11" spans="1:9" ht="25.5" customHeight="1" x14ac:dyDescent="0.15">
      <c r="A11" s="34">
        <v>9</v>
      </c>
      <c r="B11" s="32" t="s">
        <v>33</v>
      </c>
      <c r="C11" s="32" t="s">
        <v>34</v>
      </c>
      <c r="D11" s="32" t="s">
        <v>30</v>
      </c>
      <c r="E11" s="32" t="s">
        <v>17</v>
      </c>
      <c r="F11" s="32">
        <v>2</v>
      </c>
      <c r="G11" s="32">
        <v>295</v>
      </c>
      <c r="H11" s="32">
        <f t="shared" si="0"/>
        <v>590</v>
      </c>
      <c r="I11" s="32"/>
    </row>
    <row r="12" spans="1:9" ht="25.5" customHeight="1" x14ac:dyDescent="0.15">
      <c r="A12" s="34">
        <v>10</v>
      </c>
      <c r="B12" s="32" t="s">
        <v>35</v>
      </c>
      <c r="C12" s="32" t="s">
        <v>36</v>
      </c>
      <c r="D12" s="32" t="s">
        <v>16</v>
      </c>
      <c r="E12" s="32" t="s">
        <v>24</v>
      </c>
      <c r="F12" s="32">
        <v>1</v>
      </c>
      <c r="G12" s="32">
        <v>560</v>
      </c>
      <c r="H12" s="32">
        <v>0</v>
      </c>
      <c r="I12" s="32">
        <v>168</v>
      </c>
    </row>
    <row r="13" spans="1:9" ht="25.5" customHeight="1" x14ac:dyDescent="0.15">
      <c r="A13" s="34">
        <v>11</v>
      </c>
      <c r="B13" s="32" t="s">
        <v>35</v>
      </c>
      <c r="C13" s="32" t="s">
        <v>39</v>
      </c>
      <c r="D13" s="32" t="s">
        <v>27</v>
      </c>
      <c r="E13" s="32" t="s">
        <v>17</v>
      </c>
      <c r="F13" s="32">
        <v>1</v>
      </c>
      <c r="G13" s="32">
        <v>560</v>
      </c>
      <c r="H13" s="32">
        <f t="shared" si="0"/>
        <v>560</v>
      </c>
      <c r="I13" s="32"/>
    </row>
    <row r="14" spans="1:9" ht="25.5" customHeight="1" x14ac:dyDescent="0.15">
      <c r="A14" s="34">
        <v>12</v>
      </c>
      <c r="B14" s="32" t="s">
        <v>35</v>
      </c>
      <c r="C14" s="32" t="s">
        <v>40</v>
      </c>
      <c r="D14" s="32" t="s">
        <v>16</v>
      </c>
      <c r="E14" s="32" t="s">
        <v>24</v>
      </c>
      <c r="F14" s="32">
        <v>1</v>
      </c>
      <c r="G14" s="32">
        <v>150</v>
      </c>
      <c r="H14" s="32">
        <v>0</v>
      </c>
      <c r="I14" s="32">
        <v>45</v>
      </c>
    </row>
    <row r="15" spans="1:9" ht="25.5" customHeight="1" x14ac:dyDescent="0.15">
      <c r="A15" s="34">
        <v>13</v>
      </c>
      <c r="B15" s="32" t="s">
        <v>35</v>
      </c>
      <c r="C15" s="32" t="s">
        <v>40</v>
      </c>
      <c r="D15" s="32" t="s">
        <v>27</v>
      </c>
      <c r="E15" s="32" t="s">
        <v>17</v>
      </c>
      <c r="F15" s="32">
        <v>4</v>
      </c>
      <c r="G15" s="32">
        <v>150</v>
      </c>
      <c r="H15" s="32">
        <f t="shared" si="0"/>
        <v>600</v>
      </c>
      <c r="I15" s="32"/>
    </row>
    <row r="16" spans="1:9" ht="25.5" customHeight="1" x14ac:dyDescent="0.15">
      <c r="A16" s="34">
        <v>14</v>
      </c>
      <c r="B16" s="32" t="s">
        <v>43</v>
      </c>
      <c r="C16" s="32" t="s">
        <v>44</v>
      </c>
      <c r="D16" s="32" t="s">
        <v>27</v>
      </c>
      <c r="E16" s="32" t="s">
        <v>24</v>
      </c>
      <c r="F16" s="32">
        <v>2</v>
      </c>
      <c r="G16" s="32">
        <v>65</v>
      </c>
      <c r="H16" s="32">
        <v>0</v>
      </c>
      <c r="I16" s="32">
        <v>19.5</v>
      </c>
    </row>
    <row r="17" spans="1:9" ht="25.5" customHeight="1" x14ac:dyDescent="0.15">
      <c r="A17" s="34">
        <v>15</v>
      </c>
      <c r="B17" s="32" t="s">
        <v>43</v>
      </c>
      <c r="C17" s="32" t="s">
        <v>46</v>
      </c>
      <c r="D17" s="32" t="s">
        <v>27</v>
      </c>
      <c r="E17" s="32" t="s">
        <v>17</v>
      </c>
      <c r="F17" s="32">
        <v>8</v>
      </c>
      <c r="G17" s="32">
        <v>65</v>
      </c>
      <c r="H17" s="32">
        <f t="shared" si="0"/>
        <v>520</v>
      </c>
      <c r="I17" s="32">
        <v>1</v>
      </c>
    </row>
    <row r="18" spans="1:9" ht="25.5" customHeight="1" x14ac:dyDescent="0.15">
      <c r="A18" s="34">
        <v>16</v>
      </c>
      <c r="B18" s="32" t="s">
        <v>47</v>
      </c>
      <c r="C18" s="32" t="s">
        <v>48</v>
      </c>
      <c r="D18" s="32" t="s">
        <v>27</v>
      </c>
      <c r="E18" s="32" t="s">
        <v>17</v>
      </c>
      <c r="F18" s="32">
        <v>6</v>
      </c>
      <c r="G18" s="32">
        <v>125</v>
      </c>
      <c r="H18" s="32">
        <f t="shared" si="0"/>
        <v>750</v>
      </c>
      <c r="I18" s="32"/>
    </row>
    <row r="19" spans="1:9" ht="25.5" customHeight="1" x14ac:dyDescent="0.15">
      <c r="A19" s="34">
        <v>17</v>
      </c>
      <c r="B19" s="32" t="s">
        <v>49</v>
      </c>
      <c r="C19" s="32" t="s">
        <v>50</v>
      </c>
      <c r="D19" s="32" t="s">
        <v>16</v>
      </c>
      <c r="E19" s="32" t="s">
        <v>24</v>
      </c>
      <c r="F19" s="32">
        <v>1</v>
      </c>
      <c r="G19" s="32">
        <v>158</v>
      </c>
      <c r="H19" s="32">
        <v>0</v>
      </c>
      <c r="I19" s="32">
        <v>47.4</v>
      </c>
    </row>
    <row r="20" spans="1:9" ht="25.5" customHeight="1" x14ac:dyDescent="0.15">
      <c r="A20" s="34">
        <v>18</v>
      </c>
      <c r="B20" s="32" t="s">
        <v>49</v>
      </c>
      <c r="C20" s="32" t="s">
        <v>53</v>
      </c>
      <c r="D20" s="32" t="s">
        <v>30</v>
      </c>
      <c r="E20" s="32" t="s">
        <v>17</v>
      </c>
      <c r="F20" s="32">
        <v>2</v>
      </c>
      <c r="G20" s="32">
        <v>380</v>
      </c>
      <c r="H20" s="32">
        <f t="shared" si="0"/>
        <v>760</v>
      </c>
      <c r="I20" s="32"/>
    </row>
    <row r="21" spans="1:9" ht="25.5" customHeight="1" x14ac:dyDescent="0.15">
      <c r="A21" s="34">
        <v>19</v>
      </c>
      <c r="B21" s="32" t="s">
        <v>49</v>
      </c>
      <c r="C21" s="32" t="s">
        <v>54</v>
      </c>
      <c r="D21" s="32" t="s">
        <v>30</v>
      </c>
      <c r="E21" s="32" t="s">
        <v>17</v>
      </c>
      <c r="F21" s="32">
        <v>2</v>
      </c>
      <c r="G21" s="32">
        <v>320</v>
      </c>
      <c r="H21" s="32">
        <f t="shared" si="0"/>
        <v>640</v>
      </c>
      <c r="I21" s="32"/>
    </row>
    <row r="22" spans="1:9" ht="25.5" customHeight="1" x14ac:dyDescent="0.15">
      <c r="A22" s="34">
        <v>20</v>
      </c>
      <c r="B22" s="32" t="s">
        <v>55</v>
      </c>
      <c r="C22" s="32" t="s">
        <v>56</v>
      </c>
      <c r="D22" s="32" t="s">
        <v>30</v>
      </c>
      <c r="E22" s="32" t="s">
        <v>17</v>
      </c>
      <c r="F22" s="32">
        <v>2</v>
      </c>
      <c r="G22" s="32">
        <v>480</v>
      </c>
      <c r="H22" s="32">
        <f t="shared" si="0"/>
        <v>960</v>
      </c>
      <c r="I22" s="32"/>
    </row>
    <row r="23" spans="1:9" ht="25.5" customHeight="1" x14ac:dyDescent="0.15">
      <c r="A23" s="34">
        <v>21</v>
      </c>
      <c r="B23" s="32" t="s">
        <v>57</v>
      </c>
      <c r="C23" s="32" t="s">
        <v>58</v>
      </c>
      <c r="D23" s="32" t="s">
        <v>16</v>
      </c>
      <c r="E23" s="32" t="s">
        <v>24</v>
      </c>
      <c r="F23" s="32">
        <v>2</v>
      </c>
      <c r="G23" s="32">
        <v>480</v>
      </c>
      <c r="H23" s="32">
        <v>0</v>
      </c>
      <c r="I23" s="32">
        <v>288</v>
      </c>
    </row>
    <row r="24" spans="1:9" ht="25.5" customHeight="1" x14ac:dyDescent="0.15">
      <c r="A24" s="34">
        <v>22</v>
      </c>
      <c r="B24" s="32" t="s">
        <v>61</v>
      </c>
      <c r="C24" s="32" t="s">
        <v>62</v>
      </c>
      <c r="D24" s="32" t="s">
        <v>27</v>
      </c>
      <c r="E24" s="32" t="s">
        <v>17</v>
      </c>
      <c r="F24" s="32">
        <v>1</v>
      </c>
      <c r="G24" s="32">
        <v>680</v>
      </c>
      <c r="H24" s="32">
        <f t="shared" si="0"/>
        <v>680</v>
      </c>
      <c r="I24" s="32"/>
    </row>
    <row r="25" spans="1:9" ht="25.5" customHeight="1" x14ac:dyDescent="0.15">
      <c r="A25" s="34">
        <v>23</v>
      </c>
      <c r="B25" s="32" t="s">
        <v>57</v>
      </c>
      <c r="C25" s="32" t="s">
        <v>63</v>
      </c>
      <c r="D25" s="32" t="s">
        <v>27</v>
      </c>
      <c r="E25" s="32" t="s">
        <v>17</v>
      </c>
      <c r="F25" s="32">
        <v>2</v>
      </c>
      <c r="G25" s="32">
        <v>350</v>
      </c>
      <c r="H25" s="32">
        <f t="shared" si="0"/>
        <v>700</v>
      </c>
      <c r="I25" s="32"/>
    </row>
    <row r="26" spans="1:9" ht="25.5" customHeight="1" x14ac:dyDescent="0.15">
      <c r="A26" s="34">
        <v>24</v>
      </c>
      <c r="B26" s="32" t="s">
        <v>64</v>
      </c>
      <c r="C26" s="32" t="s">
        <v>65</v>
      </c>
      <c r="D26" s="32" t="s">
        <v>27</v>
      </c>
      <c r="E26" s="32" t="s">
        <v>17</v>
      </c>
      <c r="F26" s="32">
        <v>4</v>
      </c>
      <c r="G26" s="32">
        <v>165</v>
      </c>
      <c r="H26" s="32">
        <f t="shared" si="0"/>
        <v>660</v>
      </c>
      <c r="I26" s="32"/>
    </row>
    <row r="27" spans="1:9" ht="25.5" customHeight="1" x14ac:dyDescent="0.15">
      <c r="A27" s="34">
        <v>25</v>
      </c>
      <c r="B27" s="32" t="s">
        <v>68</v>
      </c>
      <c r="C27" s="32" t="s">
        <v>69</v>
      </c>
      <c r="D27" s="32" t="s">
        <v>27</v>
      </c>
      <c r="E27" s="32" t="s">
        <v>17</v>
      </c>
      <c r="F27" s="32">
        <v>4</v>
      </c>
      <c r="G27" s="32">
        <v>310</v>
      </c>
      <c r="H27" s="32">
        <f t="shared" si="0"/>
        <v>1240</v>
      </c>
      <c r="I27" s="32"/>
    </row>
    <row r="28" spans="1:9" ht="25.5" customHeight="1" x14ac:dyDescent="0.15">
      <c r="A28" s="34">
        <v>26</v>
      </c>
      <c r="B28" s="32" t="s">
        <v>70</v>
      </c>
      <c r="C28" s="32" t="s">
        <v>71</v>
      </c>
      <c r="D28" s="32" t="s">
        <v>16</v>
      </c>
      <c r="E28" s="32" t="s">
        <v>17</v>
      </c>
      <c r="F28" s="32">
        <v>4</v>
      </c>
      <c r="G28" s="32">
        <v>195</v>
      </c>
      <c r="H28" s="32">
        <f t="shared" si="0"/>
        <v>780</v>
      </c>
      <c r="I28" s="32"/>
    </row>
    <row r="29" spans="1:9" ht="25.5" customHeight="1" x14ac:dyDescent="0.15">
      <c r="A29" s="34">
        <v>27</v>
      </c>
      <c r="B29" s="32" t="s">
        <v>74</v>
      </c>
      <c r="C29" s="32" t="s">
        <v>75</v>
      </c>
      <c r="D29" s="32" t="s">
        <v>27</v>
      </c>
      <c r="E29" s="32" t="s">
        <v>17</v>
      </c>
      <c r="F29" s="32">
        <v>4</v>
      </c>
      <c r="G29" s="32">
        <v>82</v>
      </c>
      <c r="H29" s="32">
        <f t="shared" si="0"/>
        <v>328</v>
      </c>
      <c r="I29" s="32"/>
    </row>
    <row r="30" spans="1:9" ht="25.5" customHeight="1" x14ac:dyDescent="0.15">
      <c r="A30" s="34">
        <v>28</v>
      </c>
      <c r="B30" s="32" t="s">
        <v>78</v>
      </c>
      <c r="C30" s="30"/>
      <c r="D30" s="32" t="s">
        <v>27</v>
      </c>
      <c r="E30" s="32" t="s">
        <v>17</v>
      </c>
      <c r="F30" s="32">
        <v>10</v>
      </c>
      <c r="G30" s="32">
        <v>25</v>
      </c>
      <c r="H30" s="32">
        <f t="shared" si="0"/>
        <v>250</v>
      </c>
      <c r="I30" s="32"/>
    </row>
    <row r="31" spans="1:9" ht="25.5" customHeight="1" x14ac:dyDescent="0.15">
      <c r="A31" s="34">
        <v>29</v>
      </c>
      <c r="B31" s="32" t="s">
        <v>79</v>
      </c>
      <c r="C31" s="30" t="s">
        <v>80</v>
      </c>
      <c r="D31" s="32" t="s">
        <v>27</v>
      </c>
      <c r="E31" s="32" t="s">
        <v>17</v>
      </c>
      <c r="F31" s="32">
        <v>1</v>
      </c>
      <c r="G31" s="32">
        <v>450</v>
      </c>
      <c r="H31" s="32">
        <f t="shared" si="0"/>
        <v>450</v>
      </c>
      <c r="I31" s="32"/>
    </row>
    <row r="32" spans="1:9" ht="25.5" customHeight="1" x14ac:dyDescent="0.15">
      <c r="A32" s="34">
        <v>30</v>
      </c>
      <c r="B32" s="32" t="s">
        <v>81</v>
      </c>
      <c r="C32" s="32" t="s">
        <v>82</v>
      </c>
      <c r="D32" s="32" t="s">
        <v>30</v>
      </c>
      <c r="E32" s="32" t="s">
        <v>17</v>
      </c>
      <c r="F32" s="32">
        <v>2</v>
      </c>
      <c r="G32" s="32">
        <v>264</v>
      </c>
      <c r="H32" s="32">
        <f t="shared" si="0"/>
        <v>528</v>
      </c>
      <c r="I32" s="32"/>
    </row>
    <row r="33" spans="1:9" ht="25.5" customHeight="1" x14ac:dyDescent="0.15">
      <c r="A33" s="34">
        <v>31</v>
      </c>
      <c r="B33" s="32" t="s">
        <v>83</v>
      </c>
      <c r="C33" s="32"/>
      <c r="D33" s="32" t="s">
        <v>84</v>
      </c>
      <c r="E33" s="32" t="s">
        <v>17</v>
      </c>
      <c r="F33" s="32">
        <v>1</v>
      </c>
      <c r="G33" s="32">
        <v>320</v>
      </c>
      <c r="H33" s="32">
        <f t="shared" si="0"/>
        <v>320</v>
      </c>
      <c r="I33" s="32"/>
    </row>
    <row r="34" spans="1:9" ht="25.5" customHeight="1" x14ac:dyDescent="0.15">
      <c r="A34" s="34">
        <v>32</v>
      </c>
      <c r="B34" s="32" t="s">
        <v>85</v>
      </c>
      <c r="C34" s="32"/>
      <c r="D34" s="32" t="s">
        <v>84</v>
      </c>
      <c r="E34" s="32" t="s">
        <v>17</v>
      </c>
      <c r="F34" s="32">
        <v>1</v>
      </c>
      <c r="G34" s="32">
        <v>300</v>
      </c>
      <c r="H34" s="32">
        <f t="shared" si="0"/>
        <v>300</v>
      </c>
      <c r="I34" s="32"/>
    </row>
    <row r="35" spans="1:9" ht="25.5" customHeight="1" x14ac:dyDescent="0.15">
      <c r="A35" s="34">
        <v>33</v>
      </c>
      <c r="B35" s="32" t="s">
        <v>86</v>
      </c>
      <c r="C35" s="32"/>
      <c r="D35" s="32" t="s">
        <v>84</v>
      </c>
      <c r="E35" s="32" t="s">
        <v>17</v>
      </c>
      <c r="F35" s="32">
        <v>1</v>
      </c>
      <c r="G35" s="32">
        <v>285</v>
      </c>
      <c r="H35" s="32">
        <f t="shared" si="0"/>
        <v>285</v>
      </c>
      <c r="I35" s="32"/>
    </row>
    <row r="36" spans="1:9" ht="25.5" customHeight="1" x14ac:dyDescent="0.15">
      <c r="A36" s="34">
        <v>34</v>
      </c>
      <c r="B36" s="32" t="s">
        <v>87</v>
      </c>
      <c r="C36" s="32"/>
      <c r="D36" s="32" t="s">
        <v>84</v>
      </c>
      <c r="E36" s="32" t="s">
        <v>17</v>
      </c>
      <c r="F36" s="32">
        <v>4</v>
      </c>
      <c r="G36" s="32">
        <v>165</v>
      </c>
      <c r="H36" s="32">
        <f t="shared" si="0"/>
        <v>660</v>
      </c>
      <c r="I36" s="32"/>
    </row>
    <row r="37" spans="1:9" ht="25.5" customHeight="1" x14ac:dyDescent="0.15">
      <c r="A37" s="34">
        <v>35</v>
      </c>
      <c r="B37" s="32" t="s">
        <v>88</v>
      </c>
      <c r="C37" s="32" t="s">
        <v>89</v>
      </c>
      <c r="D37" s="32" t="s">
        <v>84</v>
      </c>
      <c r="E37" s="32" t="s">
        <v>17</v>
      </c>
      <c r="F37" s="32">
        <v>1</v>
      </c>
      <c r="G37" s="32">
        <v>315</v>
      </c>
      <c r="H37" s="32">
        <f t="shared" si="0"/>
        <v>315</v>
      </c>
      <c r="I37" s="32">
        <v>0</v>
      </c>
    </row>
    <row r="38" spans="1:9" ht="25.5" customHeight="1" x14ac:dyDescent="0.15">
      <c r="A38" s="34">
        <v>36</v>
      </c>
      <c r="B38" s="30" t="s">
        <v>14</v>
      </c>
      <c r="C38" s="32" t="s">
        <v>223</v>
      </c>
      <c r="D38" s="30" t="s">
        <v>16</v>
      </c>
      <c r="E38" s="32"/>
      <c r="F38" s="24">
        <v>4</v>
      </c>
      <c r="G38" s="70">
        <v>35</v>
      </c>
      <c r="H38" s="32">
        <f t="shared" ref="H38:H52" si="1">G38*F38</f>
        <v>140</v>
      </c>
      <c r="I38" s="32"/>
    </row>
    <row r="39" spans="1:9" ht="25.5" customHeight="1" x14ac:dyDescent="0.15">
      <c r="A39" s="34">
        <v>37</v>
      </c>
      <c r="B39" s="30" t="s">
        <v>14</v>
      </c>
      <c r="C39" s="32" t="s">
        <v>92</v>
      </c>
      <c r="D39" s="30" t="s">
        <v>16</v>
      </c>
      <c r="E39" s="32"/>
      <c r="F39" s="24">
        <v>4</v>
      </c>
      <c r="G39" s="70">
        <v>25</v>
      </c>
      <c r="H39" s="32">
        <f t="shared" si="1"/>
        <v>100</v>
      </c>
      <c r="I39" s="32"/>
    </row>
    <row r="40" spans="1:9" ht="25.5" customHeight="1" x14ac:dyDescent="0.15">
      <c r="A40" s="34">
        <v>38</v>
      </c>
      <c r="B40" s="30" t="s">
        <v>14</v>
      </c>
      <c r="C40" s="32" t="s">
        <v>93</v>
      </c>
      <c r="D40" s="30" t="s">
        <v>16</v>
      </c>
      <c r="E40" s="32"/>
      <c r="F40" s="24">
        <v>6</v>
      </c>
      <c r="G40" s="70">
        <v>20</v>
      </c>
      <c r="H40" s="32">
        <f t="shared" si="1"/>
        <v>120</v>
      </c>
      <c r="I40" s="32"/>
    </row>
    <row r="41" spans="1:9" ht="25.5" customHeight="1" x14ac:dyDescent="0.15">
      <c r="A41" s="34">
        <v>39</v>
      </c>
      <c r="B41" s="30" t="s">
        <v>94</v>
      </c>
      <c r="C41" s="24" t="s">
        <v>95</v>
      </c>
      <c r="D41" s="30"/>
      <c r="E41" s="32" t="s">
        <v>24</v>
      </c>
      <c r="F41" s="24">
        <v>1</v>
      </c>
      <c r="G41" s="70">
        <v>185</v>
      </c>
      <c r="H41" s="32">
        <v>0</v>
      </c>
      <c r="I41" s="32">
        <v>55.5</v>
      </c>
    </row>
    <row r="42" spans="1:9" ht="25.5" customHeight="1" x14ac:dyDescent="0.15">
      <c r="A42" s="34">
        <v>40</v>
      </c>
      <c r="B42" s="30" t="s">
        <v>94</v>
      </c>
      <c r="C42" s="24" t="s">
        <v>98</v>
      </c>
      <c r="D42" s="30" t="s">
        <v>30</v>
      </c>
      <c r="E42" s="32"/>
      <c r="F42" s="24">
        <v>1</v>
      </c>
      <c r="G42" s="70">
        <v>225</v>
      </c>
      <c r="H42" s="32">
        <f t="shared" si="1"/>
        <v>225</v>
      </c>
      <c r="I42" s="32"/>
    </row>
    <row r="43" spans="1:9" ht="25.5" customHeight="1" x14ac:dyDescent="0.15">
      <c r="A43" s="34">
        <v>41</v>
      </c>
      <c r="B43" s="30" t="s">
        <v>99</v>
      </c>
      <c r="C43" s="24" t="s">
        <v>100</v>
      </c>
      <c r="D43" s="30" t="s">
        <v>16</v>
      </c>
      <c r="E43" s="32"/>
      <c r="F43" s="24">
        <v>1</v>
      </c>
      <c r="G43" s="70">
        <v>95</v>
      </c>
      <c r="H43" s="32">
        <f t="shared" si="1"/>
        <v>95</v>
      </c>
      <c r="I43" s="32"/>
    </row>
    <row r="44" spans="1:9" ht="25.5" customHeight="1" x14ac:dyDescent="0.15">
      <c r="A44" s="34">
        <v>42</v>
      </c>
      <c r="B44" s="30" t="s">
        <v>102</v>
      </c>
      <c r="C44" s="30" t="s">
        <v>103</v>
      </c>
      <c r="D44" s="30" t="s">
        <v>30</v>
      </c>
      <c r="E44" s="32" t="s">
        <v>24</v>
      </c>
      <c r="F44" s="24">
        <v>1</v>
      </c>
      <c r="G44" s="70">
        <v>270</v>
      </c>
      <c r="H44" s="32">
        <v>0</v>
      </c>
      <c r="I44" s="32">
        <v>81</v>
      </c>
    </row>
    <row r="45" spans="1:9" ht="25.5" customHeight="1" x14ac:dyDescent="0.15">
      <c r="A45" s="34">
        <v>43</v>
      </c>
      <c r="B45" s="30" t="s">
        <v>104</v>
      </c>
      <c r="C45" s="30" t="s">
        <v>105</v>
      </c>
      <c r="D45" s="30" t="s">
        <v>16</v>
      </c>
      <c r="E45" s="32"/>
      <c r="F45" s="24">
        <v>1</v>
      </c>
      <c r="G45" s="70">
        <v>500</v>
      </c>
      <c r="H45" s="32">
        <f t="shared" si="1"/>
        <v>500</v>
      </c>
      <c r="I45" s="32"/>
    </row>
    <row r="46" spans="1:9" ht="25.5" customHeight="1" x14ac:dyDescent="0.15">
      <c r="A46" s="34">
        <v>44</v>
      </c>
      <c r="B46" s="30" t="s">
        <v>107</v>
      </c>
      <c r="C46" s="24" t="s">
        <v>108</v>
      </c>
      <c r="D46" s="30" t="s">
        <v>30</v>
      </c>
      <c r="E46" s="32"/>
      <c r="F46" s="24">
        <v>1</v>
      </c>
      <c r="G46" s="70">
        <v>315</v>
      </c>
      <c r="H46" s="32">
        <f t="shared" si="1"/>
        <v>315</v>
      </c>
      <c r="I46" s="32"/>
    </row>
    <row r="47" spans="1:9" ht="25.5" customHeight="1" x14ac:dyDescent="0.15">
      <c r="A47" s="34">
        <v>45</v>
      </c>
      <c r="B47" s="32" t="s">
        <v>110</v>
      </c>
      <c r="C47" s="25"/>
      <c r="D47" s="32" t="s">
        <v>16</v>
      </c>
      <c r="E47" s="32"/>
      <c r="F47" s="70">
        <v>1</v>
      </c>
      <c r="G47" s="70">
        <v>270</v>
      </c>
      <c r="H47" s="32">
        <f t="shared" si="1"/>
        <v>270</v>
      </c>
      <c r="I47" s="32"/>
    </row>
    <row r="48" spans="1:9" ht="25.5" customHeight="1" x14ac:dyDescent="0.15">
      <c r="A48" s="34">
        <v>46</v>
      </c>
      <c r="B48" s="32" t="s">
        <v>112</v>
      </c>
      <c r="C48" s="25"/>
      <c r="D48" s="32" t="s">
        <v>30</v>
      </c>
      <c r="E48" s="32"/>
      <c r="F48" s="70">
        <v>1</v>
      </c>
      <c r="G48" s="70">
        <v>350</v>
      </c>
      <c r="H48" s="32">
        <f t="shared" si="1"/>
        <v>350</v>
      </c>
      <c r="I48" s="32"/>
    </row>
    <row r="49" spans="1:9" ht="25.5" customHeight="1" x14ac:dyDescent="0.15">
      <c r="A49" s="34">
        <v>47</v>
      </c>
      <c r="B49" s="32" t="s">
        <v>114</v>
      </c>
      <c r="C49" s="25"/>
      <c r="D49" s="32" t="s">
        <v>30</v>
      </c>
      <c r="E49" s="32"/>
      <c r="F49" s="70">
        <v>1</v>
      </c>
      <c r="G49" s="70">
        <v>255</v>
      </c>
      <c r="H49" s="32">
        <f t="shared" si="1"/>
        <v>255</v>
      </c>
      <c r="I49" s="32"/>
    </row>
    <row r="50" spans="1:9" ht="25.5" customHeight="1" x14ac:dyDescent="0.15">
      <c r="A50" s="34">
        <v>48</v>
      </c>
      <c r="B50" s="30" t="s">
        <v>115</v>
      </c>
      <c r="C50" s="25"/>
      <c r="D50" s="32" t="s">
        <v>16</v>
      </c>
      <c r="E50" s="32" t="s">
        <v>24</v>
      </c>
      <c r="F50" s="70">
        <v>1</v>
      </c>
      <c r="G50" s="70">
        <v>198</v>
      </c>
      <c r="H50" s="32">
        <v>0</v>
      </c>
      <c r="I50" s="32">
        <v>59.4</v>
      </c>
    </row>
    <row r="51" spans="1:9" ht="25.5" customHeight="1" x14ac:dyDescent="0.15">
      <c r="A51" s="34">
        <v>49</v>
      </c>
      <c r="B51" s="30" t="s">
        <v>115</v>
      </c>
      <c r="C51" s="28"/>
      <c r="D51" s="32" t="s">
        <v>16</v>
      </c>
      <c r="E51" s="32"/>
      <c r="F51" s="70">
        <v>1</v>
      </c>
      <c r="G51" s="70">
        <v>198</v>
      </c>
      <c r="H51" s="32">
        <f t="shared" si="1"/>
        <v>198</v>
      </c>
      <c r="I51" s="32"/>
    </row>
    <row r="52" spans="1:9" ht="25.5" customHeight="1" x14ac:dyDescent="0.15">
      <c r="A52" s="34">
        <v>50</v>
      </c>
      <c r="B52" s="30" t="s">
        <v>117</v>
      </c>
      <c r="C52" s="28"/>
      <c r="D52" s="32" t="s">
        <v>16</v>
      </c>
      <c r="E52" s="32"/>
      <c r="F52" s="70">
        <v>1</v>
      </c>
      <c r="G52" s="70">
        <v>85</v>
      </c>
      <c r="H52" s="32">
        <f t="shared" si="1"/>
        <v>85</v>
      </c>
      <c r="I52" s="32"/>
    </row>
    <row r="53" spans="1:9" ht="25.5" customHeight="1" x14ac:dyDescent="0.15">
      <c r="A53" s="34">
        <v>51</v>
      </c>
      <c r="B53" s="30" t="s">
        <v>119</v>
      </c>
      <c r="C53" s="30" t="s">
        <v>120</v>
      </c>
      <c r="D53" s="32"/>
      <c r="E53" s="32" t="s">
        <v>121</v>
      </c>
      <c r="F53" s="32">
        <v>1</v>
      </c>
      <c r="G53" s="32">
        <v>135</v>
      </c>
      <c r="H53" s="32">
        <v>0</v>
      </c>
      <c r="I53" s="32">
        <v>40.5</v>
      </c>
    </row>
    <row r="54" spans="1:9" ht="25.5" customHeight="1" x14ac:dyDescent="0.15">
      <c r="A54" s="34">
        <v>52</v>
      </c>
      <c r="B54" s="30" t="s">
        <v>14</v>
      </c>
      <c r="C54" s="30" t="s">
        <v>123</v>
      </c>
      <c r="D54" s="30" t="s">
        <v>16</v>
      </c>
      <c r="E54" s="29"/>
      <c r="F54" s="30">
        <v>2</v>
      </c>
      <c r="G54" s="32">
        <v>120</v>
      </c>
      <c r="H54" s="32">
        <f t="shared" ref="H54:H68" si="2">G54*F54</f>
        <v>240</v>
      </c>
      <c r="I54" s="29"/>
    </row>
    <row r="55" spans="1:9" ht="25.5" customHeight="1" x14ac:dyDescent="0.15">
      <c r="A55" s="34">
        <v>53</v>
      </c>
      <c r="B55" s="30" t="s">
        <v>14</v>
      </c>
      <c r="C55" s="30" t="s">
        <v>124</v>
      </c>
      <c r="D55" s="30" t="s">
        <v>16</v>
      </c>
      <c r="E55" s="29"/>
      <c r="F55" s="30">
        <v>4</v>
      </c>
      <c r="G55" s="32">
        <v>80</v>
      </c>
      <c r="H55" s="32">
        <f t="shared" si="2"/>
        <v>320</v>
      </c>
      <c r="I55" s="29"/>
    </row>
    <row r="56" spans="1:9" ht="25.5" customHeight="1" x14ac:dyDescent="0.15">
      <c r="A56" s="34">
        <v>54</v>
      </c>
      <c r="B56" s="30" t="s">
        <v>14</v>
      </c>
      <c r="C56" s="30" t="s">
        <v>125</v>
      </c>
      <c r="D56" s="30" t="s">
        <v>16</v>
      </c>
      <c r="E56" s="29"/>
      <c r="F56" s="30">
        <v>4</v>
      </c>
      <c r="G56" s="32">
        <v>35</v>
      </c>
      <c r="H56" s="32">
        <f t="shared" si="2"/>
        <v>140</v>
      </c>
      <c r="I56" s="29"/>
    </row>
    <row r="57" spans="1:9" ht="25.5" customHeight="1" x14ac:dyDescent="0.15">
      <c r="A57" s="34">
        <v>55</v>
      </c>
      <c r="B57" s="30" t="s">
        <v>14</v>
      </c>
      <c r="C57" s="30" t="s">
        <v>126</v>
      </c>
      <c r="D57" s="30" t="s">
        <v>16</v>
      </c>
      <c r="E57" s="29"/>
      <c r="F57" s="30">
        <v>4</v>
      </c>
      <c r="G57" s="32">
        <v>25</v>
      </c>
      <c r="H57" s="32">
        <f t="shared" si="2"/>
        <v>100</v>
      </c>
      <c r="I57" s="29"/>
    </row>
    <row r="58" spans="1:9" ht="25.5" customHeight="1" x14ac:dyDescent="0.15">
      <c r="A58" s="34">
        <v>56</v>
      </c>
      <c r="B58" s="32" t="s">
        <v>127</v>
      </c>
      <c r="C58" s="32" t="s">
        <v>128</v>
      </c>
      <c r="D58" s="32" t="s">
        <v>16</v>
      </c>
      <c r="E58" s="29"/>
      <c r="F58" s="30">
        <v>2</v>
      </c>
      <c r="G58" s="32">
        <v>180</v>
      </c>
      <c r="H58" s="32">
        <f t="shared" si="2"/>
        <v>360</v>
      </c>
      <c r="I58" s="29"/>
    </row>
    <row r="59" spans="1:9" ht="25.5" customHeight="1" x14ac:dyDescent="0.15">
      <c r="A59" s="34">
        <v>57</v>
      </c>
      <c r="B59" s="32" t="s">
        <v>131</v>
      </c>
      <c r="C59" s="32" t="s">
        <v>132</v>
      </c>
      <c r="D59" s="32" t="s">
        <v>16</v>
      </c>
      <c r="E59" s="29" t="s">
        <v>24</v>
      </c>
      <c r="F59" s="32">
        <v>1</v>
      </c>
      <c r="G59" s="32">
        <v>350</v>
      </c>
      <c r="H59" s="32">
        <v>0</v>
      </c>
      <c r="I59" s="71">
        <v>140</v>
      </c>
    </row>
    <row r="60" spans="1:9" ht="25.5" customHeight="1" x14ac:dyDescent="0.15">
      <c r="A60" s="34">
        <v>58</v>
      </c>
      <c r="B60" s="32" t="s">
        <v>134</v>
      </c>
      <c r="C60" s="32" t="s">
        <v>135</v>
      </c>
      <c r="D60" s="32" t="s">
        <v>16</v>
      </c>
      <c r="E60" s="29" t="s">
        <v>24</v>
      </c>
      <c r="F60" s="32">
        <v>1</v>
      </c>
      <c r="G60" s="32">
        <v>850</v>
      </c>
      <c r="H60" s="32">
        <v>0</v>
      </c>
      <c r="I60" s="71">
        <v>340</v>
      </c>
    </row>
    <row r="61" spans="1:9" ht="25.5" customHeight="1" x14ac:dyDescent="0.15">
      <c r="A61" s="34">
        <v>59</v>
      </c>
      <c r="B61" s="32" t="s">
        <v>136</v>
      </c>
      <c r="C61" s="32" t="s">
        <v>137</v>
      </c>
      <c r="D61" s="32" t="s">
        <v>16</v>
      </c>
      <c r="E61" s="29" t="s">
        <v>24</v>
      </c>
      <c r="F61" s="32">
        <v>2</v>
      </c>
      <c r="G61" s="32">
        <v>850</v>
      </c>
      <c r="H61" s="32">
        <v>0</v>
      </c>
      <c r="I61" s="71">
        <v>680</v>
      </c>
    </row>
    <row r="62" spans="1:9" ht="25.5" customHeight="1" x14ac:dyDescent="0.15">
      <c r="A62" s="34">
        <v>60</v>
      </c>
      <c r="B62" s="32" t="s">
        <v>139</v>
      </c>
      <c r="C62" s="32" t="s">
        <v>140</v>
      </c>
      <c r="D62" s="32" t="s">
        <v>30</v>
      </c>
      <c r="E62" s="29"/>
      <c r="F62" s="32">
        <v>1</v>
      </c>
      <c r="G62" s="32">
        <v>1986</v>
      </c>
      <c r="H62" s="32">
        <f t="shared" si="2"/>
        <v>1986</v>
      </c>
      <c r="I62" s="29"/>
    </row>
    <row r="63" spans="1:9" ht="25.5" customHeight="1" x14ac:dyDescent="0.15">
      <c r="A63" s="34">
        <v>61</v>
      </c>
      <c r="B63" s="32" t="s">
        <v>143</v>
      </c>
      <c r="C63" s="32" t="s">
        <v>144</v>
      </c>
      <c r="D63" s="32" t="s">
        <v>30</v>
      </c>
      <c r="E63" s="29"/>
      <c r="F63" s="32">
        <v>1</v>
      </c>
      <c r="G63" s="32">
        <v>2200</v>
      </c>
      <c r="H63" s="32">
        <f t="shared" si="2"/>
        <v>2200</v>
      </c>
      <c r="I63" s="29"/>
    </row>
    <row r="64" spans="1:9" ht="25.5" customHeight="1" x14ac:dyDescent="0.15">
      <c r="A64" s="34">
        <v>62</v>
      </c>
      <c r="B64" s="32" t="s">
        <v>147</v>
      </c>
      <c r="C64" s="32"/>
      <c r="D64" s="32" t="s">
        <v>16</v>
      </c>
      <c r="E64" s="29"/>
      <c r="F64" s="32">
        <v>7</v>
      </c>
      <c r="G64" s="32">
        <v>35</v>
      </c>
      <c r="H64" s="32">
        <f t="shared" si="2"/>
        <v>245</v>
      </c>
      <c r="I64" s="29"/>
    </row>
    <row r="65" spans="1:9" ht="25.5" customHeight="1" x14ac:dyDescent="0.15">
      <c r="A65" s="34">
        <v>63</v>
      </c>
      <c r="B65" s="32" t="s">
        <v>150</v>
      </c>
      <c r="C65" s="32"/>
      <c r="D65" s="32" t="s">
        <v>152</v>
      </c>
      <c r="E65" s="29"/>
      <c r="F65" s="32">
        <v>1</v>
      </c>
      <c r="G65" s="32">
        <v>370</v>
      </c>
      <c r="H65" s="32">
        <f t="shared" si="2"/>
        <v>370</v>
      </c>
      <c r="I65" s="29"/>
    </row>
    <row r="66" spans="1:9" ht="25.5" customHeight="1" x14ac:dyDescent="0.15">
      <c r="A66" s="34">
        <v>64</v>
      </c>
      <c r="B66" s="32" t="s">
        <v>153</v>
      </c>
      <c r="C66" s="32"/>
      <c r="D66" s="32" t="s">
        <v>152</v>
      </c>
      <c r="E66" s="29"/>
      <c r="F66" s="32">
        <v>1</v>
      </c>
      <c r="G66" s="32">
        <v>325</v>
      </c>
      <c r="H66" s="32">
        <f t="shared" si="2"/>
        <v>325</v>
      </c>
      <c r="I66" s="29"/>
    </row>
    <row r="67" spans="1:9" ht="25.5" customHeight="1" x14ac:dyDescent="0.15">
      <c r="A67" s="34">
        <v>65</v>
      </c>
      <c r="B67" s="32" t="s">
        <v>154</v>
      </c>
      <c r="C67" s="32"/>
      <c r="D67" s="32"/>
      <c r="E67" s="29"/>
      <c r="F67" s="32">
        <v>4</v>
      </c>
      <c r="G67" s="32">
        <v>35</v>
      </c>
      <c r="H67" s="32">
        <f t="shared" si="2"/>
        <v>140</v>
      </c>
      <c r="I67" s="29"/>
    </row>
    <row r="68" spans="1:9" ht="25.5" customHeight="1" x14ac:dyDescent="0.15">
      <c r="A68" s="34">
        <v>66</v>
      </c>
      <c r="B68" s="32" t="s">
        <v>79</v>
      </c>
      <c r="C68" s="32"/>
      <c r="D68" s="32"/>
      <c r="E68" s="29"/>
      <c r="F68" s="32">
        <v>450</v>
      </c>
      <c r="G68" s="32">
        <v>1</v>
      </c>
      <c r="H68" s="32">
        <f t="shared" si="2"/>
        <v>450</v>
      </c>
      <c r="I68" s="29"/>
    </row>
    <row r="69" spans="1:9" ht="25.5" customHeight="1" x14ac:dyDescent="0.15">
      <c r="A69" s="34">
        <v>67</v>
      </c>
      <c r="B69" s="26" t="s">
        <v>14</v>
      </c>
      <c r="C69" s="26" t="s">
        <v>155</v>
      </c>
      <c r="D69" s="33" t="s">
        <v>16</v>
      </c>
      <c r="E69" s="29" t="s">
        <v>17</v>
      </c>
      <c r="F69" s="33">
        <v>2</v>
      </c>
      <c r="G69" s="34">
        <v>120</v>
      </c>
      <c r="H69" s="32">
        <f t="shared" ref="H69:H87" si="3">G69*F69</f>
        <v>240</v>
      </c>
      <c r="I69" s="31"/>
    </row>
    <row r="70" spans="1:9" ht="25.5" customHeight="1" x14ac:dyDescent="0.15">
      <c r="A70" s="34">
        <v>68</v>
      </c>
      <c r="B70" s="26" t="s">
        <v>14</v>
      </c>
      <c r="C70" s="26" t="s">
        <v>156</v>
      </c>
      <c r="D70" s="33" t="s">
        <v>16</v>
      </c>
      <c r="E70" s="29" t="s">
        <v>17</v>
      </c>
      <c r="F70" s="33">
        <v>2</v>
      </c>
      <c r="G70" s="34">
        <v>35</v>
      </c>
      <c r="H70" s="32">
        <f t="shared" si="3"/>
        <v>70</v>
      </c>
      <c r="I70" s="31"/>
    </row>
    <row r="71" spans="1:9" ht="25.5" customHeight="1" x14ac:dyDescent="0.15">
      <c r="A71" s="34">
        <v>69</v>
      </c>
      <c r="B71" s="26" t="s">
        <v>14</v>
      </c>
      <c r="C71" s="26" t="s">
        <v>157</v>
      </c>
      <c r="D71" s="33" t="s">
        <v>16</v>
      </c>
      <c r="E71" s="29" t="s">
        <v>17</v>
      </c>
      <c r="F71" s="33">
        <v>2</v>
      </c>
      <c r="G71" s="34">
        <v>25</v>
      </c>
      <c r="H71" s="32">
        <f t="shared" si="3"/>
        <v>50</v>
      </c>
      <c r="I71" s="31"/>
    </row>
    <row r="72" spans="1:9" ht="25.5" customHeight="1" x14ac:dyDescent="0.15">
      <c r="A72" s="34">
        <v>70</v>
      </c>
      <c r="B72" s="26" t="s">
        <v>14</v>
      </c>
      <c r="C72" s="26" t="s">
        <v>158</v>
      </c>
      <c r="D72" s="33" t="s">
        <v>16</v>
      </c>
      <c r="E72" s="29" t="s">
        <v>17</v>
      </c>
      <c r="F72" s="33">
        <v>4</v>
      </c>
      <c r="G72" s="34">
        <v>20</v>
      </c>
      <c r="H72" s="32">
        <f t="shared" si="3"/>
        <v>80</v>
      </c>
      <c r="I72" s="31"/>
    </row>
    <row r="73" spans="1:9" ht="25.5" customHeight="1" x14ac:dyDescent="0.15">
      <c r="A73" s="34">
        <v>71</v>
      </c>
      <c r="B73" s="26" t="s">
        <v>159</v>
      </c>
      <c r="C73" s="31" t="s">
        <v>160</v>
      </c>
      <c r="D73" s="34" t="s">
        <v>27</v>
      </c>
      <c r="E73" s="29" t="s">
        <v>24</v>
      </c>
      <c r="F73" s="34">
        <v>1</v>
      </c>
      <c r="G73" s="34">
        <v>185</v>
      </c>
      <c r="H73" s="32">
        <v>0</v>
      </c>
      <c r="I73" s="31">
        <v>55.5</v>
      </c>
    </row>
    <row r="74" spans="1:9" ht="25.5" customHeight="1" x14ac:dyDescent="0.15">
      <c r="A74" s="34">
        <v>72</v>
      </c>
      <c r="B74" s="31" t="s">
        <v>165</v>
      </c>
      <c r="C74" s="26" t="s">
        <v>166</v>
      </c>
      <c r="D74" s="34" t="s">
        <v>16</v>
      </c>
      <c r="E74" s="29" t="s">
        <v>17</v>
      </c>
      <c r="F74" s="34">
        <v>1</v>
      </c>
      <c r="G74" s="34">
        <v>92</v>
      </c>
      <c r="H74" s="32">
        <f t="shared" si="3"/>
        <v>92</v>
      </c>
      <c r="I74" s="31"/>
    </row>
    <row r="75" spans="1:9" ht="25.5" customHeight="1" x14ac:dyDescent="0.15">
      <c r="A75" s="34">
        <v>73</v>
      </c>
      <c r="B75" s="26" t="s">
        <v>168</v>
      </c>
      <c r="C75" s="26" t="s">
        <v>169</v>
      </c>
      <c r="D75" s="34" t="s">
        <v>16</v>
      </c>
      <c r="E75" s="29" t="s">
        <v>17</v>
      </c>
      <c r="F75" s="34">
        <v>1</v>
      </c>
      <c r="G75" s="34">
        <v>150</v>
      </c>
      <c r="H75" s="32">
        <f t="shared" si="3"/>
        <v>150</v>
      </c>
      <c r="I75" s="31"/>
    </row>
    <row r="76" spans="1:9" ht="25.5" customHeight="1" x14ac:dyDescent="0.15">
      <c r="A76" s="34">
        <v>74</v>
      </c>
      <c r="B76" s="26" t="s">
        <v>168</v>
      </c>
      <c r="C76" s="26" t="s">
        <v>166</v>
      </c>
      <c r="D76" s="34" t="s">
        <v>16</v>
      </c>
      <c r="E76" s="29" t="s">
        <v>17</v>
      </c>
      <c r="F76" s="34">
        <v>1</v>
      </c>
      <c r="G76" s="34">
        <v>52</v>
      </c>
      <c r="H76" s="32">
        <f t="shared" si="3"/>
        <v>52</v>
      </c>
      <c r="I76" s="31"/>
    </row>
    <row r="77" spans="1:9" ht="25.5" customHeight="1" x14ac:dyDescent="0.15">
      <c r="A77" s="34">
        <v>75</v>
      </c>
      <c r="B77" s="26" t="s">
        <v>171</v>
      </c>
      <c r="C77" s="26" t="s">
        <v>172</v>
      </c>
      <c r="D77" s="34" t="s">
        <v>16</v>
      </c>
      <c r="E77" s="29" t="s">
        <v>17</v>
      </c>
      <c r="F77" s="34">
        <v>1</v>
      </c>
      <c r="G77" s="34">
        <v>85</v>
      </c>
      <c r="H77" s="32">
        <f t="shared" si="3"/>
        <v>85</v>
      </c>
      <c r="I77" s="31"/>
    </row>
    <row r="78" spans="1:9" ht="25.5" customHeight="1" x14ac:dyDescent="0.15">
      <c r="A78" s="34">
        <v>76</v>
      </c>
      <c r="B78" s="26" t="s">
        <v>174</v>
      </c>
      <c r="C78" s="26" t="s">
        <v>175</v>
      </c>
      <c r="D78" s="34" t="s">
        <v>16</v>
      </c>
      <c r="E78" s="29" t="s">
        <v>17</v>
      </c>
      <c r="F78" s="34">
        <v>1</v>
      </c>
      <c r="G78" s="34">
        <v>155</v>
      </c>
      <c r="H78" s="32">
        <f t="shared" si="3"/>
        <v>155</v>
      </c>
      <c r="I78" s="31"/>
    </row>
    <row r="79" spans="1:9" ht="25.5" customHeight="1" x14ac:dyDescent="0.15">
      <c r="A79" s="34">
        <v>77</v>
      </c>
      <c r="B79" s="26" t="s">
        <v>176</v>
      </c>
      <c r="C79" s="26" t="s">
        <v>177</v>
      </c>
      <c r="D79" s="34" t="s">
        <v>16</v>
      </c>
      <c r="E79" s="29" t="s">
        <v>24</v>
      </c>
      <c r="F79" s="34">
        <v>1</v>
      </c>
      <c r="G79" s="34">
        <v>58</v>
      </c>
      <c r="H79" s="32">
        <v>0</v>
      </c>
      <c r="I79" s="31">
        <v>17.399999999999999</v>
      </c>
    </row>
    <row r="80" spans="1:9" ht="25.5" customHeight="1" x14ac:dyDescent="0.15">
      <c r="A80" s="34">
        <v>78</v>
      </c>
      <c r="B80" s="26" t="s">
        <v>179</v>
      </c>
      <c r="C80" s="26" t="s">
        <v>180</v>
      </c>
      <c r="D80" s="34" t="s">
        <v>16</v>
      </c>
      <c r="E80" s="29" t="s">
        <v>17</v>
      </c>
      <c r="F80" s="34">
        <v>1</v>
      </c>
      <c r="G80" s="34">
        <v>500</v>
      </c>
      <c r="H80" s="32">
        <f t="shared" si="3"/>
        <v>500</v>
      </c>
      <c r="I80" s="31"/>
    </row>
    <row r="81" spans="1:9" ht="25.5" customHeight="1" x14ac:dyDescent="0.15">
      <c r="A81" s="34">
        <v>79</v>
      </c>
      <c r="B81" s="26" t="s">
        <v>182</v>
      </c>
      <c r="C81" s="26" t="s">
        <v>183</v>
      </c>
      <c r="D81" s="34" t="s">
        <v>16</v>
      </c>
      <c r="E81" s="29" t="s">
        <v>17</v>
      </c>
      <c r="F81" s="34">
        <v>1</v>
      </c>
      <c r="G81" s="34">
        <v>63</v>
      </c>
      <c r="H81" s="32">
        <f t="shared" si="3"/>
        <v>63</v>
      </c>
      <c r="I81" s="29"/>
    </row>
    <row r="82" spans="1:9" ht="25.5" customHeight="1" x14ac:dyDescent="0.15">
      <c r="A82" s="34">
        <v>80</v>
      </c>
      <c r="B82" s="26" t="s">
        <v>182</v>
      </c>
      <c r="C82" s="26" t="s">
        <v>177</v>
      </c>
      <c r="D82" s="34" t="s">
        <v>16</v>
      </c>
      <c r="E82" s="29" t="s">
        <v>17</v>
      </c>
      <c r="F82" s="34">
        <v>1</v>
      </c>
      <c r="G82" s="34">
        <v>125</v>
      </c>
      <c r="H82" s="32">
        <f t="shared" si="3"/>
        <v>125</v>
      </c>
      <c r="I82" s="29"/>
    </row>
    <row r="83" spans="1:9" ht="25.5" customHeight="1" x14ac:dyDescent="0.15">
      <c r="A83" s="34">
        <v>81</v>
      </c>
      <c r="B83" s="31" t="s">
        <v>184</v>
      </c>
      <c r="C83" s="31" t="s">
        <v>185</v>
      </c>
      <c r="D83" s="34" t="s">
        <v>16</v>
      </c>
      <c r="E83" s="29" t="s">
        <v>17</v>
      </c>
      <c r="F83" s="34">
        <v>100</v>
      </c>
      <c r="G83" s="34">
        <v>2</v>
      </c>
      <c r="H83" s="32">
        <f t="shared" si="3"/>
        <v>200</v>
      </c>
      <c r="I83" s="29"/>
    </row>
    <row r="84" spans="1:9" ht="25.5" customHeight="1" x14ac:dyDescent="0.15">
      <c r="A84" s="34">
        <v>82</v>
      </c>
      <c r="B84" s="26" t="s">
        <v>187</v>
      </c>
      <c r="C84" s="26" t="s">
        <v>141</v>
      </c>
      <c r="D84" s="34" t="s">
        <v>16</v>
      </c>
      <c r="E84" s="29" t="s">
        <v>17</v>
      </c>
      <c r="F84" s="34">
        <v>1</v>
      </c>
      <c r="G84" s="34">
        <v>550</v>
      </c>
      <c r="H84" s="32">
        <f t="shared" si="3"/>
        <v>550</v>
      </c>
      <c r="I84" s="29"/>
    </row>
    <row r="85" spans="1:9" ht="25.5" customHeight="1" x14ac:dyDescent="0.15">
      <c r="A85" s="34">
        <v>83</v>
      </c>
      <c r="B85" s="26" t="s">
        <v>187</v>
      </c>
      <c r="C85" s="26" t="s">
        <v>189</v>
      </c>
      <c r="D85" s="34" t="s">
        <v>16</v>
      </c>
      <c r="E85" s="29" t="s">
        <v>17</v>
      </c>
      <c r="F85" s="34">
        <v>1</v>
      </c>
      <c r="G85" s="34">
        <v>380</v>
      </c>
      <c r="H85" s="32">
        <f t="shared" si="3"/>
        <v>380</v>
      </c>
      <c r="I85" s="29"/>
    </row>
    <row r="86" spans="1:9" ht="25.5" customHeight="1" x14ac:dyDescent="0.15">
      <c r="A86" s="34">
        <v>84</v>
      </c>
      <c r="B86" s="26" t="s">
        <v>191</v>
      </c>
      <c r="C86" s="26"/>
      <c r="D86" s="34"/>
      <c r="E86" s="29"/>
      <c r="F86" s="34">
        <v>16</v>
      </c>
      <c r="G86" s="34">
        <v>25</v>
      </c>
      <c r="H86" s="32">
        <f t="shared" si="3"/>
        <v>400</v>
      </c>
      <c r="I86" s="29"/>
    </row>
    <row r="87" spans="1:9" ht="25.5" customHeight="1" x14ac:dyDescent="0.15">
      <c r="A87" s="34">
        <v>85</v>
      </c>
      <c r="B87" s="26" t="s">
        <v>192</v>
      </c>
      <c r="C87" s="26">
        <v>300</v>
      </c>
      <c r="D87" s="34"/>
      <c r="E87" s="29"/>
      <c r="F87" s="34"/>
      <c r="G87" s="34">
        <v>300</v>
      </c>
      <c r="H87" s="32">
        <f t="shared" si="3"/>
        <v>0</v>
      </c>
      <c r="I87" s="29">
        <v>0</v>
      </c>
    </row>
    <row r="88" spans="1:9" ht="25.5" customHeight="1" x14ac:dyDescent="0.15">
      <c r="A88" s="34">
        <v>86</v>
      </c>
      <c r="B88" s="27"/>
      <c r="C88" s="27"/>
      <c r="D88" s="27"/>
      <c r="E88" s="27"/>
      <c r="F88" s="27"/>
      <c r="G88" s="27"/>
      <c r="H88" s="27">
        <f>SUM(H3:H87)</f>
        <v>28377</v>
      </c>
      <c r="I88" s="29">
        <f>SUM(I3:I87)</f>
        <v>2110.2000000000003</v>
      </c>
    </row>
    <row r="89" spans="1:9" ht="25.5" customHeight="1" x14ac:dyDescent="0.15"/>
  </sheetData>
  <mergeCells count="8">
    <mergeCell ref="E1:E2"/>
    <mergeCell ref="F1:F2"/>
    <mergeCell ref="G1:H1"/>
    <mergeCell ref="I1:I2"/>
    <mergeCell ref="A1:A2"/>
    <mergeCell ref="B1:B2"/>
    <mergeCell ref="C1:C2"/>
    <mergeCell ref="D1:D2"/>
  </mergeCells>
  <phoneticPr fontId="5" type="noConversion"/>
  <pageMargins left="0.51181102362204722" right="0.51181102362204722" top="0.74803149606299213" bottom="0.74803149606299213" header="0.31496062992125984" footer="0.31496062992125984"/>
  <pageSetup paperSize="9" orientation="portrait" horizontalDpi="96" verticalDpi="96"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Sheet1</vt:lpstr>
      <vt:lpstr>需求分析</vt:lpstr>
      <vt:lpstr>设备清单</vt:lpstr>
      <vt:lpstr>Sheet4</vt:lpstr>
    </vt:vector>
  </TitlesOfParts>
  <Company>微软中国</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微软中国</dc:creator>
  <cp:lastModifiedBy>微软中国</cp:lastModifiedBy>
  <cp:lastPrinted>2015-11-29T13:53:46Z</cp:lastPrinted>
  <dcterms:created xsi:type="dcterms:W3CDTF">2015-11-22T12:41:28Z</dcterms:created>
  <dcterms:modified xsi:type="dcterms:W3CDTF">2015-11-29T15:25:37Z</dcterms:modified>
</cp:coreProperties>
</file>