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50" windowWidth="8505" windowHeight="4500" tabRatio="954"/>
  </bookViews>
  <sheets>
    <sheet name="XX" sheetId="27" r:id="rId1"/>
    <sheet name="Sheet1" sheetId="28" r:id="rId2"/>
  </sheets>
  <definedNames>
    <definedName name="edline">#REF!</definedName>
    <definedName name="HTML_CodePage" hidden="1">936</definedName>
    <definedName name="HTML_Control" hidden="1">{"'设备表'!$A$1:$K$6"}</definedName>
    <definedName name="HTML_Description" hidden="1">""</definedName>
    <definedName name="HTML_Email" hidden="1">""</definedName>
    <definedName name="HTML_Header" hidden="1">"设备表"</definedName>
    <definedName name="HTML_LastUpdate" hidden="1">"00-9-30"</definedName>
    <definedName name="HTML_LineAfter" hidden="1">FALSE</definedName>
    <definedName name="HTML_LineBefore" hidden="1">FALSE</definedName>
    <definedName name="HTML_Name" hidden="1">"yh"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"新增工艺设备汇总表"</definedName>
    <definedName name="_xlnm.Print_Area" localSheetId="0">XX!$A$1:$R$92</definedName>
    <definedName name="_xlnm.Print_Titles" localSheetId="0">XX!$5:$7</definedName>
    <definedName name="电梯" hidden="1">{"'设备表'!$A$1:$K$6"}</definedName>
    <definedName name="公用" hidden="1">{"'设备表'!$A$1:$K$6"}</definedName>
    <definedName name="进口设备表" hidden="1">{"'设备表'!$A$1:$K$6"}</definedName>
    <definedName name="气体消防" hidden="1">{"'设备表'!$A$1:$K$6"}</definedName>
    <definedName name="弱电3" hidden="1">{"'设备表'!$A$1:$K$6"}</definedName>
    <definedName name="铜合金铸造厂房" hidden="1">{"'设备表'!$A$1:$K$6"}</definedName>
    <definedName name="投资构成" hidden="1">{"'设备表'!$A$1:$K$6"}</definedName>
    <definedName name="卧式旋铆机">#REF!</definedName>
  </definedNames>
  <calcPr calcId="144525"/>
</workbook>
</file>

<file path=xl/calcChain.xml><?xml version="1.0" encoding="utf-8"?>
<calcChain xmlns="http://schemas.openxmlformats.org/spreadsheetml/2006/main">
  <c r="N20" i="28" l="1"/>
  <c r="N21" i="28"/>
  <c r="N22" i="28"/>
  <c r="N19" i="28"/>
  <c r="I88" i="27" l="1"/>
  <c r="J28" i="27"/>
  <c r="I28" i="27"/>
  <c r="J88" i="27"/>
  <c r="P73" i="27"/>
  <c r="K73" i="27"/>
  <c r="M73" i="27" s="1"/>
  <c r="P72" i="27"/>
  <c r="K72" i="27"/>
  <c r="M72" i="27" s="1"/>
  <c r="P71" i="27"/>
  <c r="K71" i="27"/>
  <c r="M71" i="27" s="1"/>
  <c r="K32" i="27"/>
  <c r="M32" i="27"/>
  <c r="J38" i="27"/>
  <c r="P37" i="27"/>
  <c r="K37" i="27"/>
  <c r="M37" i="27"/>
  <c r="P36" i="27"/>
  <c r="K36" i="27"/>
  <c r="M36" i="27" s="1"/>
  <c r="K35" i="27"/>
  <c r="M35" i="27"/>
  <c r="K34" i="27"/>
  <c r="M34" i="27" s="1"/>
  <c r="K33" i="27"/>
  <c r="M33" i="27" s="1"/>
  <c r="K31" i="27"/>
  <c r="J75" i="27"/>
  <c r="I75" i="27"/>
  <c r="P84" i="27"/>
  <c r="P85" i="27"/>
  <c r="P86" i="27"/>
  <c r="P87" i="27"/>
  <c r="K84" i="27"/>
  <c r="M84" i="27"/>
  <c r="K85" i="27"/>
  <c r="M85" i="27" s="1"/>
  <c r="K86" i="27"/>
  <c r="M86" i="27"/>
  <c r="K87" i="27"/>
  <c r="M87" i="27" s="1"/>
  <c r="K83" i="27"/>
  <c r="M83" i="27"/>
  <c r="K82" i="27"/>
  <c r="M82" i="27" s="1"/>
  <c r="K81" i="27"/>
  <c r="M81" i="27" s="1"/>
  <c r="K80" i="27"/>
  <c r="M80" i="27" s="1"/>
  <c r="K79" i="27"/>
  <c r="M79" i="27" s="1"/>
  <c r="K78" i="27"/>
  <c r="M78" i="27" s="1"/>
  <c r="K67" i="27"/>
  <c r="M67" i="27"/>
  <c r="K66" i="27"/>
  <c r="M66" i="27" s="1"/>
  <c r="K65" i="27"/>
  <c r="M65" i="27"/>
  <c r="K64" i="27"/>
  <c r="M64" i="27" s="1"/>
  <c r="P68" i="27"/>
  <c r="P69" i="27"/>
  <c r="P70" i="27"/>
  <c r="P74" i="27"/>
  <c r="K68" i="27"/>
  <c r="M68" i="27" s="1"/>
  <c r="K69" i="27"/>
  <c r="M69" i="27" s="1"/>
  <c r="K70" i="27"/>
  <c r="M70" i="27" s="1"/>
  <c r="K74" i="27"/>
  <c r="M74" i="27" s="1"/>
  <c r="K57" i="27"/>
  <c r="M57" i="27" s="1"/>
  <c r="K56" i="27"/>
  <c r="M56" i="27" s="1"/>
  <c r="K55" i="27"/>
  <c r="M55" i="27" s="1"/>
  <c r="K54" i="27"/>
  <c r="M54" i="27"/>
  <c r="K53" i="27"/>
  <c r="M53" i="27" s="1"/>
  <c r="K52" i="27"/>
  <c r="M52" i="27" s="1"/>
  <c r="K49" i="27"/>
  <c r="M49" i="27" s="1"/>
  <c r="K47" i="27"/>
  <c r="M47" i="27" s="1"/>
  <c r="K46" i="27"/>
  <c r="M46" i="27" s="1"/>
  <c r="K44" i="27"/>
  <c r="M44" i="27" s="1"/>
  <c r="K43" i="27"/>
  <c r="M43" i="27" s="1"/>
  <c r="K22" i="27"/>
  <c r="M22" i="27" s="1"/>
  <c r="K23" i="27"/>
  <c r="K24" i="27"/>
  <c r="M24" i="27" s="1"/>
  <c r="K21" i="27"/>
  <c r="M21" i="27" s="1"/>
  <c r="P27" i="27"/>
  <c r="K27" i="27"/>
  <c r="M27" i="27" s="1"/>
  <c r="P26" i="27"/>
  <c r="K26" i="27"/>
  <c r="M26" i="27" s="1"/>
  <c r="P25" i="27"/>
  <c r="P28" i="27" s="1"/>
  <c r="K25" i="27"/>
  <c r="M25" i="27" s="1"/>
  <c r="K20" i="27"/>
  <c r="M20" i="27" s="1"/>
  <c r="K19" i="27"/>
  <c r="K18" i="27"/>
  <c r="M18" i="27" s="1"/>
  <c r="K13" i="27"/>
  <c r="M13" i="27" s="1"/>
  <c r="K16" i="27"/>
  <c r="M16" i="27" s="1"/>
  <c r="K17" i="27"/>
  <c r="M17" i="27" s="1"/>
  <c r="K15" i="27"/>
  <c r="M15" i="27" s="1"/>
  <c r="K14" i="27"/>
  <c r="M14" i="27" s="1"/>
  <c r="K12" i="27"/>
  <c r="M12" i="27" s="1"/>
  <c r="K11" i="27"/>
  <c r="M11" i="27" s="1"/>
  <c r="K9" i="27"/>
  <c r="M9" i="27"/>
  <c r="K10" i="27"/>
  <c r="M10" i="27" s="1"/>
  <c r="K63" i="27"/>
  <c r="M63" i="27" s="1"/>
  <c r="K62" i="27"/>
  <c r="M62" i="27" s="1"/>
  <c r="K61" i="27"/>
  <c r="M61" i="27" s="1"/>
  <c r="K60" i="27"/>
  <c r="M60" i="27" s="1"/>
  <c r="K59" i="27"/>
  <c r="M59" i="27"/>
  <c r="K58" i="27"/>
  <c r="M58" i="27" s="1"/>
  <c r="K50" i="27"/>
  <c r="M50" i="27"/>
  <c r="K51" i="27"/>
  <c r="M51" i="27" s="1"/>
  <c r="K48" i="27"/>
  <c r="M48" i="27" s="1"/>
  <c r="K45" i="27"/>
  <c r="M45" i="27" s="1"/>
  <c r="K42" i="27"/>
  <c r="M42" i="27" s="1"/>
  <c r="K41" i="27"/>
  <c r="M41" i="27" s="1"/>
  <c r="P38" i="27" l="1"/>
  <c r="K38" i="27"/>
  <c r="M38" i="27"/>
  <c r="P88" i="27"/>
  <c r="K88" i="27"/>
  <c r="P75" i="27"/>
  <c r="P90" i="27" s="1"/>
  <c r="I90" i="27"/>
  <c r="K28" i="27"/>
  <c r="M23" i="27"/>
  <c r="M28" i="27" s="1"/>
  <c r="M88" i="27"/>
  <c r="J90" i="27"/>
  <c r="M75" i="27"/>
  <c r="K75" i="27"/>
  <c r="K90" i="27" s="1"/>
  <c r="M90" i="27" l="1"/>
</calcChain>
</file>

<file path=xl/sharedStrings.xml><?xml version="1.0" encoding="utf-8"?>
<sst xmlns="http://schemas.openxmlformats.org/spreadsheetml/2006/main" count="529" uniqueCount="253">
  <si>
    <t>建筑物</t>
    <phoneticPr fontId="1" type="noConversion"/>
  </si>
  <si>
    <t>序
号</t>
    <phoneticPr fontId="1" type="noConversion"/>
  </si>
  <si>
    <t>平面
图号</t>
    <phoneticPr fontId="1" type="noConversion"/>
  </si>
  <si>
    <t>设备名称</t>
    <phoneticPr fontId="1" type="noConversion"/>
  </si>
  <si>
    <t>单位</t>
    <phoneticPr fontId="1" type="noConversion"/>
  </si>
  <si>
    <t>数量</t>
    <phoneticPr fontId="1" type="noConversion"/>
  </si>
  <si>
    <t>备注</t>
    <phoneticPr fontId="1" type="noConversion"/>
  </si>
  <si>
    <t>现有</t>
    <phoneticPr fontId="1" type="noConversion"/>
  </si>
  <si>
    <t>新增</t>
    <phoneticPr fontId="1" type="noConversion"/>
  </si>
  <si>
    <t>共计</t>
    <phoneticPr fontId="1" type="noConversion"/>
  </si>
  <si>
    <t>单台</t>
    <phoneticPr fontId="1" type="noConversion"/>
  </si>
  <si>
    <t>单价</t>
    <phoneticPr fontId="1" type="noConversion"/>
  </si>
  <si>
    <t>总价</t>
    <phoneticPr fontId="1" type="noConversion"/>
  </si>
  <si>
    <t>单重（t）</t>
    <phoneticPr fontId="1" type="noConversion"/>
  </si>
  <si>
    <t>价格（万元）</t>
    <phoneticPr fontId="1" type="noConversion"/>
  </si>
  <si>
    <t>型号</t>
    <phoneticPr fontId="1" type="noConversion"/>
  </si>
  <si>
    <r>
      <t xml:space="preserve">                  </t>
    </r>
    <r>
      <rPr>
        <b/>
        <sz val="20"/>
        <color indexed="8"/>
        <rFont val="宋体"/>
        <family val="3"/>
        <charset val="134"/>
      </rPr>
      <t>工</t>
    </r>
    <r>
      <rPr>
        <b/>
        <sz val="20"/>
        <color indexed="8"/>
        <rFont val="Times New Roman"/>
        <family val="1"/>
      </rPr>
      <t xml:space="preserve">  </t>
    </r>
    <r>
      <rPr>
        <b/>
        <sz val="20"/>
        <color indexed="8"/>
        <rFont val="宋体"/>
        <family val="3"/>
        <charset val="134"/>
      </rPr>
      <t>艺 设 备 明 细 表</t>
    </r>
    <phoneticPr fontId="1" type="noConversion"/>
  </si>
  <si>
    <t>张数</t>
    <phoneticPr fontId="1" type="noConversion"/>
  </si>
  <si>
    <t>张号</t>
  </si>
  <si>
    <t>项目负责人：</t>
    <phoneticPr fontId="1" type="noConversion"/>
  </si>
  <si>
    <t>设计：</t>
    <phoneticPr fontId="1" type="noConversion"/>
  </si>
  <si>
    <t>日期：</t>
    <phoneticPr fontId="1" type="noConversion"/>
  </si>
  <si>
    <t>设计阶段</t>
    <phoneticPr fontId="1" type="noConversion"/>
  </si>
  <si>
    <t>图号</t>
  </si>
  <si>
    <t>主要技术（性能）指标</t>
    <phoneticPr fontId="1" type="noConversion"/>
  </si>
  <si>
    <t>审 核：</t>
    <phoneticPr fontId="1" type="noConversion"/>
  </si>
  <si>
    <t xml:space="preserve">         </t>
    <phoneticPr fontId="1" type="noConversion"/>
  </si>
  <si>
    <t>招标情况</t>
    <phoneticPr fontId="1" type="noConversion"/>
  </si>
  <si>
    <t xml:space="preserve"> 项目名称                                                           </t>
    <phoneticPr fontId="1" type="noConversion"/>
  </si>
  <si>
    <t>初步设计</t>
    <phoneticPr fontId="1" type="noConversion"/>
  </si>
  <si>
    <t>电容量（kW）</t>
    <phoneticPr fontId="1" type="noConversion"/>
  </si>
  <si>
    <t>校对：</t>
    <phoneticPr fontId="1" type="noConversion"/>
  </si>
  <si>
    <t>水（吨/小时）</t>
    <phoneticPr fontId="1" type="noConversion"/>
  </si>
  <si>
    <t>单台气体耗量（立方米/小时）</t>
    <phoneticPr fontId="1" type="noConversion"/>
  </si>
  <si>
    <t>特殊要求</t>
    <phoneticPr fontId="1" type="noConversion"/>
  </si>
  <si>
    <t>合计</t>
    <phoneticPr fontId="22" type="noConversion"/>
  </si>
  <si>
    <r>
      <t>氧气0.7MPa，40m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/h;燃气0.07MPa，8m</t>
    </r>
    <r>
      <rPr>
        <vertAlign val="superscript"/>
        <sz val="12"/>
        <rFont val="宋体"/>
        <family val="3"/>
        <charset val="134"/>
      </rPr>
      <t>3/h</t>
    </r>
    <phoneticPr fontId="22" type="noConversion"/>
  </si>
  <si>
    <r>
      <t xml:space="preserve">         </t>
    </r>
    <r>
      <rPr>
        <sz val="12"/>
        <color indexed="8"/>
        <rFont val="宋体"/>
        <family val="3"/>
        <charset val="134"/>
      </rPr>
      <t xml:space="preserve">                  </t>
    </r>
    <r>
      <rPr>
        <sz val="24"/>
        <color indexed="8"/>
        <rFont val="宋体"/>
        <family val="3"/>
        <charset val="134"/>
      </rPr>
      <t>中船重工建筑工程设计研究院有限责任公司</t>
    </r>
    <phoneticPr fontId="1" type="noConversion"/>
  </si>
  <si>
    <t>专用设备制造间</t>
    <phoneticPr fontId="22" type="noConversion"/>
  </si>
  <si>
    <t>武船双柳基地建设项目</t>
    <phoneticPr fontId="22" type="noConversion"/>
  </si>
  <si>
    <t>一</t>
    <phoneticPr fontId="22" type="noConversion"/>
  </si>
  <si>
    <t>轻型设备制造区</t>
    <phoneticPr fontId="22" type="noConversion"/>
  </si>
  <si>
    <t>普通车床</t>
    <phoneticPr fontId="22" type="noConversion"/>
  </si>
  <si>
    <t>φ400/φ630</t>
    <phoneticPr fontId="22" type="noConversion"/>
  </si>
  <si>
    <t>国产</t>
  </si>
  <si>
    <t>国产</t>
    <phoneticPr fontId="22" type="noConversion"/>
  </si>
  <si>
    <t>台</t>
    <phoneticPr fontId="22" type="noConversion"/>
  </si>
  <si>
    <t>2800×1800</t>
    <phoneticPr fontId="22" type="noConversion"/>
  </si>
  <si>
    <t>C6163</t>
    <phoneticPr fontId="22" type="noConversion"/>
  </si>
  <si>
    <t>搬迁</t>
    <phoneticPr fontId="22" type="noConversion"/>
  </si>
  <si>
    <t>1-1</t>
    <phoneticPr fontId="22" type="noConversion"/>
  </si>
  <si>
    <t>2-1</t>
    <phoneticPr fontId="22" type="noConversion"/>
  </si>
  <si>
    <t>2-2</t>
    <phoneticPr fontId="22" type="noConversion"/>
  </si>
  <si>
    <t>小型车削中心</t>
  </si>
  <si>
    <t>小型立式加工中心</t>
  </si>
  <si>
    <t>F500</t>
  </si>
  <si>
    <t>3500×2500</t>
    <phoneticPr fontId="22" type="noConversion"/>
  </si>
  <si>
    <t>2-5</t>
    <phoneticPr fontId="22" type="noConversion"/>
  </si>
  <si>
    <t>DNL556</t>
  </si>
  <si>
    <t>预留</t>
    <phoneticPr fontId="22" type="noConversion"/>
  </si>
  <si>
    <t>预留</t>
    <phoneticPr fontId="22" type="noConversion"/>
  </si>
  <si>
    <t>中型立式加工中心</t>
    <phoneticPr fontId="22" type="noConversion"/>
  </si>
  <si>
    <t>DMU65</t>
  </si>
  <si>
    <t>DMU65</t>
    <phoneticPr fontId="22" type="noConversion"/>
  </si>
  <si>
    <t>3200×3800</t>
    <phoneticPr fontId="22" type="noConversion"/>
  </si>
  <si>
    <t>钛合金产品制造区</t>
    <phoneticPr fontId="22" type="noConversion"/>
  </si>
  <si>
    <t>数控高压水射流切割机</t>
    <phoneticPr fontId="22" type="noConversion"/>
  </si>
  <si>
    <t>FLOW 3020</t>
  </si>
  <si>
    <t>1-2</t>
    <phoneticPr fontId="22" type="noConversion"/>
  </si>
  <si>
    <t>FLOW 5030</t>
  </si>
  <si>
    <t>7000×6000</t>
    <phoneticPr fontId="22" type="noConversion"/>
  </si>
  <si>
    <t>1-3</t>
    <phoneticPr fontId="22" type="noConversion"/>
  </si>
  <si>
    <t>数控四辊卷板机</t>
    <phoneticPr fontId="22" type="noConversion"/>
  </si>
  <si>
    <t>4HEL2139</t>
  </si>
  <si>
    <t>进口</t>
  </si>
  <si>
    <t>进口</t>
    <phoneticPr fontId="22" type="noConversion"/>
  </si>
  <si>
    <t>3000×6000</t>
    <phoneticPr fontId="22" type="noConversion"/>
  </si>
  <si>
    <t>1-4</t>
    <phoneticPr fontId="22" type="noConversion"/>
  </si>
  <si>
    <t>数控三辊卷板机</t>
    <phoneticPr fontId="22" type="noConversion"/>
  </si>
  <si>
    <t>Q30-20</t>
  </si>
  <si>
    <t>油压机</t>
  </si>
  <si>
    <t>1000t</t>
  </si>
  <si>
    <t>6000×6000</t>
    <phoneticPr fontId="22" type="noConversion"/>
  </si>
  <si>
    <t>等离子复合焊接系统</t>
    <phoneticPr fontId="22" type="noConversion"/>
  </si>
  <si>
    <t>PM320A</t>
  </si>
  <si>
    <t>4300×6000</t>
    <phoneticPr fontId="22" type="noConversion"/>
  </si>
  <si>
    <t>进口</t>
    <phoneticPr fontId="22" type="noConversion"/>
  </si>
  <si>
    <t>真空退火炉</t>
  </si>
  <si>
    <t>搬迁/预留</t>
    <phoneticPr fontId="22" type="noConversion"/>
  </si>
  <si>
    <t>1-8</t>
    <phoneticPr fontId="22" type="noConversion"/>
  </si>
  <si>
    <t>真空焊接箱</t>
    <phoneticPr fontId="22" type="noConversion"/>
  </si>
  <si>
    <t>4300×6000</t>
    <phoneticPr fontId="22" type="noConversion"/>
  </si>
  <si>
    <t>数控液压制管机</t>
    <phoneticPr fontId="22" type="noConversion"/>
  </si>
  <si>
    <t>WE67K-650/4200</t>
  </si>
  <si>
    <t>桥式起重机</t>
  </si>
  <si>
    <t>新增</t>
    <phoneticPr fontId="22" type="noConversion"/>
  </si>
  <si>
    <t>钛合金材料成份分析仪</t>
  </si>
  <si>
    <t>30000×6000</t>
    <phoneticPr fontId="22" type="noConversion"/>
  </si>
  <si>
    <t>15000×4600</t>
    <phoneticPr fontId="22" type="noConversion"/>
  </si>
  <si>
    <t>1-10</t>
    <phoneticPr fontId="22" type="noConversion"/>
  </si>
  <si>
    <t>1-11</t>
    <phoneticPr fontId="22" type="noConversion"/>
  </si>
  <si>
    <t>钛合金产品表面处理装置</t>
    <phoneticPr fontId="22" type="noConversion"/>
  </si>
  <si>
    <t>重型设备制造区</t>
    <phoneticPr fontId="22" type="noConversion"/>
  </si>
  <si>
    <t>3-1</t>
    <phoneticPr fontId="22" type="noConversion"/>
  </si>
  <si>
    <t>3-2</t>
    <phoneticPr fontId="22" type="noConversion"/>
  </si>
  <si>
    <t>3-3</t>
    <phoneticPr fontId="22" type="noConversion"/>
  </si>
  <si>
    <t>3-4</t>
    <phoneticPr fontId="22" type="noConversion"/>
  </si>
  <si>
    <t>3-5</t>
    <phoneticPr fontId="22" type="noConversion"/>
  </si>
  <si>
    <t>3-6</t>
    <phoneticPr fontId="22" type="noConversion"/>
  </si>
  <si>
    <t>双杠压力机试验装置</t>
    <phoneticPr fontId="22" type="noConversion"/>
  </si>
  <si>
    <t>1-12</t>
    <phoneticPr fontId="22" type="noConversion"/>
  </si>
  <si>
    <t>快填试验装置</t>
  </si>
  <si>
    <t>减速器试验装置</t>
    <phoneticPr fontId="22" type="noConversion"/>
  </si>
  <si>
    <t>阀件综合试验台</t>
  </si>
  <si>
    <t>1-13</t>
  </si>
  <si>
    <t>1-14</t>
  </si>
  <si>
    <t>1-15</t>
  </si>
  <si>
    <t>Gn＝20t/5t，S=16.5m，H=12m，A5</t>
  </si>
  <si>
    <t>Gn＝10t，S=16.5m，H=12m，A5</t>
  </si>
  <si>
    <t>Gn＝5t，S=16.5m，H=12m，A5</t>
  </si>
  <si>
    <t>2-3</t>
    <phoneticPr fontId="22" type="noConversion"/>
  </si>
  <si>
    <t>普通铣床</t>
    <phoneticPr fontId="22" type="noConversion"/>
  </si>
  <si>
    <t>2-4</t>
    <phoneticPr fontId="22" type="noConversion"/>
  </si>
  <si>
    <t>线切割机床</t>
    <phoneticPr fontId="22" type="noConversion"/>
  </si>
  <si>
    <t>2-6</t>
    <phoneticPr fontId="22" type="noConversion"/>
  </si>
  <si>
    <t>小型高精度车削中心</t>
  </si>
  <si>
    <t>2-7</t>
    <phoneticPr fontId="22" type="noConversion"/>
  </si>
  <si>
    <t>2-8</t>
    <phoneticPr fontId="22" type="noConversion"/>
  </si>
  <si>
    <t>2-9</t>
    <phoneticPr fontId="22" type="noConversion"/>
  </si>
  <si>
    <t>2-10</t>
    <phoneticPr fontId="22" type="noConversion"/>
  </si>
  <si>
    <t>2-11</t>
    <phoneticPr fontId="22" type="noConversion"/>
  </si>
  <si>
    <t>2-12</t>
  </si>
  <si>
    <t>中型车削中心</t>
    <phoneticPr fontId="22" type="noConversion"/>
  </si>
  <si>
    <t>2900×4900</t>
    <phoneticPr fontId="22" type="noConversion"/>
  </si>
  <si>
    <t>中型高精密车削中心</t>
    <phoneticPr fontId="22" type="noConversion"/>
  </si>
  <si>
    <t>2-13</t>
    <phoneticPr fontId="22" type="noConversion"/>
  </si>
  <si>
    <t>2-14</t>
  </si>
  <si>
    <t>车铣复合加工中心</t>
  </si>
  <si>
    <t>2-15</t>
    <phoneticPr fontId="22" type="noConversion"/>
  </si>
  <si>
    <t>卧式加工中心</t>
  </si>
  <si>
    <t>2-16</t>
    <phoneticPr fontId="22" type="noConversion"/>
  </si>
  <si>
    <t>2-17</t>
    <phoneticPr fontId="22" type="noConversion"/>
  </si>
  <si>
    <t>低压电动平板车</t>
  </si>
  <si>
    <t>20t</t>
  </si>
  <si>
    <t>新增</t>
    <phoneticPr fontId="22" type="noConversion"/>
  </si>
  <si>
    <t>数控镗床</t>
    <phoneticPr fontId="22" type="noConversion"/>
  </si>
  <si>
    <t>TKP6111</t>
  </si>
  <si>
    <t>TKP6513</t>
  </si>
  <si>
    <t>6800×7200</t>
    <phoneticPr fontId="22" type="noConversion"/>
  </si>
  <si>
    <t>7600×8000</t>
    <phoneticPr fontId="22" type="noConversion"/>
  </si>
  <si>
    <t>数控立式车床</t>
    <phoneticPr fontId="22" type="noConversion"/>
  </si>
  <si>
    <t>CK5116</t>
  </si>
  <si>
    <t>6000×7000</t>
    <phoneticPr fontId="22" type="noConversion"/>
  </si>
  <si>
    <t>XK2420</t>
  </si>
  <si>
    <t>1800×9000</t>
    <phoneticPr fontId="22" type="noConversion"/>
  </si>
  <si>
    <t>数控滚齿机</t>
    <phoneticPr fontId="22" type="noConversion"/>
  </si>
  <si>
    <t>M6</t>
  </si>
  <si>
    <t>4900×2900</t>
    <phoneticPr fontId="22" type="noConversion"/>
  </si>
  <si>
    <t>M12.5</t>
    <phoneticPr fontId="22" type="noConversion"/>
  </si>
  <si>
    <t>3-7</t>
    <phoneticPr fontId="22" type="noConversion"/>
  </si>
  <si>
    <t>3-8</t>
    <phoneticPr fontId="22" type="noConversion"/>
  </si>
  <si>
    <t>M1432</t>
  </si>
  <si>
    <t>3-9</t>
    <phoneticPr fontId="22" type="noConversion"/>
  </si>
  <si>
    <t>M7150</t>
  </si>
  <si>
    <t>数控卧式车床</t>
  </si>
  <si>
    <t>3-10</t>
  </si>
  <si>
    <t>20000×3000</t>
    <phoneticPr fontId="22" type="noConversion"/>
  </si>
  <si>
    <t>16000×9300</t>
    <phoneticPr fontId="22" type="noConversion"/>
  </si>
  <si>
    <t>CK61200×16000</t>
    <phoneticPr fontId="22" type="noConversion"/>
  </si>
  <si>
    <t>数控落地式镗铣床</t>
  </si>
  <si>
    <t>16000×3000</t>
    <phoneticPr fontId="22" type="noConversion"/>
  </si>
  <si>
    <t>50t</t>
  </si>
  <si>
    <t>Gn＝100t/20t，S=31m，H=25m</t>
  </si>
  <si>
    <t>Gn＝50t/10t，S=29.6m，H=18m</t>
  </si>
  <si>
    <t>Gn＝32t/5t，S=29.6m，H=18m</t>
  </si>
  <si>
    <t>Gn＝32t/5t，S=22.5m，H=12m，A5</t>
  </si>
  <si>
    <t>Gn＝20t/5t，S=22.5m，H=12m，A5</t>
  </si>
  <si>
    <t>Gn＝10t，S=22.5m，H=12m，A5</t>
  </si>
  <si>
    <t>小计</t>
    <phoneticPr fontId="22" type="noConversion"/>
  </si>
  <si>
    <t>二</t>
    <phoneticPr fontId="22" type="noConversion"/>
  </si>
  <si>
    <t>热处理区</t>
    <phoneticPr fontId="22" type="noConversion"/>
  </si>
  <si>
    <t>型材货架</t>
    <phoneticPr fontId="22" type="noConversion"/>
  </si>
  <si>
    <t>25m×16m×10m</t>
    <phoneticPr fontId="22" type="noConversion"/>
  </si>
  <si>
    <t>25000×16000</t>
    <phoneticPr fontId="22" type="noConversion"/>
  </si>
  <si>
    <t>套</t>
    <phoneticPr fontId="22" type="noConversion"/>
  </si>
  <si>
    <t>金属带锯机</t>
    <phoneticPr fontId="22" type="noConversion"/>
  </si>
  <si>
    <t>1500×2500</t>
    <phoneticPr fontId="22" type="noConversion"/>
  </si>
  <si>
    <t>井式炉</t>
    <phoneticPr fontId="22" type="noConversion"/>
  </si>
  <si>
    <t>台车炉</t>
    <phoneticPr fontId="22" type="noConversion"/>
  </si>
  <si>
    <t>1500×1500</t>
    <phoneticPr fontId="22" type="noConversion"/>
  </si>
  <si>
    <t>2000×3500</t>
    <phoneticPr fontId="22" type="noConversion"/>
  </si>
  <si>
    <t>3000×5000</t>
    <phoneticPr fontId="22" type="noConversion"/>
  </si>
  <si>
    <t>三</t>
    <phoneticPr fontId="22" type="noConversion"/>
  </si>
  <si>
    <t>四</t>
    <phoneticPr fontId="22" type="noConversion"/>
  </si>
  <si>
    <t>不招标，自制</t>
    <phoneticPr fontId="22" type="noConversion"/>
  </si>
  <si>
    <t>公开招标</t>
    <phoneticPr fontId="22" type="noConversion"/>
  </si>
  <si>
    <t>5300×3800</t>
    <phoneticPr fontId="22" type="noConversion"/>
  </si>
  <si>
    <t>8000×3800</t>
    <phoneticPr fontId="22" type="noConversion"/>
  </si>
  <si>
    <t>5200×3800</t>
    <phoneticPr fontId="22" type="noConversion"/>
  </si>
  <si>
    <t>4-1</t>
    <phoneticPr fontId="22" type="noConversion"/>
  </si>
  <si>
    <t>4-2</t>
    <phoneticPr fontId="22" type="noConversion"/>
  </si>
  <si>
    <t>4-3</t>
  </si>
  <si>
    <t>4-4</t>
  </si>
  <si>
    <t>4-5</t>
  </si>
  <si>
    <t>4-6</t>
  </si>
  <si>
    <t>CMS30/20000</t>
    <phoneticPr fontId="22" type="noConversion"/>
  </si>
  <si>
    <t>1-5</t>
    <phoneticPr fontId="22" type="noConversion"/>
  </si>
  <si>
    <t>1-6</t>
    <phoneticPr fontId="22" type="noConversion"/>
  </si>
  <si>
    <t>1-7</t>
    <phoneticPr fontId="22" type="noConversion"/>
  </si>
  <si>
    <t>1-9</t>
    <phoneticPr fontId="22" type="noConversion"/>
  </si>
  <si>
    <t>钛合金高温力学性能试验系统</t>
    <phoneticPr fontId="22" type="noConversion"/>
  </si>
  <si>
    <t>CY438（YL）.7101-1</t>
    <phoneticPr fontId="23" type="noConversion"/>
  </si>
  <si>
    <r>
      <t>外形尺寸
（长*宽*高）</t>
    </r>
    <r>
      <rPr>
        <b/>
        <sz val="10"/>
        <color indexed="8"/>
        <rFont val="宋体"/>
        <family val="3"/>
        <charset val="134"/>
        <scheme val="minor"/>
      </rPr>
      <t>mm</t>
    </r>
    <phoneticPr fontId="1" type="noConversion"/>
  </si>
  <si>
    <r>
      <t>生产厂</t>
    </r>
    <r>
      <rPr>
        <sz val="12"/>
        <rFont val="Times New Roman"/>
        <family val="1"/>
      </rPr>
      <t/>
    </r>
    <phoneticPr fontId="1" type="noConversion"/>
  </si>
  <si>
    <t>5-1</t>
    <phoneticPr fontId="22" type="noConversion"/>
  </si>
  <si>
    <t>5-2</t>
  </si>
  <si>
    <t>5-3</t>
  </si>
  <si>
    <t>5-4</t>
  </si>
  <si>
    <t>5-5</t>
  </si>
  <si>
    <t>搬迁</t>
    <phoneticPr fontId="22" type="noConversion"/>
  </si>
  <si>
    <t>C6140</t>
    <phoneticPr fontId="22" type="noConversion"/>
  </si>
  <si>
    <t>φ400/φ630</t>
    <phoneticPr fontId="22" type="noConversion"/>
  </si>
  <si>
    <t>PUMA2100S</t>
  </si>
  <si>
    <t>φ500</t>
  </si>
  <si>
    <t>PUMA2600</t>
  </si>
  <si>
    <t>φ630</t>
  </si>
  <si>
    <t>PUMA215</t>
  </si>
  <si>
    <t>CK5135</t>
    <phoneticPr fontId="22" type="noConversion"/>
  </si>
  <si>
    <t>TKP6513</t>
    <phoneticPr fontId="22" type="noConversion"/>
  </si>
  <si>
    <t>TKP6111</t>
    <phoneticPr fontId="22" type="noConversion"/>
  </si>
  <si>
    <t>XK2420</t>
    <phoneticPr fontId="22" type="noConversion"/>
  </si>
  <si>
    <t>M1432</t>
    <phoneticPr fontId="22" type="noConversion"/>
  </si>
  <si>
    <t>M7150</t>
    <phoneticPr fontId="22" type="noConversion"/>
  </si>
  <si>
    <t>φ500</t>
    <phoneticPr fontId="22" type="noConversion"/>
  </si>
  <si>
    <t>CMS30/10000</t>
    <phoneticPr fontId="22" type="noConversion"/>
  </si>
  <si>
    <t>12000×9000</t>
    <phoneticPr fontId="22" type="noConversion"/>
  </si>
  <si>
    <t>21500×9000</t>
    <phoneticPr fontId="22" type="noConversion"/>
  </si>
  <si>
    <t>UN FORCE-6C-3</t>
    <phoneticPr fontId="22" type="noConversion"/>
  </si>
  <si>
    <t>TK6920</t>
    <phoneticPr fontId="22" type="noConversion"/>
  </si>
  <si>
    <t>TK6916</t>
    <phoneticPr fontId="22" type="noConversion"/>
  </si>
  <si>
    <t>数控重型车床</t>
    <phoneticPr fontId="22" type="noConversion"/>
  </si>
  <si>
    <t>进口</t>
    <phoneticPr fontId="22" type="noConversion"/>
  </si>
  <si>
    <t>数控落地五轴加工中心</t>
  </si>
  <si>
    <t>数控龙门五轴加工中心</t>
  </si>
  <si>
    <t>卧式加工中心</t>
    <phoneticPr fontId="22" type="noConversion"/>
  </si>
  <si>
    <t>HT125</t>
    <phoneticPr fontId="22" type="noConversion"/>
  </si>
  <si>
    <t>EC-1600</t>
    <phoneticPr fontId="22" type="noConversion"/>
  </si>
  <si>
    <t>HS4-4R</t>
    <phoneticPr fontId="22" type="noConversion"/>
  </si>
  <si>
    <t>数控龙门铣镗床</t>
    <phoneticPr fontId="22" type="noConversion"/>
  </si>
  <si>
    <t>最大板厚尺寸60mm</t>
  </si>
  <si>
    <t>CW61125</t>
    <phoneticPr fontId="22" type="noConversion"/>
  </si>
  <si>
    <t>万能外圆磨床</t>
    <phoneticPr fontId="22" type="noConversion"/>
  </si>
  <si>
    <t>平面磨床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</si>
</sst>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 * #,##0_ ;_ * \-#,##0_ ;_ * &quot;-&quot;_ ;_ @_ "/>
    <numFmt numFmtId="43" formatCode="_ * #,##0.00_ ;_ * \-#,##0.00_ ;_ * &quot;-&quot;??_ ;_ @_ "/>
    <numFmt numFmtId="176" formatCode="_-* #,##0.00_-;\-* #,##0.00_-;_-* &quot;-&quot;??_-;_-@_-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#,##0.0_);[Red]&quot;\&quot;&quot;\&quot;\(#,##0.0&quot;\&quot;&quot;\&quot;\)"/>
    <numFmt numFmtId="180" formatCode="#,##0.0_);\(#,##0.0\)"/>
    <numFmt numFmtId="181" formatCode="&quot;开&quot;;&quot;开&quot;;&quot;关&quot;"/>
    <numFmt numFmtId="182" formatCode="&quot;\&quot;#,##0.00;[Red]&quot;\&quot;&quot;\&quot;&quot;\&quot;&quot;\&quot;&quot;\&quot;\-#,##0.00"/>
    <numFmt numFmtId="183" formatCode="#,##0;\(#,##0\)"/>
    <numFmt numFmtId="184" formatCode="&quot;¥&quot;#,##0_);[Red]\(&quot;¥&quot;#,##0\)"/>
    <numFmt numFmtId="185" formatCode="_-&quot;$&quot;\ * #,##0.00_-;_-&quot;$&quot;\ * #,##0.00\-;_-&quot;$&quot;\ * &quot;-&quot;??_-;_-@_-"/>
    <numFmt numFmtId="186" formatCode="\$#,##0.00;\(\$#,##0.00\)"/>
    <numFmt numFmtId="187" formatCode="\$#,##0;\(\$#,##0\)"/>
    <numFmt numFmtId="188" formatCode="_-&quot;$&quot;\ * #,##0_-;_-&quot;$&quot;\ * #,##0\-;_-&quot;$&quot;\ * &quot;-&quot;_-;_-@_-"/>
    <numFmt numFmtId="189" formatCode="&quot;$&quot;\ #,##0.00_-;[Red]&quot;$&quot;\ #,##0.00\-"/>
    <numFmt numFmtId="190" formatCode="0.00_)"/>
    <numFmt numFmtId="191" formatCode="###,###,###"/>
  </numFmts>
  <fonts count="84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  <font>
      <sz val="12"/>
      <color indexed="8"/>
      <name val="宋体"/>
      <family val="3"/>
      <charset val="134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name val="Times New Roman"/>
      <family val="1"/>
    </font>
    <font>
      <i/>
      <sz val="10"/>
      <name val="MS Sans Serif"/>
      <family val="2"/>
    </font>
    <font>
      <b/>
      <sz val="20"/>
      <color indexed="8"/>
      <name val="宋体"/>
      <family val="3"/>
      <charset val="134"/>
    </font>
    <font>
      <b/>
      <sz val="20"/>
      <color indexed="8"/>
      <name val="Times New Roman"/>
      <family val="1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24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vertAlign val="superscript"/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Helv"/>
      <family val="2"/>
    </font>
    <font>
      <sz val="10"/>
      <name val="Geneva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name val="ＭＳ Ｐゴシック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11"/>
      <name val="µ¸¿ò"/>
      <family val="3"/>
    </font>
    <font>
      <sz val="12"/>
      <name val="Tms Rmn"/>
      <family val="1"/>
    </font>
    <font>
      <sz val="8"/>
      <name val="Arial"/>
      <family val="2"/>
    </font>
    <font>
      <sz val="12"/>
      <name val="¹ÙÅÁÃ¼"/>
      <family val="1"/>
    </font>
    <font>
      <b/>
      <sz val="8"/>
      <name val="Arial"/>
      <family val="2"/>
    </font>
    <font>
      <sz val="10"/>
      <name val="BERNHARD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2"/>
      <name val="Helv"/>
      <family val="2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10"/>
      <name val="Tms Rmn"/>
      <family val="1"/>
    </font>
    <font>
      <b/>
      <sz val="28"/>
      <name val="Arial"/>
      <family val="2"/>
    </font>
    <font>
      <sz val="14"/>
      <name val="AngsanaUPC"/>
      <family val="1"/>
    </font>
    <font>
      <b/>
      <sz val="14"/>
      <name val="楷体"/>
      <family val="3"/>
      <charset val="134"/>
    </font>
    <font>
      <sz val="10"/>
      <name val="楷体"/>
      <family val="3"/>
      <charset val="134"/>
    </font>
    <font>
      <sz val="10"/>
      <color indexed="20"/>
      <name val="宋体"/>
      <family val="3"/>
      <charset val="134"/>
    </font>
    <font>
      <b/>
      <sz val="18"/>
      <name val="Times New Roman"/>
      <family val="1"/>
    </font>
    <font>
      <b/>
      <sz val="12"/>
      <name val="宋体"/>
      <family val="3"/>
      <charset val="134"/>
    </font>
    <font>
      <b/>
      <sz val="10"/>
      <name val="Souvenir"/>
      <family val="1"/>
    </font>
    <font>
      <b/>
      <sz val="18"/>
      <color indexed="56"/>
      <name val="宋体"/>
      <family val="3"/>
      <charset val="134"/>
    </font>
    <font>
      <sz val="10"/>
      <name val="BERNHARD"/>
      <family val="2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0.5"/>
      <color rgb="FF000000"/>
      <name val="Times New Roman"/>
      <family val="1"/>
    </font>
    <font>
      <sz val="10.5"/>
      <name val="Times New Roman"/>
      <family val="1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5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43"/>
      </patternFill>
    </fill>
    <fill>
      <patternFill patternType="mediumGray">
        <fgColor indexed="22"/>
      </patternFill>
    </fill>
    <fill>
      <patternFill patternType="solid">
        <fgColor indexed="9"/>
        <bgColor indexed="13"/>
      </patternFill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indexed="9"/>
        <bgColor indexed="9"/>
      </patternFill>
    </fill>
    <fill>
      <patternFill patternType="solid">
        <fgColor rgb="FFFFC7CE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841">
    <xf numFmtId="0" fontId="0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71" fillId="0" borderId="0"/>
    <xf numFmtId="0" fontId="71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71" fillId="0" borderId="0"/>
    <xf numFmtId="0" fontId="27" fillId="0" borderId="0"/>
    <xf numFmtId="0" fontId="2" fillId="0" borderId="0"/>
    <xf numFmtId="0" fontId="71" fillId="0" borderId="0"/>
    <xf numFmtId="0" fontId="71" fillId="0" borderId="0"/>
    <xf numFmtId="0" fontId="2" fillId="0" borderId="0"/>
    <xf numFmtId="0" fontId="71" fillId="0" borderId="0"/>
    <xf numFmtId="0" fontId="71" fillId="0" borderId="0"/>
    <xf numFmtId="0" fontId="2" fillId="0" borderId="0"/>
    <xf numFmtId="0" fontId="71" fillId="0" borderId="0"/>
    <xf numFmtId="0" fontId="71" fillId="0" borderId="0"/>
    <xf numFmtId="0" fontId="2" fillId="0" borderId="0"/>
    <xf numFmtId="0" fontId="71" fillId="0" borderId="0"/>
    <xf numFmtId="0" fontId="71" fillId="0" borderId="0"/>
    <xf numFmtId="0" fontId="2" fillId="0" borderId="0"/>
    <xf numFmtId="0" fontId="71" fillId="0" borderId="0"/>
    <xf numFmtId="0" fontId="71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7" fillId="0" borderId="0"/>
    <xf numFmtId="0" fontId="2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7" fillId="0" borderId="0"/>
    <xf numFmtId="49" fontId="5" fillId="0" borderId="0" applyFont="0" applyFill="0" applyBorder="0" applyAlignment="0" applyProtection="0"/>
    <xf numFmtId="49" fontId="47" fillId="0" borderId="0" applyFont="0" applyFill="0" applyBorder="0" applyAlignment="0" applyProtection="0"/>
    <xf numFmtId="49" fontId="47" fillId="0" borderId="0" applyFont="0" applyFill="0" applyBorder="0" applyAlignment="0" applyProtection="0"/>
    <xf numFmtId="49" fontId="47" fillId="0" borderId="0" applyFont="0" applyFill="0" applyBorder="0" applyAlignment="0" applyProtection="0"/>
    <xf numFmtId="49" fontId="47" fillId="0" borderId="0" applyFont="0" applyFill="0" applyBorder="0" applyAlignment="0" applyProtection="0"/>
    <xf numFmtId="49" fontId="26" fillId="0" borderId="0" applyFont="0" applyFill="0" applyBorder="0" applyAlignment="0" applyProtection="0"/>
    <xf numFmtId="49" fontId="26" fillId="0" borderId="0" applyFont="0" applyFill="0" applyBorder="0" applyAlignment="0" applyProtection="0"/>
    <xf numFmtId="49" fontId="26" fillId="0" borderId="0" applyFont="0" applyFill="0" applyBorder="0" applyAlignment="0" applyProtection="0"/>
    <xf numFmtId="49" fontId="26" fillId="0" borderId="0" applyFont="0" applyFill="0" applyBorder="0" applyAlignment="0" applyProtection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5" fillId="0" borderId="0"/>
    <xf numFmtId="0" fontId="2" fillId="0" borderId="0" applyFont="0" applyBorder="0" applyAlignment="0">
      <alignment vertical="center"/>
    </xf>
    <xf numFmtId="0" fontId="47" fillId="0" borderId="0" applyFont="0" applyBorder="0" applyAlignment="0">
      <alignment vertical="center"/>
    </xf>
    <xf numFmtId="0" fontId="47" fillId="0" borderId="0" applyFont="0" applyBorder="0" applyAlignment="0">
      <alignment vertical="center"/>
    </xf>
    <xf numFmtId="0" fontId="47" fillId="0" borderId="0" applyFont="0" applyBorder="0" applyAlignment="0">
      <alignment vertical="center"/>
    </xf>
    <xf numFmtId="0" fontId="47" fillId="0" borderId="0" applyFont="0" applyBorder="0" applyAlignment="0">
      <alignment vertical="center"/>
    </xf>
    <xf numFmtId="0" fontId="2" fillId="0" borderId="0"/>
    <xf numFmtId="0" fontId="2" fillId="0" borderId="0"/>
    <xf numFmtId="0" fontId="5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71" fillId="0" borderId="0"/>
    <xf numFmtId="0" fontId="5" fillId="0" borderId="0"/>
    <xf numFmtId="0" fontId="2" fillId="0" borderId="0"/>
    <xf numFmtId="0" fontId="5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 applyFont="0" applyBorder="0" applyAlignment="0"/>
    <xf numFmtId="0" fontId="47" fillId="0" borderId="0" applyFont="0" applyBorder="0" applyAlignment="0"/>
    <xf numFmtId="0" fontId="47" fillId="0" borderId="0" applyFont="0" applyBorder="0" applyAlignment="0"/>
    <xf numFmtId="0" fontId="47" fillId="0" borderId="0" applyFont="0" applyBorder="0" applyAlignment="0"/>
    <xf numFmtId="0" fontId="47" fillId="0" borderId="0" applyFont="0" applyBorder="0" applyAlignment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8" fillId="0" borderId="0"/>
    <xf numFmtId="0" fontId="27" fillId="0" borderId="0"/>
    <xf numFmtId="0" fontId="5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5" fillId="0" borderId="0"/>
    <xf numFmtId="0" fontId="27" fillId="0" borderId="0"/>
    <xf numFmtId="0" fontId="2" fillId="0" borderId="0"/>
    <xf numFmtId="0" fontId="27" fillId="0" borderId="0"/>
    <xf numFmtId="0" fontId="28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" fillId="0" borderId="0"/>
    <xf numFmtId="0" fontId="28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 applyProtection="0"/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0" borderId="0">
      <protection locked="0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" fillId="0" borderId="0">
      <alignment horizontal="center" wrapText="1"/>
      <protection locked="0"/>
    </xf>
    <xf numFmtId="41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5" fillId="0" borderId="0"/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/>
    <xf numFmtId="2" fontId="50" fillId="0" borderId="0" applyNumberFormat="0" applyFont="0" applyFill="0" applyAlignment="0" applyProtection="0">
      <alignment horizontal="center"/>
    </xf>
    <xf numFmtId="2" fontId="50" fillId="0" borderId="0" applyNumberFormat="0" applyFont="0" applyFill="0" applyAlignment="0" applyProtection="0">
      <alignment horizontal="center"/>
    </xf>
    <xf numFmtId="2" fontId="50" fillId="0" borderId="0" applyNumberFormat="0" applyFont="0" applyFill="0" applyAlignment="0" applyProtection="0">
      <alignment horizontal="center"/>
    </xf>
    <xf numFmtId="0" fontId="47" fillId="0" borderId="0" applyNumberFormat="0" applyFont="0" applyFill="0" applyAlignment="0" applyProtection="0">
      <alignment horizontal="center"/>
    </xf>
    <xf numFmtId="0" fontId="47" fillId="0" borderId="0" applyNumberFormat="0" applyFont="0" applyFill="0" applyAlignment="0" applyProtection="0">
      <alignment horizontal="center"/>
    </xf>
    <xf numFmtId="0" fontId="47" fillId="0" borderId="0" applyNumberFormat="0" applyFont="0" applyFill="0" applyAlignment="0" applyProtection="0">
      <alignment horizontal="center"/>
    </xf>
    <xf numFmtId="0" fontId="47" fillId="0" borderId="0" applyNumberFormat="0" applyFont="0" applyFill="0" applyAlignment="0" applyProtection="0">
      <alignment horizontal="center"/>
    </xf>
    <xf numFmtId="0" fontId="26" fillId="0" borderId="0" applyNumberFormat="0" applyFont="0" applyFill="0" applyAlignment="0" applyProtection="0">
      <alignment horizontal="center"/>
    </xf>
    <xf numFmtId="0" fontId="26" fillId="0" borderId="0" applyNumberFormat="0" applyFont="0" applyFill="0" applyAlignment="0" applyProtection="0">
      <alignment horizontal="center"/>
    </xf>
    <xf numFmtId="0" fontId="26" fillId="0" borderId="0" applyNumberFormat="0" applyFont="0" applyFill="0" applyAlignment="0" applyProtection="0">
      <alignment horizontal="center"/>
    </xf>
    <xf numFmtId="0" fontId="26" fillId="0" borderId="0" applyNumberFormat="0" applyFont="0" applyFill="0" applyAlignment="0" applyProtection="0">
      <alignment horizontal="center"/>
    </xf>
    <xf numFmtId="0" fontId="51" fillId="0" borderId="0"/>
    <xf numFmtId="179" fontId="5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81" fontId="26" fillId="0" borderId="0" applyFill="0" applyBorder="0" applyAlignment="0"/>
    <xf numFmtId="179" fontId="5" fillId="0" borderId="0" applyFill="0" applyBorder="0" applyAlignment="0">
      <alignment vertical="center"/>
    </xf>
    <xf numFmtId="179" fontId="5" fillId="0" borderId="0" applyFill="0" applyBorder="0" applyAlignment="0"/>
    <xf numFmtId="181" fontId="26" fillId="0" borderId="0" applyFill="0" applyBorder="0" applyAlignment="0"/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8" fillId="34" borderId="1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39" fillId="35" borderId="2" applyNumberFormat="0" applyAlignment="0" applyProtection="0">
      <alignment vertical="center"/>
    </xf>
    <xf numFmtId="0" fontId="7" fillId="0" borderId="0" applyNumberFormat="0" applyFill="0" applyBorder="0" applyAlignment="0" applyProtection="0"/>
    <xf numFmtId="0" fontId="52" fillId="0" borderId="3">
      <alignment horizontal="center"/>
    </xf>
    <xf numFmtId="182" fontId="4" fillId="0" borderId="0"/>
    <xf numFmtId="182" fontId="4" fillId="0" borderId="0"/>
    <xf numFmtId="182" fontId="4" fillId="0" borderId="0"/>
    <xf numFmtId="182" fontId="4" fillId="0" borderId="0"/>
    <xf numFmtId="182" fontId="4" fillId="0" borderId="0"/>
    <xf numFmtId="182" fontId="4" fillId="0" borderId="0"/>
    <xf numFmtId="182" fontId="4" fillId="0" borderId="0"/>
    <xf numFmtId="182" fontId="4" fillId="0" borderId="0"/>
    <xf numFmtId="38" fontId="8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8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183" fontId="4" fillId="0" borderId="0"/>
    <xf numFmtId="176" fontId="5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74" fillId="0" borderId="0"/>
    <xf numFmtId="0" fontId="53" fillId="0" borderId="0"/>
    <xf numFmtId="0" fontId="74" fillId="0" borderId="0"/>
    <xf numFmtId="0" fontId="74" fillId="0" borderId="0"/>
    <xf numFmtId="0" fontId="53" fillId="0" borderId="0"/>
    <xf numFmtId="0" fontId="74" fillId="0" borderId="0"/>
    <xf numFmtId="0" fontId="27" fillId="0" borderId="0"/>
    <xf numFmtId="0" fontId="53" fillId="0" borderId="0"/>
    <xf numFmtId="0" fontId="53" fillId="0" borderId="0"/>
    <xf numFmtId="0" fontId="53" fillId="0" borderId="0"/>
    <xf numFmtId="0" fontId="74" fillId="0" borderId="0"/>
    <xf numFmtId="0" fontId="53" fillId="0" borderId="0"/>
    <xf numFmtId="0" fontId="74" fillId="0" borderId="0"/>
    <xf numFmtId="0" fontId="74" fillId="0" borderId="0"/>
    <xf numFmtId="0" fontId="53" fillId="0" borderId="0"/>
    <xf numFmtId="0" fontId="74" fillId="0" borderId="0"/>
    <xf numFmtId="0" fontId="27" fillId="0" borderId="0"/>
    <xf numFmtId="184" fontId="8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47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4" fillId="0" borderId="0"/>
    <xf numFmtId="15" fontId="8" fillId="0" borderId="0"/>
    <xf numFmtId="15" fontId="8" fillId="0" borderId="0">
      <alignment vertical="center"/>
    </xf>
    <xf numFmtId="15" fontId="8" fillId="0" borderId="0"/>
    <xf numFmtId="0" fontId="54" fillId="0" borderId="0">
      <protection locked="0"/>
    </xf>
    <xf numFmtId="187" fontId="4" fillId="0" borderId="0"/>
    <xf numFmtId="0" fontId="55" fillId="0" borderId="0">
      <protection locked="0"/>
    </xf>
    <xf numFmtId="0" fontId="55" fillId="0" borderId="0">
      <protection locked="0"/>
    </xf>
    <xf numFmtId="0" fontId="50" fillId="36" borderId="4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38" fontId="50" fillId="37" borderId="0" applyNumberFormat="0" applyBorder="0" applyAlignment="0" applyProtection="0"/>
    <xf numFmtId="0" fontId="50" fillId="37" borderId="0" applyNumberFormat="0" applyBorder="0" applyAlignment="0" applyProtection="0"/>
    <xf numFmtId="0" fontId="50" fillId="37" borderId="0" applyNumberFormat="0" applyBorder="0" applyAlignment="0" applyProtection="0"/>
    <xf numFmtId="0" fontId="56" fillId="0" borderId="0">
      <alignment horizontal="left"/>
    </xf>
    <xf numFmtId="0" fontId="9" fillId="0" borderId="5" applyNumberFormat="0" applyAlignment="0" applyProtection="0">
      <alignment horizontal="left" vertical="center"/>
    </xf>
    <xf numFmtId="0" fontId="9" fillId="0" borderId="6">
      <alignment horizontal="left"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6" fillId="7" borderId="1" applyNumberFormat="0" applyAlignment="0" applyProtection="0">
      <alignment vertical="center"/>
    </xf>
    <xf numFmtId="10" fontId="50" fillId="38" borderId="4" applyNumberFormat="0" applyBorder="0" applyAlignment="0" applyProtection="0"/>
    <xf numFmtId="0" fontId="50" fillId="38" borderId="4" applyNumberFormat="0" applyBorder="0" applyAlignment="0" applyProtection="0"/>
    <xf numFmtId="0" fontId="50" fillId="38" borderId="4" applyNumberFormat="0" applyBorder="0" applyAlignment="0" applyProtection="0"/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0" fontId="46" fillId="7" borderId="1" applyNumberFormat="0" applyAlignment="0" applyProtection="0">
      <alignment vertical="center"/>
    </xf>
    <xf numFmtId="180" fontId="57" fillId="39" borderId="0"/>
    <xf numFmtId="180" fontId="57" fillId="40" borderId="0"/>
    <xf numFmtId="180" fontId="57" fillId="40" borderId="0"/>
    <xf numFmtId="0" fontId="28" fillId="0" borderId="0"/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180" fontId="58" fillId="41" borderId="0"/>
    <xf numFmtId="180" fontId="58" fillId="42" borderId="0"/>
    <xf numFmtId="180" fontId="58" fillId="42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9" fillId="0" borderId="11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4" fillId="0" borderId="0">
      <protection locked="0"/>
    </xf>
    <xf numFmtId="189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37" fontId="60" fillId="0" borderId="0"/>
    <xf numFmtId="190" fontId="61" fillId="0" borderId="0"/>
    <xf numFmtId="191" fontId="4" fillId="0" borderId="0"/>
    <xf numFmtId="0" fontId="27" fillId="0" borderId="0"/>
    <xf numFmtId="0" fontId="62" fillId="0" borderId="0"/>
    <xf numFmtId="0" fontId="50" fillId="0" borderId="0">
      <alignment horizontal="left" vertical="center" wrapText="1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0" fontId="45" fillId="34" borderId="12" applyNumberFormat="0" applyAlignment="0" applyProtection="0">
      <alignment vertical="center"/>
    </xf>
    <xf numFmtId="14" fontId="10" fillId="0" borderId="0">
      <alignment horizontal="center" wrapText="1"/>
      <protection locked="0"/>
    </xf>
    <xf numFmtId="10" fontId="5" fillId="0" borderId="0" applyFont="0" applyFill="0" applyBorder="0" applyAlignment="0" applyProtection="0"/>
    <xf numFmtId="10" fontId="47" fillId="0" borderId="0" applyFont="0" applyFill="0" applyBorder="0" applyAlignment="0" applyProtection="0"/>
    <xf numFmtId="10" fontId="47" fillId="0" borderId="0" applyFont="0" applyFill="0" applyBorder="0" applyAlignment="0" applyProtection="0"/>
    <xf numFmtId="10" fontId="47" fillId="0" borderId="0" applyFont="0" applyFill="0" applyBorder="0" applyAlignment="0" applyProtection="0"/>
    <xf numFmtId="10" fontId="47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54" fillId="0" borderId="0">
      <protection locked="0"/>
    </xf>
    <xf numFmtId="13" fontId="5" fillId="0" borderId="0" applyFont="0" applyFill="0" applyProtection="0"/>
    <xf numFmtId="0" fontId="50" fillId="37" borderId="4"/>
    <xf numFmtId="0" fontId="72" fillId="0" borderId="0"/>
    <xf numFmtId="0" fontId="7" fillId="0" borderId="0"/>
    <xf numFmtId="0" fontId="7" fillId="0" borderId="0">
      <alignment vertical="center"/>
    </xf>
    <xf numFmtId="0" fontId="7" fillId="0" borderId="0"/>
    <xf numFmtId="0" fontId="8" fillId="0" borderId="0" applyNumberFormat="0" applyFont="0" applyFill="0" applyBorder="0" applyAlignment="0" applyProtection="0">
      <alignment horizontal="left"/>
    </xf>
    <xf numFmtId="0" fontId="47" fillId="0" borderId="0" applyNumberFormat="0" applyFont="0" applyFill="0" applyBorder="0" applyAlignment="0" applyProtection="0">
      <alignment horizontal="left"/>
    </xf>
    <xf numFmtId="0" fontId="47" fillId="0" borderId="0" applyNumberFormat="0" applyFont="0" applyFill="0" applyBorder="0" applyAlignment="0" applyProtection="0">
      <alignment horizontal="left"/>
    </xf>
    <xf numFmtId="0" fontId="47" fillId="0" borderId="0" applyNumberFormat="0" applyFont="0" applyFill="0" applyBorder="0" applyAlignment="0" applyProtection="0">
      <alignment horizontal="left"/>
    </xf>
    <xf numFmtId="0" fontId="47" fillId="0" borderId="0" applyNumberFormat="0" applyFont="0" applyFill="0" applyBorder="0" applyAlignment="0" applyProtection="0">
      <alignment horizontal="left"/>
    </xf>
    <xf numFmtId="0" fontId="26" fillId="0" borderId="0" applyNumberFormat="0" applyFont="0" applyFill="0" applyBorder="0" applyAlignment="0" applyProtection="0">
      <alignment horizontal="left"/>
    </xf>
    <xf numFmtId="0" fontId="26" fillId="0" borderId="0" applyNumberFormat="0" applyFont="0" applyFill="0" applyBorder="0" applyAlignment="0" applyProtection="0">
      <alignment horizontal="left"/>
    </xf>
    <xf numFmtId="0" fontId="26" fillId="0" borderId="0" applyNumberFormat="0" applyFont="0" applyFill="0" applyBorder="0" applyAlignment="0" applyProtection="0">
      <alignment horizontal="left"/>
    </xf>
    <xf numFmtId="0" fontId="26" fillId="0" borderId="0" applyNumberFormat="0" applyFont="0" applyFill="0" applyBorder="0" applyAlignment="0" applyProtection="0">
      <alignment horizontal="left"/>
    </xf>
    <xf numFmtId="15" fontId="8" fillId="0" borderId="0" applyFont="0" applyFill="0" applyBorder="0" applyAlignment="0" applyProtection="0"/>
    <xf numFmtId="15" fontId="47" fillId="0" borderId="0" applyFont="0" applyFill="0" applyBorder="0" applyAlignment="0" applyProtection="0"/>
    <xf numFmtId="15" fontId="47" fillId="0" borderId="0" applyFont="0" applyFill="0" applyBorder="0" applyAlignment="0" applyProtection="0"/>
    <xf numFmtId="15" fontId="47" fillId="0" borderId="0" applyFont="0" applyFill="0" applyBorder="0" applyAlignment="0" applyProtection="0"/>
    <xf numFmtId="15" fontId="47" fillId="0" borderId="0" applyFont="0" applyFill="0" applyBorder="0" applyAlignment="0" applyProtection="0"/>
    <xf numFmtId="15" fontId="26" fillId="0" borderId="0" applyFont="0" applyFill="0" applyBorder="0" applyAlignment="0" applyProtection="0"/>
    <xf numFmtId="15" fontId="26" fillId="0" borderId="0" applyFont="0" applyFill="0" applyBorder="0" applyAlignment="0" applyProtection="0"/>
    <xf numFmtId="15" fontId="26" fillId="0" borderId="0" applyFont="0" applyFill="0" applyBorder="0" applyAlignment="0" applyProtection="0"/>
    <xf numFmtId="15" fontId="26" fillId="0" borderId="0" applyFont="0" applyFill="0" applyBorder="0" applyAlignment="0" applyProtection="0"/>
    <xf numFmtId="4" fontId="8" fillId="0" borderId="0" applyFont="0" applyFill="0" applyBorder="0" applyAlignment="0" applyProtection="0"/>
    <xf numFmtId="4" fontId="47" fillId="0" borderId="0" applyFont="0" applyFill="0" applyBorder="0" applyAlignment="0" applyProtection="0"/>
    <xf numFmtId="4" fontId="47" fillId="0" borderId="0" applyFont="0" applyFill="0" applyBorder="0" applyAlignment="0" applyProtection="0"/>
    <xf numFmtId="4" fontId="47" fillId="0" borderId="0" applyFont="0" applyFill="0" applyBorder="0" applyAlignment="0" applyProtection="0"/>
    <xf numFmtId="4" fontId="47" fillId="0" borderId="0" applyFont="0" applyFill="0" applyBorder="0" applyAlignment="0" applyProtection="0"/>
    <xf numFmtId="4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0" fontId="7" fillId="0" borderId="11">
      <alignment horizontal="center"/>
    </xf>
    <xf numFmtId="3" fontId="8" fillId="0" borderId="0" applyFont="0" applyFill="0" applyBorder="0" applyAlignment="0" applyProtection="0"/>
    <xf numFmtId="3" fontId="47" fillId="0" borderId="0" applyFont="0" applyFill="0" applyBorder="0" applyAlignment="0" applyProtection="0"/>
    <xf numFmtId="3" fontId="47" fillId="0" borderId="0" applyFont="0" applyFill="0" applyBorder="0" applyAlignment="0" applyProtection="0"/>
    <xf numFmtId="3" fontId="47" fillId="0" borderId="0" applyFont="0" applyFill="0" applyBorder="0" applyAlignment="0" applyProtection="0"/>
    <xf numFmtId="3" fontId="47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0" fontId="8" fillId="44" borderId="0" applyNumberFormat="0" applyFont="0" applyBorder="0" applyAlignment="0" applyProtection="0"/>
    <xf numFmtId="0" fontId="47" fillId="44" borderId="0" applyNumberFormat="0" applyFont="0" applyBorder="0" applyAlignment="0" applyProtection="0"/>
    <xf numFmtId="0" fontId="47" fillId="44" borderId="0" applyNumberFormat="0" applyFont="0" applyBorder="0" applyAlignment="0" applyProtection="0"/>
    <xf numFmtId="0" fontId="47" fillId="44" borderId="0" applyNumberFormat="0" applyFont="0" applyBorder="0" applyAlignment="0" applyProtection="0"/>
    <xf numFmtId="0" fontId="47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38" fontId="63" fillId="0" borderId="0"/>
    <xf numFmtId="0" fontId="7" fillId="0" borderId="0" applyNumberFormat="0" applyFill="0" applyBorder="0" applyAlignment="0" applyProtection="0"/>
    <xf numFmtId="0" fontId="8" fillId="45" borderId="0"/>
    <xf numFmtId="0" fontId="8" fillId="45" borderId="0"/>
    <xf numFmtId="0" fontId="8" fillId="45" borderId="0"/>
    <xf numFmtId="0" fontId="8" fillId="45" borderId="0">
      <alignment vertical="center"/>
    </xf>
    <xf numFmtId="0" fontId="8" fillId="45" borderId="0"/>
    <xf numFmtId="0" fontId="8" fillId="46" borderId="0"/>
    <xf numFmtId="0" fontId="64" fillId="47" borderId="13">
      <protection locked="0"/>
    </xf>
    <xf numFmtId="0" fontId="65" fillId="48" borderId="0" applyNumberFormat="0" applyFont="0" applyFill="0" applyBorder="0" applyAlignment="0" applyProtection="0">
      <alignment horizontal="center"/>
    </xf>
    <xf numFmtId="0" fontId="62" fillId="0" borderId="0"/>
    <xf numFmtId="0" fontId="2" fillId="0" borderId="0"/>
    <xf numFmtId="0" fontId="59" fillId="0" borderId="0"/>
    <xf numFmtId="0" fontId="64" fillId="47" borderId="13">
      <protection locked="0"/>
    </xf>
    <xf numFmtId="0" fontId="64" fillId="47" borderId="13">
      <protection locked="0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4" fillId="0" borderId="14">
      <protection locked="0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54" fillId="0" borderId="14">
      <protection locked="0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6" fillId="0" borderId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16" applyNumberFormat="0" applyFill="0" applyProtection="0">
      <alignment horizontal="right"/>
    </xf>
    <xf numFmtId="0" fontId="3" fillId="0" borderId="4">
      <alignment horizontal="center" vertical="top" wrapText="1"/>
    </xf>
    <xf numFmtId="0" fontId="16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26" fillId="0" borderId="4">
      <alignment horizontal="center" vertical="top" wrapText="1"/>
    </xf>
    <xf numFmtId="0" fontId="17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26" fillId="0" borderId="4">
      <alignment horizontal="center" vertical="top" wrapText="1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6" fillId="0" borderId="4">
      <alignment horizontal="center" vertical="top" wrapText="1"/>
    </xf>
    <xf numFmtId="0" fontId="67" fillId="0" borderId="16" applyNumberFormat="0" applyFill="0" applyProtection="0">
      <alignment horizontal="center"/>
    </xf>
    <xf numFmtId="0" fontId="43" fillId="0" borderId="0"/>
    <xf numFmtId="0" fontId="68" fillId="0" borderId="17" applyNumberFormat="0" applyFill="0" applyProtection="0">
      <alignment horizontal="center"/>
    </xf>
    <xf numFmtId="0" fontId="19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76" fillId="0" borderId="0">
      <alignment vertical="center"/>
    </xf>
    <xf numFmtId="0" fontId="26" fillId="0" borderId="0"/>
    <xf numFmtId="0" fontId="26" fillId="0" borderId="0"/>
    <xf numFmtId="0" fontId="7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7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1" fillId="0" borderId="0"/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0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76" fillId="0" borderId="0"/>
    <xf numFmtId="0" fontId="7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8" fillId="0" borderId="0"/>
    <xf numFmtId="0" fontId="26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9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</cellStyleXfs>
  <cellXfs count="22">
    <xf numFmtId="0" fontId="0" fillId="0" borderId="0" xfId="0"/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82" fillId="0" borderId="18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2" fillId="0" borderId="19" xfId="0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0" fontId="0" fillId="0" borderId="0" xfId="0" applyNumberFormat="1"/>
    <xf numFmtId="0" fontId="0" fillId="0" borderId="0" xfId="0" applyFill="1"/>
    <xf numFmtId="0" fontId="0" fillId="0" borderId="0" xfId="0" applyFill="1" applyAlignment="1">
      <alignment horizontal="left"/>
    </xf>
    <xf numFmtId="0" fontId="79" fillId="0" borderId="4" xfId="0" applyFont="1" applyFill="1" applyBorder="1" applyAlignment="1">
      <alignment horizontal="center" vertical="center" wrapText="1"/>
    </xf>
    <xf numFmtId="0" fontId="81" fillId="0" borderId="4" xfId="0" applyFont="1" applyFill="1" applyBorder="1" applyAlignment="1">
      <alignment horizontal="center" vertical="center" wrapText="1"/>
    </xf>
    <xf numFmtId="0" fontId="81" fillId="0" borderId="4" xfId="0" applyFont="1" applyFill="1" applyBorder="1" applyAlignment="1">
      <alignment horizontal="left" vertical="center" wrapText="1"/>
    </xf>
    <xf numFmtId="0" fontId="71" fillId="0" borderId="0" xfId="0" applyFont="1" applyFill="1"/>
    <xf numFmtId="0" fontId="79" fillId="0" borderId="4" xfId="0" applyFont="1" applyFill="1" applyBorder="1" applyAlignment="1">
      <alignment horizontal="left" vertical="center" wrapText="1"/>
    </xf>
    <xf numFmtId="49" fontId="79" fillId="0" borderId="4" xfId="0" applyNumberFormat="1" applyFont="1" applyFill="1" applyBorder="1" applyAlignment="1">
      <alignment horizontal="center" vertical="center" wrapText="1"/>
    </xf>
    <xf numFmtId="0" fontId="79" fillId="0" borderId="4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79" fillId="0" borderId="3" xfId="0" applyFont="1" applyFill="1" applyBorder="1" applyAlignment="1">
      <alignment horizontal="center" vertical="center" wrapText="1"/>
    </xf>
    <xf numFmtId="0" fontId="79" fillId="0" borderId="16" xfId="0" applyFont="1" applyFill="1" applyBorder="1" applyAlignment="1">
      <alignment horizontal="center" vertical="center" wrapText="1"/>
    </xf>
    <xf numFmtId="0" fontId="79" fillId="0" borderId="4" xfId="0" applyFont="1" applyFill="1" applyBorder="1" applyAlignment="1">
      <alignment horizontal="left" vertical="center" wrapText="1"/>
    </xf>
  </cellXfs>
  <cellStyles count="6841">
    <cellStyle name=" 1" xfId="1"/>
    <cellStyle name="?? 2 2" xfId="2"/>
    <cellStyle name="?? 2 2 2" xfId="3"/>
    <cellStyle name="?? 2 2 2 2" xfId="4"/>
    <cellStyle name="?? 2 2 3" xfId="5"/>
    <cellStyle name="?? 3" xfId="6"/>
    <cellStyle name="?? 3 2" xfId="7"/>
    <cellStyle name="?? 3 2 2" xfId="8"/>
    <cellStyle name="?? 3 3" xfId="9"/>
    <cellStyle name="?? 4 4" xfId="10"/>
    <cellStyle name="?? 4 4 2" xfId="11"/>
    <cellStyle name="?? 4 4 2 2" xfId="12"/>
    <cellStyle name="?? 4 4 3" xfId="13"/>
    <cellStyle name="?? 6" xfId="14"/>
    <cellStyle name="?? 6 2" xfId="15"/>
    <cellStyle name="?? 6 2 2" xfId="16"/>
    <cellStyle name="?? 6 3" xfId="17"/>
    <cellStyle name="_☆403概算" xfId="18"/>
    <cellStyle name="_☆403概算3" xfId="19"/>
    <cellStyle name="_☆403概算调整08.07.04" xfId="20"/>
    <cellStyle name="_☆403设备汇总表(节能减排)" xfId="21"/>
    <cellStyle name="_★新增工艺设备明细表" xfId="22"/>
    <cellStyle name="_★新增工艺设备明细表 2" xfId="23"/>
    <cellStyle name="_★新增工艺设备明细表 2 2" xfId="24"/>
    <cellStyle name="_048投资估算（5.13－18：00修改后稿）" xfId="25"/>
    <cellStyle name="_10(1)(1).23材料表(浓缩)" xfId="26"/>
    <cellStyle name="_204#外协员工宿舍土建表5.20" xfId="27"/>
    <cellStyle name="_2104改造.2602" xfId="28"/>
    <cellStyle name="_2104改造.2602 2" xfId="29"/>
    <cellStyle name="_2104改造.2602 2 2" xfId="30"/>
    <cellStyle name="_37中二期工程报价清单2006-01-12" xfId="31"/>
    <cellStyle name="_426－08－1－18" xfId="32"/>
    <cellStyle name="_426－08－1－18 2" xfId="33"/>
    <cellStyle name="_426－08－1－18 2 2" xfId="34"/>
    <cellStyle name="_426概算" xfId="35"/>
    <cellStyle name="_426概算 2" xfId="36"/>
    <cellStyle name="_426概算 2 2" xfId="37"/>
    <cellStyle name="_426-概算表" xfId="38"/>
    <cellStyle name="_426-概算表 2" xfId="39"/>
    <cellStyle name="_426-概算表 2 2" xfId="40"/>
    <cellStyle name="_426-概算表－修改2008(1)(1).5" xfId="41"/>
    <cellStyle name="_426-概算表－修改2008(1)(1).5 2" xfId="42"/>
    <cellStyle name="_426-概算表－修改2008(1)(1).5 2 2" xfId="43"/>
    <cellStyle name="_426-概算表－修改2008.5" xfId="44"/>
    <cellStyle name="_426-概算表－修改2008.5 2" xfId="45"/>
    <cellStyle name="_426-概算表－修改2008.5 2 2" xfId="46"/>
    <cellStyle name="_432&amp;429总表" xfId="47"/>
    <cellStyle name="_432工艺设备表1" xfId="48"/>
    <cellStyle name="_438估算表10-08-30" xfId="49"/>
    <cellStyle name="_453工艺招标表" xfId="50"/>
    <cellStyle name="_455厂项目建议书投资和设备调整对照表（上报）" xfId="51"/>
    <cellStyle name="_481-投资估算0714" xfId="52"/>
    <cellStyle name="_617三代大改概算070226" xfId="53"/>
    <cellStyle name="_617三代大改工艺设备表07.2" xfId="54"/>
    <cellStyle name="_617三代大改工艺设备明细表2007.1.10" xfId="55"/>
    <cellStyle name="_618汇总设备表" xfId="56"/>
    <cellStyle name="_703（481）11概算" xfId="57"/>
    <cellStyle name="_703（481）概算" xfId="58"/>
    <cellStyle name="_703(481)哈尔滨" xfId="59"/>
    <cellStyle name="_703(951)概算" xfId="60"/>
    <cellStyle name="_705三表" xfId="61"/>
    <cellStyle name="_705三表 2" xfId="62"/>
    <cellStyle name="_705三表 2 2" xfId="63"/>
    <cellStyle name="_705三表 2 2 2" xfId="64"/>
    <cellStyle name="_705三表 2 3" xfId="65"/>
    <cellStyle name="_705三表 3" xfId="66"/>
    <cellStyle name="_705三表 3 2" xfId="67"/>
    <cellStyle name="_705三表 4" xfId="68"/>
    <cellStyle name="_705三表_705三表1" xfId="69"/>
    <cellStyle name="_705三表_705三表1 2" xfId="70"/>
    <cellStyle name="_705三表_705三表1 2 2" xfId="71"/>
    <cellStyle name="_705三表_705三表1 2 2 2" xfId="72"/>
    <cellStyle name="_705三表_705三表1 2 3" xfId="73"/>
    <cellStyle name="_705三表_705三表1 3" xfId="74"/>
    <cellStyle name="_705三表_705三表1 3 2" xfId="75"/>
    <cellStyle name="_705三表_705三表1 4" xfId="76"/>
    <cellStyle name="_709(无消防22813)3" xfId="77"/>
    <cellStyle name="_709计算机可研与初设变化情况汇总表" xfId="78"/>
    <cellStyle name="_712－951初设设备表（小胡gai-1）" xfId="79"/>
    <cellStyle name="_712所动力专项总概算及各专业概算-081222228" xfId="80"/>
    <cellStyle name="_712所动力专项总概算及各专业概算-081228" xfId="81"/>
    <cellStyle name="_712所动力专项总概算及各专业概算-090226" xfId="82"/>
    <cellStyle name="_712所动力专项总概算及各专业概算-090226B" xfId="83"/>
    <cellStyle name="_712所动力专项总概算及各专业概算-090226C" xfId="84"/>
    <cellStyle name="_712所动力专项总概算及各专业概算-090227" xfId="85"/>
    <cellStyle name="_712－援潜926初设设备表1.3" xfId="86"/>
    <cellStyle name="_713舰炮（上报稿）" xfId="87"/>
    <cellStyle name="_716电" xfId="88"/>
    <cellStyle name="_716概算表" xfId="89"/>
    <cellStyle name="_716概算表-报地方报文" xfId="90"/>
    <cellStyle name="_716概算表-报集团" xfId="91"/>
    <cellStyle name="_716概算表电" xfId="92"/>
    <cellStyle name="_716概算表-暖" xfId="93"/>
    <cellStyle name="_716概算表水" xfId="94"/>
    <cellStyle name="_716-给王鹏" xfId="95"/>
    <cellStyle name="_716锅、动" xfId="96"/>
    <cellStyle name="_716科工(080731)-出文件原稿" xfId="97"/>
    <cellStyle name="_716暖" xfId="98"/>
    <cellStyle name="_716水" xfId="99"/>
    <cellStyle name="_717概算" xfId="100"/>
    <cellStyle name="_717所保密估算+设备20110707" xfId="101"/>
    <cellStyle name="_723室外工程" xfId="102"/>
    <cellStyle name="_725概算11" xfId="103"/>
    <cellStyle name="_725概算4" xfId="104"/>
    <cellStyle name="_8×8批量生产新增设备及投资估算08－4－1" xfId="105"/>
    <cellStyle name="_Book1" xfId="106"/>
    <cellStyle name="_Book1_1" xfId="107"/>
    <cellStyle name="_Book1_2" xfId="108"/>
    <cellStyle name="_Book1_2 2" xfId="109"/>
    <cellStyle name="_Book1_2 2 2" xfId="110"/>
    <cellStyle name="_Book1_2 2 2 2" xfId="111"/>
    <cellStyle name="_Book1_2 2 3" xfId="112"/>
    <cellStyle name="_Book1_2 3" xfId="113"/>
    <cellStyle name="_Book1_2 3 2" xfId="114"/>
    <cellStyle name="_Book1_2 3 2 2" xfId="115"/>
    <cellStyle name="_Book1_2 3 3" xfId="116"/>
    <cellStyle name="_Book1_438声隐身估算10-09-30" xfId="117"/>
    <cellStyle name="_COGAG全燃动力装置关键技术基础研究与验" xfId="118"/>
    <cellStyle name="_Cover" xfId="119"/>
    <cellStyle name="_CY403.13A-01" xfId="120"/>
    <cellStyle name="_CY403.21A-01" xfId="121"/>
    <cellStyle name="_CY403.602-01" xfId="122"/>
    <cellStyle name="_CY403.G24-01" xfId="123"/>
    <cellStyle name="_CY403.YAN-01" xfId="124"/>
    <cellStyle name="_CY403.YUN-01" xfId="125"/>
    <cellStyle name="_ET_STYLE_NoName_00_" xfId="126"/>
    <cellStyle name="_ET_STYLE_NoName_00_ 2" xfId="127"/>
    <cellStyle name="_ET_STYLE_NoName_00__407概算书" xfId="128"/>
    <cellStyle name="_ET_STYLE_NoName_00__407可研(10-04-28AM改稿)" xfId="129"/>
    <cellStyle name="_ET_STYLE_NoName_00__467-315设备表2010.09.05" xfId="130"/>
    <cellStyle name="_ET_STYLE_NoName_00__725所315投资估算-原稿" xfId="131"/>
    <cellStyle name="_ET_STYLE_NoName_00__Book1" xfId="132"/>
    <cellStyle name="_ET_STYLE_NoName_00__Book1 2" xfId="133"/>
    <cellStyle name="_ET_STYLE_NoName_00__Book1 3" xfId="134"/>
    <cellStyle name="_ET_STYLE_NoName_00__Sheet3" xfId="135"/>
    <cellStyle name="_ET_STYLE_NoName_00__电梯" xfId="136"/>
    <cellStyle name="_ET_STYLE_NoName_00__工艺设备表0705" xfId="137"/>
    <cellStyle name="_ET_STYLE_NoName_00__工艺设备明细表" xfId="138"/>
    <cellStyle name="_ET_STYLE_NoName_00__公用设备表" xfId="139"/>
    <cellStyle name="_ET_STYLE_NoName_00__会议系统 (2)_1" xfId="140"/>
    <cellStyle name="_ET_STYLE_NoName_00__酒店" xfId="141"/>
    <cellStyle name="_ET_STYLE_NoName_00__内蒙古海装风电投资估算-审查会后改（100227）" xfId="142"/>
    <cellStyle name="_ET_STYLE_NoName_00__上报设备表" xfId="143"/>
    <cellStyle name="_ET_STYLE_NoName_00__音视频会议系统" xfId="144"/>
    <cellStyle name="_ET_STYLE_NoName_00__音视频会议系统 2" xfId="145"/>
    <cellStyle name="_ET_STYLE_NoName_00__音视频会议系统 2 2" xfId="146"/>
    <cellStyle name="_ET_STYLE_NoName_00__音视频会议系统 2 2 2" xfId="147"/>
    <cellStyle name="_ET_STYLE_NoName_00__音视频会议系统 2 3" xfId="148"/>
    <cellStyle name="_ET_STYLE_NoName_00__油库" xfId="149"/>
    <cellStyle name="_ET_STYLE_NoName_00__总概算-室里格式" xfId="150"/>
    <cellStyle name="_ET_STYLE_NoName_01_" xfId="151"/>
    <cellStyle name="_Extreme数据交换机设备配置南华中天20050816" xfId="152"/>
    <cellStyle name="_L2-Summary by Element" xfId="153"/>
    <cellStyle name="_SMQ布线" xfId="154"/>
    <cellStyle name="_报价表格" xfId="155"/>
    <cellStyle name="_北码头水工概算" xfId="156"/>
    <cellStyle name="_补充初设工艺设备表（赵实）2011(1).8.12" xfId="157"/>
    <cellStyle name="_初步设计设备表" xfId="158"/>
    <cellStyle name="_初设设备表" xfId="159"/>
    <cellStyle name="_单体概算" xfId="160"/>
    <cellStyle name="_单体概算 2" xfId="161"/>
    <cellStyle name="_单体概算 2 2" xfId="162"/>
    <cellStyle name="_电磁兼容试验场工艺设备" xfId="163"/>
    <cellStyle name="_电气工程" xfId="164"/>
    <cellStyle name="_电气接入系统090131－给概算" xfId="165"/>
    <cellStyle name="_电影放映机" xfId="166"/>
    <cellStyle name="_动力专项初设设备表2.0 合稿" xfId="167"/>
    <cellStyle name="_动态保军估算表(定稿)" xfId="168"/>
    <cellStyle name="_附表1、4 投资估算+公用5.21" xfId="169"/>
    <cellStyle name="_附表1、4估算、公用" xfId="170"/>
    <cellStyle name="_附表1、4估算、公用 2" xfId="171"/>
    <cellStyle name="_附表1、4估算、公用 2 2" xfId="172"/>
    <cellStyle name="_附表1、4估算、公用 2 2 2" xfId="173"/>
    <cellStyle name="_附表1、4估算、公用 2 2 2 2" xfId="174"/>
    <cellStyle name="_附表1、4估算、公用 2 2 3" xfId="175"/>
    <cellStyle name="_附表1、4估算、公用 2 3" xfId="176"/>
    <cellStyle name="_附表1、4估算、公用 2 3 2" xfId="177"/>
    <cellStyle name="_附表1、4估算、公用 2 4" xfId="178"/>
    <cellStyle name="_附表1、4估算、公用 2 5" xfId="179"/>
    <cellStyle name="_附表1、4估算、公用 3" xfId="180"/>
    <cellStyle name="_附表1、4估算、公用 3 2" xfId="181"/>
    <cellStyle name="_附表1、4估算、公用 3 2 2" xfId="182"/>
    <cellStyle name="_附表1、4估算、公用 3 3" xfId="183"/>
    <cellStyle name="_附表1、4估算、公用 4" xfId="184"/>
    <cellStyle name="_附表1、4估算、公用 4 2" xfId="185"/>
    <cellStyle name="_附表1、4估算、公用 4 2 2" xfId="186"/>
    <cellStyle name="_附表1、4估算、公用 4 3" xfId="187"/>
    <cellStyle name="_附表1、4估算、公用 5" xfId="188"/>
    <cellStyle name="_附表1、4估算、公用 5 2" xfId="189"/>
    <cellStyle name="_附表1、4估算、公用 5 2 2" xfId="190"/>
    <cellStyle name="_附表1、4估算、公用 5 3" xfId="191"/>
    <cellStyle name="_附表1、4估算、公用 6" xfId="192"/>
    <cellStyle name="_附表1、4估算、公用 6 2" xfId="193"/>
    <cellStyle name="_附表1、4估算、公用 7" xfId="194"/>
    <cellStyle name="_附表1、4估算、公用 8" xfId="195"/>
    <cellStyle name="_附表1-5" xfId="196"/>
    <cellStyle name="_附表2、3、6设备、进口、招标" xfId="197"/>
    <cellStyle name="_附表2、3、6设备、进口、招标 2" xfId="198"/>
    <cellStyle name="_附表2、3、6设备、进口、招标 2 2" xfId="199"/>
    <cellStyle name="_附表2、3、6设备、进口、招标 2 2 2" xfId="200"/>
    <cellStyle name="_附表2、3、6设备、进口、招标 2 3" xfId="201"/>
    <cellStyle name="_附表2、3、6设备、进口、招标 3" xfId="202"/>
    <cellStyle name="_附表2、3、6设备、进口、招标 3 2" xfId="203"/>
    <cellStyle name="_附表2、3、6设备、进口、招标 4" xfId="204"/>
    <cellStyle name="_附表2、3、6设备、进口、招标_705三表1" xfId="205"/>
    <cellStyle name="_附表2、3、6设备、进口、招标_705三表1 2" xfId="206"/>
    <cellStyle name="_附表2、3、6设备、进口、招标_705三表1 2 2" xfId="207"/>
    <cellStyle name="_附表2、3、6设备、进口、招标_705三表1 2 2 2" xfId="208"/>
    <cellStyle name="_附表2、3、6设备、进口、招标_705三表1 2 3" xfId="209"/>
    <cellStyle name="_附表2、3、6设备、进口、招标_705三表1 3" xfId="210"/>
    <cellStyle name="_附表2、3、6设备、进口、招标_705三表1 3 2" xfId="211"/>
    <cellStyle name="_附表2、3、6设备、进口、招标_705三表1 4" xfId="212"/>
    <cellStyle name="_附表2、3、6设备、进口及招标表" xfId="213"/>
    <cellStyle name="_附表2、3设备、进口表" xfId="214"/>
    <cellStyle name="_复件 高桥商务方案初设" xfId="215"/>
    <cellStyle name="_复件 高桥商务方案初设 2" xfId="216"/>
    <cellStyle name="_复件 高桥商务方案初设 2 2" xfId="217"/>
    <cellStyle name="_复件 高桥商务方案初设 2 2 2" xfId="218"/>
    <cellStyle name="_复件 高桥商务方案初设 2 3" xfId="219"/>
    <cellStyle name="_副本副本设备清单及报价12.4" xfId="220"/>
    <cellStyle name="_概 算" xfId="221"/>
    <cellStyle name="_概 算_1" xfId="222"/>
    <cellStyle name="_概 算5" xfId="223"/>
    <cellStyle name="_概 算书" xfId="224"/>
    <cellStyle name="_概算" xfId="225"/>
    <cellStyle name="_概算（951）6" xfId="226"/>
    <cellStyle name="_概算（燃机）2007  1105调整" xfId="227"/>
    <cellStyle name="_概算（燃机）5" xfId="228"/>
    <cellStyle name="_概算（燃机）8" xfId="229"/>
    <cellStyle name="_概算2009" xfId="230"/>
    <cellStyle name="_概算4" xfId="231"/>
    <cellStyle name="_概算56" xfId="232"/>
    <cellStyle name="_概算7" xfId="233"/>
    <cellStyle name="_概算－7" xfId="234"/>
    <cellStyle name="_概算表" xfId="235"/>
    <cellStyle name="_高新二期改造设备表" xfId="236"/>
    <cellStyle name="_工商机房装修报价new" xfId="237"/>
    <cellStyle name="_工艺设备明细表＋进口表" xfId="238"/>
    <cellStyle name="_公 用 设 备  表716模具" xfId="239"/>
    <cellStyle name="_公用系统" xfId="240"/>
    <cellStyle name="_估算表" xfId="241"/>
    <cellStyle name="_哈工程特色学科上报三表" xfId="242"/>
    <cellStyle name="_会议扩声配置清单" xfId="243"/>
    <cellStyle name="_九江概算09-09-28" xfId="244"/>
    <cellStyle name="_军品中心设备表1125(简)" xfId="245"/>
    <cellStyle name="_军用嵌入式计算机新增工艺设备表（总表）20090821 " xfId="246"/>
    <cellStyle name="_科研楼加五层方案原稿（080811）" xfId="247"/>
    <cellStyle name="_可研工艺设备汇总表" xfId="248"/>
    <cellStyle name="_可研批复与初步设计对比表" xfId="249"/>
    <cellStyle name="_码头概算1" xfId="250"/>
    <cellStyle name="_南岸党校同传" xfId="251"/>
    <cellStyle name="_南码头水工概算" xfId="252"/>
    <cellStyle name="_燃机研究设计平台设备表-初设" xfId="253"/>
    <cellStyle name="_弱电" xfId="254"/>
    <cellStyle name="_弱电_副本副本设备清单及报价12.4" xfId="255"/>
    <cellStyle name="_山海关整体初设工艺设备表2010.4.10" xfId="256"/>
    <cellStyle name="_设备表" xfId="257"/>
    <cellStyle name="_设备表(A3)12" xfId="258"/>
    <cellStyle name="_设备表（最新样表）" xfId="259"/>
    <cellStyle name="_设备表-12.18" xfId="260"/>
    <cellStyle name="_设备表－已排版(总04.10)" xfId="261"/>
    <cellStyle name="_审后修改-723-概算表-1.15" xfId="262"/>
    <cellStyle name="_声研保新增工艺设备表" xfId="263"/>
    <cellStyle name="_投资估算（定稿）090508xls" xfId="264"/>
    <cellStyle name="_投资估算表" xfId="265"/>
    <cellStyle name="_无锡分部" xfId="266"/>
    <cellStyle name="_西墅水面舰概算原稿(08105)" xfId="267"/>
    <cellStyle name="_西墅新方案概算原稿" xfId="268"/>
    <cellStyle name="_新设备报价清单20100108" xfId="269"/>
    <cellStyle name="_新增工艺设备表" xfId="270"/>
    <cellStyle name="_新增工艺设备表090415" xfId="271"/>
    <cellStyle name="_新增工艺设备表090415 2" xfId="272"/>
    <cellStyle name="_新增工艺设备表090415 2 2" xfId="273"/>
    <cellStyle name="_新增工艺设备表090415 2 2 2" xfId="274"/>
    <cellStyle name="_新增工艺设备表090415 2 2 2 2" xfId="275"/>
    <cellStyle name="_新增工艺设备表090415 2 2 3" xfId="276"/>
    <cellStyle name="_新增工艺设备表090415 2 3" xfId="277"/>
    <cellStyle name="_新增工艺设备表090415 2 3 2" xfId="278"/>
    <cellStyle name="_新增工艺设备表090415 2 4" xfId="279"/>
    <cellStyle name="_新增工艺设备表090415 2 5" xfId="280"/>
    <cellStyle name="_新增工艺设备表090415 3" xfId="281"/>
    <cellStyle name="_新增工艺设备表090415 3 2" xfId="282"/>
    <cellStyle name="_新增工艺设备表090415 3 2 2" xfId="283"/>
    <cellStyle name="_新增工艺设备表090415 3 3" xfId="284"/>
    <cellStyle name="_新增工艺设备表090415 4" xfId="285"/>
    <cellStyle name="_新增工艺设备表090415 4 2" xfId="286"/>
    <cellStyle name="_新增工艺设备表090415 4 2 2" xfId="287"/>
    <cellStyle name="_新增工艺设备表090415 4 3" xfId="288"/>
    <cellStyle name="_新增工艺设备表090415 5" xfId="289"/>
    <cellStyle name="_新增工艺设备表090415 5 2" xfId="290"/>
    <cellStyle name="_新增工艺设备表090415 5 2 2" xfId="291"/>
    <cellStyle name="_新增工艺设备表090415 5 3" xfId="292"/>
    <cellStyle name="_新增工艺设备表090415 6" xfId="293"/>
    <cellStyle name="_新增工艺设备表090415 6 2" xfId="294"/>
    <cellStyle name="_新增工艺设备表090415 7" xfId="295"/>
    <cellStyle name="_新增工艺设备表090415 8" xfId="296"/>
    <cellStyle name="_新增工艺设备表090415_705三表1" xfId="297"/>
    <cellStyle name="_新增工艺设备表090415_705三表1 2" xfId="298"/>
    <cellStyle name="_新增工艺设备表090415_705三表1 2 2" xfId="299"/>
    <cellStyle name="_新增工艺设备表090415_705三表1 2 2 2" xfId="300"/>
    <cellStyle name="_新增工艺设备表090415_705三表1 2 3" xfId="301"/>
    <cellStyle name="_新增工艺设备表090415_705三表1 3" xfId="302"/>
    <cellStyle name="_新增工艺设备表090415_705三表1 3 2" xfId="303"/>
    <cellStyle name="_新增工艺设备表090415_705三表1 4" xfId="304"/>
    <cellStyle name="_新增工艺设备表修改情况备注2010.6.8" xfId="305"/>
    <cellStyle name="_新增工艺设备表最终提交版2010.6.8" xfId="306"/>
    <cellStyle name="_诱饵三表" xfId="307"/>
    <cellStyle name="_中天报价单01-24(袁登明)" xfId="308"/>
    <cellStyle name="_中心项目设备表071121" xfId="309"/>
    <cellStyle name="_总概算" xfId="310"/>
    <cellStyle name="_总设备表071107" xfId="311"/>
    <cellStyle name="0,0_x000d__x000a_NA_x000d__x000a_" xfId="312"/>
    <cellStyle name="0,0_x000d__x000a_NA_x000d__x000a_ 10" xfId="313"/>
    <cellStyle name="0,0_x000d__x000a_NA_x000d__x000a_ 10 2" xfId="314"/>
    <cellStyle name="0,0_x000d__x000a_NA_x000d__x000a_ 10 2 2" xfId="315"/>
    <cellStyle name="0,0_x000d__x000a_NA_x000d__x000a_ 10 3" xfId="316"/>
    <cellStyle name="0,0_x000d__x000a_NA_x000d__x000a_ 2" xfId="317"/>
    <cellStyle name="0,0_x000d__x000a_NA_x000d__x000a_ 2 2" xfId="318"/>
    <cellStyle name="0,0_x000d__x000a_NA_x000d__x000a_ 2 2 2" xfId="319"/>
    <cellStyle name="0,0_x000d__x000a_NA_x000d__x000a_ 2 2 2 2" xfId="320"/>
    <cellStyle name="0,0_x000d__x000a_NA_x000d__x000a_ 2 2 2 2 2" xfId="321"/>
    <cellStyle name="0,0_x000d__x000a_NA_x000d__x000a_ 2 2 2 3" xfId="322"/>
    <cellStyle name="0,0_x000d__x000a_NA_x000d__x000a_ 2 2 3" xfId="323"/>
    <cellStyle name="0,0_x000d__x000a_NA_x000d__x000a_ 2 2 3 2" xfId="324"/>
    <cellStyle name="0,0_x000d__x000a_NA_x000d__x000a_ 2 2 4" xfId="325"/>
    <cellStyle name="0,0_x000d__x000a_NA_x000d__x000a_ 2 2 4 2" xfId="326"/>
    <cellStyle name="0,0_x000d__x000a_NA_x000d__x000a_ 2 2 5" xfId="327"/>
    <cellStyle name="0,0_x000d__x000a_NA_x000d__x000a_ 2 2 6" xfId="328"/>
    <cellStyle name="0,0_x000d__x000a_NA_x000d__x000a_ 2 3" xfId="329"/>
    <cellStyle name="0,0_x000d__x000a_NA_x000d__x000a_ 2 3 2" xfId="330"/>
    <cellStyle name="0,0_x000d__x000a_NA_x000d__x000a_ 2 3 2 2" xfId="331"/>
    <cellStyle name="0,0_x000d__x000a_NA_x000d__x000a_ 2 3 3" xfId="332"/>
    <cellStyle name="0,0_x000d__x000a_NA_x000d__x000a_ 2 4" xfId="333"/>
    <cellStyle name="0,0_x000d__x000a_NA_x000d__x000a_ 2 4 2" xfId="334"/>
    <cellStyle name="0,0_x000d__x000a_NA_x000d__x000a_ 2 4 2 2" xfId="335"/>
    <cellStyle name="0,0_x000d__x000a_NA_x000d__x000a_ 2 4 3" xfId="336"/>
    <cellStyle name="0,0_x000d__x000a_NA_x000d__x000a_ 2 5" xfId="337"/>
    <cellStyle name="0,0_x000d__x000a_NA_x000d__x000a_ 2 6" xfId="338"/>
    <cellStyle name="0,0_x000d__x000a_NA_x000d__x000a_ 2 6 2" xfId="339"/>
    <cellStyle name="0,0_x000d__x000a_NA_x000d__x000a_ 2 7" xfId="340"/>
    <cellStyle name="0,0_x000d__x000a_NA_x000d__x000a_ 2 7 2" xfId="341"/>
    <cellStyle name="0,0_x000d__x000a_NA_x000d__x000a_ 2 8" xfId="342"/>
    <cellStyle name="0,0_x000d__x000a_NA_x000d__x000a_ 3" xfId="343"/>
    <cellStyle name="0,0_x000d__x000a_NA_x000d__x000a_ 3 2" xfId="344"/>
    <cellStyle name="0,0_x000d__x000a_NA_x000d__x000a_ 3 2 2" xfId="345"/>
    <cellStyle name="0,0_x000d__x000a_NA_x000d__x000a_ 3 2 2 2" xfId="346"/>
    <cellStyle name="0,0_x000d__x000a_NA_x000d__x000a_ 3 2 2 2 2" xfId="347"/>
    <cellStyle name="0,0_x000d__x000a_NA_x000d__x000a_ 3 2 2 2 2 2 2 5 2" xfId="348"/>
    <cellStyle name="0,0_x000d__x000a_NA_x000d__x000a_ 3 2 2 2 2 2 2 5 2 2" xfId="349"/>
    <cellStyle name="0,0_x000d__x000a_NA_x000d__x000a_ 3 2 2 2 2 2 2 5 2 2 2" xfId="350"/>
    <cellStyle name="0,0_x000d__x000a_NA_x000d__x000a_ 3 2 2 2 2 2 2 5 2 2 2 2" xfId="351"/>
    <cellStyle name="0,0_x000d__x000a_NA_x000d__x000a_ 3 2 2 2 2 2 2 5 2 2 2 2 2" xfId="352"/>
    <cellStyle name="0,0_x000d__x000a_NA_x000d__x000a_ 3 2 2 2 2 2 2 5 2 2 2 3" xfId="353"/>
    <cellStyle name="0,0_x000d__x000a_NA_x000d__x000a_ 3 2 2 2 2 2 2 5 2 2 3" xfId="354"/>
    <cellStyle name="0,0_x000d__x000a_NA_x000d__x000a_ 3 2 2 2 2 2 2 5 2 2 3 2" xfId="355"/>
    <cellStyle name="0,0_x000d__x000a_NA_x000d__x000a_ 3 2 2 2 2 2 2 5 2 2 4" xfId="356"/>
    <cellStyle name="0,0_x000d__x000a_NA_x000d__x000a_ 3 2 2 2 2 2 2 5 2 2 5" xfId="357"/>
    <cellStyle name="0,0_x000d__x000a_NA_x000d__x000a_ 3 2 2 2 2 2 2 5 2 3" xfId="358"/>
    <cellStyle name="0,0_x000d__x000a_NA_x000d__x000a_ 3 2 2 2 2 2 2 5 2 3 2" xfId="359"/>
    <cellStyle name="0,0_x000d__x000a_NA_x000d__x000a_ 3 2 2 2 2 2 2 5 2 3 2 2" xfId="360"/>
    <cellStyle name="0,0_x000d__x000a_NA_x000d__x000a_ 3 2 2 2 2 2 2 5 2 3 3" xfId="361"/>
    <cellStyle name="0,0_x000d__x000a_NA_x000d__x000a_ 3 2 2 2 2 2 2 5 2 4" xfId="362"/>
    <cellStyle name="0,0_x000d__x000a_NA_x000d__x000a_ 3 2 2 2 2 2 2 5 2 4 2" xfId="363"/>
    <cellStyle name="0,0_x000d__x000a_NA_x000d__x000a_ 3 2 2 2 2 2 2 5 2 4 2 2" xfId="364"/>
    <cellStyle name="0,0_x000d__x000a_NA_x000d__x000a_ 3 2 2 2 2 2 2 5 2 4 3" xfId="365"/>
    <cellStyle name="0,0_x000d__x000a_NA_x000d__x000a_ 3 2 2 2 2 2 2 5 2 5" xfId="366"/>
    <cellStyle name="0,0_x000d__x000a_NA_x000d__x000a_ 3 2 2 2 2 2 2 5 2 5 2" xfId="367"/>
    <cellStyle name="0,0_x000d__x000a_NA_x000d__x000a_ 3 2 2 2 2 2 2 5 2 5 2 2" xfId="368"/>
    <cellStyle name="0,0_x000d__x000a_NA_x000d__x000a_ 3 2 2 2 2 2 2 5 2 5 3" xfId="369"/>
    <cellStyle name="0,0_x000d__x000a_NA_x000d__x000a_ 3 2 2 2 2 2 2 5 2 6" xfId="370"/>
    <cellStyle name="0,0_x000d__x000a_NA_x000d__x000a_ 3 2 2 2 2 2 2 5 2 6 2" xfId="371"/>
    <cellStyle name="0,0_x000d__x000a_NA_x000d__x000a_ 3 2 2 2 2 2 2 5 2 7" xfId="372"/>
    <cellStyle name="0,0_x000d__x000a_NA_x000d__x000a_ 3 2 2 2 2 2 2 5 2 8" xfId="373"/>
    <cellStyle name="0,0_x000d__x000a_NA_x000d__x000a_ 3 2 2 3" xfId="374"/>
    <cellStyle name="0,0_x000d__x000a_NA_x000d__x000a_ 3 2 3" xfId="375"/>
    <cellStyle name="0,0_x000d__x000a_NA_x000d__x000a_ 3 2 3 2" xfId="376"/>
    <cellStyle name="0,0_x000d__x000a_NA_x000d__x000a_ 3 2 4" xfId="377"/>
    <cellStyle name="0,0_x000d__x000a_NA_x000d__x000a_ 3 2 5" xfId="378"/>
    <cellStyle name="0,0_x000d__x000a_NA_x000d__x000a_ 3 3" xfId="379"/>
    <cellStyle name="0,0_x000d__x000a_NA_x000d__x000a_ 3 3 2" xfId="380"/>
    <cellStyle name="0,0_x000d__x000a_NA_x000d__x000a_ 3 3 2 2" xfId="381"/>
    <cellStyle name="0,0_x000d__x000a_NA_x000d__x000a_ 3 3 3" xfId="382"/>
    <cellStyle name="0,0_x000d__x000a_NA_x000d__x000a_ 3 4" xfId="383"/>
    <cellStyle name="0,0_x000d__x000a_NA_x000d__x000a_ 3 4 2" xfId="384"/>
    <cellStyle name="0,0_x000d__x000a_NA_x000d__x000a_ 3 5" xfId="385"/>
    <cellStyle name="0,0_x000d__x000a_NA_x000d__x000a_ 3 5 2" xfId="386"/>
    <cellStyle name="0,0_x000d__x000a_NA_x000d__x000a_ 3 6" xfId="387"/>
    <cellStyle name="0,0_x000d__x000a_NA_x000d__x000a_ 3_新增工艺设备表" xfId="388"/>
    <cellStyle name="0,0_x000d__x000a_NA_x000d__x000a_ 4" xfId="389"/>
    <cellStyle name="0,0_x000d__x000a_NA_x000d__x000a_ 4 2" xfId="390"/>
    <cellStyle name="0,0_x000d__x000a_NA_x000d__x000a_ 4 2 2" xfId="391"/>
    <cellStyle name="0,0_x000d__x000a_NA_x000d__x000a_ 4 2 2 2" xfId="392"/>
    <cellStyle name="0,0_x000d__x000a_NA_x000d__x000a_ 4 2 2 2 2" xfId="393"/>
    <cellStyle name="0,0_x000d__x000a_NA_x000d__x000a_ 4 2 2 3" xfId="394"/>
    <cellStyle name="0,0_x000d__x000a_NA_x000d__x000a_ 4 2 3" xfId="395"/>
    <cellStyle name="0,0_x000d__x000a_NA_x000d__x000a_ 4 2 3 2" xfId="396"/>
    <cellStyle name="0,0_x000d__x000a_NA_x000d__x000a_ 4 2 4" xfId="397"/>
    <cellStyle name="0,0_x000d__x000a_NA_x000d__x000a_ 4 3" xfId="398"/>
    <cellStyle name="0,0_x000d__x000a_NA_x000d__x000a_ 4 3 2" xfId="399"/>
    <cellStyle name="0,0_x000d__x000a_NA_x000d__x000a_ 4 3 2 2" xfId="400"/>
    <cellStyle name="0,0_x000d__x000a_NA_x000d__x000a_ 4 3 3" xfId="401"/>
    <cellStyle name="0,0_x000d__x000a_NA_x000d__x000a_ 4 4" xfId="402"/>
    <cellStyle name="0,0_x000d__x000a_NA_x000d__x000a_ 4 5" xfId="403"/>
    <cellStyle name="0,0_x000d__x000a_NA_x000d__x000a_ 4 5 2" xfId="404"/>
    <cellStyle name="0,0_x000d__x000a_NA_x000d__x000a_ 4 6" xfId="405"/>
    <cellStyle name="0,0_x000d__x000a_NA_x000d__x000a_ 4 7" xfId="406"/>
    <cellStyle name="0,0_x000d__x000a_NA_x000d__x000a_ 4 8" xfId="407"/>
    <cellStyle name="0,0_x000d__x000a_NA_x000d__x000a_ 5" xfId="408"/>
    <cellStyle name="0,0_x000d__x000a_NA_x000d__x000a_ 5 2" xfId="409"/>
    <cellStyle name="0,0_x000d__x000a_NA_x000d__x000a_ 5 2 2" xfId="410"/>
    <cellStyle name="0,0_x000d__x000a_NA_x000d__x000a_ 5 3" xfId="411"/>
    <cellStyle name="0,0_x000d__x000a_NA_x000d__x000a_ 6" xfId="412"/>
    <cellStyle name="0,0_x000d__x000a_NA_x000d__x000a_ 6 2" xfId="413"/>
    <cellStyle name="0,0_x000d__x000a_NA_x000d__x000a_ 6 2 2" xfId="414"/>
    <cellStyle name="0,0_x000d__x000a_NA_x000d__x000a_ 6 3" xfId="415"/>
    <cellStyle name="0,0_x000d__x000a_NA_x000d__x000a_ 7" xfId="416"/>
    <cellStyle name="0,0_x000d__x000a_NA_x000d__x000a_ 7 2" xfId="417"/>
    <cellStyle name="0,0_x000d__x000a_NA_x000d__x000a_ 7 2 2" xfId="418"/>
    <cellStyle name="0,0_x000d__x000a_NA_x000d__x000a_ 7 3" xfId="419"/>
    <cellStyle name="0,0_x000d__x000a_NA_x000d__x000a_ 8" xfId="420"/>
    <cellStyle name="0,0_x000d__x000a_NA_x000d__x000a_ 8 2" xfId="421"/>
    <cellStyle name="0,0_x000d__x000a_NA_x000d__x000a_ 8 2 2" xfId="422"/>
    <cellStyle name="0,0_x000d__x000a_NA_x000d__x000a_ 8 3" xfId="423"/>
    <cellStyle name="0,0_x000d__x000a_NA_x000d__x000a_ 9" xfId="424"/>
    <cellStyle name="0,0_x000d__x000a_NA_x000d__x000a_ 9 2" xfId="425"/>
    <cellStyle name="0,0_x000d__x000a_NA_x000d__x000a_ 9 2 2" xfId="426"/>
    <cellStyle name="0,0_x000d__x000a_NA_x000d__x000a_ 9 3" xfId="427"/>
    <cellStyle name="0,0_x000d__x000a_NA_x000d__x000a__048投资估算（5.13－18：00修改后稿）" xfId="428"/>
    <cellStyle name="0,0_x005f_x000d__x005f_x000a_NA_x005f_x000d__x005f_x000a_" xfId="429"/>
    <cellStyle name="20% - Accent1" xfId="430"/>
    <cellStyle name="20% - Accent1 2" xfId="431"/>
    <cellStyle name="20% - Accent1 2 2" xfId="432"/>
    <cellStyle name="20% - Accent1 2 2 2" xfId="433"/>
    <cellStyle name="20% - Accent1 2 3" xfId="434"/>
    <cellStyle name="20% - Accent1 3" xfId="435"/>
    <cellStyle name="20% - Accent1 3 2" xfId="436"/>
    <cellStyle name="20% - Accent1 3 2 2" xfId="437"/>
    <cellStyle name="20% - Accent1 3 3" xfId="438"/>
    <cellStyle name="20% - Accent1 4" xfId="439"/>
    <cellStyle name="20% - Accent1 4 2" xfId="440"/>
    <cellStyle name="20% - Accent1 5" xfId="441"/>
    <cellStyle name="20% - Accent2" xfId="442"/>
    <cellStyle name="20% - Accent2 2" xfId="443"/>
    <cellStyle name="20% - Accent2 2 2" xfId="444"/>
    <cellStyle name="20% - Accent2 2 2 2" xfId="445"/>
    <cellStyle name="20% - Accent2 2 3" xfId="446"/>
    <cellStyle name="20% - Accent2 3" xfId="447"/>
    <cellStyle name="20% - Accent2 3 2" xfId="448"/>
    <cellStyle name="20% - Accent2 3 2 2" xfId="449"/>
    <cellStyle name="20% - Accent2 3 3" xfId="450"/>
    <cellStyle name="20% - Accent2 4" xfId="451"/>
    <cellStyle name="20% - Accent2 4 2" xfId="452"/>
    <cellStyle name="20% - Accent2 5" xfId="453"/>
    <cellStyle name="20% - Accent3" xfId="454"/>
    <cellStyle name="20% - Accent3 2" xfId="455"/>
    <cellStyle name="20% - Accent3 2 2" xfId="456"/>
    <cellStyle name="20% - Accent3 2 2 2" xfId="457"/>
    <cellStyle name="20% - Accent3 2 3" xfId="458"/>
    <cellStyle name="20% - Accent3 3" xfId="459"/>
    <cellStyle name="20% - Accent3 3 2" xfId="460"/>
    <cellStyle name="20% - Accent3 3 2 2" xfId="461"/>
    <cellStyle name="20% - Accent3 3 3" xfId="462"/>
    <cellStyle name="20% - Accent3 4" xfId="463"/>
    <cellStyle name="20% - Accent3 4 2" xfId="464"/>
    <cellStyle name="20% - Accent3 5" xfId="465"/>
    <cellStyle name="20% - Accent4" xfId="466"/>
    <cellStyle name="20% - Accent4 2" xfId="467"/>
    <cellStyle name="20% - Accent4 2 2" xfId="468"/>
    <cellStyle name="20% - Accent4 2 2 2" xfId="469"/>
    <cellStyle name="20% - Accent4 2 3" xfId="470"/>
    <cellStyle name="20% - Accent4 3" xfId="471"/>
    <cellStyle name="20% - Accent4 3 2" xfId="472"/>
    <cellStyle name="20% - Accent4 3 2 2" xfId="473"/>
    <cellStyle name="20% - Accent4 3 3" xfId="474"/>
    <cellStyle name="20% - Accent4 4" xfId="475"/>
    <cellStyle name="20% - Accent4 4 2" xfId="476"/>
    <cellStyle name="20% - Accent4 5" xfId="477"/>
    <cellStyle name="20% - Accent5" xfId="478"/>
    <cellStyle name="20% - Accent5 2" xfId="479"/>
    <cellStyle name="20% - Accent5 2 2" xfId="480"/>
    <cellStyle name="20% - Accent5 2 2 2" xfId="481"/>
    <cellStyle name="20% - Accent5 2 3" xfId="482"/>
    <cellStyle name="20% - Accent5 3" xfId="483"/>
    <cellStyle name="20% - Accent5 3 2" xfId="484"/>
    <cellStyle name="20% - Accent5 3 2 2" xfId="485"/>
    <cellStyle name="20% - Accent5 3 3" xfId="486"/>
    <cellStyle name="20% - Accent5 4" xfId="487"/>
    <cellStyle name="20% - Accent5 4 2" xfId="488"/>
    <cellStyle name="20% - Accent5 5" xfId="489"/>
    <cellStyle name="20% - Accent6" xfId="490"/>
    <cellStyle name="20% - Accent6 2" xfId="491"/>
    <cellStyle name="20% - Accent6 2 2" xfId="492"/>
    <cellStyle name="20% - Accent6 2 2 2" xfId="493"/>
    <cellStyle name="20% - Accent6 2 3" xfId="494"/>
    <cellStyle name="20% - Accent6 3" xfId="495"/>
    <cellStyle name="20% - Accent6 3 2" xfId="496"/>
    <cellStyle name="20% - Accent6 3 2 2" xfId="497"/>
    <cellStyle name="20% - Accent6 3 3" xfId="498"/>
    <cellStyle name="20% - Accent6 4" xfId="499"/>
    <cellStyle name="20% - Accent6 4 2" xfId="500"/>
    <cellStyle name="20% - Accent6 5" xfId="501"/>
    <cellStyle name="20% - 强调文字颜色 1" xfId="502" builtinId="30" customBuiltin="1"/>
    <cellStyle name="20% - 强调文字颜色 1 2" xfId="503"/>
    <cellStyle name="20% - 强调文字颜色 1 2 2" xfId="504"/>
    <cellStyle name="20% - 强调文字颜色 1 2 2 2" xfId="505"/>
    <cellStyle name="20% - 强调文字颜色 1 2 2 2 2" xfId="506"/>
    <cellStyle name="20% - 强调文字颜色 1 2 2 3" xfId="507"/>
    <cellStyle name="20% - 强调文字颜色 1 2 2 4" xfId="508"/>
    <cellStyle name="20% - 强调文字颜色 1 2 3" xfId="509"/>
    <cellStyle name="20% - 强调文字颜色 1 2 3 2" xfId="510"/>
    <cellStyle name="20% - 强调文字颜色 1 2 3 2 2" xfId="511"/>
    <cellStyle name="20% - 强调文字颜色 1 2 3 3" xfId="512"/>
    <cellStyle name="20% - 强调文字颜色 1 2 4" xfId="513"/>
    <cellStyle name="20% - 强调文字颜色 1 2 4 2" xfId="514"/>
    <cellStyle name="20% - 强调文字颜色 1 2 4 2 2" xfId="515"/>
    <cellStyle name="20% - 强调文字颜色 1 2 4 3" xfId="516"/>
    <cellStyle name="20% - 强调文字颜色 1 2 5" xfId="517"/>
    <cellStyle name="20% - 强调文字颜色 1 2 5 2" xfId="518"/>
    <cellStyle name="20% - 强调文字颜色 1 2 6" xfId="519"/>
    <cellStyle name="20% - 强调文字颜色 1 2 6 2" xfId="520"/>
    <cellStyle name="20% - 强调文字颜色 1 2 7" xfId="521"/>
    <cellStyle name="20% - 强调文字颜色 1 3" xfId="522"/>
    <cellStyle name="20% - 强调文字颜色 1 3 2" xfId="523"/>
    <cellStyle name="20% - 强调文字颜色 1 3 2 2" xfId="524"/>
    <cellStyle name="20% - 强调文字颜色 1 3 2 2 2" xfId="525"/>
    <cellStyle name="20% - 强调文字颜色 1 3 2 3" xfId="526"/>
    <cellStyle name="20% - 强调文字颜色 1 3 3" xfId="527"/>
    <cellStyle name="20% - 强调文字颜色 1 3 3 2" xfId="528"/>
    <cellStyle name="20% - 强调文字颜色 1 3 4" xfId="529"/>
    <cellStyle name="20% - 强调文字颜色 1 3 4 2" xfId="530"/>
    <cellStyle name="20% - 强调文字颜色 1 3 5" xfId="531"/>
    <cellStyle name="20% - 强调文字颜色 1 3 6" xfId="532"/>
    <cellStyle name="20% - 强调文字颜色 1 4" xfId="533"/>
    <cellStyle name="20% - 强调文字颜色 1 4 2" xfId="534"/>
    <cellStyle name="20% - 强调文字颜色 1 4 2 2" xfId="535"/>
    <cellStyle name="20% - 强调文字颜色 1 4 2 2 2" xfId="536"/>
    <cellStyle name="20% - 强调文字颜色 1 4 2 3" xfId="537"/>
    <cellStyle name="20% - 强调文字颜色 1 4 3" xfId="538"/>
    <cellStyle name="20% - 强调文字颜色 1 4 3 2" xfId="539"/>
    <cellStyle name="20% - 强调文字颜色 1 4 4" xfId="540"/>
    <cellStyle name="20% - 强调文字颜色 1 5" xfId="541"/>
    <cellStyle name="20% - 强调文字颜色 1 5 2" xfId="542"/>
    <cellStyle name="20% - 强调文字颜色 1 5 2 2" xfId="543"/>
    <cellStyle name="20% - 强调文字颜色 1 5 3" xfId="544"/>
    <cellStyle name="20% - 强调文字颜色 1 6" xfId="545"/>
    <cellStyle name="20% - 强调文字颜色 2" xfId="546" builtinId="34" customBuiltin="1"/>
    <cellStyle name="20% - 强调文字颜色 2 2" xfId="547"/>
    <cellStyle name="20% - 强调文字颜色 2 2 2" xfId="548"/>
    <cellStyle name="20% - 强调文字颜色 2 2 2 2" xfId="549"/>
    <cellStyle name="20% - 强调文字颜色 2 2 2 2 2" xfId="550"/>
    <cellStyle name="20% - 强调文字颜色 2 2 2 3" xfId="551"/>
    <cellStyle name="20% - 强调文字颜色 2 2 2 4" xfId="552"/>
    <cellStyle name="20% - 强调文字颜色 2 2 3" xfId="553"/>
    <cellStyle name="20% - 强调文字颜色 2 2 3 2" xfId="554"/>
    <cellStyle name="20% - 强调文字颜色 2 2 3 2 2" xfId="555"/>
    <cellStyle name="20% - 强调文字颜色 2 2 3 3" xfId="556"/>
    <cellStyle name="20% - 强调文字颜色 2 2 4" xfId="557"/>
    <cellStyle name="20% - 强调文字颜色 2 2 4 2" xfId="558"/>
    <cellStyle name="20% - 强调文字颜色 2 2 4 2 2" xfId="559"/>
    <cellStyle name="20% - 强调文字颜色 2 2 4 3" xfId="560"/>
    <cellStyle name="20% - 强调文字颜色 2 2 5" xfId="561"/>
    <cellStyle name="20% - 强调文字颜色 2 2 5 2" xfId="562"/>
    <cellStyle name="20% - 强调文字颜色 2 2 6" xfId="563"/>
    <cellStyle name="20% - 强调文字颜色 2 2 6 2" xfId="564"/>
    <cellStyle name="20% - 强调文字颜色 2 2 7" xfId="565"/>
    <cellStyle name="20% - 强调文字颜色 2 3" xfId="566"/>
    <cellStyle name="20% - 强调文字颜色 2 3 2" xfId="567"/>
    <cellStyle name="20% - 强调文字颜色 2 3 2 2" xfId="568"/>
    <cellStyle name="20% - 强调文字颜色 2 3 2 2 2" xfId="569"/>
    <cellStyle name="20% - 强调文字颜色 2 3 2 3" xfId="570"/>
    <cellStyle name="20% - 强调文字颜色 2 3 3" xfId="571"/>
    <cellStyle name="20% - 强调文字颜色 2 3 3 2" xfId="572"/>
    <cellStyle name="20% - 强调文字颜色 2 3 4" xfId="573"/>
    <cellStyle name="20% - 强调文字颜色 2 3 4 2" xfId="574"/>
    <cellStyle name="20% - 强调文字颜色 2 3 5" xfId="575"/>
    <cellStyle name="20% - 强调文字颜色 2 3 6" xfId="576"/>
    <cellStyle name="20% - 强调文字颜色 2 4" xfId="577"/>
    <cellStyle name="20% - 强调文字颜色 2 4 2" xfId="578"/>
    <cellStyle name="20% - 强调文字颜色 2 4 2 2" xfId="579"/>
    <cellStyle name="20% - 强调文字颜色 2 4 2 2 2" xfId="580"/>
    <cellStyle name="20% - 强调文字颜色 2 4 2 3" xfId="581"/>
    <cellStyle name="20% - 强调文字颜色 2 4 3" xfId="582"/>
    <cellStyle name="20% - 强调文字颜色 2 4 3 2" xfId="583"/>
    <cellStyle name="20% - 强调文字颜色 2 4 4" xfId="584"/>
    <cellStyle name="20% - 强调文字颜色 2 5" xfId="585"/>
    <cellStyle name="20% - 强调文字颜色 2 5 2" xfId="586"/>
    <cellStyle name="20% - 强调文字颜色 2 5 2 2" xfId="587"/>
    <cellStyle name="20% - 强调文字颜色 2 5 3" xfId="588"/>
    <cellStyle name="20% - 强调文字颜色 2 6" xfId="589"/>
    <cellStyle name="20% - 强调文字颜色 3" xfId="590" builtinId="38" customBuiltin="1"/>
    <cellStyle name="20% - 强调文字颜色 3 2" xfId="591"/>
    <cellStyle name="20% - 强调文字颜色 3 2 2" xfId="592"/>
    <cellStyle name="20% - 强调文字颜色 3 2 2 2" xfId="593"/>
    <cellStyle name="20% - 强调文字颜色 3 2 2 2 2" xfId="594"/>
    <cellStyle name="20% - 强调文字颜色 3 2 2 3" xfId="595"/>
    <cellStyle name="20% - 强调文字颜色 3 2 2 4" xfId="596"/>
    <cellStyle name="20% - 强调文字颜色 3 2 3" xfId="597"/>
    <cellStyle name="20% - 强调文字颜色 3 2 3 2" xfId="598"/>
    <cellStyle name="20% - 强调文字颜色 3 2 3 2 2" xfId="599"/>
    <cellStyle name="20% - 强调文字颜色 3 2 3 3" xfId="600"/>
    <cellStyle name="20% - 强调文字颜色 3 2 4" xfId="601"/>
    <cellStyle name="20% - 强调文字颜色 3 2 4 2" xfId="602"/>
    <cellStyle name="20% - 强调文字颜色 3 2 4 2 2" xfId="603"/>
    <cellStyle name="20% - 强调文字颜色 3 2 4 3" xfId="604"/>
    <cellStyle name="20% - 强调文字颜色 3 2 5" xfId="605"/>
    <cellStyle name="20% - 强调文字颜色 3 2 5 2" xfId="606"/>
    <cellStyle name="20% - 强调文字颜色 3 2 6" xfId="607"/>
    <cellStyle name="20% - 强调文字颜色 3 2 6 2" xfId="608"/>
    <cellStyle name="20% - 强调文字颜色 3 2 7" xfId="609"/>
    <cellStyle name="20% - 强调文字颜色 3 3" xfId="610"/>
    <cellStyle name="20% - 强调文字颜色 3 3 2" xfId="611"/>
    <cellStyle name="20% - 强调文字颜色 3 3 2 2" xfId="612"/>
    <cellStyle name="20% - 强调文字颜色 3 3 2 2 2" xfId="613"/>
    <cellStyle name="20% - 强调文字颜色 3 3 2 3" xfId="614"/>
    <cellStyle name="20% - 强调文字颜色 3 3 3" xfId="615"/>
    <cellStyle name="20% - 强调文字颜色 3 3 3 2" xfId="616"/>
    <cellStyle name="20% - 强调文字颜色 3 3 4" xfId="617"/>
    <cellStyle name="20% - 强调文字颜色 3 3 4 2" xfId="618"/>
    <cellStyle name="20% - 强调文字颜色 3 3 5" xfId="619"/>
    <cellStyle name="20% - 强调文字颜色 3 3 6" xfId="620"/>
    <cellStyle name="20% - 强调文字颜色 3 4" xfId="621"/>
    <cellStyle name="20% - 强调文字颜色 3 4 2" xfId="622"/>
    <cellStyle name="20% - 强调文字颜色 3 4 2 2" xfId="623"/>
    <cellStyle name="20% - 强调文字颜色 3 4 2 2 2" xfId="624"/>
    <cellStyle name="20% - 强调文字颜色 3 4 2 3" xfId="625"/>
    <cellStyle name="20% - 强调文字颜色 3 4 3" xfId="626"/>
    <cellStyle name="20% - 强调文字颜色 3 4 3 2" xfId="627"/>
    <cellStyle name="20% - 强调文字颜色 3 4 4" xfId="628"/>
    <cellStyle name="20% - 强调文字颜色 3 5" xfId="629"/>
    <cellStyle name="20% - 强调文字颜色 3 5 2" xfId="630"/>
    <cellStyle name="20% - 强调文字颜色 3 5 2 2" xfId="631"/>
    <cellStyle name="20% - 强调文字颜色 3 5 3" xfId="632"/>
    <cellStyle name="20% - 强调文字颜色 3 6" xfId="633"/>
    <cellStyle name="20% - 强调文字颜色 4" xfId="634" builtinId="42" customBuiltin="1"/>
    <cellStyle name="20% - 强调文字颜色 4 2" xfId="635"/>
    <cellStyle name="20% - 强调文字颜色 4 2 2" xfId="636"/>
    <cellStyle name="20% - 强调文字颜色 4 2 2 2" xfId="637"/>
    <cellStyle name="20% - 强调文字颜色 4 2 2 2 2" xfId="638"/>
    <cellStyle name="20% - 强调文字颜色 4 2 2 3" xfId="639"/>
    <cellStyle name="20% - 强调文字颜色 4 2 2 4" xfId="640"/>
    <cellStyle name="20% - 强调文字颜色 4 2 3" xfId="641"/>
    <cellStyle name="20% - 强调文字颜色 4 2 3 2" xfId="642"/>
    <cellStyle name="20% - 强调文字颜色 4 2 3 2 2" xfId="643"/>
    <cellStyle name="20% - 强调文字颜色 4 2 3 3" xfId="644"/>
    <cellStyle name="20% - 强调文字颜色 4 2 4" xfId="645"/>
    <cellStyle name="20% - 强调文字颜色 4 2 4 2" xfId="646"/>
    <cellStyle name="20% - 强调文字颜色 4 2 4 2 2" xfId="647"/>
    <cellStyle name="20% - 强调文字颜色 4 2 4 3" xfId="648"/>
    <cellStyle name="20% - 强调文字颜色 4 2 5" xfId="649"/>
    <cellStyle name="20% - 强调文字颜色 4 2 5 2" xfId="650"/>
    <cellStyle name="20% - 强调文字颜色 4 2 6" xfId="651"/>
    <cellStyle name="20% - 强调文字颜色 4 2 6 2" xfId="652"/>
    <cellStyle name="20% - 强调文字颜色 4 2 7" xfId="653"/>
    <cellStyle name="20% - 强调文字颜色 4 3" xfId="654"/>
    <cellStyle name="20% - 强调文字颜色 4 3 2" xfId="655"/>
    <cellStyle name="20% - 强调文字颜色 4 3 2 2" xfId="656"/>
    <cellStyle name="20% - 强调文字颜色 4 3 2 2 2" xfId="657"/>
    <cellStyle name="20% - 强调文字颜色 4 3 2 3" xfId="658"/>
    <cellStyle name="20% - 强调文字颜色 4 3 3" xfId="659"/>
    <cellStyle name="20% - 强调文字颜色 4 3 3 2" xfId="660"/>
    <cellStyle name="20% - 强调文字颜色 4 3 4" xfId="661"/>
    <cellStyle name="20% - 强调文字颜色 4 3 4 2" xfId="662"/>
    <cellStyle name="20% - 强调文字颜色 4 3 5" xfId="663"/>
    <cellStyle name="20% - 强调文字颜色 4 3 6" xfId="664"/>
    <cellStyle name="20% - 强调文字颜色 4 4" xfId="665"/>
    <cellStyle name="20% - 强调文字颜色 4 4 2" xfId="666"/>
    <cellStyle name="20% - 强调文字颜色 4 4 2 2" xfId="667"/>
    <cellStyle name="20% - 强调文字颜色 4 4 2 2 2" xfId="668"/>
    <cellStyle name="20% - 强调文字颜色 4 4 2 3" xfId="669"/>
    <cellStyle name="20% - 强调文字颜色 4 4 3" xfId="670"/>
    <cellStyle name="20% - 强调文字颜色 4 4 3 2" xfId="671"/>
    <cellStyle name="20% - 强调文字颜色 4 4 4" xfId="672"/>
    <cellStyle name="20% - 强调文字颜色 4 5" xfId="673"/>
    <cellStyle name="20% - 强调文字颜色 4 5 2" xfId="674"/>
    <cellStyle name="20% - 强调文字颜色 4 5 2 2" xfId="675"/>
    <cellStyle name="20% - 强调文字颜色 4 5 3" xfId="676"/>
    <cellStyle name="20% - 强调文字颜色 4 6" xfId="677"/>
    <cellStyle name="20% - 强调文字颜色 5" xfId="678" builtinId="46" customBuiltin="1"/>
    <cellStyle name="20% - 强调文字颜色 5 2" xfId="679"/>
    <cellStyle name="20% - 强调文字颜色 5 2 2" xfId="680"/>
    <cellStyle name="20% - 强调文字颜色 5 2 2 2" xfId="681"/>
    <cellStyle name="20% - 强调文字颜色 5 2 2 2 2" xfId="682"/>
    <cellStyle name="20% - 强调文字颜色 5 2 2 3" xfId="683"/>
    <cellStyle name="20% - 强调文字颜色 5 2 2 4" xfId="684"/>
    <cellStyle name="20% - 强调文字颜色 5 2 3" xfId="685"/>
    <cellStyle name="20% - 强调文字颜色 5 2 3 2" xfId="686"/>
    <cellStyle name="20% - 强调文字颜色 5 2 3 2 2" xfId="687"/>
    <cellStyle name="20% - 强调文字颜色 5 2 3 3" xfId="688"/>
    <cellStyle name="20% - 强调文字颜色 5 2 4" xfId="689"/>
    <cellStyle name="20% - 强调文字颜色 5 2 4 2" xfId="690"/>
    <cellStyle name="20% - 强调文字颜色 5 2 4 2 2" xfId="691"/>
    <cellStyle name="20% - 强调文字颜色 5 2 4 3" xfId="692"/>
    <cellStyle name="20% - 强调文字颜色 5 2 5" xfId="693"/>
    <cellStyle name="20% - 强调文字颜色 5 2 5 2" xfId="694"/>
    <cellStyle name="20% - 强调文字颜色 5 2 6" xfId="695"/>
    <cellStyle name="20% - 强调文字颜色 5 2 6 2" xfId="696"/>
    <cellStyle name="20% - 强调文字颜色 5 2 7" xfId="697"/>
    <cellStyle name="20% - 强调文字颜色 5 3" xfId="698"/>
    <cellStyle name="20% - 强调文字颜色 5 3 2" xfId="699"/>
    <cellStyle name="20% - 强调文字颜色 5 3 2 2" xfId="700"/>
    <cellStyle name="20% - 强调文字颜色 5 3 2 2 2" xfId="701"/>
    <cellStyle name="20% - 强调文字颜色 5 3 2 3" xfId="702"/>
    <cellStyle name="20% - 强调文字颜色 5 3 3" xfId="703"/>
    <cellStyle name="20% - 强调文字颜色 5 3 3 2" xfId="704"/>
    <cellStyle name="20% - 强调文字颜色 5 3 4" xfId="705"/>
    <cellStyle name="20% - 强调文字颜色 5 3 4 2" xfId="706"/>
    <cellStyle name="20% - 强调文字颜色 5 3 5" xfId="707"/>
    <cellStyle name="20% - 强调文字颜色 5 3 6" xfId="708"/>
    <cellStyle name="20% - 强调文字颜色 5 4" xfId="709"/>
    <cellStyle name="20% - 强调文字颜色 5 4 2" xfId="710"/>
    <cellStyle name="20% - 强调文字颜色 5 4 2 2" xfId="711"/>
    <cellStyle name="20% - 强调文字颜色 5 4 2 2 2" xfId="712"/>
    <cellStyle name="20% - 强调文字颜色 5 4 2 3" xfId="713"/>
    <cellStyle name="20% - 强调文字颜色 5 4 3" xfId="714"/>
    <cellStyle name="20% - 强调文字颜色 5 4 3 2" xfId="715"/>
    <cellStyle name="20% - 强调文字颜色 5 4 4" xfId="716"/>
    <cellStyle name="20% - 强调文字颜色 5 5" xfId="717"/>
    <cellStyle name="20% - 强调文字颜色 5 5 2" xfId="718"/>
    <cellStyle name="20% - 强调文字颜色 5 5 2 2" xfId="719"/>
    <cellStyle name="20% - 强调文字颜色 5 5 3" xfId="720"/>
    <cellStyle name="20% - 强调文字颜色 5 6" xfId="721"/>
    <cellStyle name="20% - 强调文字颜色 6" xfId="722" builtinId="50" customBuiltin="1"/>
    <cellStyle name="20% - 强调文字颜色 6 2" xfId="723"/>
    <cellStyle name="20% - 强调文字颜色 6 2 2" xfId="724"/>
    <cellStyle name="20% - 强调文字颜色 6 2 2 2" xfId="725"/>
    <cellStyle name="20% - 强调文字颜色 6 2 2 2 2" xfId="726"/>
    <cellStyle name="20% - 强调文字颜色 6 2 2 3" xfId="727"/>
    <cellStyle name="20% - 强调文字颜色 6 2 2 4" xfId="728"/>
    <cellStyle name="20% - 强调文字颜色 6 2 3" xfId="729"/>
    <cellStyle name="20% - 强调文字颜色 6 2 3 2" xfId="730"/>
    <cellStyle name="20% - 强调文字颜色 6 2 3 2 2" xfId="731"/>
    <cellStyle name="20% - 强调文字颜色 6 2 3 3" xfId="732"/>
    <cellStyle name="20% - 强调文字颜色 6 2 4" xfId="733"/>
    <cellStyle name="20% - 强调文字颜色 6 2 4 2" xfId="734"/>
    <cellStyle name="20% - 强调文字颜色 6 2 4 2 2" xfId="735"/>
    <cellStyle name="20% - 强调文字颜色 6 2 4 3" xfId="736"/>
    <cellStyle name="20% - 强调文字颜色 6 2 5" xfId="737"/>
    <cellStyle name="20% - 强调文字颜色 6 2 5 2" xfId="738"/>
    <cellStyle name="20% - 强调文字颜色 6 2 6" xfId="739"/>
    <cellStyle name="20% - 强调文字颜色 6 2 6 2" xfId="740"/>
    <cellStyle name="20% - 强调文字颜色 6 2 7" xfId="741"/>
    <cellStyle name="20% - 强调文字颜色 6 3" xfId="742"/>
    <cellStyle name="20% - 强调文字颜色 6 3 2" xfId="743"/>
    <cellStyle name="20% - 强调文字颜色 6 3 2 2" xfId="744"/>
    <cellStyle name="20% - 强调文字颜色 6 3 2 2 2" xfId="745"/>
    <cellStyle name="20% - 强调文字颜色 6 3 2 3" xfId="746"/>
    <cellStyle name="20% - 强调文字颜色 6 3 3" xfId="747"/>
    <cellStyle name="20% - 强调文字颜色 6 3 3 2" xfId="748"/>
    <cellStyle name="20% - 强调文字颜色 6 3 4" xfId="749"/>
    <cellStyle name="20% - 强调文字颜色 6 3 4 2" xfId="750"/>
    <cellStyle name="20% - 强调文字颜色 6 3 5" xfId="751"/>
    <cellStyle name="20% - 强调文字颜色 6 3 6" xfId="752"/>
    <cellStyle name="20% - 强调文字颜色 6 4" xfId="753"/>
    <cellStyle name="20% - 强调文字颜色 6 4 2" xfId="754"/>
    <cellStyle name="20% - 强调文字颜色 6 4 2 2" xfId="755"/>
    <cellStyle name="20% - 强调文字颜色 6 4 2 2 2" xfId="756"/>
    <cellStyle name="20% - 强调文字颜色 6 4 2 3" xfId="757"/>
    <cellStyle name="20% - 强调文字颜色 6 4 3" xfId="758"/>
    <cellStyle name="20% - 强调文字颜色 6 4 3 2" xfId="759"/>
    <cellStyle name="20% - 强调文字颜色 6 4 4" xfId="760"/>
    <cellStyle name="20% - 强调文字颜色 6 5" xfId="761"/>
    <cellStyle name="20% - 强调文字颜色 6 5 2" xfId="762"/>
    <cellStyle name="20% - 强调文字颜色 6 5 2 2" xfId="763"/>
    <cellStyle name="20% - 强调文字颜色 6 5 3" xfId="764"/>
    <cellStyle name="20% - 强调文字颜色 6 6" xfId="765"/>
    <cellStyle name="40% - Accent1" xfId="766"/>
    <cellStyle name="40% - Accent1 2" xfId="767"/>
    <cellStyle name="40% - Accent1 2 2" xfId="768"/>
    <cellStyle name="40% - Accent1 2 2 2" xfId="769"/>
    <cellStyle name="40% - Accent1 2 3" xfId="770"/>
    <cellStyle name="40% - Accent1 3" xfId="771"/>
    <cellStyle name="40% - Accent1 3 2" xfId="772"/>
    <cellStyle name="40% - Accent1 3 2 2" xfId="773"/>
    <cellStyle name="40% - Accent1 3 3" xfId="774"/>
    <cellStyle name="40% - Accent1 4" xfId="775"/>
    <cellStyle name="40% - Accent1 4 2" xfId="776"/>
    <cellStyle name="40% - Accent1 5" xfId="777"/>
    <cellStyle name="40% - Accent2" xfId="778"/>
    <cellStyle name="40% - Accent2 2" xfId="779"/>
    <cellStyle name="40% - Accent2 2 2" xfId="780"/>
    <cellStyle name="40% - Accent2 2 2 2" xfId="781"/>
    <cellStyle name="40% - Accent2 2 3" xfId="782"/>
    <cellStyle name="40% - Accent2 3" xfId="783"/>
    <cellStyle name="40% - Accent2 3 2" xfId="784"/>
    <cellStyle name="40% - Accent2 3 2 2" xfId="785"/>
    <cellStyle name="40% - Accent2 3 3" xfId="786"/>
    <cellStyle name="40% - Accent2 4" xfId="787"/>
    <cellStyle name="40% - Accent2 4 2" xfId="788"/>
    <cellStyle name="40% - Accent2 5" xfId="789"/>
    <cellStyle name="40% - Accent3" xfId="790"/>
    <cellStyle name="40% - Accent3 2" xfId="791"/>
    <cellStyle name="40% - Accent3 2 2" xfId="792"/>
    <cellStyle name="40% - Accent3 2 2 2" xfId="793"/>
    <cellStyle name="40% - Accent3 2 3" xfId="794"/>
    <cellStyle name="40% - Accent3 3" xfId="795"/>
    <cellStyle name="40% - Accent3 3 2" xfId="796"/>
    <cellStyle name="40% - Accent3 3 2 2" xfId="797"/>
    <cellStyle name="40% - Accent3 3 3" xfId="798"/>
    <cellStyle name="40% - Accent3 4" xfId="799"/>
    <cellStyle name="40% - Accent3 4 2" xfId="800"/>
    <cellStyle name="40% - Accent3 5" xfId="801"/>
    <cellStyle name="40% - Accent4" xfId="802"/>
    <cellStyle name="40% - Accent4 2" xfId="803"/>
    <cellStyle name="40% - Accent4 2 2" xfId="804"/>
    <cellStyle name="40% - Accent4 2 2 2" xfId="805"/>
    <cellStyle name="40% - Accent4 2 3" xfId="806"/>
    <cellStyle name="40% - Accent4 3" xfId="807"/>
    <cellStyle name="40% - Accent4 3 2" xfId="808"/>
    <cellStyle name="40% - Accent4 3 2 2" xfId="809"/>
    <cellStyle name="40% - Accent4 3 3" xfId="810"/>
    <cellStyle name="40% - Accent4 4" xfId="811"/>
    <cellStyle name="40% - Accent4 4 2" xfId="812"/>
    <cellStyle name="40% - Accent4 5" xfId="813"/>
    <cellStyle name="40% - Accent5" xfId="814"/>
    <cellStyle name="40% - Accent5 2" xfId="815"/>
    <cellStyle name="40% - Accent5 2 2" xfId="816"/>
    <cellStyle name="40% - Accent5 2 2 2" xfId="817"/>
    <cellStyle name="40% - Accent5 2 3" xfId="818"/>
    <cellStyle name="40% - Accent5 3" xfId="819"/>
    <cellStyle name="40% - Accent5 3 2" xfId="820"/>
    <cellStyle name="40% - Accent5 3 2 2" xfId="821"/>
    <cellStyle name="40% - Accent5 3 3" xfId="822"/>
    <cellStyle name="40% - Accent5 4" xfId="823"/>
    <cellStyle name="40% - Accent5 4 2" xfId="824"/>
    <cellStyle name="40% - Accent5 5" xfId="825"/>
    <cellStyle name="40% - Accent6" xfId="826"/>
    <cellStyle name="40% - Accent6 2" xfId="827"/>
    <cellStyle name="40% - Accent6 2 2" xfId="828"/>
    <cellStyle name="40% - Accent6 2 2 2" xfId="829"/>
    <cellStyle name="40% - Accent6 2 3" xfId="830"/>
    <cellStyle name="40% - Accent6 3" xfId="831"/>
    <cellStyle name="40% - Accent6 3 2" xfId="832"/>
    <cellStyle name="40% - Accent6 3 2 2" xfId="833"/>
    <cellStyle name="40% - Accent6 3 3" xfId="834"/>
    <cellStyle name="40% - Accent6 4" xfId="835"/>
    <cellStyle name="40% - Accent6 4 2" xfId="836"/>
    <cellStyle name="40% - Accent6 5" xfId="837"/>
    <cellStyle name="40% - 强调文字颜色 1" xfId="838" builtinId="31" customBuiltin="1"/>
    <cellStyle name="40% - 强调文字颜色 1 2" xfId="839"/>
    <cellStyle name="40% - 强调文字颜色 1 2 2" xfId="840"/>
    <cellStyle name="40% - 强调文字颜色 1 2 2 2" xfId="841"/>
    <cellStyle name="40% - 强调文字颜色 1 2 2 2 2" xfId="842"/>
    <cellStyle name="40% - 强调文字颜色 1 2 2 3" xfId="843"/>
    <cellStyle name="40% - 强调文字颜色 1 2 2 4" xfId="844"/>
    <cellStyle name="40% - 强调文字颜色 1 2 3" xfId="845"/>
    <cellStyle name="40% - 强调文字颜色 1 2 3 2" xfId="846"/>
    <cellStyle name="40% - 强调文字颜色 1 2 3 2 2" xfId="847"/>
    <cellStyle name="40% - 强调文字颜色 1 2 3 3" xfId="848"/>
    <cellStyle name="40% - 强调文字颜色 1 2 4" xfId="849"/>
    <cellStyle name="40% - 强调文字颜色 1 2 4 2" xfId="850"/>
    <cellStyle name="40% - 强调文字颜色 1 2 4 2 2" xfId="851"/>
    <cellStyle name="40% - 强调文字颜色 1 2 4 3" xfId="852"/>
    <cellStyle name="40% - 强调文字颜色 1 2 5" xfId="853"/>
    <cellStyle name="40% - 强调文字颜色 1 2 5 2" xfId="854"/>
    <cellStyle name="40% - 强调文字颜色 1 2 6" xfId="855"/>
    <cellStyle name="40% - 强调文字颜色 1 2 6 2" xfId="856"/>
    <cellStyle name="40% - 强调文字颜色 1 2 7" xfId="857"/>
    <cellStyle name="40% - 强调文字颜色 1 3" xfId="858"/>
    <cellStyle name="40% - 强调文字颜色 1 3 2" xfId="859"/>
    <cellStyle name="40% - 强调文字颜色 1 3 2 2" xfId="860"/>
    <cellStyle name="40% - 强调文字颜色 1 3 2 2 2" xfId="861"/>
    <cellStyle name="40% - 强调文字颜色 1 3 2 3" xfId="862"/>
    <cellStyle name="40% - 强调文字颜色 1 3 3" xfId="863"/>
    <cellStyle name="40% - 强调文字颜色 1 3 3 2" xfId="864"/>
    <cellStyle name="40% - 强调文字颜色 1 3 4" xfId="865"/>
    <cellStyle name="40% - 强调文字颜色 1 3 4 2" xfId="866"/>
    <cellStyle name="40% - 强调文字颜色 1 3 5" xfId="867"/>
    <cellStyle name="40% - 强调文字颜色 1 3 6" xfId="868"/>
    <cellStyle name="40% - 强调文字颜色 1 4" xfId="869"/>
    <cellStyle name="40% - 强调文字颜色 1 4 2" xfId="870"/>
    <cellStyle name="40% - 强调文字颜色 1 4 2 2" xfId="871"/>
    <cellStyle name="40% - 强调文字颜色 1 4 2 2 2" xfId="872"/>
    <cellStyle name="40% - 强调文字颜色 1 4 2 3" xfId="873"/>
    <cellStyle name="40% - 强调文字颜色 1 4 3" xfId="874"/>
    <cellStyle name="40% - 强调文字颜色 1 4 3 2" xfId="875"/>
    <cellStyle name="40% - 强调文字颜色 1 4 4" xfId="876"/>
    <cellStyle name="40% - 强调文字颜色 1 5" xfId="877"/>
    <cellStyle name="40% - 强调文字颜色 1 5 2" xfId="878"/>
    <cellStyle name="40% - 强调文字颜色 1 5 2 2" xfId="879"/>
    <cellStyle name="40% - 强调文字颜色 1 5 3" xfId="880"/>
    <cellStyle name="40% - 强调文字颜色 1 6" xfId="881"/>
    <cellStyle name="40% - 强调文字颜色 2" xfId="882" builtinId="35" customBuiltin="1"/>
    <cellStyle name="40% - 强调文字颜色 2 2" xfId="883"/>
    <cellStyle name="40% - 强调文字颜色 2 2 2" xfId="884"/>
    <cellStyle name="40% - 强调文字颜色 2 2 2 2" xfId="885"/>
    <cellStyle name="40% - 强调文字颜色 2 2 2 2 2" xfId="886"/>
    <cellStyle name="40% - 强调文字颜色 2 2 2 3" xfId="887"/>
    <cellStyle name="40% - 强调文字颜色 2 2 2 4" xfId="888"/>
    <cellStyle name="40% - 强调文字颜色 2 2 3" xfId="889"/>
    <cellStyle name="40% - 强调文字颜色 2 2 3 2" xfId="890"/>
    <cellStyle name="40% - 强调文字颜色 2 2 3 2 2" xfId="891"/>
    <cellStyle name="40% - 强调文字颜色 2 2 3 3" xfId="892"/>
    <cellStyle name="40% - 强调文字颜色 2 2 4" xfId="893"/>
    <cellStyle name="40% - 强调文字颜色 2 2 4 2" xfId="894"/>
    <cellStyle name="40% - 强调文字颜色 2 2 4 2 2" xfId="895"/>
    <cellStyle name="40% - 强调文字颜色 2 2 4 3" xfId="896"/>
    <cellStyle name="40% - 强调文字颜色 2 2 5" xfId="897"/>
    <cellStyle name="40% - 强调文字颜色 2 2 5 2" xfId="898"/>
    <cellStyle name="40% - 强调文字颜色 2 2 6" xfId="899"/>
    <cellStyle name="40% - 强调文字颜色 2 2 6 2" xfId="900"/>
    <cellStyle name="40% - 强调文字颜色 2 2 7" xfId="901"/>
    <cellStyle name="40% - 强调文字颜色 2 3" xfId="902"/>
    <cellStyle name="40% - 强调文字颜色 2 3 2" xfId="903"/>
    <cellStyle name="40% - 强调文字颜色 2 3 2 2" xfId="904"/>
    <cellStyle name="40% - 强调文字颜色 2 3 2 2 2" xfId="905"/>
    <cellStyle name="40% - 强调文字颜色 2 3 2 3" xfId="906"/>
    <cellStyle name="40% - 强调文字颜色 2 3 3" xfId="907"/>
    <cellStyle name="40% - 强调文字颜色 2 3 3 2" xfId="908"/>
    <cellStyle name="40% - 强调文字颜色 2 3 4" xfId="909"/>
    <cellStyle name="40% - 强调文字颜色 2 3 4 2" xfId="910"/>
    <cellStyle name="40% - 强调文字颜色 2 3 5" xfId="911"/>
    <cellStyle name="40% - 强调文字颜色 2 3 6" xfId="912"/>
    <cellStyle name="40% - 强调文字颜色 2 4" xfId="913"/>
    <cellStyle name="40% - 强调文字颜色 2 4 2" xfId="914"/>
    <cellStyle name="40% - 强调文字颜色 2 4 2 2" xfId="915"/>
    <cellStyle name="40% - 强调文字颜色 2 4 2 2 2" xfId="916"/>
    <cellStyle name="40% - 强调文字颜色 2 4 2 3" xfId="917"/>
    <cellStyle name="40% - 强调文字颜色 2 4 3" xfId="918"/>
    <cellStyle name="40% - 强调文字颜色 2 4 3 2" xfId="919"/>
    <cellStyle name="40% - 强调文字颜色 2 4 4" xfId="920"/>
    <cellStyle name="40% - 强调文字颜色 2 5" xfId="921"/>
    <cellStyle name="40% - 强调文字颜色 2 5 2" xfId="922"/>
    <cellStyle name="40% - 强调文字颜色 2 5 2 2" xfId="923"/>
    <cellStyle name="40% - 强调文字颜色 2 5 3" xfId="924"/>
    <cellStyle name="40% - 强调文字颜色 2 6" xfId="925"/>
    <cellStyle name="40% - 强调文字颜色 3" xfId="926" builtinId="39" customBuiltin="1"/>
    <cellStyle name="40% - 强调文字颜色 3 2" xfId="927"/>
    <cellStyle name="40% - 强调文字颜色 3 2 2" xfId="928"/>
    <cellStyle name="40% - 强调文字颜色 3 2 2 2" xfId="929"/>
    <cellStyle name="40% - 强调文字颜色 3 2 2 2 2" xfId="930"/>
    <cellStyle name="40% - 强调文字颜色 3 2 2 3" xfId="931"/>
    <cellStyle name="40% - 强调文字颜色 3 2 2 4" xfId="932"/>
    <cellStyle name="40% - 强调文字颜色 3 2 3" xfId="933"/>
    <cellStyle name="40% - 强调文字颜色 3 2 3 2" xfId="934"/>
    <cellStyle name="40% - 强调文字颜色 3 2 3 2 2" xfId="935"/>
    <cellStyle name="40% - 强调文字颜色 3 2 3 3" xfId="936"/>
    <cellStyle name="40% - 强调文字颜色 3 2 4" xfId="937"/>
    <cellStyle name="40% - 强调文字颜色 3 2 4 2" xfId="938"/>
    <cellStyle name="40% - 强调文字颜色 3 2 4 2 2" xfId="939"/>
    <cellStyle name="40% - 强调文字颜色 3 2 4 3" xfId="940"/>
    <cellStyle name="40% - 强调文字颜色 3 2 5" xfId="941"/>
    <cellStyle name="40% - 强调文字颜色 3 2 5 2" xfId="942"/>
    <cellStyle name="40% - 强调文字颜色 3 2 6" xfId="943"/>
    <cellStyle name="40% - 强调文字颜色 3 2 6 2" xfId="944"/>
    <cellStyle name="40% - 强调文字颜色 3 2 7" xfId="945"/>
    <cellStyle name="40% - 强调文字颜色 3 3" xfId="946"/>
    <cellStyle name="40% - 强调文字颜色 3 3 2" xfId="947"/>
    <cellStyle name="40% - 强调文字颜色 3 3 2 2" xfId="948"/>
    <cellStyle name="40% - 强调文字颜色 3 3 2 2 2" xfId="949"/>
    <cellStyle name="40% - 强调文字颜色 3 3 2 3" xfId="950"/>
    <cellStyle name="40% - 强调文字颜色 3 3 3" xfId="951"/>
    <cellStyle name="40% - 强调文字颜色 3 3 3 2" xfId="952"/>
    <cellStyle name="40% - 强调文字颜色 3 3 4" xfId="953"/>
    <cellStyle name="40% - 强调文字颜色 3 3 4 2" xfId="954"/>
    <cellStyle name="40% - 强调文字颜色 3 3 5" xfId="955"/>
    <cellStyle name="40% - 强调文字颜色 3 3 6" xfId="956"/>
    <cellStyle name="40% - 强调文字颜色 3 4" xfId="957"/>
    <cellStyle name="40% - 强调文字颜色 3 4 2" xfId="958"/>
    <cellStyle name="40% - 强调文字颜色 3 4 2 2" xfId="959"/>
    <cellStyle name="40% - 强调文字颜色 3 4 2 2 2" xfId="960"/>
    <cellStyle name="40% - 强调文字颜色 3 4 2 3" xfId="961"/>
    <cellStyle name="40% - 强调文字颜色 3 4 3" xfId="962"/>
    <cellStyle name="40% - 强调文字颜色 3 4 3 2" xfId="963"/>
    <cellStyle name="40% - 强调文字颜色 3 4 4" xfId="964"/>
    <cellStyle name="40% - 强调文字颜色 3 5" xfId="965"/>
    <cellStyle name="40% - 强调文字颜色 3 5 2" xfId="966"/>
    <cellStyle name="40% - 强调文字颜色 3 5 2 2" xfId="967"/>
    <cellStyle name="40% - 强调文字颜色 3 5 3" xfId="968"/>
    <cellStyle name="40% - 强调文字颜色 3 6" xfId="969"/>
    <cellStyle name="40% - 强调文字颜色 4" xfId="970" builtinId="43" customBuiltin="1"/>
    <cellStyle name="40% - 强调文字颜色 4 2" xfId="971"/>
    <cellStyle name="40% - 强调文字颜色 4 2 2" xfId="972"/>
    <cellStyle name="40% - 强调文字颜色 4 2 2 2" xfId="973"/>
    <cellStyle name="40% - 强调文字颜色 4 2 2 2 2" xfId="974"/>
    <cellStyle name="40% - 强调文字颜色 4 2 2 3" xfId="975"/>
    <cellStyle name="40% - 强调文字颜色 4 2 2 4" xfId="976"/>
    <cellStyle name="40% - 强调文字颜色 4 2 3" xfId="977"/>
    <cellStyle name="40% - 强调文字颜色 4 2 3 2" xfId="978"/>
    <cellStyle name="40% - 强调文字颜色 4 2 3 2 2" xfId="979"/>
    <cellStyle name="40% - 强调文字颜色 4 2 3 3" xfId="980"/>
    <cellStyle name="40% - 强调文字颜色 4 2 4" xfId="981"/>
    <cellStyle name="40% - 强调文字颜色 4 2 4 2" xfId="982"/>
    <cellStyle name="40% - 强调文字颜色 4 2 4 2 2" xfId="983"/>
    <cellStyle name="40% - 强调文字颜色 4 2 4 3" xfId="984"/>
    <cellStyle name="40% - 强调文字颜色 4 2 5" xfId="985"/>
    <cellStyle name="40% - 强调文字颜色 4 2 5 2" xfId="986"/>
    <cellStyle name="40% - 强调文字颜色 4 2 6" xfId="987"/>
    <cellStyle name="40% - 强调文字颜色 4 2 6 2" xfId="988"/>
    <cellStyle name="40% - 强调文字颜色 4 2 7" xfId="989"/>
    <cellStyle name="40% - 强调文字颜色 4 3" xfId="990"/>
    <cellStyle name="40% - 强调文字颜色 4 3 2" xfId="991"/>
    <cellStyle name="40% - 强调文字颜色 4 3 2 2" xfId="992"/>
    <cellStyle name="40% - 强调文字颜色 4 3 2 2 2" xfId="993"/>
    <cellStyle name="40% - 强调文字颜色 4 3 2 3" xfId="994"/>
    <cellStyle name="40% - 强调文字颜色 4 3 3" xfId="995"/>
    <cellStyle name="40% - 强调文字颜色 4 3 3 2" xfId="996"/>
    <cellStyle name="40% - 强调文字颜色 4 3 4" xfId="997"/>
    <cellStyle name="40% - 强调文字颜色 4 3 4 2" xfId="998"/>
    <cellStyle name="40% - 强调文字颜色 4 3 5" xfId="999"/>
    <cellStyle name="40% - 强调文字颜色 4 3 6" xfId="1000"/>
    <cellStyle name="40% - 强调文字颜色 4 4" xfId="1001"/>
    <cellStyle name="40% - 强调文字颜色 4 4 2" xfId="1002"/>
    <cellStyle name="40% - 强调文字颜色 4 4 2 2" xfId="1003"/>
    <cellStyle name="40% - 强调文字颜色 4 4 2 2 2" xfId="1004"/>
    <cellStyle name="40% - 强调文字颜色 4 4 2 3" xfId="1005"/>
    <cellStyle name="40% - 强调文字颜色 4 4 3" xfId="1006"/>
    <cellStyle name="40% - 强调文字颜色 4 4 3 2" xfId="1007"/>
    <cellStyle name="40% - 强调文字颜色 4 4 4" xfId="1008"/>
    <cellStyle name="40% - 强调文字颜色 4 5" xfId="1009"/>
    <cellStyle name="40% - 强调文字颜色 4 5 2" xfId="1010"/>
    <cellStyle name="40% - 强调文字颜色 4 5 2 2" xfId="1011"/>
    <cellStyle name="40% - 强调文字颜色 4 5 3" xfId="1012"/>
    <cellStyle name="40% - 强调文字颜色 4 6" xfId="1013"/>
    <cellStyle name="40% - 强调文字颜色 5" xfId="1014" builtinId="47" customBuiltin="1"/>
    <cellStyle name="40% - 强调文字颜色 5 2" xfId="1015"/>
    <cellStyle name="40% - 强调文字颜色 5 2 2" xfId="1016"/>
    <cellStyle name="40% - 强调文字颜色 5 2 2 2" xfId="1017"/>
    <cellStyle name="40% - 强调文字颜色 5 2 2 2 2" xfId="1018"/>
    <cellStyle name="40% - 强调文字颜色 5 2 2 3" xfId="1019"/>
    <cellStyle name="40% - 强调文字颜色 5 2 2 4" xfId="1020"/>
    <cellStyle name="40% - 强调文字颜色 5 2 3" xfId="1021"/>
    <cellStyle name="40% - 强调文字颜色 5 2 3 2" xfId="1022"/>
    <cellStyle name="40% - 强调文字颜色 5 2 3 2 2" xfId="1023"/>
    <cellStyle name="40% - 强调文字颜色 5 2 3 3" xfId="1024"/>
    <cellStyle name="40% - 强调文字颜色 5 2 4" xfId="1025"/>
    <cellStyle name="40% - 强调文字颜色 5 2 4 2" xfId="1026"/>
    <cellStyle name="40% - 强调文字颜色 5 2 4 2 2" xfId="1027"/>
    <cellStyle name="40% - 强调文字颜色 5 2 4 3" xfId="1028"/>
    <cellStyle name="40% - 强调文字颜色 5 2 5" xfId="1029"/>
    <cellStyle name="40% - 强调文字颜色 5 2 5 2" xfId="1030"/>
    <cellStyle name="40% - 强调文字颜色 5 2 6" xfId="1031"/>
    <cellStyle name="40% - 强调文字颜色 5 2 6 2" xfId="1032"/>
    <cellStyle name="40% - 强调文字颜色 5 2 7" xfId="1033"/>
    <cellStyle name="40% - 强调文字颜色 5 3" xfId="1034"/>
    <cellStyle name="40% - 强调文字颜色 5 3 2" xfId="1035"/>
    <cellStyle name="40% - 强调文字颜色 5 3 2 2" xfId="1036"/>
    <cellStyle name="40% - 强调文字颜色 5 3 2 2 2" xfId="1037"/>
    <cellStyle name="40% - 强调文字颜色 5 3 2 3" xfId="1038"/>
    <cellStyle name="40% - 强调文字颜色 5 3 3" xfId="1039"/>
    <cellStyle name="40% - 强调文字颜色 5 3 3 2" xfId="1040"/>
    <cellStyle name="40% - 强调文字颜色 5 3 4" xfId="1041"/>
    <cellStyle name="40% - 强调文字颜色 5 3 4 2" xfId="1042"/>
    <cellStyle name="40% - 强调文字颜色 5 3 5" xfId="1043"/>
    <cellStyle name="40% - 强调文字颜色 5 3 6" xfId="1044"/>
    <cellStyle name="40% - 强调文字颜色 5 4" xfId="1045"/>
    <cellStyle name="40% - 强调文字颜色 5 4 2" xfId="1046"/>
    <cellStyle name="40% - 强调文字颜色 5 4 2 2" xfId="1047"/>
    <cellStyle name="40% - 强调文字颜色 5 4 2 2 2" xfId="1048"/>
    <cellStyle name="40% - 强调文字颜色 5 4 2 3" xfId="1049"/>
    <cellStyle name="40% - 强调文字颜色 5 4 3" xfId="1050"/>
    <cellStyle name="40% - 强调文字颜色 5 4 3 2" xfId="1051"/>
    <cellStyle name="40% - 强调文字颜色 5 4 4" xfId="1052"/>
    <cellStyle name="40% - 强调文字颜色 5 5" xfId="1053"/>
    <cellStyle name="40% - 强调文字颜色 5 5 2" xfId="1054"/>
    <cellStyle name="40% - 强调文字颜色 5 5 2 2" xfId="1055"/>
    <cellStyle name="40% - 强调文字颜色 5 5 3" xfId="1056"/>
    <cellStyle name="40% - 强调文字颜色 5 6" xfId="1057"/>
    <cellStyle name="40% - 强调文字颜色 6" xfId="1058" builtinId="51" customBuiltin="1"/>
    <cellStyle name="40% - 强调文字颜色 6 2" xfId="1059"/>
    <cellStyle name="40% - 强调文字颜色 6 2 2" xfId="1060"/>
    <cellStyle name="40% - 强调文字颜色 6 2 2 2" xfId="1061"/>
    <cellStyle name="40% - 强调文字颜色 6 2 2 2 2" xfId="1062"/>
    <cellStyle name="40% - 强调文字颜色 6 2 2 3" xfId="1063"/>
    <cellStyle name="40% - 强调文字颜色 6 2 2 4" xfId="1064"/>
    <cellStyle name="40% - 强调文字颜色 6 2 3" xfId="1065"/>
    <cellStyle name="40% - 强调文字颜色 6 2 3 2" xfId="1066"/>
    <cellStyle name="40% - 强调文字颜色 6 2 3 2 2" xfId="1067"/>
    <cellStyle name="40% - 强调文字颜色 6 2 3 3" xfId="1068"/>
    <cellStyle name="40% - 强调文字颜色 6 2 4" xfId="1069"/>
    <cellStyle name="40% - 强调文字颜色 6 2 4 2" xfId="1070"/>
    <cellStyle name="40% - 强调文字颜色 6 2 4 2 2" xfId="1071"/>
    <cellStyle name="40% - 强调文字颜色 6 2 4 3" xfId="1072"/>
    <cellStyle name="40% - 强调文字颜色 6 2 5" xfId="1073"/>
    <cellStyle name="40% - 强调文字颜色 6 2 5 2" xfId="1074"/>
    <cellStyle name="40% - 强调文字颜色 6 2 6" xfId="1075"/>
    <cellStyle name="40% - 强调文字颜色 6 2 6 2" xfId="1076"/>
    <cellStyle name="40% - 强调文字颜色 6 2 7" xfId="1077"/>
    <cellStyle name="40% - 强调文字颜色 6 3" xfId="1078"/>
    <cellStyle name="40% - 强调文字颜色 6 3 2" xfId="1079"/>
    <cellStyle name="40% - 强调文字颜色 6 3 2 2" xfId="1080"/>
    <cellStyle name="40% - 强调文字颜色 6 3 2 2 2" xfId="1081"/>
    <cellStyle name="40% - 强调文字颜色 6 3 2 3" xfId="1082"/>
    <cellStyle name="40% - 强调文字颜色 6 3 3" xfId="1083"/>
    <cellStyle name="40% - 强调文字颜色 6 3 3 2" xfId="1084"/>
    <cellStyle name="40% - 强调文字颜色 6 3 4" xfId="1085"/>
    <cellStyle name="40% - 强调文字颜色 6 3 4 2" xfId="1086"/>
    <cellStyle name="40% - 强调文字颜色 6 3 5" xfId="1087"/>
    <cellStyle name="40% - 强调文字颜色 6 3 6" xfId="1088"/>
    <cellStyle name="40% - 强调文字颜色 6 4" xfId="1089"/>
    <cellStyle name="40% - 强调文字颜色 6 4 2" xfId="1090"/>
    <cellStyle name="40% - 强调文字颜色 6 4 2 2" xfId="1091"/>
    <cellStyle name="40% - 强调文字颜色 6 4 2 2 2" xfId="1092"/>
    <cellStyle name="40% - 强调文字颜色 6 4 2 3" xfId="1093"/>
    <cellStyle name="40% - 强调文字颜色 6 4 3" xfId="1094"/>
    <cellStyle name="40% - 强调文字颜色 6 4 3 2" xfId="1095"/>
    <cellStyle name="40% - 强调文字颜色 6 4 4" xfId="1096"/>
    <cellStyle name="40% - 强调文字颜色 6 5" xfId="1097"/>
    <cellStyle name="40% - 强调文字颜色 6 5 2" xfId="1098"/>
    <cellStyle name="40% - 强调文字颜色 6 5 2 2" xfId="1099"/>
    <cellStyle name="40% - 强调文字颜色 6 5 3" xfId="1100"/>
    <cellStyle name="40% - 强调文字颜色 6 6" xfId="1101"/>
    <cellStyle name="60% - Accent1" xfId="1102"/>
    <cellStyle name="60% - Accent1 2" xfId="1103"/>
    <cellStyle name="60% - Accent1 2 2" xfId="1104"/>
    <cellStyle name="60% - Accent1 2 2 2" xfId="1105"/>
    <cellStyle name="60% - Accent1 2 3" xfId="1106"/>
    <cellStyle name="60% - Accent1 3" xfId="1107"/>
    <cellStyle name="60% - Accent1 3 2" xfId="1108"/>
    <cellStyle name="60% - Accent1 3 2 2" xfId="1109"/>
    <cellStyle name="60% - Accent1 3 3" xfId="1110"/>
    <cellStyle name="60% - Accent1 4" xfId="1111"/>
    <cellStyle name="60% - Accent1 4 2" xfId="1112"/>
    <cellStyle name="60% - Accent1 5" xfId="1113"/>
    <cellStyle name="60% - Accent2" xfId="1114"/>
    <cellStyle name="60% - Accent2 2" xfId="1115"/>
    <cellStyle name="60% - Accent2 2 2" xfId="1116"/>
    <cellStyle name="60% - Accent2 2 2 2" xfId="1117"/>
    <cellStyle name="60% - Accent2 2 3" xfId="1118"/>
    <cellStyle name="60% - Accent2 3" xfId="1119"/>
    <cellStyle name="60% - Accent2 3 2" xfId="1120"/>
    <cellStyle name="60% - Accent2 3 2 2" xfId="1121"/>
    <cellStyle name="60% - Accent2 3 3" xfId="1122"/>
    <cellStyle name="60% - Accent2 4" xfId="1123"/>
    <cellStyle name="60% - Accent2 4 2" xfId="1124"/>
    <cellStyle name="60% - Accent2 5" xfId="1125"/>
    <cellStyle name="60% - Accent3" xfId="1126"/>
    <cellStyle name="60% - Accent3 2" xfId="1127"/>
    <cellStyle name="60% - Accent3 2 2" xfId="1128"/>
    <cellStyle name="60% - Accent3 2 2 2" xfId="1129"/>
    <cellStyle name="60% - Accent3 2 3" xfId="1130"/>
    <cellStyle name="60% - Accent3 3" xfId="1131"/>
    <cellStyle name="60% - Accent3 3 2" xfId="1132"/>
    <cellStyle name="60% - Accent3 3 2 2" xfId="1133"/>
    <cellStyle name="60% - Accent3 3 3" xfId="1134"/>
    <cellStyle name="60% - Accent3 4" xfId="1135"/>
    <cellStyle name="60% - Accent3 4 2" xfId="1136"/>
    <cellStyle name="60% - Accent3 5" xfId="1137"/>
    <cellStyle name="60% - Accent4" xfId="1138"/>
    <cellStyle name="60% - Accent4 2" xfId="1139"/>
    <cellStyle name="60% - Accent4 2 2" xfId="1140"/>
    <cellStyle name="60% - Accent4 2 2 2" xfId="1141"/>
    <cellStyle name="60% - Accent4 2 3" xfId="1142"/>
    <cellStyle name="60% - Accent4 3" xfId="1143"/>
    <cellStyle name="60% - Accent4 3 2" xfId="1144"/>
    <cellStyle name="60% - Accent4 3 2 2" xfId="1145"/>
    <cellStyle name="60% - Accent4 3 3" xfId="1146"/>
    <cellStyle name="60% - Accent4 4" xfId="1147"/>
    <cellStyle name="60% - Accent4 4 2" xfId="1148"/>
    <cellStyle name="60% - Accent4 5" xfId="1149"/>
    <cellStyle name="60% - Accent5" xfId="1150"/>
    <cellStyle name="60% - Accent5 2" xfId="1151"/>
    <cellStyle name="60% - Accent5 2 2" xfId="1152"/>
    <cellStyle name="60% - Accent5 2 2 2" xfId="1153"/>
    <cellStyle name="60% - Accent5 2 3" xfId="1154"/>
    <cellStyle name="60% - Accent5 3" xfId="1155"/>
    <cellStyle name="60% - Accent5 3 2" xfId="1156"/>
    <cellStyle name="60% - Accent5 3 2 2" xfId="1157"/>
    <cellStyle name="60% - Accent5 3 3" xfId="1158"/>
    <cellStyle name="60% - Accent5 4" xfId="1159"/>
    <cellStyle name="60% - Accent5 4 2" xfId="1160"/>
    <cellStyle name="60% - Accent5 5" xfId="1161"/>
    <cellStyle name="60% - Accent6" xfId="1162"/>
    <cellStyle name="60% - Accent6 2" xfId="1163"/>
    <cellStyle name="60% - Accent6 2 2" xfId="1164"/>
    <cellStyle name="60% - Accent6 2 2 2" xfId="1165"/>
    <cellStyle name="60% - Accent6 2 3" xfId="1166"/>
    <cellStyle name="60% - Accent6 3" xfId="1167"/>
    <cellStyle name="60% - Accent6 3 2" xfId="1168"/>
    <cellStyle name="60% - Accent6 3 2 2" xfId="1169"/>
    <cellStyle name="60% - Accent6 3 3" xfId="1170"/>
    <cellStyle name="60% - Accent6 4" xfId="1171"/>
    <cellStyle name="60% - Accent6 4 2" xfId="1172"/>
    <cellStyle name="60% - Accent6 5" xfId="1173"/>
    <cellStyle name="60% - 强调文字颜色 1" xfId="1174" builtinId="32" customBuiltin="1"/>
    <cellStyle name="60% - 强调文字颜色 1 2" xfId="1175"/>
    <cellStyle name="60% - 强调文字颜色 1 2 2" xfId="1176"/>
    <cellStyle name="60% - 强调文字颜色 1 2 2 2" xfId="1177"/>
    <cellStyle name="60% - 强调文字颜色 1 2 2 2 2" xfId="1178"/>
    <cellStyle name="60% - 强调文字颜色 1 2 2 3" xfId="1179"/>
    <cellStyle name="60% - 强调文字颜色 1 2 2 4" xfId="1180"/>
    <cellStyle name="60% - 强调文字颜色 1 2 3" xfId="1181"/>
    <cellStyle name="60% - 强调文字颜色 1 2 3 2" xfId="1182"/>
    <cellStyle name="60% - 强调文字颜色 1 2 3 2 2" xfId="1183"/>
    <cellStyle name="60% - 强调文字颜色 1 2 3 3" xfId="1184"/>
    <cellStyle name="60% - 强调文字颜色 1 2 4" xfId="1185"/>
    <cellStyle name="60% - 强调文字颜色 1 2 4 2" xfId="1186"/>
    <cellStyle name="60% - 强调文字颜色 1 2 5" xfId="1187"/>
    <cellStyle name="60% - 强调文字颜色 1 2 5 2" xfId="1188"/>
    <cellStyle name="60% - 强调文字颜色 1 2 6" xfId="1189"/>
    <cellStyle name="60% - 强调文字颜色 1 3" xfId="1190"/>
    <cellStyle name="60% - 强调文字颜色 1 3 2" xfId="1191"/>
    <cellStyle name="60% - 强调文字颜色 1 3 2 2" xfId="1192"/>
    <cellStyle name="60% - 强调文字颜色 1 3 2 2 2" xfId="1193"/>
    <cellStyle name="60% - 强调文字颜色 1 3 2 3" xfId="1194"/>
    <cellStyle name="60% - 强调文字颜色 1 3 3" xfId="1195"/>
    <cellStyle name="60% - 强调文字颜色 1 3 3 2" xfId="1196"/>
    <cellStyle name="60% - 强调文字颜色 1 3 4" xfId="1197"/>
    <cellStyle name="60% - 强调文字颜色 1 3 4 2" xfId="1198"/>
    <cellStyle name="60% - 强调文字颜色 1 3 5" xfId="1199"/>
    <cellStyle name="60% - 强调文字颜色 1 3 6" xfId="1200"/>
    <cellStyle name="60% - 强调文字颜色 1 4" xfId="1201"/>
    <cellStyle name="60% - 强调文字颜色 1 4 2" xfId="1202"/>
    <cellStyle name="60% - 强调文字颜色 1 4 2 2" xfId="1203"/>
    <cellStyle name="60% - 强调文字颜色 1 4 2 2 2" xfId="1204"/>
    <cellStyle name="60% - 强调文字颜色 1 4 2 3" xfId="1205"/>
    <cellStyle name="60% - 强调文字颜色 1 4 3" xfId="1206"/>
    <cellStyle name="60% - 强调文字颜色 1 4 3 2" xfId="1207"/>
    <cellStyle name="60% - 强调文字颜色 1 4 4" xfId="1208"/>
    <cellStyle name="60% - 强调文字颜色 1 5" xfId="1209"/>
    <cellStyle name="60% - 强调文字颜色 1 5 2" xfId="1210"/>
    <cellStyle name="60% - 强调文字颜色 1 5 2 2" xfId="1211"/>
    <cellStyle name="60% - 强调文字颜色 1 5 3" xfId="1212"/>
    <cellStyle name="60% - 强调文字颜色 1 6" xfId="1213"/>
    <cellStyle name="60% - 强调文字颜色 2" xfId="1214" builtinId="36" customBuiltin="1"/>
    <cellStyle name="60% - 强调文字颜色 2 2" xfId="1215"/>
    <cellStyle name="60% - 强调文字颜色 2 2 2" xfId="1216"/>
    <cellStyle name="60% - 强调文字颜色 2 2 2 2" xfId="1217"/>
    <cellStyle name="60% - 强调文字颜色 2 2 2 2 2" xfId="1218"/>
    <cellStyle name="60% - 强调文字颜色 2 2 2 3" xfId="1219"/>
    <cellStyle name="60% - 强调文字颜色 2 2 2 4" xfId="1220"/>
    <cellStyle name="60% - 强调文字颜色 2 2 3" xfId="1221"/>
    <cellStyle name="60% - 强调文字颜色 2 2 3 2" xfId="1222"/>
    <cellStyle name="60% - 强调文字颜色 2 2 3 2 2" xfId="1223"/>
    <cellStyle name="60% - 强调文字颜色 2 2 3 3" xfId="1224"/>
    <cellStyle name="60% - 强调文字颜色 2 2 4" xfId="1225"/>
    <cellStyle name="60% - 强调文字颜色 2 2 4 2" xfId="1226"/>
    <cellStyle name="60% - 强调文字颜色 2 2 5" xfId="1227"/>
    <cellStyle name="60% - 强调文字颜色 2 2 5 2" xfId="1228"/>
    <cellStyle name="60% - 强调文字颜色 2 2 6" xfId="1229"/>
    <cellStyle name="60% - 强调文字颜色 2 3" xfId="1230"/>
    <cellStyle name="60% - 强调文字颜色 2 3 2" xfId="1231"/>
    <cellStyle name="60% - 强调文字颜色 2 3 2 2" xfId="1232"/>
    <cellStyle name="60% - 强调文字颜色 2 3 2 2 2" xfId="1233"/>
    <cellStyle name="60% - 强调文字颜色 2 3 2 3" xfId="1234"/>
    <cellStyle name="60% - 强调文字颜色 2 3 3" xfId="1235"/>
    <cellStyle name="60% - 强调文字颜色 2 3 3 2" xfId="1236"/>
    <cellStyle name="60% - 强调文字颜色 2 3 4" xfId="1237"/>
    <cellStyle name="60% - 强调文字颜色 2 3 4 2" xfId="1238"/>
    <cellStyle name="60% - 强调文字颜色 2 3 5" xfId="1239"/>
    <cellStyle name="60% - 强调文字颜色 2 3 6" xfId="1240"/>
    <cellStyle name="60% - 强调文字颜色 2 4" xfId="1241"/>
    <cellStyle name="60% - 强调文字颜色 2 4 2" xfId="1242"/>
    <cellStyle name="60% - 强调文字颜色 2 4 2 2" xfId="1243"/>
    <cellStyle name="60% - 强调文字颜色 2 4 2 2 2" xfId="1244"/>
    <cellStyle name="60% - 强调文字颜色 2 4 2 3" xfId="1245"/>
    <cellStyle name="60% - 强调文字颜色 2 4 3" xfId="1246"/>
    <cellStyle name="60% - 强调文字颜色 2 4 3 2" xfId="1247"/>
    <cellStyle name="60% - 强调文字颜色 2 4 4" xfId="1248"/>
    <cellStyle name="60% - 强调文字颜色 2 5" xfId="1249"/>
    <cellStyle name="60% - 强调文字颜色 2 5 2" xfId="1250"/>
    <cellStyle name="60% - 强调文字颜色 2 5 2 2" xfId="1251"/>
    <cellStyle name="60% - 强调文字颜色 2 5 3" xfId="1252"/>
    <cellStyle name="60% - 强调文字颜色 2 6" xfId="1253"/>
    <cellStyle name="60% - 强调文字颜色 3" xfId="1254" builtinId="40" customBuiltin="1"/>
    <cellStyle name="60% - 强调文字颜色 3 2" xfId="1255"/>
    <cellStyle name="60% - 强调文字颜色 3 2 2" xfId="1256"/>
    <cellStyle name="60% - 强调文字颜色 3 2 2 2" xfId="1257"/>
    <cellStyle name="60% - 强调文字颜色 3 2 2 2 2" xfId="1258"/>
    <cellStyle name="60% - 强调文字颜色 3 2 2 3" xfId="1259"/>
    <cellStyle name="60% - 强调文字颜色 3 2 2 4" xfId="1260"/>
    <cellStyle name="60% - 强调文字颜色 3 2 3" xfId="1261"/>
    <cellStyle name="60% - 强调文字颜色 3 2 3 2" xfId="1262"/>
    <cellStyle name="60% - 强调文字颜色 3 2 3 2 2" xfId="1263"/>
    <cellStyle name="60% - 强调文字颜色 3 2 3 3" xfId="1264"/>
    <cellStyle name="60% - 强调文字颜色 3 2 4" xfId="1265"/>
    <cellStyle name="60% - 强调文字颜色 3 2 4 2" xfId="1266"/>
    <cellStyle name="60% - 强调文字颜色 3 2 5" xfId="1267"/>
    <cellStyle name="60% - 强调文字颜色 3 2 5 2" xfId="1268"/>
    <cellStyle name="60% - 强调文字颜色 3 2 6" xfId="1269"/>
    <cellStyle name="60% - 强调文字颜色 3 3" xfId="1270"/>
    <cellStyle name="60% - 强调文字颜色 3 3 2" xfId="1271"/>
    <cellStyle name="60% - 强调文字颜色 3 3 2 2" xfId="1272"/>
    <cellStyle name="60% - 强调文字颜色 3 3 2 2 2" xfId="1273"/>
    <cellStyle name="60% - 强调文字颜色 3 3 2 3" xfId="1274"/>
    <cellStyle name="60% - 强调文字颜色 3 3 3" xfId="1275"/>
    <cellStyle name="60% - 强调文字颜色 3 3 3 2" xfId="1276"/>
    <cellStyle name="60% - 强调文字颜色 3 3 4" xfId="1277"/>
    <cellStyle name="60% - 强调文字颜色 3 3 4 2" xfId="1278"/>
    <cellStyle name="60% - 强调文字颜色 3 3 5" xfId="1279"/>
    <cellStyle name="60% - 强调文字颜色 3 3 6" xfId="1280"/>
    <cellStyle name="60% - 强调文字颜色 3 4" xfId="1281"/>
    <cellStyle name="60% - 强调文字颜色 3 4 2" xfId="1282"/>
    <cellStyle name="60% - 强调文字颜色 3 4 2 2" xfId="1283"/>
    <cellStyle name="60% - 强调文字颜色 3 4 2 2 2" xfId="1284"/>
    <cellStyle name="60% - 强调文字颜色 3 4 2 3" xfId="1285"/>
    <cellStyle name="60% - 强调文字颜色 3 4 3" xfId="1286"/>
    <cellStyle name="60% - 强调文字颜色 3 4 3 2" xfId="1287"/>
    <cellStyle name="60% - 强调文字颜色 3 4 4" xfId="1288"/>
    <cellStyle name="60% - 强调文字颜色 3 5" xfId="1289"/>
    <cellStyle name="60% - 强调文字颜色 3 5 2" xfId="1290"/>
    <cellStyle name="60% - 强调文字颜色 3 5 2 2" xfId="1291"/>
    <cellStyle name="60% - 强调文字颜色 3 5 3" xfId="1292"/>
    <cellStyle name="60% - 强调文字颜色 3 6" xfId="1293"/>
    <cellStyle name="60% - 强调文字颜色 4" xfId="1294" builtinId="44" customBuiltin="1"/>
    <cellStyle name="60% - 强调文字颜色 4 2" xfId="1295"/>
    <cellStyle name="60% - 强调文字颜色 4 2 2" xfId="1296"/>
    <cellStyle name="60% - 强调文字颜色 4 2 2 2" xfId="1297"/>
    <cellStyle name="60% - 强调文字颜色 4 2 2 2 2" xfId="1298"/>
    <cellStyle name="60% - 强调文字颜色 4 2 2 3" xfId="1299"/>
    <cellStyle name="60% - 强调文字颜色 4 2 2 4" xfId="1300"/>
    <cellStyle name="60% - 强调文字颜色 4 2 3" xfId="1301"/>
    <cellStyle name="60% - 强调文字颜色 4 2 3 2" xfId="1302"/>
    <cellStyle name="60% - 强调文字颜色 4 2 3 2 2" xfId="1303"/>
    <cellStyle name="60% - 强调文字颜色 4 2 3 3" xfId="1304"/>
    <cellStyle name="60% - 强调文字颜色 4 2 4" xfId="1305"/>
    <cellStyle name="60% - 强调文字颜色 4 2 4 2" xfId="1306"/>
    <cellStyle name="60% - 强调文字颜色 4 2 5" xfId="1307"/>
    <cellStyle name="60% - 强调文字颜色 4 2 5 2" xfId="1308"/>
    <cellStyle name="60% - 强调文字颜色 4 2 6" xfId="1309"/>
    <cellStyle name="60% - 强调文字颜色 4 3" xfId="1310"/>
    <cellStyle name="60% - 强调文字颜色 4 3 2" xfId="1311"/>
    <cellStyle name="60% - 强调文字颜色 4 3 2 2" xfId="1312"/>
    <cellStyle name="60% - 强调文字颜色 4 3 2 2 2" xfId="1313"/>
    <cellStyle name="60% - 强调文字颜色 4 3 2 3" xfId="1314"/>
    <cellStyle name="60% - 强调文字颜色 4 3 3" xfId="1315"/>
    <cellStyle name="60% - 强调文字颜色 4 3 3 2" xfId="1316"/>
    <cellStyle name="60% - 强调文字颜色 4 3 4" xfId="1317"/>
    <cellStyle name="60% - 强调文字颜色 4 3 4 2" xfId="1318"/>
    <cellStyle name="60% - 强调文字颜色 4 3 5" xfId="1319"/>
    <cellStyle name="60% - 强调文字颜色 4 3 6" xfId="1320"/>
    <cellStyle name="60% - 强调文字颜色 4 4" xfId="1321"/>
    <cellStyle name="60% - 强调文字颜色 4 4 2" xfId="1322"/>
    <cellStyle name="60% - 强调文字颜色 4 4 2 2" xfId="1323"/>
    <cellStyle name="60% - 强调文字颜色 4 4 2 2 2" xfId="1324"/>
    <cellStyle name="60% - 强调文字颜色 4 4 2 3" xfId="1325"/>
    <cellStyle name="60% - 强调文字颜色 4 4 3" xfId="1326"/>
    <cellStyle name="60% - 强调文字颜色 4 4 3 2" xfId="1327"/>
    <cellStyle name="60% - 强调文字颜色 4 4 4" xfId="1328"/>
    <cellStyle name="60% - 强调文字颜色 4 5" xfId="1329"/>
    <cellStyle name="60% - 强调文字颜色 4 5 2" xfId="1330"/>
    <cellStyle name="60% - 强调文字颜色 4 5 2 2" xfId="1331"/>
    <cellStyle name="60% - 强调文字颜色 4 5 3" xfId="1332"/>
    <cellStyle name="60% - 强调文字颜色 4 6" xfId="1333"/>
    <cellStyle name="60% - 强调文字颜色 5" xfId="1334" builtinId="48" customBuiltin="1"/>
    <cellStyle name="60% - 强调文字颜色 5 2" xfId="1335"/>
    <cellStyle name="60% - 强调文字颜色 5 2 2" xfId="1336"/>
    <cellStyle name="60% - 强调文字颜色 5 2 2 2" xfId="1337"/>
    <cellStyle name="60% - 强调文字颜色 5 2 2 2 2" xfId="1338"/>
    <cellStyle name="60% - 强调文字颜色 5 2 2 3" xfId="1339"/>
    <cellStyle name="60% - 强调文字颜色 5 2 2 4" xfId="1340"/>
    <cellStyle name="60% - 强调文字颜色 5 2 3" xfId="1341"/>
    <cellStyle name="60% - 强调文字颜色 5 2 3 2" xfId="1342"/>
    <cellStyle name="60% - 强调文字颜色 5 2 3 2 2" xfId="1343"/>
    <cellStyle name="60% - 强调文字颜色 5 2 3 3" xfId="1344"/>
    <cellStyle name="60% - 强调文字颜色 5 2 4" xfId="1345"/>
    <cellStyle name="60% - 强调文字颜色 5 2 4 2" xfId="1346"/>
    <cellStyle name="60% - 强调文字颜色 5 2 5" xfId="1347"/>
    <cellStyle name="60% - 强调文字颜色 5 2 5 2" xfId="1348"/>
    <cellStyle name="60% - 强调文字颜色 5 2 6" xfId="1349"/>
    <cellStyle name="60% - 强调文字颜色 5 3" xfId="1350"/>
    <cellStyle name="60% - 强调文字颜色 5 3 2" xfId="1351"/>
    <cellStyle name="60% - 强调文字颜色 5 3 2 2" xfId="1352"/>
    <cellStyle name="60% - 强调文字颜色 5 3 2 2 2" xfId="1353"/>
    <cellStyle name="60% - 强调文字颜色 5 3 2 3" xfId="1354"/>
    <cellStyle name="60% - 强调文字颜色 5 3 3" xfId="1355"/>
    <cellStyle name="60% - 强调文字颜色 5 3 3 2" xfId="1356"/>
    <cellStyle name="60% - 强调文字颜色 5 3 4" xfId="1357"/>
    <cellStyle name="60% - 强调文字颜色 5 3 4 2" xfId="1358"/>
    <cellStyle name="60% - 强调文字颜色 5 3 5" xfId="1359"/>
    <cellStyle name="60% - 强调文字颜色 5 3 6" xfId="1360"/>
    <cellStyle name="60% - 强调文字颜色 5 4" xfId="1361"/>
    <cellStyle name="60% - 强调文字颜色 5 4 2" xfId="1362"/>
    <cellStyle name="60% - 强调文字颜色 5 4 2 2" xfId="1363"/>
    <cellStyle name="60% - 强调文字颜色 5 4 2 2 2" xfId="1364"/>
    <cellStyle name="60% - 强调文字颜色 5 4 2 3" xfId="1365"/>
    <cellStyle name="60% - 强调文字颜色 5 4 3" xfId="1366"/>
    <cellStyle name="60% - 强调文字颜色 5 4 3 2" xfId="1367"/>
    <cellStyle name="60% - 强调文字颜色 5 4 4" xfId="1368"/>
    <cellStyle name="60% - 强调文字颜色 5 5" xfId="1369"/>
    <cellStyle name="60% - 强调文字颜色 5 5 2" xfId="1370"/>
    <cellStyle name="60% - 强调文字颜色 5 5 2 2" xfId="1371"/>
    <cellStyle name="60% - 强调文字颜色 5 5 3" xfId="1372"/>
    <cellStyle name="60% - 强调文字颜色 5 6" xfId="1373"/>
    <cellStyle name="60% - 强调文字颜色 6" xfId="1374" builtinId="52" customBuiltin="1"/>
    <cellStyle name="60% - 强调文字颜色 6 2" xfId="1375"/>
    <cellStyle name="60% - 强调文字颜色 6 2 2" xfId="1376"/>
    <cellStyle name="60% - 强调文字颜色 6 2 2 2" xfId="1377"/>
    <cellStyle name="60% - 强调文字颜色 6 2 2 2 2" xfId="1378"/>
    <cellStyle name="60% - 强调文字颜色 6 2 2 3" xfId="1379"/>
    <cellStyle name="60% - 强调文字颜色 6 2 2 4" xfId="1380"/>
    <cellStyle name="60% - 强调文字颜色 6 2 3" xfId="1381"/>
    <cellStyle name="60% - 强调文字颜色 6 2 3 2" xfId="1382"/>
    <cellStyle name="60% - 强调文字颜色 6 2 3 2 2" xfId="1383"/>
    <cellStyle name="60% - 强调文字颜色 6 2 3 3" xfId="1384"/>
    <cellStyle name="60% - 强调文字颜色 6 2 4" xfId="1385"/>
    <cellStyle name="60% - 强调文字颜色 6 2 4 2" xfId="1386"/>
    <cellStyle name="60% - 强调文字颜色 6 2 5" xfId="1387"/>
    <cellStyle name="60% - 强调文字颜色 6 2 5 2" xfId="1388"/>
    <cellStyle name="60% - 强调文字颜色 6 2 6" xfId="1389"/>
    <cellStyle name="60% - 强调文字颜色 6 3" xfId="1390"/>
    <cellStyle name="60% - 强调文字颜色 6 3 2" xfId="1391"/>
    <cellStyle name="60% - 强调文字颜色 6 3 2 2" xfId="1392"/>
    <cellStyle name="60% - 强调文字颜色 6 3 2 2 2" xfId="1393"/>
    <cellStyle name="60% - 强调文字颜色 6 3 2 3" xfId="1394"/>
    <cellStyle name="60% - 强调文字颜色 6 3 3" xfId="1395"/>
    <cellStyle name="60% - 强调文字颜色 6 3 3 2" xfId="1396"/>
    <cellStyle name="60% - 强调文字颜色 6 3 4" xfId="1397"/>
    <cellStyle name="60% - 强调文字颜色 6 3 4 2" xfId="1398"/>
    <cellStyle name="60% - 强调文字颜色 6 3 5" xfId="1399"/>
    <cellStyle name="60% - 强调文字颜色 6 3 6" xfId="1400"/>
    <cellStyle name="60% - 强调文字颜色 6 4" xfId="1401"/>
    <cellStyle name="60% - 强调文字颜色 6 4 2" xfId="1402"/>
    <cellStyle name="60% - 强调文字颜色 6 4 2 2" xfId="1403"/>
    <cellStyle name="60% - 强调文字颜色 6 4 2 2 2" xfId="1404"/>
    <cellStyle name="60% - 强调文字颜色 6 4 2 3" xfId="1405"/>
    <cellStyle name="60% - 强调文字颜色 6 4 3" xfId="1406"/>
    <cellStyle name="60% - 强调文字颜色 6 4 3 2" xfId="1407"/>
    <cellStyle name="60% - 强调文字颜色 6 4 4" xfId="1408"/>
    <cellStyle name="60% - 强调文字颜色 6 5" xfId="1409"/>
    <cellStyle name="60% - 强调文字颜色 6 5 2" xfId="1410"/>
    <cellStyle name="60% - 强调文字颜色 6 5 2 2" xfId="1411"/>
    <cellStyle name="60% - 强调文字颜色 6 5 3" xfId="1412"/>
    <cellStyle name="60% - 强调文字颜色 6 6" xfId="1413"/>
    <cellStyle name="6mal" xfId="1414"/>
    <cellStyle name="Accent1" xfId="1415"/>
    <cellStyle name="Accent1 2" xfId="1416"/>
    <cellStyle name="Accent1 2 2" xfId="1417"/>
    <cellStyle name="Accent1 2 2 2" xfId="1418"/>
    <cellStyle name="Accent1 2 3" xfId="1419"/>
    <cellStyle name="Accent1 3" xfId="1420"/>
    <cellStyle name="Accent1 3 2" xfId="1421"/>
    <cellStyle name="Accent1 3 2 2" xfId="1422"/>
    <cellStyle name="Accent1 3 3" xfId="1423"/>
    <cellStyle name="Accent1 4" xfId="1424"/>
    <cellStyle name="Accent1 4 2" xfId="1425"/>
    <cellStyle name="Accent1 5" xfId="1426"/>
    <cellStyle name="Accent2" xfId="1427"/>
    <cellStyle name="Accent2 2" xfId="1428"/>
    <cellStyle name="Accent2 2 2" xfId="1429"/>
    <cellStyle name="Accent2 2 2 2" xfId="1430"/>
    <cellStyle name="Accent2 2 3" xfId="1431"/>
    <cellStyle name="Accent2 3" xfId="1432"/>
    <cellStyle name="Accent2 3 2" xfId="1433"/>
    <cellStyle name="Accent2 3 2 2" xfId="1434"/>
    <cellStyle name="Accent2 3 3" xfId="1435"/>
    <cellStyle name="Accent2 4" xfId="1436"/>
    <cellStyle name="Accent2 4 2" xfId="1437"/>
    <cellStyle name="Accent2 5" xfId="1438"/>
    <cellStyle name="Accent3" xfId="1439"/>
    <cellStyle name="Accent3 2" xfId="1440"/>
    <cellStyle name="Accent3 2 2" xfId="1441"/>
    <cellStyle name="Accent3 2 2 2" xfId="1442"/>
    <cellStyle name="Accent3 2 3" xfId="1443"/>
    <cellStyle name="Accent3 3" xfId="1444"/>
    <cellStyle name="Accent3 3 2" xfId="1445"/>
    <cellStyle name="Accent3 3 2 2" xfId="1446"/>
    <cellStyle name="Accent3 3 3" xfId="1447"/>
    <cellStyle name="Accent3 4" xfId="1448"/>
    <cellStyle name="Accent3 4 2" xfId="1449"/>
    <cellStyle name="Accent3 5" xfId="1450"/>
    <cellStyle name="Accent4" xfId="1451"/>
    <cellStyle name="Accent4 2" xfId="1452"/>
    <cellStyle name="Accent4 2 2" xfId="1453"/>
    <cellStyle name="Accent4 2 2 2" xfId="1454"/>
    <cellStyle name="Accent4 2 3" xfId="1455"/>
    <cellStyle name="Accent4 3" xfId="1456"/>
    <cellStyle name="Accent4 3 2" xfId="1457"/>
    <cellStyle name="Accent4 3 2 2" xfId="1458"/>
    <cellStyle name="Accent4 3 3" xfId="1459"/>
    <cellStyle name="Accent4 4" xfId="1460"/>
    <cellStyle name="Accent4 4 2" xfId="1461"/>
    <cellStyle name="Accent4 5" xfId="1462"/>
    <cellStyle name="Accent5" xfId="1463"/>
    <cellStyle name="Accent5 2" xfId="1464"/>
    <cellStyle name="Accent5 2 2" xfId="1465"/>
    <cellStyle name="Accent5 2 2 2" xfId="1466"/>
    <cellStyle name="Accent5 2 3" xfId="1467"/>
    <cellStyle name="Accent5 3" xfId="1468"/>
    <cellStyle name="Accent5 3 2" xfId="1469"/>
    <cellStyle name="Accent5 3 2 2" xfId="1470"/>
    <cellStyle name="Accent5 3 3" xfId="1471"/>
    <cellStyle name="Accent5 4" xfId="1472"/>
    <cellStyle name="Accent5 4 2" xfId="1473"/>
    <cellStyle name="Accent5 5" xfId="1474"/>
    <cellStyle name="Accent6" xfId="1475"/>
    <cellStyle name="Accent6 2" xfId="1476"/>
    <cellStyle name="Accent6 2 2" xfId="1477"/>
    <cellStyle name="Accent6 2 2 2" xfId="1478"/>
    <cellStyle name="Accent6 2 3" xfId="1479"/>
    <cellStyle name="Accent6 3" xfId="1480"/>
    <cellStyle name="Accent6 3 2" xfId="1481"/>
    <cellStyle name="Accent6 3 2 2" xfId="1482"/>
    <cellStyle name="Accent6 3 3" xfId="1483"/>
    <cellStyle name="Accent6 4" xfId="1484"/>
    <cellStyle name="Accent6 4 2" xfId="1485"/>
    <cellStyle name="Accent6 5" xfId="1486"/>
    <cellStyle name="ÅëÈ­ [0]_laroux" xfId="1487"/>
    <cellStyle name="ÅëÈ­_laroux" xfId="1488"/>
    <cellStyle name="args.style" xfId="1489"/>
    <cellStyle name="ÄÞ¸¶ [0]_laroux" xfId="1490"/>
    <cellStyle name="ÄÞ¸¶_laroux" xfId="1491"/>
    <cellStyle name="AutoFormat Options" xfId="1492"/>
    <cellStyle name="Bad" xfId="1493"/>
    <cellStyle name="Bad 2" xfId="1494"/>
    <cellStyle name="Bad 2 2" xfId="1495"/>
    <cellStyle name="Bad 2 2 2" xfId="1496"/>
    <cellStyle name="Bad 2 3" xfId="1497"/>
    <cellStyle name="Bad 3" xfId="1498"/>
    <cellStyle name="Bad 3 2" xfId="1499"/>
    <cellStyle name="Bad 3 2 2" xfId="1500"/>
    <cellStyle name="Bad 3 3" xfId="1501"/>
    <cellStyle name="Bad 4" xfId="1502"/>
    <cellStyle name="Bad 4 2" xfId="1503"/>
    <cellStyle name="Bad 5" xfId="1504"/>
    <cellStyle name="Body" xfId="1505"/>
    <cellStyle name="BORDERS" xfId="1506"/>
    <cellStyle name="BORDERS 2" xfId="1507"/>
    <cellStyle name="BORDERS 2 2" xfId="1508"/>
    <cellStyle name="BORDERS 2 3" xfId="1509"/>
    <cellStyle name="BORDERS 2 3 2" xfId="1510"/>
    <cellStyle name="BORDERS 2 3 2 2" xfId="1511"/>
    <cellStyle name="BORDERS 2 3 3" xfId="1512"/>
    <cellStyle name="BORDERS 3" xfId="1513"/>
    <cellStyle name="BORDERS 3 2" xfId="1514"/>
    <cellStyle name="BORDERS 3 2 2" xfId="1515"/>
    <cellStyle name="BORDERS 3 3" xfId="1516"/>
    <cellStyle name="Ç¥ÁØ_ÀÎÀç°³¹ß¿ø" xfId="1517"/>
    <cellStyle name="Calc Currency (0)" xfId="1518"/>
    <cellStyle name="Calc Currency (0) 2" xfId="1519"/>
    <cellStyle name="Calc Currency (0) 2 2" xfId="1520"/>
    <cellStyle name="Calc Currency (0) 2 2 2" xfId="1521"/>
    <cellStyle name="Calc Currency (0) 2 2 2 2" xfId="1522"/>
    <cellStyle name="Calc Currency (0) 2 2 2 2 2" xfId="1523"/>
    <cellStyle name="Calc Currency (0) 2 2 2 3" xfId="1524"/>
    <cellStyle name="Calc Currency (0) 2 2 3" xfId="1525"/>
    <cellStyle name="Calc Currency (0) 2 2 3 2" xfId="1526"/>
    <cellStyle name="Calc Currency (0) 2 2 4" xfId="1527"/>
    <cellStyle name="Calc Currency (0) 2 2 5" xfId="1528"/>
    <cellStyle name="Calc Currency (0) 2 3" xfId="1529"/>
    <cellStyle name="Calc Currency (0) 2 3 2" xfId="1530"/>
    <cellStyle name="Calc Currency (0) 2 3 2 2" xfId="1531"/>
    <cellStyle name="Calc Currency (0) 2 3 3" xfId="1532"/>
    <cellStyle name="Calc Currency (0) 2 4" xfId="1533"/>
    <cellStyle name="Calc Currency (0) 2 4 2" xfId="1534"/>
    <cellStyle name="Calc Currency (0) 2 4 2 2" xfId="1535"/>
    <cellStyle name="Calc Currency (0) 2 4 3" xfId="1536"/>
    <cellStyle name="Calc Currency (0) 2 5" xfId="1537"/>
    <cellStyle name="Calc Currency (0) 2 5 2" xfId="1538"/>
    <cellStyle name="Calc Currency (0) 2 5 2 2" xfId="1539"/>
    <cellStyle name="Calc Currency (0) 2 5 3" xfId="1540"/>
    <cellStyle name="Calc Currency (0) 2 6" xfId="1541"/>
    <cellStyle name="Calc Currency (0) 2 6 2" xfId="1542"/>
    <cellStyle name="Calc Currency (0) 2 7" xfId="1543"/>
    <cellStyle name="Calc Currency (0) 2 8" xfId="1544"/>
    <cellStyle name="Calc Currency (0) 3" xfId="1545"/>
    <cellStyle name="Calc Currency (0) 3 2" xfId="1546"/>
    <cellStyle name="Calc Currency (0) 3 2 2" xfId="1547"/>
    <cellStyle name="Calc Currency (0) 3 2 2 2" xfId="1548"/>
    <cellStyle name="Calc Currency (0) 3 2 2 2 2" xfId="1549"/>
    <cellStyle name="Calc Currency (0) 3 2 2 3" xfId="1550"/>
    <cellStyle name="Calc Currency (0) 3 2 3" xfId="1551"/>
    <cellStyle name="Calc Currency (0) 3 2 3 2" xfId="1552"/>
    <cellStyle name="Calc Currency (0) 3 2 4" xfId="1553"/>
    <cellStyle name="Calc Currency (0) 3 2 5" xfId="1554"/>
    <cellStyle name="Calc Currency (0) 3 3" xfId="1555"/>
    <cellStyle name="Calc Currency (0) 3 3 2" xfId="1556"/>
    <cellStyle name="Calc Currency (0) 3 3 2 2" xfId="1557"/>
    <cellStyle name="Calc Currency (0) 3 3 3" xfId="1558"/>
    <cellStyle name="Calc Currency (0) 3 4" xfId="1559"/>
    <cellStyle name="Calc Currency (0) 3 4 2" xfId="1560"/>
    <cellStyle name="Calc Currency (0) 3 4 2 2" xfId="1561"/>
    <cellStyle name="Calc Currency (0) 3 4 3" xfId="1562"/>
    <cellStyle name="Calc Currency (0) 3 5" xfId="1563"/>
    <cellStyle name="Calc Currency (0) 3 5 2" xfId="1564"/>
    <cellStyle name="Calc Currency (0) 3 5 2 2" xfId="1565"/>
    <cellStyle name="Calc Currency (0) 3 5 3" xfId="1566"/>
    <cellStyle name="Calc Currency (0) 3 6" xfId="1567"/>
    <cellStyle name="Calc Currency (0) 3 6 2" xfId="1568"/>
    <cellStyle name="Calc Currency (0) 3 7" xfId="1569"/>
    <cellStyle name="Calc Currency (0) 3 8" xfId="1570"/>
    <cellStyle name="Calc Currency (0) 4" xfId="1571"/>
    <cellStyle name="Calc Currency (0) 4 2" xfId="1572"/>
    <cellStyle name="Calc Currency (0) 4 2 2" xfId="1573"/>
    <cellStyle name="Calc Currency (0) 4 2 2 2" xfId="1574"/>
    <cellStyle name="Calc Currency (0) 4 2 2 2 2" xfId="1575"/>
    <cellStyle name="Calc Currency (0) 4 2 2 3" xfId="1576"/>
    <cellStyle name="Calc Currency (0) 4 2 3" xfId="1577"/>
    <cellStyle name="Calc Currency (0) 4 2 3 2" xfId="1578"/>
    <cellStyle name="Calc Currency (0) 4 2 4" xfId="1579"/>
    <cellStyle name="Calc Currency (0) 4 2 5" xfId="1580"/>
    <cellStyle name="Calc Currency (0) 4 3" xfId="1581"/>
    <cellStyle name="Calc Currency (0) 4 3 2" xfId="1582"/>
    <cellStyle name="Calc Currency (0) 4 3 2 2" xfId="1583"/>
    <cellStyle name="Calc Currency (0) 4 3 3" xfId="1584"/>
    <cellStyle name="Calc Currency (0) 4 4" xfId="1585"/>
    <cellStyle name="Calc Currency (0) 4 4 2" xfId="1586"/>
    <cellStyle name="Calc Currency (0) 4 4 2 2" xfId="1587"/>
    <cellStyle name="Calc Currency (0) 4 4 3" xfId="1588"/>
    <cellStyle name="Calc Currency (0) 4 5" xfId="1589"/>
    <cellStyle name="Calc Currency (0) 4 5 2" xfId="1590"/>
    <cellStyle name="Calc Currency (0) 4 5 2 2" xfId="1591"/>
    <cellStyle name="Calc Currency (0) 4 5 3" xfId="1592"/>
    <cellStyle name="Calc Currency (0) 4 6" xfId="1593"/>
    <cellStyle name="Calc Currency (0) 4 6 2" xfId="1594"/>
    <cellStyle name="Calc Currency (0) 4 7" xfId="1595"/>
    <cellStyle name="Calc Currency (0) 4 8" xfId="1596"/>
    <cellStyle name="Calc Currency (0) 5" xfId="1597"/>
    <cellStyle name="Calc Currency (0) 6" xfId="1598"/>
    <cellStyle name="Calc Currency (0)_716投资估算10-08-05" xfId="1599"/>
    <cellStyle name="Calculation" xfId="1600"/>
    <cellStyle name="Calculation 2" xfId="1601"/>
    <cellStyle name="Calculation 2 2" xfId="1602"/>
    <cellStyle name="Calculation 2 2 2" xfId="1603"/>
    <cellStyle name="Calculation 2 3" xfId="1604"/>
    <cellStyle name="Calculation 3" xfId="1605"/>
    <cellStyle name="Calculation 3 2" xfId="1606"/>
    <cellStyle name="Calculation 3 2 2" xfId="1607"/>
    <cellStyle name="Calculation 3 3" xfId="1608"/>
    <cellStyle name="Calculation 4" xfId="1609"/>
    <cellStyle name="Calculation 4 2" xfId="1610"/>
    <cellStyle name="Calculation 5" xfId="1611"/>
    <cellStyle name="Check Cell" xfId="1612"/>
    <cellStyle name="Check Cell 2" xfId="1613"/>
    <cellStyle name="Check Cell 2 2" xfId="1614"/>
    <cellStyle name="Check Cell 2 2 2" xfId="1615"/>
    <cellStyle name="Check Cell 2 3" xfId="1616"/>
    <cellStyle name="Check Cell 3" xfId="1617"/>
    <cellStyle name="Check Cell 3 2" xfId="1618"/>
    <cellStyle name="Check Cell 3 2 2" xfId="1619"/>
    <cellStyle name="Check Cell 3 3" xfId="1620"/>
    <cellStyle name="Check Cell 4" xfId="1621"/>
    <cellStyle name="Check Cell 4 2" xfId="1622"/>
    <cellStyle name="Check Cell 5" xfId="1623"/>
    <cellStyle name="ColLevel_0" xfId="1624"/>
    <cellStyle name="Column_Title" xfId="1625"/>
    <cellStyle name="Comma  - Style1" xfId="1626"/>
    <cellStyle name="Comma  - Style2" xfId="1627"/>
    <cellStyle name="Comma  - Style3" xfId="1628"/>
    <cellStyle name="Comma  - Style4" xfId="1629"/>
    <cellStyle name="Comma  - Style5" xfId="1630"/>
    <cellStyle name="Comma  - Style6" xfId="1631"/>
    <cellStyle name="Comma  - Style7" xfId="1632"/>
    <cellStyle name="Comma  - Style8" xfId="1633"/>
    <cellStyle name="Comma [0]" xfId="1634"/>
    <cellStyle name="Comma [0] 2" xfId="1635"/>
    <cellStyle name="Comma [0] 2 2" xfId="1636"/>
    <cellStyle name="Comma [0] 2 2 2" xfId="1637"/>
    <cellStyle name="Comma [0] 2 3" xfId="1638"/>
    <cellStyle name="Comma [0] 2 3 2" xfId="1639"/>
    <cellStyle name="Comma [0] 2 4" xfId="1640"/>
    <cellStyle name="Comma [0] 2 5" xfId="1641"/>
    <cellStyle name="Comma [0] 3" xfId="1642"/>
    <cellStyle name="Comma [0] 3 2" xfId="1643"/>
    <cellStyle name="comma zerodec" xfId="1644"/>
    <cellStyle name="Comma_!!!GO" xfId="1645"/>
    <cellStyle name="Comma0 - Modelo1" xfId="1646"/>
    <cellStyle name="Comma0 - Modelo1 2" xfId="1647"/>
    <cellStyle name="Comma0 - Modelo1 2 2" xfId="1648"/>
    <cellStyle name="Comma0 - Modelo1 2 2 2" xfId="1649"/>
    <cellStyle name="Comma0 - Modelo1 2 3" xfId="1650"/>
    <cellStyle name="Comma0 - Modelo1 2 3 2" xfId="1651"/>
    <cellStyle name="Comma0 - Modelo1 2 4" xfId="1652"/>
    <cellStyle name="Comma0 - Modelo1 3" xfId="1653"/>
    <cellStyle name="Comma0 - Modelo1 4" xfId="1654"/>
    <cellStyle name="Comma0 - Style1" xfId="1655"/>
    <cellStyle name="Comma1 - Modelo2" xfId="1656"/>
    <cellStyle name="Comma1 - Modelo2 2" xfId="1657"/>
    <cellStyle name="Comma1 - Modelo2 2 2" xfId="1658"/>
    <cellStyle name="Comma1 - Modelo2 2 2 2" xfId="1659"/>
    <cellStyle name="Comma1 - Modelo2 2 3" xfId="1660"/>
    <cellStyle name="Comma1 - Modelo2 2 3 2" xfId="1661"/>
    <cellStyle name="Comma1 - Modelo2 2 4" xfId="1662"/>
    <cellStyle name="Comma1 - Modelo2 3" xfId="1663"/>
    <cellStyle name="Comma1 - Modelo2 4" xfId="1664"/>
    <cellStyle name="Comma1 - Style2" xfId="1665"/>
    <cellStyle name="Currency [0]" xfId="1666"/>
    <cellStyle name="Currency [0] 2" xfId="1667"/>
    <cellStyle name="Currency [0] 2 2" xfId="1668"/>
    <cellStyle name="Currency [0] 2 2 2" xfId="1669"/>
    <cellStyle name="Currency [0] 2 3" xfId="1670"/>
    <cellStyle name="Currency [0] 2 3 2" xfId="1671"/>
    <cellStyle name="Currency [0] 2 4" xfId="1672"/>
    <cellStyle name="Currency [0] 2 5" xfId="1673"/>
    <cellStyle name="Currency [0] 3" xfId="1674"/>
    <cellStyle name="Currency [0] 4" xfId="1675"/>
    <cellStyle name="Currency [0] 4 2" xfId="1676"/>
    <cellStyle name="Currency_!!!GO" xfId="1677"/>
    <cellStyle name="Currency1" xfId="1678"/>
    <cellStyle name="Date" xfId="1679"/>
    <cellStyle name="Date 2" xfId="1680"/>
    <cellStyle name="Date 3" xfId="1681"/>
    <cellStyle name="Dia" xfId="1682"/>
    <cellStyle name="Dollar (zero dec)" xfId="1683"/>
    <cellStyle name="Encabez1" xfId="1684"/>
    <cellStyle name="Encabez2" xfId="1685"/>
    <cellStyle name="entry box" xfId="1686"/>
    <cellStyle name="Explanatory Text" xfId="1687"/>
    <cellStyle name="Explanatory Text 2" xfId="1688"/>
    <cellStyle name="Explanatory Text 2 2" xfId="1689"/>
    <cellStyle name="Explanatory Text 2 2 2" xfId="1690"/>
    <cellStyle name="Explanatory Text 2 3" xfId="1691"/>
    <cellStyle name="Explanatory Text 3" xfId="1692"/>
    <cellStyle name="Explanatory Text 3 2" xfId="1693"/>
    <cellStyle name="Explanatory Text 3 2 2" xfId="1694"/>
    <cellStyle name="Explanatory Text 3 3" xfId="1695"/>
    <cellStyle name="Explanatory Text 4" xfId="1696"/>
    <cellStyle name="Explanatory Text 4 2" xfId="1697"/>
    <cellStyle name="Explanatory Text 5" xfId="1698"/>
    <cellStyle name="F2" xfId="1699"/>
    <cellStyle name="F3" xfId="1700"/>
    <cellStyle name="F4" xfId="1701"/>
    <cellStyle name="F5" xfId="1702"/>
    <cellStyle name="F6" xfId="1703"/>
    <cellStyle name="F7" xfId="1704"/>
    <cellStyle name="F8" xfId="1705"/>
    <cellStyle name="Fijo" xfId="1706"/>
    <cellStyle name="Financiero" xfId="1707"/>
    <cellStyle name="Good" xfId="1708"/>
    <cellStyle name="Good 2" xfId="1709"/>
    <cellStyle name="Good 2 2" xfId="1710"/>
    <cellStyle name="Good 2 2 2" xfId="1711"/>
    <cellStyle name="Good 2 3" xfId="1712"/>
    <cellStyle name="Good 3" xfId="1713"/>
    <cellStyle name="Good 3 2" xfId="1714"/>
    <cellStyle name="Good 3 2 2" xfId="1715"/>
    <cellStyle name="Good 3 3" xfId="1716"/>
    <cellStyle name="Good 4" xfId="1717"/>
    <cellStyle name="Good 4 2" xfId="1718"/>
    <cellStyle name="Good 5" xfId="1719"/>
    <cellStyle name="Grey" xfId="1720"/>
    <cellStyle name="Grey 2" xfId="1721"/>
    <cellStyle name="Grey 3" xfId="1722"/>
    <cellStyle name="HEADER" xfId="1723"/>
    <cellStyle name="Header1" xfId="1724"/>
    <cellStyle name="Header2" xfId="1725"/>
    <cellStyle name="Heading 1" xfId="1726"/>
    <cellStyle name="Heading 1 2" xfId="1727"/>
    <cellStyle name="Heading 1 2 2" xfId="1728"/>
    <cellStyle name="Heading 1 2 2 2" xfId="1729"/>
    <cellStyle name="Heading 1 2 3" xfId="1730"/>
    <cellStyle name="Heading 1 3" xfId="1731"/>
    <cellStyle name="Heading 1 3 2" xfId="1732"/>
    <cellStyle name="Heading 1 3 2 2" xfId="1733"/>
    <cellStyle name="Heading 1 3 3" xfId="1734"/>
    <cellStyle name="Heading 1 4" xfId="1735"/>
    <cellStyle name="Heading 1 4 2" xfId="1736"/>
    <cellStyle name="Heading 1 5" xfId="1737"/>
    <cellStyle name="Heading 2" xfId="1738"/>
    <cellStyle name="Heading 2 2" xfId="1739"/>
    <cellStyle name="Heading 2 2 2" xfId="1740"/>
    <cellStyle name="Heading 2 2 2 2" xfId="1741"/>
    <cellStyle name="Heading 2 2 3" xfId="1742"/>
    <cellStyle name="Heading 2 3" xfId="1743"/>
    <cellStyle name="Heading 2 3 2" xfId="1744"/>
    <cellStyle name="Heading 2 3 2 2" xfId="1745"/>
    <cellStyle name="Heading 2 3 3" xfId="1746"/>
    <cellStyle name="Heading 2 4" xfId="1747"/>
    <cellStyle name="Heading 2 4 2" xfId="1748"/>
    <cellStyle name="Heading 2 5" xfId="1749"/>
    <cellStyle name="Heading 3" xfId="1750"/>
    <cellStyle name="Heading 3 2" xfId="1751"/>
    <cellStyle name="Heading 3 2 2" xfId="1752"/>
    <cellStyle name="Heading 3 2 2 2" xfId="1753"/>
    <cellStyle name="Heading 3 2 3" xfId="1754"/>
    <cellStyle name="Heading 3 3" xfId="1755"/>
    <cellStyle name="Heading 3 3 2" xfId="1756"/>
    <cellStyle name="Heading 3 3 2 2" xfId="1757"/>
    <cellStyle name="Heading 3 3 3" xfId="1758"/>
    <cellStyle name="Heading 3 4" xfId="1759"/>
    <cellStyle name="Heading 3 4 2" xfId="1760"/>
    <cellStyle name="Heading 3 5" xfId="1761"/>
    <cellStyle name="Heading 4" xfId="1762"/>
    <cellStyle name="Heading 4 2" xfId="1763"/>
    <cellStyle name="Heading 4 2 2" xfId="1764"/>
    <cellStyle name="Heading 4 2 2 2" xfId="1765"/>
    <cellStyle name="Heading 4 2 3" xfId="1766"/>
    <cellStyle name="Heading 4 3" xfId="1767"/>
    <cellStyle name="Heading 4 3 2" xfId="1768"/>
    <cellStyle name="Heading 4 3 2 2" xfId="1769"/>
    <cellStyle name="Heading 4 3 3" xfId="1770"/>
    <cellStyle name="Heading 4 4" xfId="1771"/>
    <cellStyle name="Heading 4 4 2" xfId="1772"/>
    <cellStyle name="Heading 4 5" xfId="1773"/>
    <cellStyle name="Input" xfId="1774"/>
    <cellStyle name="Input [yellow]" xfId="1775"/>
    <cellStyle name="Input [yellow] 2" xfId="1776"/>
    <cellStyle name="Input [yellow] 3" xfId="1777"/>
    <cellStyle name="Input 10" xfId="1778"/>
    <cellStyle name="Input 11" xfId="1779"/>
    <cellStyle name="Input 12" xfId="1780"/>
    <cellStyle name="Input 13" xfId="1781"/>
    <cellStyle name="Input 2" xfId="1782"/>
    <cellStyle name="Input 2 2" xfId="1783"/>
    <cellStyle name="Input 2 2 2" xfId="1784"/>
    <cellStyle name="Input 2 3" xfId="1785"/>
    <cellStyle name="Input 3" xfId="1786"/>
    <cellStyle name="Input 3 2" xfId="1787"/>
    <cellStyle name="Input 3 2 2" xfId="1788"/>
    <cellStyle name="Input 3 3" xfId="1789"/>
    <cellStyle name="Input 4" xfId="1790"/>
    <cellStyle name="Input 4 2" xfId="1791"/>
    <cellStyle name="Input 5" xfId="1792"/>
    <cellStyle name="Input 5 2" xfId="1793"/>
    <cellStyle name="Input 6" xfId="1794"/>
    <cellStyle name="Input 6 2" xfId="1795"/>
    <cellStyle name="Input 7" xfId="1796"/>
    <cellStyle name="Input 7 2" xfId="1797"/>
    <cellStyle name="Input 8" xfId="1798"/>
    <cellStyle name="Input 8 2" xfId="1799"/>
    <cellStyle name="Input 9" xfId="1800"/>
    <cellStyle name="Input Cells" xfId="1801"/>
    <cellStyle name="Input Cells 2" xfId="1802"/>
    <cellStyle name="Input Cells 3" xfId="1803"/>
    <cellStyle name="Jun" xfId="1804"/>
    <cellStyle name="Linked Cell" xfId="1805"/>
    <cellStyle name="Linked Cell 2" xfId="1806"/>
    <cellStyle name="Linked Cell 2 2" xfId="1807"/>
    <cellStyle name="Linked Cell 2 2 2" xfId="1808"/>
    <cellStyle name="Linked Cell 2 3" xfId="1809"/>
    <cellStyle name="Linked Cell 3" xfId="1810"/>
    <cellStyle name="Linked Cell 3 2" xfId="1811"/>
    <cellStyle name="Linked Cell 3 2 2" xfId="1812"/>
    <cellStyle name="Linked Cell 3 3" xfId="1813"/>
    <cellStyle name="Linked Cell 4" xfId="1814"/>
    <cellStyle name="Linked Cell 4 2" xfId="1815"/>
    <cellStyle name="Linked Cell 5" xfId="1816"/>
    <cellStyle name="Linked Cells" xfId="1817"/>
    <cellStyle name="Linked Cells 2" xfId="1818"/>
    <cellStyle name="Linked Cells 3" xfId="1819"/>
    <cellStyle name="Millares [0]_10 AVERIAS MASIVAS + ANT" xfId="1820"/>
    <cellStyle name="Millares_10 AVERIAS MASIVAS + ANT" xfId="1821"/>
    <cellStyle name="Milliers [0]_!!!GO" xfId="1822"/>
    <cellStyle name="Milliers_!!!GO" xfId="1823"/>
    <cellStyle name="Model" xfId="1824"/>
    <cellStyle name="Moneda [0]_10 AVERIAS MASIVAS + ANT" xfId="1825"/>
    <cellStyle name="Moneda_10 AVERIAS MASIVAS + ANT" xfId="1826"/>
    <cellStyle name="Monetario" xfId="1827"/>
    <cellStyle name="Mon閠aire [0]_!!!GO" xfId="1828"/>
    <cellStyle name="Mon閠aire_!!!GO" xfId="1829"/>
    <cellStyle name="Neutral" xfId="1830"/>
    <cellStyle name="Neutral 2" xfId="1831"/>
    <cellStyle name="Neutral 2 2" xfId="1832"/>
    <cellStyle name="Neutral 2 2 2" xfId="1833"/>
    <cellStyle name="Neutral 2 3" xfId="1834"/>
    <cellStyle name="Neutral 3" xfId="1835"/>
    <cellStyle name="Neutral 3 2" xfId="1836"/>
    <cellStyle name="Neutral 3 2 2" xfId="1837"/>
    <cellStyle name="Neutral 3 3" xfId="1838"/>
    <cellStyle name="Neutral 4" xfId="1839"/>
    <cellStyle name="Neutral 4 2" xfId="1840"/>
    <cellStyle name="Neutral 5" xfId="1841"/>
    <cellStyle name="New Times Roman" xfId="1842"/>
    <cellStyle name="New Times Roman 2" xfId="1843"/>
    <cellStyle name="New Times Roman 3" xfId="1844"/>
    <cellStyle name="no dec" xfId="1845"/>
    <cellStyle name="Normal - Style1" xfId="1846"/>
    <cellStyle name="Normal - Style1 2" xfId="1847"/>
    <cellStyle name="Normal_!!!GO" xfId="1848"/>
    <cellStyle name="Normalny_Arkusz1" xfId="1849"/>
    <cellStyle name="Note" xfId="1850"/>
    <cellStyle name="Output" xfId="1851"/>
    <cellStyle name="Output 2" xfId="1852"/>
    <cellStyle name="Output 2 2" xfId="1853"/>
    <cellStyle name="Output 2 2 2" xfId="1854"/>
    <cellStyle name="Output 2 3" xfId="1855"/>
    <cellStyle name="Output 3" xfId="1856"/>
    <cellStyle name="Output 3 2" xfId="1857"/>
    <cellStyle name="Output 3 2 2" xfId="1858"/>
    <cellStyle name="Output 3 3" xfId="1859"/>
    <cellStyle name="Output 4" xfId="1860"/>
    <cellStyle name="Output 4 2" xfId="1861"/>
    <cellStyle name="Output 5" xfId="1862"/>
    <cellStyle name="per.style" xfId="1863"/>
    <cellStyle name="Percent [2]" xfId="1864"/>
    <cellStyle name="Percent [2] 2" xfId="1865"/>
    <cellStyle name="Percent [2] 2 2" xfId="1866"/>
    <cellStyle name="Percent [2] 2 2 2" xfId="1867"/>
    <cellStyle name="Percent [2] 2 3" xfId="1868"/>
    <cellStyle name="Percent [2] 3" xfId="1869"/>
    <cellStyle name="Percent [2] 3 2" xfId="1870"/>
    <cellStyle name="Percent [2] 3 2 2" xfId="1871"/>
    <cellStyle name="Percent [2] 3 3" xfId="1872"/>
    <cellStyle name="Percent_!!!GO" xfId="1873"/>
    <cellStyle name="Porcentaje" xfId="1874"/>
    <cellStyle name="Pourcentage_pldt" xfId="1875"/>
    <cellStyle name="Prefilled" xfId="1876"/>
    <cellStyle name="Price Header" xfId="1877"/>
    <cellStyle name="prods" xfId="1878"/>
    <cellStyle name="prods 2" xfId="1879"/>
    <cellStyle name="prods 3" xfId="1880"/>
    <cellStyle name="PSChar" xfId="1881"/>
    <cellStyle name="PSChar 2" xfId="1882"/>
    <cellStyle name="PSChar 2 2" xfId="1883"/>
    <cellStyle name="PSChar 2 2 2" xfId="1884"/>
    <cellStyle name="PSChar 2 3" xfId="1885"/>
    <cellStyle name="PSChar 3" xfId="1886"/>
    <cellStyle name="PSChar 3 2" xfId="1887"/>
    <cellStyle name="PSChar 3 2 2" xfId="1888"/>
    <cellStyle name="PSChar 3 3" xfId="1889"/>
    <cellStyle name="PSDate" xfId="1890"/>
    <cellStyle name="PSDate 2" xfId="1891"/>
    <cellStyle name="PSDate 2 2" xfId="1892"/>
    <cellStyle name="PSDate 2 2 2" xfId="1893"/>
    <cellStyle name="PSDate 2 3" xfId="1894"/>
    <cellStyle name="PSDate 3" xfId="1895"/>
    <cellStyle name="PSDate 3 2" xfId="1896"/>
    <cellStyle name="PSDate 3 2 2" xfId="1897"/>
    <cellStyle name="PSDate 3 3" xfId="1898"/>
    <cellStyle name="PSDec" xfId="1899"/>
    <cellStyle name="PSDec 2" xfId="1900"/>
    <cellStyle name="PSDec 2 2" xfId="1901"/>
    <cellStyle name="PSDec 2 2 2" xfId="1902"/>
    <cellStyle name="PSDec 2 3" xfId="1903"/>
    <cellStyle name="PSDec 3" xfId="1904"/>
    <cellStyle name="PSDec 3 2" xfId="1905"/>
    <cellStyle name="PSDec 3 2 2" xfId="1906"/>
    <cellStyle name="PSDec 3 3" xfId="1907"/>
    <cellStyle name="PSHeading" xfId="1908"/>
    <cellStyle name="PSInt" xfId="1909"/>
    <cellStyle name="PSInt 2" xfId="1910"/>
    <cellStyle name="PSInt 2 2" xfId="1911"/>
    <cellStyle name="PSInt 2 2 2" xfId="1912"/>
    <cellStyle name="PSInt 2 3" xfId="1913"/>
    <cellStyle name="PSInt 3" xfId="1914"/>
    <cellStyle name="PSInt 3 2" xfId="1915"/>
    <cellStyle name="PSInt 3 2 2" xfId="1916"/>
    <cellStyle name="PSInt 3 3" xfId="1917"/>
    <cellStyle name="PSSpacer" xfId="1918"/>
    <cellStyle name="PSSpacer 2" xfId="1919"/>
    <cellStyle name="PSSpacer 2 2" xfId="1920"/>
    <cellStyle name="PSSpacer 2 2 2" xfId="1921"/>
    <cellStyle name="PSSpacer 2 3" xfId="1922"/>
    <cellStyle name="PSSpacer 3" xfId="1923"/>
    <cellStyle name="PSSpacer 3 2" xfId="1924"/>
    <cellStyle name="PSSpacer 3 2 2" xfId="1925"/>
    <cellStyle name="PSSpacer 3 3" xfId="1926"/>
    <cellStyle name="RM" xfId="1927"/>
    <cellStyle name="RowLevel_0" xfId="1928"/>
    <cellStyle name="shade" xfId="1929"/>
    <cellStyle name="shade 2" xfId="1930"/>
    <cellStyle name="shade 2 2" xfId="1931"/>
    <cellStyle name="shade 2 3" xfId="1932"/>
    <cellStyle name="shade 3" xfId="1933"/>
    <cellStyle name="shade 4" xfId="1934"/>
    <cellStyle name="sstot" xfId="1935"/>
    <cellStyle name="ST_01" xfId="1936"/>
    <cellStyle name="Standard_AREAS" xfId="1937"/>
    <cellStyle name="Style 1" xfId="1938"/>
    <cellStyle name="subhead" xfId="1939"/>
    <cellStyle name="t" xfId="1940"/>
    <cellStyle name="t_HVAC Equipment (3)" xfId="1941"/>
    <cellStyle name="Title" xfId="1942"/>
    <cellStyle name="Title 2" xfId="1943"/>
    <cellStyle name="Total" xfId="1944"/>
    <cellStyle name="Total 2" xfId="1945"/>
    <cellStyle name="Total 2 2" xfId="1946"/>
    <cellStyle name="Total 2 2 2" xfId="1947"/>
    <cellStyle name="Total 2 2 2 2" xfId="1948"/>
    <cellStyle name="Total 2 2 3" xfId="1949"/>
    <cellStyle name="Total 2 3" xfId="1950"/>
    <cellStyle name="Total 2 4" xfId="1951"/>
    <cellStyle name="Total 2 4 2" xfId="1952"/>
    <cellStyle name="Total 2 5" xfId="1953"/>
    <cellStyle name="Total 3" xfId="1954"/>
    <cellStyle name="Total 3 2" xfId="1955"/>
    <cellStyle name="Total 3 2 2" xfId="1956"/>
    <cellStyle name="Total 3 3" xfId="1957"/>
    <cellStyle name="Total 4" xfId="1958"/>
    <cellStyle name="Total 4 2" xfId="1959"/>
    <cellStyle name="Total 4 2 2" xfId="1960"/>
    <cellStyle name="Total 4 3" xfId="1961"/>
    <cellStyle name="Warning Text" xfId="1962"/>
    <cellStyle name="Warning Text 2" xfId="1963"/>
    <cellStyle name="Warning Text 2 2" xfId="1964"/>
    <cellStyle name="Warning Text 2 2 2" xfId="1965"/>
    <cellStyle name="Warning Text 2 3" xfId="1966"/>
    <cellStyle name="Warning Text 3" xfId="1967"/>
    <cellStyle name="Warning Text 3 2" xfId="1968"/>
    <cellStyle name="Warning Text 3 2 2" xfId="1969"/>
    <cellStyle name="Warning Text 3 3" xfId="1970"/>
    <cellStyle name="Warning Text 4" xfId="1971"/>
    <cellStyle name="Warning Text 4 2" xfId="1972"/>
    <cellStyle name="Warning Text 5" xfId="1973"/>
    <cellStyle name="ปกติ_11wq42" xfId="1974"/>
    <cellStyle name="百分比 10" xfId="1975"/>
    <cellStyle name="百分比 10 2" xfId="1976"/>
    <cellStyle name="百分比 10 2 2" xfId="1977"/>
    <cellStyle name="百分比 10 3" xfId="1978"/>
    <cellStyle name="百分比 11" xfId="1979"/>
    <cellStyle name="百分比 11 2" xfId="1980"/>
    <cellStyle name="百分比 12" xfId="1981"/>
    <cellStyle name="百分比 12 2" xfId="1982"/>
    <cellStyle name="百分比 13" xfId="1983"/>
    <cellStyle name="百分比 13 2" xfId="1984"/>
    <cellStyle name="百分比 14" xfId="1985"/>
    <cellStyle name="百分比 15" xfId="1986"/>
    <cellStyle name="百分比 2" xfId="1987"/>
    <cellStyle name="百分比 2 2" xfId="1988"/>
    <cellStyle name="百分比 2 2 2" xfId="1989"/>
    <cellStyle name="百分比 2 2 2 2" xfId="1990"/>
    <cellStyle name="百分比 2 2 2 2 2" xfId="1991"/>
    <cellStyle name="百分比 2 2 2 2 2 2" xfId="1992"/>
    <cellStyle name="百分比 2 2 2 2 3" xfId="1993"/>
    <cellStyle name="百分比 2 2 2 3" xfId="1994"/>
    <cellStyle name="百分比 2 2 2 3 2" xfId="1995"/>
    <cellStyle name="百分比 2 2 2 4" xfId="1996"/>
    <cellStyle name="百分比 2 2 3" xfId="1997"/>
    <cellStyle name="百分比 2 2 3 2" xfId="1998"/>
    <cellStyle name="百分比 2 2 3 2 2" xfId="1999"/>
    <cellStyle name="百分比 2 2 3 3" xfId="2000"/>
    <cellStyle name="百分比 2 2 4" xfId="2001"/>
    <cellStyle name="百分比 2 2 4 2" xfId="2002"/>
    <cellStyle name="百分比 2 2 4 2 2" xfId="2003"/>
    <cellStyle name="百分比 2 2 4 2 2 2" xfId="2004"/>
    <cellStyle name="百分比 2 2 4 2 3" xfId="2005"/>
    <cellStyle name="百分比 2 2 4 3" xfId="2006"/>
    <cellStyle name="百分比 2 2 4 3 2" xfId="2007"/>
    <cellStyle name="百分比 2 2 4 4" xfId="2008"/>
    <cellStyle name="百分比 2 2 5" xfId="2009"/>
    <cellStyle name="百分比 2 2 5 2" xfId="2010"/>
    <cellStyle name="百分比 2 2 5 2 2" xfId="2011"/>
    <cellStyle name="百分比 2 2 5 3" xfId="2012"/>
    <cellStyle name="百分比 2 2 6" xfId="2013"/>
    <cellStyle name="百分比 2 2 6 2" xfId="2014"/>
    <cellStyle name="百分比 2 2 7" xfId="2015"/>
    <cellStyle name="百分比 2 2 8" xfId="2016"/>
    <cellStyle name="百分比 2 3" xfId="2017"/>
    <cellStyle name="百分比 2 3 2" xfId="2018"/>
    <cellStyle name="百分比 2 3 2 2" xfId="2019"/>
    <cellStyle name="百分比 2 3 2 2 2" xfId="2020"/>
    <cellStyle name="百分比 2 3 2 3" xfId="2021"/>
    <cellStyle name="百分比 2 3 3" xfId="2022"/>
    <cellStyle name="百分比 2 3 3 2" xfId="2023"/>
    <cellStyle name="百分比 2 3 3 2 2" xfId="2024"/>
    <cellStyle name="百分比 2 3 3 3" xfId="2025"/>
    <cellStyle name="百分比 2 3 4" xfId="2026"/>
    <cellStyle name="百分比 2 3 4 2" xfId="2027"/>
    <cellStyle name="百分比 2 3 5" xfId="2028"/>
    <cellStyle name="百分比 2 4" xfId="2029"/>
    <cellStyle name="百分比 2 4 2" xfId="2030"/>
    <cellStyle name="百分比 2 4 2 2" xfId="2031"/>
    <cellStyle name="百分比 2 4 3" xfId="2032"/>
    <cellStyle name="百分比 2 5" xfId="2033"/>
    <cellStyle name="百分比 2 5 2" xfId="2034"/>
    <cellStyle name="百分比 2 5 2 2" xfId="2035"/>
    <cellStyle name="百分比 2 5 2 2 2" xfId="2036"/>
    <cellStyle name="百分比 2 5 2 3" xfId="2037"/>
    <cellStyle name="百分比 2 5 3" xfId="2038"/>
    <cellStyle name="百分比 2 5 3 2" xfId="2039"/>
    <cellStyle name="百分比 2 5 3 2 2" xfId="2040"/>
    <cellStyle name="百分比 2 5 3 3" xfId="2041"/>
    <cellStyle name="百分比 2 5 4" xfId="2042"/>
    <cellStyle name="百分比 2 5 4 2" xfId="2043"/>
    <cellStyle name="百分比 2 5 5" xfId="2044"/>
    <cellStyle name="百分比 2 6" xfId="2045"/>
    <cellStyle name="百分比 2 6 2" xfId="2046"/>
    <cellStyle name="百分比 2 7" xfId="2047"/>
    <cellStyle name="百分比 2 7 2" xfId="2048"/>
    <cellStyle name="百分比 2 8" xfId="2049"/>
    <cellStyle name="百分比 2 9" xfId="2050"/>
    <cellStyle name="百分比 3" xfId="2051"/>
    <cellStyle name="百分比 3 10" xfId="2052"/>
    <cellStyle name="百分比 3 11" xfId="2053"/>
    <cellStyle name="百分比 3 2" xfId="2054"/>
    <cellStyle name="百分比 3 2 2" xfId="2055"/>
    <cellStyle name="百分比 3 2 2 2" xfId="2056"/>
    <cellStyle name="百分比 3 2 2 2 2" xfId="2057"/>
    <cellStyle name="百分比 3 2 2 3" xfId="2058"/>
    <cellStyle name="百分比 3 2 3" xfId="2059"/>
    <cellStyle name="百分比 3 2 3 2" xfId="2060"/>
    <cellStyle name="百分比 3 2 3 2 2" xfId="2061"/>
    <cellStyle name="百分比 3 2 3 3" xfId="2062"/>
    <cellStyle name="百分比 3 2 4" xfId="2063"/>
    <cellStyle name="百分比 3 2 4 2" xfId="2064"/>
    <cellStyle name="百分比 3 2 5" xfId="2065"/>
    <cellStyle name="百分比 3 2 6" xfId="2066"/>
    <cellStyle name="百分比 3 3" xfId="2067"/>
    <cellStyle name="百分比 3 3 2" xfId="2068"/>
    <cellStyle name="百分比 3 3 2 2" xfId="2069"/>
    <cellStyle name="百分比 3 3 3" xfId="2070"/>
    <cellStyle name="百分比 3 4" xfId="2071"/>
    <cellStyle name="百分比 3 4 2" xfId="2072"/>
    <cellStyle name="百分比 3 4 2 2" xfId="2073"/>
    <cellStyle name="百分比 3 4 3" xfId="2074"/>
    <cellStyle name="百分比 3 5" xfId="2075"/>
    <cellStyle name="百分比 3 5 2" xfId="2076"/>
    <cellStyle name="百分比 3 5 2 2" xfId="2077"/>
    <cellStyle name="百分比 3 5 3" xfId="2078"/>
    <cellStyle name="百分比 3 6" xfId="2079"/>
    <cellStyle name="百分比 3 6 2" xfId="2080"/>
    <cellStyle name="百分比 3 6 2 2" xfId="2081"/>
    <cellStyle name="百分比 3 6 3" xfId="2082"/>
    <cellStyle name="百分比 3 7" xfId="2083"/>
    <cellStyle name="百分比 3 7 2" xfId="2084"/>
    <cellStyle name="百分比 3 7 2 2" xfId="2085"/>
    <cellStyle name="百分比 3 7 2 2 2" xfId="2086"/>
    <cellStyle name="百分比 3 7 2 3" xfId="2087"/>
    <cellStyle name="百分比 3 7 3" xfId="2088"/>
    <cellStyle name="百分比 3 7 3 2" xfId="2089"/>
    <cellStyle name="百分比 3 7 3 2 2" xfId="2090"/>
    <cellStyle name="百分比 3 7 3 3" xfId="2091"/>
    <cellStyle name="百分比 3 7 4" xfId="2092"/>
    <cellStyle name="百分比 3 7 4 2" xfId="2093"/>
    <cellStyle name="百分比 3 7 5" xfId="2094"/>
    <cellStyle name="百分比 3 8" xfId="2095"/>
    <cellStyle name="百分比 3 8 2" xfId="2096"/>
    <cellStyle name="百分比 3 8 2 2" xfId="2097"/>
    <cellStyle name="百分比 3 8 3" xfId="2098"/>
    <cellStyle name="百分比 3 9" xfId="2099"/>
    <cellStyle name="百分比 3 9 2" xfId="2100"/>
    <cellStyle name="百分比 4" xfId="2101"/>
    <cellStyle name="百分比 4 2" xfId="2102"/>
    <cellStyle name="百分比 4 2 2" xfId="2103"/>
    <cellStyle name="百分比 4 2 2 2" xfId="2104"/>
    <cellStyle name="百分比 4 2 2 2 2" xfId="2105"/>
    <cellStyle name="百分比 4 2 2 3" xfId="2106"/>
    <cellStyle name="百分比 4 2 2 4" xfId="2107"/>
    <cellStyle name="百分比 4 2 3" xfId="2108"/>
    <cellStyle name="百分比 4 2 3 2" xfId="2109"/>
    <cellStyle name="百分比 4 2 3 2 2" xfId="2110"/>
    <cellStyle name="百分比 4 2 3 3" xfId="2111"/>
    <cellStyle name="百分比 4 2 4" xfId="2112"/>
    <cellStyle name="百分比 4 2 4 2" xfId="2113"/>
    <cellStyle name="百分比 4 2 5" xfId="2114"/>
    <cellStyle name="百分比 4 2 5 2" xfId="2115"/>
    <cellStyle name="百分比 4 2 6" xfId="2116"/>
    <cellStyle name="百分比 4 2 7" xfId="2117"/>
    <cellStyle name="百分比 4 3" xfId="2118"/>
    <cellStyle name="百分比 4 3 2" xfId="2119"/>
    <cellStyle name="百分比 4 3 2 2" xfId="2120"/>
    <cellStyle name="百分比 4 3 3" xfId="2121"/>
    <cellStyle name="百分比 4 4" xfId="2122"/>
    <cellStyle name="百分比 4 4 2" xfId="2123"/>
    <cellStyle name="百分比 4 4 2 2" xfId="2124"/>
    <cellStyle name="百分比 4 4 2 2 2" xfId="2125"/>
    <cellStyle name="百分比 4 4 2 3" xfId="2126"/>
    <cellStyle name="百分比 4 4 3" xfId="2127"/>
    <cellStyle name="百分比 4 4 3 2" xfId="2128"/>
    <cellStyle name="百分比 4 4 4" xfId="2129"/>
    <cellStyle name="百分比 4 5" xfId="2130"/>
    <cellStyle name="百分比 4 5 2" xfId="2131"/>
    <cellStyle name="百分比 4 5 2 2" xfId="2132"/>
    <cellStyle name="百分比 4 5 2 2 2" xfId="2133"/>
    <cellStyle name="百分比 4 5 2 3" xfId="2134"/>
    <cellStyle name="百分比 4 5 3" xfId="2135"/>
    <cellStyle name="百分比 4 5 3 2" xfId="2136"/>
    <cellStyle name="百分比 4 5 3 2 2" xfId="2137"/>
    <cellStyle name="百分比 4 5 3 3" xfId="2138"/>
    <cellStyle name="百分比 4 5 4" xfId="2139"/>
    <cellStyle name="百分比 4 5 4 2" xfId="2140"/>
    <cellStyle name="百分比 4 5 5" xfId="2141"/>
    <cellStyle name="百分比 4 6" xfId="2142"/>
    <cellStyle name="百分比 4 6 2" xfId="2143"/>
    <cellStyle name="百分比 4 6 2 2" xfId="2144"/>
    <cellStyle name="百分比 4 6 2 2 2" xfId="2145"/>
    <cellStyle name="百分比 4 6 2 3" xfId="2146"/>
    <cellStyle name="百分比 4 6 3" xfId="2147"/>
    <cellStyle name="百分比 4 6 3 2" xfId="2148"/>
    <cellStyle name="百分比 4 6 3 2 2" xfId="2149"/>
    <cellStyle name="百分比 4 6 3 3" xfId="2150"/>
    <cellStyle name="百分比 4 6 4" xfId="2151"/>
    <cellStyle name="百分比 4 6 4 2" xfId="2152"/>
    <cellStyle name="百分比 4 6 5" xfId="2153"/>
    <cellStyle name="百分比 4 7" xfId="2154"/>
    <cellStyle name="百分比 4 7 2" xfId="2155"/>
    <cellStyle name="百分比 4 8" xfId="2156"/>
    <cellStyle name="百分比 4 9" xfId="2157"/>
    <cellStyle name="百分比 5" xfId="2158"/>
    <cellStyle name="百分比 5 2" xfId="2159"/>
    <cellStyle name="百分比 5 2 2" xfId="2160"/>
    <cellStyle name="百分比 5 2 2 2" xfId="2161"/>
    <cellStyle name="百分比 5 2 2 2 2" xfId="2162"/>
    <cellStyle name="百分比 5 2 2 3" xfId="2163"/>
    <cellStyle name="百分比 5 2 3" xfId="2164"/>
    <cellStyle name="百分比 5 2 3 2" xfId="2165"/>
    <cellStyle name="百分比 5 2 4" xfId="2166"/>
    <cellStyle name="百分比 5 2 4 2" xfId="2167"/>
    <cellStyle name="百分比 5 2 5" xfId="2168"/>
    <cellStyle name="百分比 5 2 6" xfId="2169"/>
    <cellStyle name="百分比 5 3" xfId="2170"/>
    <cellStyle name="百分比 5 3 2" xfId="2171"/>
    <cellStyle name="百分比 5 3 2 2" xfId="2172"/>
    <cellStyle name="百分比 5 3 2 2 2" xfId="2173"/>
    <cellStyle name="百分比 5 3 2 3" xfId="2174"/>
    <cellStyle name="百分比 5 3 3" xfId="2175"/>
    <cellStyle name="百分比 5 3 3 2" xfId="2176"/>
    <cellStyle name="百分比 5 3 4" xfId="2177"/>
    <cellStyle name="百分比 5 4" xfId="2178"/>
    <cellStyle name="百分比 5 4 2" xfId="2179"/>
    <cellStyle name="百分比 5 4 2 2" xfId="2180"/>
    <cellStyle name="百分比 5 4 2 2 2" xfId="2181"/>
    <cellStyle name="百分比 5 4 2 3" xfId="2182"/>
    <cellStyle name="百分比 5 4 3" xfId="2183"/>
    <cellStyle name="百分比 5 4 3 2" xfId="2184"/>
    <cellStyle name="百分比 5 4 4" xfId="2185"/>
    <cellStyle name="百分比 5 5" xfId="2186"/>
    <cellStyle name="百分比 5 5 2" xfId="2187"/>
    <cellStyle name="百分比 5 5 2 2" xfId="2188"/>
    <cellStyle name="百分比 5 5 3" xfId="2189"/>
    <cellStyle name="百分比 5 6" xfId="2190"/>
    <cellStyle name="百分比 5 6 2" xfId="2191"/>
    <cellStyle name="百分比 5 6 2 2" xfId="2192"/>
    <cellStyle name="百分比 5 6 3" xfId="2193"/>
    <cellStyle name="百分比 5 7" xfId="2194"/>
    <cellStyle name="百分比 5 8" xfId="2195"/>
    <cellStyle name="百分比 6" xfId="2196"/>
    <cellStyle name="百分比 6 2" xfId="2197"/>
    <cellStyle name="百分比 6 2 2" xfId="2198"/>
    <cellStyle name="百分比 6 2 2 2" xfId="2199"/>
    <cellStyle name="百分比 6 2 3" xfId="2200"/>
    <cellStyle name="百分比 6 3" xfId="2201"/>
    <cellStyle name="百分比 6 3 2" xfId="2202"/>
    <cellStyle name="百分比 6 4" xfId="2203"/>
    <cellStyle name="百分比 6 5" xfId="2204"/>
    <cellStyle name="百分比 7" xfId="2205"/>
    <cellStyle name="百分比 7 2" xfId="2206"/>
    <cellStyle name="百分比 7 2 2" xfId="2207"/>
    <cellStyle name="百分比 7 2 2 2" xfId="2208"/>
    <cellStyle name="百分比 7 2 3" xfId="2209"/>
    <cellStyle name="百分比 7 2 4" xfId="2210"/>
    <cellStyle name="百分比 7 3" xfId="2211"/>
    <cellStyle name="百分比 7 3 2" xfId="2212"/>
    <cellStyle name="百分比 7 4" xfId="2213"/>
    <cellStyle name="百分比 7 4 2" xfId="2214"/>
    <cellStyle name="百分比 7 5" xfId="2215"/>
    <cellStyle name="百分比 8" xfId="2216"/>
    <cellStyle name="百分比 8 2" xfId="2217"/>
    <cellStyle name="百分比 8 2 2" xfId="2218"/>
    <cellStyle name="百分比 8 3" xfId="2219"/>
    <cellStyle name="百分比 9" xfId="2220"/>
    <cellStyle name="百分比 9 2" xfId="2221"/>
    <cellStyle name="百分比 9 2 2" xfId="2222"/>
    <cellStyle name="百分比 9 2 2 2" xfId="2223"/>
    <cellStyle name="百分比 9 2 3" xfId="2224"/>
    <cellStyle name="百分比 9 3" xfId="2225"/>
    <cellStyle name="百分比 9 3 2" xfId="2226"/>
    <cellStyle name="百分比 9 3 2 2" xfId="2227"/>
    <cellStyle name="百分比 9 3 3" xfId="2228"/>
    <cellStyle name="百分比 9 4" xfId="2229"/>
    <cellStyle name="百分比 9 4 2" xfId="2230"/>
    <cellStyle name="百分比 9 5" xfId="2231"/>
    <cellStyle name="捠壿 [0.00]_Region Orders (2)" xfId="2232"/>
    <cellStyle name="捠壿_Region Orders (2)" xfId="2233"/>
    <cellStyle name="编号" xfId="2234"/>
    <cellStyle name="标题" xfId="2235" builtinId="15" customBuiltin="1"/>
    <cellStyle name="标题 1" xfId="2236" builtinId="16" customBuiltin="1"/>
    <cellStyle name="标题 1 2" xfId="2237"/>
    <cellStyle name="标题 1 2 2" xfId="2238"/>
    <cellStyle name="标题 1 2 2 2" xfId="2239"/>
    <cellStyle name="标题 1 2 2 2 2" xfId="2240"/>
    <cellStyle name="标题 1 2 2 3" xfId="2241"/>
    <cellStyle name="标题 1 2 2 4" xfId="2242"/>
    <cellStyle name="标题 1 2 3" xfId="2243"/>
    <cellStyle name="标题 1 2 3 2" xfId="2244"/>
    <cellStyle name="标题 1 2 3 2 2" xfId="2245"/>
    <cellStyle name="标题 1 2 3 3" xfId="2246"/>
    <cellStyle name="标题 1 2 4" xfId="2247"/>
    <cellStyle name="标题 1 2 4 2" xfId="2248"/>
    <cellStyle name="标题 1 2 5" xfId="2249"/>
    <cellStyle name="标题 1 2 5 2" xfId="2250"/>
    <cellStyle name="标题 1 2 6" xfId="2251"/>
    <cellStyle name="标题 1 3" xfId="2252"/>
    <cellStyle name="标题 1 3 2" xfId="2253"/>
    <cellStyle name="标题 1 3 2 2" xfId="2254"/>
    <cellStyle name="标题 1 3 3" xfId="2255"/>
    <cellStyle name="标题 1 3 4" xfId="2256"/>
    <cellStyle name="标题 1 4" xfId="2257"/>
    <cellStyle name="标题 1 4 2" xfId="2258"/>
    <cellStyle name="标题 1 4 2 2" xfId="2259"/>
    <cellStyle name="标题 1 4 3" xfId="2260"/>
    <cellStyle name="标题 1 5" xfId="2261"/>
    <cellStyle name="标题 10" xfId="2262"/>
    <cellStyle name="标题 2" xfId="2263" builtinId="17" customBuiltin="1"/>
    <cellStyle name="标题 2 2" xfId="2264"/>
    <cellStyle name="标题 2 2 2" xfId="2265"/>
    <cellStyle name="标题 2 2 2 2" xfId="2266"/>
    <cellStyle name="标题 2 2 2 2 2" xfId="2267"/>
    <cellStyle name="标题 2 2 2 3" xfId="2268"/>
    <cellStyle name="标题 2 2 2 4" xfId="2269"/>
    <cellStyle name="标题 2 2 3" xfId="2270"/>
    <cellStyle name="标题 2 2 3 2" xfId="2271"/>
    <cellStyle name="标题 2 2 3 2 2" xfId="2272"/>
    <cellStyle name="标题 2 2 3 3" xfId="2273"/>
    <cellStyle name="标题 2 2 4" xfId="2274"/>
    <cellStyle name="标题 2 2 4 2" xfId="2275"/>
    <cellStyle name="标题 2 2 5" xfId="2276"/>
    <cellStyle name="标题 2 2 5 2" xfId="2277"/>
    <cellStyle name="标题 2 2 6" xfId="2278"/>
    <cellStyle name="标题 2 3" xfId="2279"/>
    <cellStyle name="标题 2 3 2" xfId="2280"/>
    <cellStyle name="标题 2 3 2 2" xfId="2281"/>
    <cellStyle name="标题 2 3 3" xfId="2282"/>
    <cellStyle name="标题 2 3 4" xfId="2283"/>
    <cellStyle name="标题 2 4" xfId="2284"/>
    <cellStyle name="标题 2 4 2" xfId="2285"/>
    <cellStyle name="标题 2 4 2 2" xfId="2286"/>
    <cellStyle name="标题 2 4 3" xfId="2287"/>
    <cellStyle name="标题 2 5" xfId="2288"/>
    <cellStyle name="标题 3" xfId="2289" builtinId="18" customBuiltin="1"/>
    <cellStyle name="标题 3 2" xfId="2290"/>
    <cellStyle name="标题 3 2 2" xfId="2291"/>
    <cellStyle name="标题 3 2 2 2" xfId="2292"/>
    <cellStyle name="标题 3 2 2 2 2" xfId="2293"/>
    <cellStyle name="标题 3 2 2 3" xfId="2294"/>
    <cellStyle name="标题 3 2 2 4" xfId="2295"/>
    <cellStyle name="标题 3 2 3" xfId="2296"/>
    <cellStyle name="标题 3 2 3 2" xfId="2297"/>
    <cellStyle name="标题 3 2 3 2 2" xfId="2298"/>
    <cellStyle name="标题 3 2 3 3" xfId="2299"/>
    <cellStyle name="标题 3 2 4" xfId="2300"/>
    <cellStyle name="标题 3 2 4 2" xfId="2301"/>
    <cellStyle name="标题 3 2 5" xfId="2302"/>
    <cellStyle name="标题 3 2 5 2" xfId="2303"/>
    <cellStyle name="标题 3 2 6" xfId="2304"/>
    <cellStyle name="标题 3 3" xfId="2305"/>
    <cellStyle name="标题 3 3 2" xfId="2306"/>
    <cellStyle name="标题 3 3 2 2" xfId="2307"/>
    <cellStyle name="标题 3 3 3" xfId="2308"/>
    <cellStyle name="标题 3 3 4" xfId="2309"/>
    <cellStyle name="标题 3 4" xfId="2310"/>
    <cellStyle name="标题 3 4 2" xfId="2311"/>
    <cellStyle name="标题 3 4 2 2" xfId="2312"/>
    <cellStyle name="标题 3 4 3" xfId="2313"/>
    <cellStyle name="标题 3 5" xfId="2314"/>
    <cellStyle name="标题 4" xfId="2315" builtinId="19" customBuiltin="1"/>
    <cellStyle name="标题 4 2" xfId="2316"/>
    <cellStyle name="标题 4 2 2" xfId="2317"/>
    <cellStyle name="标题 4 2 2 2" xfId="2318"/>
    <cellStyle name="标题 4 2 2 2 2" xfId="2319"/>
    <cellStyle name="标题 4 2 2 3" xfId="2320"/>
    <cellStyle name="标题 4 2 2 4" xfId="2321"/>
    <cellStyle name="标题 4 2 3" xfId="2322"/>
    <cellStyle name="标题 4 2 3 2" xfId="2323"/>
    <cellStyle name="标题 4 2 3 2 2" xfId="2324"/>
    <cellStyle name="标题 4 2 3 3" xfId="2325"/>
    <cellStyle name="标题 4 2 4" xfId="2326"/>
    <cellStyle name="标题 4 2 4 2" xfId="2327"/>
    <cellStyle name="标题 4 2 5" xfId="2328"/>
    <cellStyle name="标题 4 2 5 2" xfId="2329"/>
    <cellStyle name="标题 4 2 6" xfId="2330"/>
    <cellStyle name="标题 4 3" xfId="2331"/>
    <cellStyle name="标题 4 3 2" xfId="2332"/>
    <cellStyle name="标题 4 3 2 2" xfId="2333"/>
    <cellStyle name="标题 4 3 3" xfId="2334"/>
    <cellStyle name="标题 4 3 4" xfId="2335"/>
    <cellStyle name="标题 4 4" xfId="2336"/>
    <cellStyle name="标题 4 4 2" xfId="2337"/>
    <cellStyle name="标题 4 4 2 2" xfId="2338"/>
    <cellStyle name="标题 4 4 3" xfId="2339"/>
    <cellStyle name="标题 4 5" xfId="2340"/>
    <cellStyle name="标题 5" xfId="2341"/>
    <cellStyle name="标题 5 2" xfId="2342"/>
    <cellStyle name="标题 5 2 2" xfId="2343"/>
    <cellStyle name="标题 5 2 2 2" xfId="2344"/>
    <cellStyle name="标题 5 2 3" xfId="2345"/>
    <cellStyle name="标题 5 2 4" xfId="2346"/>
    <cellStyle name="标题 5 3" xfId="2347"/>
    <cellStyle name="标题 5 3 2" xfId="2348"/>
    <cellStyle name="标题 5 3 2 2" xfId="2349"/>
    <cellStyle name="标题 5 3 3" xfId="2350"/>
    <cellStyle name="标题 5 4" xfId="2351"/>
    <cellStyle name="标题 5 4 2" xfId="2352"/>
    <cellStyle name="标题 5 4 2 2" xfId="2353"/>
    <cellStyle name="标题 5 4 3" xfId="2354"/>
    <cellStyle name="标题 5 5" xfId="2355"/>
    <cellStyle name="标题 5 5 2" xfId="2356"/>
    <cellStyle name="标题 5 6" xfId="2357"/>
    <cellStyle name="标题 5 6 2" xfId="2358"/>
    <cellStyle name="标题 5 7" xfId="2359"/>
    <cellStyle name="标题 5 8" xfId="2360"/>
    <cellStyle name="标题 6" xfId="2361"/>
    <cellStyle name="标题 6 2" xfId="2362"/>
    <cellStyle name="标题 6 2 2" xfId="2363"/>
    <cellStyle name="标题 6 3" xfId="2364"/>
    <cellStyle name="标题 6 4" xfId="2365"/>
    <cellStyle name="标题 7" xfId="2366"/>
    <cellStyle name="标题 7 2" xfId="2367"/>
    <cellStyle name="标题 7 2 2" xfId="2368"/>
    <cellStyle name="标题 7 3" xfId="2369"/>
    <cellStyle name="标题 8" xfId="2370"/>
    <cellStyle name="标题 8 2" xfId="2371"/>
    <cellStyle name="标题 9" xfId="2372"/>
    <cellStyle name="标题1" xfId="2373"/>
    <cellStyle name="標準_APCO BQ_0312_BQ_BQ-2" xfId="2374"/>
    <cellStyle name="部门" xfId="2375"/>
    <cellStyle name="差" xfId="2376" builtinId="27" customBuiltin="1"/>
    <cellStyle name="差 2" xfId="2377"/>
    <cellStyle name="差 2 2" xfId="2378"/>
    <cellStyle name="差 2 2 2" xfId="2379"/>
    <cellStyle name="差 2 2 2 2" xfId="2380"/>
    <cellStyle name="差 2 2 3" xfId="2381"/>
    <cellStyle name="差 2 2 4" xfId="2382"/>
    <cellStyle name="差 2 3" xfId="2383"/>
    <cellStyle name="差 2 3 2" xfId="2384"/>
    <cellStyle name="差 2 3 2 2" xfId="2385"/>
    <cellStyle name="差 2 3 3" xfId="2386"/>
    <cellStyle name="差 2 4" xfId="2387"/>
    <cellStyle name="差 2 4 2" xfId="2388"/>
    <cellStyle name="差 2 5" xfId="2389"/>
    <cellStyle name="差 2 5 2" xfId="2390"/>
    <cellStyle name="差 2 6" xfId="2391"/>
    <cellStyle name="差 3" xfId="2392"/>
    <cellStyle name="差 3 2" xfId="2393"/>
    <cellStyle name="差 3 2 2" xfId="2394"/>
    <cellStyle name="差 3 2 2 2" xfId="2395"/>
    <cellStyle name="差 3 2 3" xfId="2396"/>
    <cellStyle name="差 3 3" xfId="2397"/>
    <cellStyle name="差 3 3 2" xfId="2398"/>
    <cellStyle name="差 3 3 2 2" xfId="2399"/>
    <cellStyle name="差 3 3 3" xfId="2400"/>
    <cellStyle name="差 3 4" xfId="2401"/>
    <cellStyle name="差 3 5" xfId="2402"/>
    <cellStyle name="差 4" xfId="2403"/>
    <cellStyle name="差 4 2" xfId="2404"/>
    <cellStyle name="差 4 2 2" xfId="2405"/>
    <cellStyle name="差 4 2 2 2" xfId="2406"/>
    <cellStyle name="差 4 2 3" xfId="2407"/>
    <cellStyle name="差 4 3" xfId="2408"/>
    <cellStyle name="差 5" xfId="2409"/>
    <cellStyle name="差 5 2" xfId="2410"/>
    <cellStyle name="差 5 2 2" xfId="2411"/>
    <cellStyle name="差 5 2 2 2" xfId="2412"/>
    <cellStyle name="差 5 2 3" xfId="2413"/>
    <cellStyle name="差 5 3" xfId="2414"/>
    <cellStyle name="差 5 3 2" xfId="2415"/>
    <cellStyle name="差 5 4" xfId="2416"/>
    <cellStyle name="差 6" xfId="2417"/>
    <cellStyle name="差 6 2" xfId="2418"/>
    <cellStyle name="差 6 2 2" xfId="2419"/>
    <cellStyle name="差 6 3" xfId="2420"/>
    <cellStyle name="差 7" xfId="2421"/>
    <cellStyle name="差_☆403投资估算表" xfId="2422"/>
    <cellStyle name="差_☆403投资估算表 2" xfId="2423"/>
    <cellStyle name="差_☆403投资估算表 2 2" xfId="2424"/>
    <cellStyle name="差_☆403投资估算表 2 2 2" xfId="2425"/>
    <cellStyle name="差_☆403投资估算表 2 2 2 2" xfId="2426"/>
    <cellStyle name="差_☆403投资估算表 2 2 3" xfId="2427"/>
    <cellStyle name="差_☆403投资估算表 2 3" xfId="2428"/>
    <cellStyle name="差_☆403投资估算表 2 3 2" xfId="2429"/>
    <cellStyle name="差_☆403投资估算表 2 4" xfId="2430"/>
    <cellStyle name="差_☆403投资估算表 2 5" xfId="2431"/>
    <cellStyle name="差_☆403投资估算表 3" xfId="2432"/>
    <cellStyle name="差_☆403投资估算表 3 2" xfId="2433"/>
    <cellStyle name="差_☆403投资估算表 3 2 2" xfId="2434"/>
    <cellStyle name="差_☆403投资估算表 3 3" xfId="2435"/>
    <cellStyle name="差_☆403投资估算表 4" xfId="2436"/>
    <cellStyle name="差_☆403投资估算表 4 2" xfId="2437"/>
    <cellStyle name="差_☆403投资估算表 4 2 2" xfId="2438"/>
    <cellStyle name="差_☆403投资估算表 4 2 2 2" xfId="2439"/>
    <cellStyle name="差_☆403投资估算表 4 2 3" xfId="2440"/>
    <cellStyle name="差_☆403投资估算表 4 3" xfId="2441"/>
    <cellStyle name="差_☆403投资估算表 4 3 2" xfId="2442"/>
    <cellStyle name="差_☆403投资估算表 4 4" xfId="2443"/>
    <cellStyle name="差_☆403投资估算表 5" xfId="2444"/>
    <cellStyle name="差_☆403投资估算表 5 2" xfId="2445"/>
    <cellStyle name="差_☆403投资估算表 5 2 2" xfId="2446"/>
    <cellStyle name="差_☆403投资估算表 5 3" xfId="2447"/>
    <cellStyle name="差_☆403投资估算表 6" xfId="2448"/>
    <cellStyle name="差_☆403投资估算表 6 2" xfId="2449"/>
    <cellStyle name="差_☆403投资估算表 7" xfId="2450"/>
    <cellStyle name="差_★724附表" xfId="2451"/>
    <cellStyle name="差_★724附表 2" xfId="2452"/>
    <cellStyle name="差_★724附表 2 2" xfId="2453"/>
    <cellStyle name="差_★724附表 2 2 2" xfId="2454"/>
    <cellStyle name="差_★724附表 2 2 2 2" xfId="2455"/>
    <cellStyle name="差_★724附表 2 2 3" xfId="2456"/>
    <cellStyle name="差_★724附表 2 3" xfId="2457"/>
    <cellStyle name="差_★724附表 2 3 2" xfId="2458"/>
    <cellStyle name="差_★724附表 2 4" xfId="2459"/>
    <cellStyle name="差_★724附表 2 5" xfId="2460"/>
    <cellStyle name="差_★724附表 3" xfId="2461"/>
    <cellStyle name="差_★724附表 3 2" xfId="2462"/>
    <cellStyle name="差_★724附表 3 2 2" xfId="2463"/>
    <cellStyle name="差_★724附表 3 3" xfId="2464"/>
    <cellStyle name="差_★724附表 4" xfId="2465"/>
    <cellStyle name="差_★724附表 4 2" xfId="2466"/>
    <cellStyle name="差_★724附表 4 2 2" xfId="2467"/>
    <cellStyle name="差_★724附表 4 2 2 2" xfId="2468"/>
    <cellStyle name="差_★724附表 4 2 3" xfId="2469"/>
    <cellStyle name="差_★724附表 4 3" xfId="2470"/>
    <cellStyle name="差_★724附表 4 3 2" xfId="2471"/>
    <cellStyle name="差_★724附表 4 4" xfId="2472"/>
    <cellStyle name="差_★724附表 5" xfId="2473"/>
    <cellStyle name="差_★724附表 5 2" xfId="2474"/>
    <cellStyle name="差_★724附表 5 2 2" xfId="2475"/>
    <cellStyle name="差_★724附表 5 3" xfId="2476"/>
    <cellStyle name="差_★724附表 6" xfId="2477"/>
    <cellStyle name="差_★724附表 6 2" xfId="2478"/>
    <cellStyle name="差_★724附表 7" xfId="2479"/>
    <cellStyle name="差_388厂动态保军项目建议书-(0515)原稿" xfId="2480"/>
    <cellStyle name="差_388厂动态保军项目建议书-(0515)原稿 2" xfId="2481"/>
    <cellStyle name="差_388厂动态保军项目建议书-(0515)原稿 2 2" xfId="2482"/>
    <cellStyle name="差_388厂动态保军项目建议书-(0515)原稿 2 2 2" xfId="2483"/>
    <cellStyle name="差_388厂动态保军项目建议书-(0515)原稿 2 2 2 2" xfId="2484"/>
    <cellStyle name="差_388厂动态保军项目建议书-(0515)原稿 2 2 3" xfId="2485"/>
    <cellStyle name="差_388厂动态保军项目建议书-(0515)原稿 2 3" xfId="2486"/>
    <cellStyle name="差_388厂动态保军项目建议书-(0515)原稿 2 3 2" xfId="2487"/>
    <cellStyle name="差_388厂动态保军项目建议书-(0515)原稿 2 4" xfId="2488"/>
    <cellStyle name="差_388厂动态保军项目建议书-(0515)原稿 3" xfId="2489"/>
    <cellStyle name="差_388厂动态保军项目建议书-(0515)原稿 3 2" xfId="2490"/>
    <cellStyle name="差_388厂动态保军项目建议书-(0515)原稿 3 2 2" xfId="2491"/>
    <cellStyle name="差_388厂动态保军项目建议书-(0515)原稿 3 3" xfId="2492"/>
    <cellStyle name="差_388厂动态保军项目建议书-(0515)原稿 4" xfId="2493"/>
    <cellStyle name="差_388厂动态保军项目建议书-(0515)原稿 4 2" xfId="2494"/>
    <cellStyle name="差_388厂动态保军项目建议书-(0515)原稿 5" xfId="2495"/>
    <cellStyle name="差_388大船" xfId="2496"/>
    <cellStyle name="差_388大船 2" xfId="2497"/>
    <cellStyle name="差_388大船 2 2" xfId="2498"/>
    <cellStyle name="差_388大船 2 2 2" xfId="2499"/>
    <cellStyle name="差_388大船 2 2 2 2" xfId="2500"/>
    <cellStyle name="差_388大船 2 2 3" xfId="2501"/>
    <cellStyle name="差_388大船 2 3" xfId="2502"/>
    <cellStyle name="差_388大船 2 3 2" xfId="2503"/>
    <cellStyle name="差_388大船 2 4" xfId="2504"/>
    <cellStyle name="差_388大船 2 5" xfId="2505"/>
    <cellStyle name="差_388大船 3" xfId="2506"/>
    <cellStyle name="差_388大船 3 2" xfId="2507"/>
    <cellStyle name="差_388大船 3 2 2" xfId="2508"/>
    <cellStyle name="差_388大船 3 3" xfId="2509"/>
    <cellStyle name="差_388大船 4" xfId="2510"/>
    <cellStyle name="差_388大船 4 2" xfId="2511"/>
    <cellStyle name="差_388大船 4 2 2" xfId="2512"/>
    <cellStyle name="差_388大船 4 2 2 2" xfId="2513"/>
    <cellStyle name="差_388大船 4 2 3" xfId="2514"/>
    <cellStyle name="差_388大船 4 3" xfId="2515"/>
    <cellStyle name="差_388大船 4 3 2" xfId="2516"/>
    <cellStyle name="差_388大船 4 4" xfId="2517"/>
    <cellStyle name="差_388大船 5" xfId="2518"/>
    <cellStyle name="差_388大船 5 2" xfId="2519"/>
    <cellStyle name="差_388大船 5 2 2" xfId="2520"/>
    <cellStyle name="差_388大船 5 3" xfId="2521"/>
    <cellStyle name="差_388大船 6" xfId="2522"/>
    <cellStyle name="差_388大船 6 2" xfId="2523"/>
    <cellStyle name="差_388大船 7" xfId="2524"/>
    <cellStyle name="差_388综合设备表" xfId="2525"/>
    <cellStyle name="差_388综合设备表 2" xfId="2526"/>
    <cellStyle name="差_388综合设备表 2 2" xfId="2527"/>
    <cellStyle name="差_388综合设备表 2 2 2" xfId="2528"/>
    <cellStyle name="差_388综合设备表 2 2 2 2" xfId="2529"/>
    <cellStyle name="差_388综合设备表 2 2 3" xfId="2530"/>
    <cellStyle name="差_388综合设备表 2 3" xfId="2531"/>
    <cellStyle name="差_388综合设备表 2 3 2" xfId="2532"/>
    <cellStyle name="差_388综合设备表 2 4" xfId="2533"/>
    <cellStyle name="差_388综合设备表 2 5" xfId="2534"/>
    <cellStyle name="差_388综合设备表 3" xfId="2535"/>
    <cellStyle name="差_388综合设备表 3 2" xfId="2536"/>
    <cellStyle name="差_388综合设备表 3 2 2" xfId="2537"/>
    <cellStyle name="差_388综合设备表 3 3" xfId="2538"/>
    <cellStyle name="差_388综合设备表 4" xfId="2539"/>
    <cellStyle name="差_388综合设备表 4 2" xfId="2540"/>
    <cellStyle name="差_388综合设备表 4 2 2" xfId="2541"/>
    <cellStyle name="差_388综合设备表 4 2 2 2" xfId="2542"/>
    <cellStyle name="差_388综合设备表 4 2 3" xfId="2543"/>
    <cellStyle name="差_388综合设备表 4 3" xfId="2544"/>
    <cellStyle name="差_388综合设备表 4 3 2" xfId="2545"/>
    <cellStyle name="差_388综合设备表 4 4" xfId="2546"/>
    <cellStyle name="差_388综合设备表 5" xfId="2547"/>
    <cellStyle name="差_388综合设备表 5 2" xfId="2548"/>
    <cellStyle name="差_388综合设备表 5 2 2" xfId="2549"/>
    <cellStyle name="差_388综合设备表 5 3" xfId="2550"/>
    <cellStyle name="差_388综合设备表 6" xfId="2551"/>
    <cellStyle name="差_388综合设备表 6 2" xfId="2552"/>
    <cellStyle name="差_388综合设备表 7" xfId="2553"/>
    <cellStyle name="差_403投资估算（石）09.2.19" xfId="2554"/>
    <cellStyle name="差_403投资估算（石）09.2.19 2" xfId="2555"/>
    <cellStyle name="差_403投资估算（石）09.2.19 2 2" xfId="2556"/>
    <cellStyle name="差_403投资估算（石）09.2.19 2 2 2" xfId="2557"/>
    <cellStyle name="差_403投资估算（石）09.2.19 2 2 2 2" xfId="2558"/>
    <cellStyle name="差_403投资估算（石）09.2.19 2 2 3" xfId="2559"/>
    <cellStyle name="差_403投资估算（石）09.2.19 2 3" xfId="2560"/>
    <cellStyle name="差_403投资估算（石）09.2.19 2 3 2" xfId="2561"/>
    <cellStyle name="差_403投资估算（石）09.2.19 2 4" xfId="2562"/>
    <cellStyle name="差_403投资估算（石）09.2.19 2 5" xfId="2563"/>
    <cellStyle name="差_403投资估算（石）09.2.19 3" xfId="2564"/>
    <cellStyle name="差_403投资估算（石）09.2.19 3 2" xfId="2565"/>
    <cellStyle name="差_403投资估算（石）09.2.19 3 2 2" xfId="2566"/>
    <cellStyle name="差_403投资估算（石）09.2.19 3 3" xfId="2567"/>
    <cellStyle name="差_403投资估算（石）09.2.19 4" xfId="2568"/>
    <cellStyle name="差_403投资估算（石）09.2.19 4 2" xfId="2569"/>
    <cellStyle name="差_403投资估算（石）09.2.19 4 2 2" xfId="2570"/>
    <cellStyle name="差_403投资估算（石）09.2.19 4 2 2 2" xfId="2571"/>
    <cellStyle name="差_403投资估算（石）09.2.19 4 2 3" xfId="2572"/>
    <cellStyle name="差_403投资估算（石）09.2.19 4 3" xfId="2573"/>
    <cellStyle name="差_403投资估算（石）09.2.19 4 3 2" xfId="2574"/>
    <cellStyle name="差_403投资估算（石）09.2.19 4 4" xfId="2575"/>
    <cellStyle name="差_403投资估算（石）09.2.19 5" xfId="2576"/>
    <cellStyle name="差_403投资估算（石）09.2.19 5 2" xfId="2577"/>
    <cellStyle name="差_403投资估算（石）09.2.19 5 2 2" xfId="2578"/>
    <cellStyle name="差_403投资估算（石）09.2.19 5 3" xfId="2579"/>
    <cellStyle name="差_403投资估算（石）09.2.19 6" xfId="2580"/>
    <cellStyle name="差_403投资估算（石）09.2.19 6 2" xfId="2581"/>
    <cellStyle name="差_403投资估算（石）09.2.19 7" xfId="2582"/>
    <cellStyle name="差_438估算表10-08-30" xfId="2583"/>
    <cellStyle name="差_438估算表10-08-30 2" xfId="2584"/>
    <cellStyle name="差_438估算表10-08-30 2 2" xfId="2585"/>
    <cellStyle name="差_438估算表10-08-30 2 2 2" xfId="2586"/>
    <cellStyle name="差_438估算表10-08-30 2 3" xfId="2587"/>
    <cellStyle name="差_438估算表10-08-30 2 4" xfId="2588"/>
    <cellStyle name="差_438估算表10-08-30 3" xfId="2589"/>
    <cellStyle name="差_438估算表10-08-30 3 2" xfId="2590"/>
    <cellStyle name="差_438估算表10-08-30 4" xfId="2591"/>
    <cellStyle name="差_438声隐身估算10-09-30" xfId="2592"/>
    <cellStyle name="差_438声隐身估算10-09-30 2" xfId="2593"/>
    <cellStyle name="差_438声隐身估算10-09-30 2 2" xfId="2594"/>
    <cellStyle name="差_438声隐身估算10-09-30 2 2 2" xfId="2595"/>
    <cellStyle name="差_438声隐身估算10-09-30 2 3" xfId="2596"/>
    <cellStyle name="差_438声隐身估算10-09-30 2 4" xfId="2597"/>
    <cellStyle name="差_438声隐身估算10-09-30 3" xfId="2598"/>
    <cellStyle name="差_438声隐身估算10-09-30 3 2" xfId="2599"/>
    <cellStyle name="差_438声隐身估算10-09-30 4" xfId="2600"/>
    <cellStyle name="差_446设备表 评审后" xfId="2601"/>
    <cellStyle name="差_446设备表 评审后 2" xfId="2602"/>
    <cellStyle name="差_446设备表 评审后 2 2" xfId="2603"/>
    <cellStyle name="差_446设备表 评审后 2 2 2" xfId="2604"/>
    <cellStyle name="差_446设备表 评审后 2 3" xfId="2605"/>
    <cellStyle name="差_446设备表 评审后 2 4" xfId="2606"/>
    <cellStyle name="差_446设备表 评审后 3" xfId="2607"/>
    <cellStyle name="差_446设备表 评审后 3 2" xfId="2608"/>
    <cellStyle name="差_446设备表 评审后 4" xfId="2609"/>
    <cellStyle name="差_446新增设备表2010-08-2" xfId="2610"/>
    <cellStyle name="差_446新增设备表2010-08-2 2" xfId="2611"/>
    <cellStyle name="差_446新增设备表2010-08-2 2 2" xfId="2612"/>
    <cellStyle name="差_446新增设备表2010-08-2 2 2 2" xfId="2613"/>
    <cellStyle name="差_446新增设备表2010-08-2 2 2 2 2" xfId="2614"/>
    <cellStyle name="差_446新增设备表2010-08-2 2 2 3" xfId="2615"/>
    <cellStyle name="差_446新增设备表2010-08-2 2 3" xfId="2616"/>
    <cellStyle name="差_446新增设备表2010-08-2 2 3 2" xfId="2617"/>
    <cellStyle name="差_446新增设备表2010-08-2 2 4" xfId="2618"/>
    <cellStyle name="差_446新增设备表2010-08-2 2 5" xfId="2619"/>
    <cellStyle name="差_446新增设备表2010-08-2 3" xfId="2620"/>
    <cellStyle name="差_446新增设备表2010-08-2 3 2" xfId="2621"/>
    <cellStyle name="差_446新增设备表2010-08-2 3 2 2" xfId="2622"/>
    <cellStyle name="差_446新增设备表2010-08-2 3 3" xfId="2623"/>
    <cellStyle name="差_446新增设备表2010-08-2 4" xfId="2624"/>
    <cellStyle name="差_446新增设备表2010-08-2 4 2" xfId="2625"/>
    <cellStyle name="差_446新增设备表2010-08-2 4 2 2" xfId="2626"/>
    <cellStyle name="差_446新增设备表2010-08-2 4 2 2 2" xfId="2627"/>
    <cellStyle name="差_446新增设备表2010-08-2 4 2 3" xfId="2628"/>
    <cellStyle name="差_446新增设备表2010-08-2 4 3" xfId="2629"/>
    <cellStyle name="差_446新增设备表2010-08-2 4 3 2" xfId="2630"/>
    <cellStyle name="差_446新增设备表2010-08-2 4 4" xfId="2631"/>
    <cellStyle name="差_446新增设备表2010-08-2 5" xfId="2632"/>
    <cellStyle name="差_446新增设备表2010-08-2 5 2" xfId="2633"/>
    <cellStyle name="差_446新增设备表2010-08-2 5 2 2" xfId="2634"/>
    <cellStyle name="差_446新增设备表2010-08-2 5 3" xfId="2635"/>
    <cellStyle name="差_446新增设备表2010-08-2 6" xfId="2636"/>
    <cellStyle name="差_446新增设备表2010-08-2 6 2" xfId="2637"/>
    <cellStyle name="差_446新增设备表2010-08-2 7" xfId="2638"/>
    <cellStyle name="差_446新增设备表2010-6-6" xfId="2639"/>
    <cellStyle name="差_446新增设备表2010-6-6 2" xfId="2640"/>
    <cellStyle name="差_446新增设备表2010-6-6 2 2" xfId="2641"/>
    <cellStyle name="差_446新增设备表2010-6-6 2 2 2" xfId="2642"/>
    <cellStyle name="差_446新增设备表2010-6-6 2 3" xfId="2643"/>
    <cellStyle name="差_446新增设备表2010-6-6 2 4" xfId="2644"/>
    <cellStyle name="差_446新增设备表2010-6-6 3" xfId="2645"/>
    <cellStyle name="差_446新增设备表2010-6-6 3 2" xfId="2646"/>
    <cellStyle name="差_446新增设备表2010-6-6 4" xfId="2647"/>
    <cellStyle name="差_446研保估算表10-08-05" xfId="2648"/>
    <cellStyle name="差_446研保估算表10-08-05 2" xfId="2649"/>
    <cellStyle name="差_446研保估算表10-08-05 2 2" xfId="2650"/>
    <cellStyle name="差_446研保估算表10-08-05 2 2 2" xfId="2651"/>
    <cellStyle name="差_446研保估算表10-08-05 2 2 2 2" xfId="2652"/>
    <cellStyle name="差_446研保估算表10-08-05 2 2 3" xfId="2653"/>
    <cellStyle name="差_446研保估算表10-08-05 2 3" xfId="2654"/>
    <cellStyle name="差_446研保估算表10-08-05 2 3 2" xfId="2655"/>
    <cellStyle name="差_446研保估算表10-08-05 2 4" xfId="2656"/>
    <cellStyle name="差_446研保估算表10-08-05 2 5" xfId="2657"/>
    <cellStyle name="差_446研保估算表10-08-05 3" xfId="2658"/>
    <cellStyle name="差_446研保估算表10-08-05 3 2" xfId="2659"/>
    <cellStyle name="差_446研保估算表10-08-05 3 2 2" xfId="2660"/>
    <cellStyle name="差_446研保估算表10-08-05 3 3" xfId="2661"/>
    <cellStyle name="差_446研保估算表10-08-05 4" xfId="2662"/>
    <cellStyle name="差_446研保估算表10-08-05 4 2" xfId="2663"/>
    <cellStyle name="差_446研保估算表10-08-05 4 2 2" xfId="2664"/>
    <cellStyle name="差_446研保估算表10-08-05 4 2 2 2" xfId="2665"/>
    <cellStyle name="差_446研保估算表10-08-05 4 2 3" xfId="2666"/>
    <cellStyle name="差_446研保估算表10-08-05 4 3" xfId="2667"/>
    <cellStyle name="差_446研保估算表10-08-05 4 3 2" xfId="2668"/>
    <cellStyle name="差_446研保估算表10-08-05 4 4" xfId="2669"/>
    <cellStyle name="差_446研保估算表10-08-05 5" xfId="2670"/>
    <cellStyle name="差_446研保估算表10-08-05 5 2" xfId="2671"/>
    <cellStyle name="差_446研保估算表10-08-05 5 2 2" xfId="2672"/>
    <cellStyle name="差_446研保估算表10-08-05 5 3" xfId="2673"/>
    <cellStyle name="差_446研保估算表10-08-05 6" xfId="2674"/>
    <cellStyle name="差_446研保估算表10-08-05 6 2" xfId="2675"/>
    <cellStyle name="差_446研保估算表10-08-05 7" xfId="2676"/>
    <cellStyle name="差_455厂投资建议书估算新模版" xfId="2677"/>
    <cellStyle name="差_455厂投资建议书估算新模版 2" xfId="2678"/>
    <cellStyle name="差_455厂投资建议书估算新模版 2 2" xfId="2679"/>
    <cellStyle name="差_455厂投资建议书估算新模版 2 2 2" xfId="2680"/>
    <cellStyle name="差_455厂投资建议书估算新模版 2 2 2 2" xfId="2681"/>
    <cellStyle name="差_455厂投资建议书估算新模版 2 2 3" xfId="2682"/>
    <cellStyle name="差_455厂投资建议书估算新模版 2 3" xfId="2683"/>
    <cellStyle name="差_455厂投资建议书估算新模版 2 3 2" xfId="2684"/>
    <cellStyle name="差_455厂投资建议书估算新模版 2 4" xfId="2685"/>
    <cellStyle name="差_455厂投资建议书估算新模版 2 5" xfId="2686"/>
    <cellStyle name="差_455厂投资建议书估算新模版 3" xfId="2687"/>
    <cellStyle name="差_455厂投资建议书估算新模版 3 2" xfId="2688"/>
    <cellStyle name="差_455厂投资建议书估算新模版 3 2 2" xfId="2689"/>
    <cellStyle name="差_455厂投资建议书估算新模版 3 3" xfId="2690"/>
    <cellStyle name="差_455厂投资建议书估算新模版 4" xfId="2691"/>
    <cellStyle name="差_455厂投资建议书估算新模版 4 2" xfId="2692"/>
    <cellStyle name="差_455厂投资建议书估算新模版 4 2 2" xfId="2693"/>
    <cellStyle name="差_455厂投资建议书估算新模版 4 3" xfId="2694"/>
    <cellStyle name="差_455厂投资建议书估算新模版 5" xfId="2695"/>
    <cellStyle name="差_455厂投资建议书估算新模版 5 2" xfId="2696"/>
    <cellStyle name="差_455厂投资建议书估算新模版 6" xfId="2697"/>
    <cellStyle name="差_6402投资估算09-03-06" xfId="2698"/>
    <cellStyle name="差_6402投资估算09-03-06 2" xfId="2699"/>
    <cellStyle name="差_6402投资估算09-03-06 2 2" xfId="2700"/>
    <cellStyle name="差_6402投资估算09-03-06 2 2 2" xfId="2701"/>
    <cellStyle name="差_6402投资估算09-03-06 2 2 2 2" xfId="2702"/>
    <cellStyle name="差_6402投资估算09-03-06 2 2 3" xfId="2703"/>
    <cellStyle name="差_6402投资估算09-03-06 2 3" xfId="2704"/>
    <cellStyle name="差_6402投资估算09-03-06 2 3 2" xfId="2705"/>
    <cellStyle name="差_6402投资估算09-03-06 2 4" xfId="2706"/>
    <cellStyle name="差_6402投资估算09-03-06 2 5" xfId="2707"/>
    <cellStyle name="差_6402投资估算09-03-06 3" xfId="2708"/>
    <cellStyle name="差_6402投资估算09-03-06 3 2" xfId="2709"/>
    <cellStyle name="差_6402投资估算09-03-06 3 2 2" xfId="2710"/>
    <cellStyle name="差_6402投资估算09-03-06 3 3" xfId="2711"/>
    <cellStyle name="差_6402投资估算09-03-06 4" xfId="2712"/>
    <cellStyle name="差_6402投资估算09-03-06 4 2" xfId="2713"/>
    <cellStyle name="差_6402投资估算09-03-06 4 2 2" xfId="2714"/>
    <cellStyle name="差_6402投资估算09-03-06 4 2 2 2" xfId="2715"/>
    <cellStyle name="差_6402投资估算09-03-06 4 2 3" xfId="2716"/>
    <cellStyle name="差_6402投资估算09-03-06 4 3" xfId="2717"/>
    <cellStyle name="差_6402投资估算09-03-06 4 3 2" xfId="2718"/>
    <cellStyle name="差_6402投资估算09-03-06 4 4" xfId="2719"/>
    <cellStyle name="差_6402投资估算09-03-06 5" xfId="2720"/>
    <cellStyle name="差_6402投资估算09-03-06 5 2" xfId="2721"/>
    <cellStyle name="差_6402投资估算09-03-06 5 2 2" xfId="2722"/>
    <cellStyle name="差_6402投资估算09-03-06 5 3" xfId="2723"/>
    <cellStyle name="差_6402投资估算09-03-06 6" xfId="2724"/>
    <cellStyle name="差_6402投资估算09-03-06 6 2" xfId="2725"/>
    <cellStyle name="差_6402投资估算09-03-06 7" xfId="2726"/>
    <cellStyle name="差_662平台可研-估算2011.9.3-第1稿" xfId="2727"/>
    <cellStyle name="差_662平台可研-估算2011.9.3-第1稿 2" xfId="2728"/>
    <cellStyle name="差_662平台可研-估算2011.9.3-第1稿 2 2" xfId="2729"/>
    <cellStyle name="差_662平台可研-估算2011.9.3-第1稿 2 2 2" xfId="2730"/>
    <cellStyle name="差_662平台可研-估算2011.9.3-第1稿 2 2 2 2" xfId="2731"/>
    <cellStyle name="差_662平台可研-估算2011.9.3-第1稿 2 2 3" xfId="2732"/>
    <cellStyle name="差_662平台可研-估算2011.9.3-第1稿 2 3" xfId="2733"/>
    <cellStyle name="差_662平台可研-估算2011.9.3-第1稿 2 3 2" xfId="2734"/>
    <cellStyle name="差_662平台可研-估算2011.9.3-第1稿 2 4" xfId="2735"/>
    <cellStyle name="差_662平台可研-估算2011.9.3-第1稿 3" xfId="2736"/>
    <cellStyle name="差_662平台可研-估算2011.9.3-第1稿 3 2" xfId="2737"/>
    <cellStyle name="差_662平台可研-估算2011.9.3-第1稿 3 2 2" xfId="2738"/>
    <cellStyle name="差_662平台可研-估算2011.9.3-第1稿 3 3" xfId="2739"/>
    <cellStyle name="差_662平台可研-估算2011.9.3-第1稿 4" xfId="2740"/>
    <cellStyle name="差_662平台可研-估算2011.9.3-第1稿 4 2" xfId="2741"/>
    <cellStyle name="差_662平台可研-估算2011.9.3-第1稿 5" xfId="2742"/>
    <cellStyle name="差_6A项目建议书设备、概算表（调整对照表）" xfId="2743"/>
    <cellStyle name="差_6A项目建议书设备、概算表（调整对照表） 2" xfId="2744"/>
    <cellStyle name="差_6A项目建议书设备、概算表（调整对照表） 2 2" xfId="2745"/>
    <cellStyle name="差_6A项目建议书设备、概算表（调整对照表） 3" xfId="2746"/>
    <cellStyle name="差_701估算表090505" xfId="2747"/>
    <cellStyle name="差_701估算表090505 2" xfId="2748"/>
    <cellStyle name="差_701估算表090505 2 2" xfId="2749"/>
    <cellStyle name="差_701估算表090505 2 2 2" xfId="2750"/>
    <cellStyle name="差_701估算表090505 2 2 2 2" xfId="2751"/>
    <cellStyle name="差_701估算表090505 2 2 3" xfId="2752"/>
    <cellStyle name="差_701估算表090505 2 3" xfId="2753"/>
    <cellStyle name="差_701估算表090505 2 3 2" xfId="2754"/>
    <cellStyle name="差_701估算表090505 2 4" xfId="2755"/>
    <cellStyle name="差_701估算表090505 3" xfId="2756"/>
    <cellStyle name="差_701估算表090505 3 2" xfId="2757"/>
    <cellStyle name="差_701估算表090505 3 2 2" xfId="2758"/>
    <cellStyle name="差_701估算表090505 3 3" xfId="2759"/>
    <cellStyle name="差_701估算表090505 4" xfId="2760"/>
    <cellStyle name="差_701估算表090505 4 2" xfId="2761"/>
    <cellStyle name="差_701估算表090505 5" xfId="2762"/>
    <cellStyle name="差_701估算表090505_新增工艺设备表" xfId="2763"/>
    <cellStyle name="差_701估算表090505_新增工艺设备表 2" xfId="2764"/>
    <cellStyle name="差_701估算表090505_新增工艺设备表 2 2" xfId="2765"/>
    <cellStyle name="差_701估算表090505_新增工艺设备表 3" xfId="2766"/>
    <cellStyle name="差_702-给樊稿（10.813）" xfId="2767"/>
    <cellStyle name="差_702-给樊稿（10.813） 2" xfId="2768"/>
    <cellStyle name="差_702-给樊稿（10.813） 2 2" xfId="2769"/>
    <cellStyle name="差_702-给樊稿（10.813） 2 2 2" xfId="2770"/>
    <cellStyle name="差_702-给樊稿（10.813） 2 2 2 2" xfId="2771"/>
    <cellStyle name="差_702-给樊稿（10.813） 2 2 3" xfId="2772"/>
    <cellStyle name="差_702-给樊稿（10.813） 2 3" xfId="2773"/>
    <cellStyle name="差_702-给樊稿（10.813） 2 3 2" xfId="2774"/>
    <cellStyle name="差_702-给樊稿（10.813） 2 4" xfId="2775"/>
    <cellStyle name="差_702-给樊稿（10.813） 3" xfId="2776"/>
    <cellStyle name="差_702-给樊稿（10.813） 3 2" xfId="2777"/>
    <cellStyle name="差_702-给樊稿（10.813） 3 2 2" xfId="2778"/>
    <cellStyle name="差_702-给樊稿（10.813） 3 3" xfId="2779"/>
    <cellStyle name="差_702-给樊稿（10.813） 4" xfId="2780"/>
    <cellStyle name="差_702-给樊稿（10.813） 4 2" xfId="2781"/>
    <cellStyle name="差_702-给樊稿（10.813） 5" xfId="2782"/>
    <cellStyle name="差_717概算081023" xfId="2783"/>
    <cellStyle name="差_717概算081023 2" xfId="2784"/>
    <cellStyle name="差_717概算081023 2 2" xfId="2785"/>
    <cellStyle name="差_717概算081023 2 2 2" xfId="2786"/>
    <cellStyle name="差_717概算081023 2 2 2 2" xfId="2787"/>
    <cellStyle name="差_717概算081023 2 2 3" xfId="2788"/>
    <cellStyle name="差_717概算081023 2 3" xfId="2789"/>
    <cellStyle name="差_717概算081023 2 3 2" xfId="2790"/>
    <cellStyle name="差_717概算081023 2 4" xfId="2791"/>
    <cellStyle name="差_717概算081023 3" xfId="2792"/>
    <cellStyle name="差_717概算081023 3 2" xfId="2793"/>
    <cellStyle name="差_717概算081023 3 2 2" xfId="2794"/>
    <cellStyle name="差_717概算081023 3 3" xfId="2795"/>
    <cellStyle name="差_717概算081023 4" xfId="2796"/>
    <cellStyle name="差_717概算081023 4 2" xfId="2797"/>
    <cellStyle name="差_717概算081023 5" xfId="2798"/>
    <cellStyle name="差_717概算081023_新增工艺设备表" xfId="2799"/>
    <cellStyle name="差_717概算081023_新增工艺设备表 2" xfId="2800"/>
    <cellStyle name="差_717概算081023_新增工艺设备表 2 2" xfId="2801"/>
    <cellStyle name="差_717概算081023_新增工艺设备表 3" xfId="2802"/>
    <cellStyle name="差_718安全性上报三表" xfId="2803"/>
    <cellStyle name="差_718安全性上报三表 2" xfId="2804"/>
    <cellStyle name="差_718安全性上报三表 2 2" xfId="2805"/>
    <cellStyle name="差_718安全性上报三表 2 2 2" xfId="2806"/>
    <cellStyle name="差_718安全性上报三表 2 3" xfId="2807"/>
    <cellStyle name="差_718安全性上报三表 2 4" xfId="2808"/>
    <cellStyle name="差_718安全性上报三表 3" xfId="2809"/>
    <cellStyle name="差_718安全性上报三表 3 2" xfId="2810"/>
    <cellStyle name="差_718安全性上报三表 4" xfId="2811"/>
    <cellStyle name="差_726安全性可研附表-08.4.9(du修改)" xfId="2812"/>
    <cellStyle name="差_726安全性可研附表-08.4.9(du修改) 2" xfId="2813"/>
    <cellStyle name="差_726安全性可研附表-08.4.9(du修改) 2 2" xfId="2814"/>
    <cellStyle name="差_726安全性可研附表-08.4.9(du修改) 2 2 2" xfId="2815"/>
    <cellStyle name="差_726安全性可研附表-08.4.9(du修改) 2 2 2 2" xfId="2816"/>
    <cellStyle name="差_726安全性可研附表-08.4.9(du修改) 2 2 3" xfId="2817"/>
    <cellStyle name="差_726安全性可研附表-08.4.9(du修改) 2 3" xfId="2818"/>
    <cellStyle name="差_726安全性可研附表-08.4.9(du修改) 2 3 2" xfId="2819"/>
    <cellStyle name="差_726安全性可研附表-08.4.9(du修改) 2 4" xfId="2820"/>
    <cellStyle name="差_726安全性可研附表-08.4.9(du修改) 2 5" xfId="2821"/>
    <cellStyle name="差_726安全性可研附表-08.4.9(du修改) 3" xfId="2822"/>
    <cellStyle name="差_726安全性可研附表-08.4.9(du修改) 3 2" xfId="2823"/>
    <cellStyle name="差_726安全性可研附表-08.4.9(du修改) 3 2 2" xfId="2824"/>
    <cellStyle name="差_726安全性可研附表-08.4.9(du修改) 3 3" xfId="2825"/>
    <cellStyle name="差_726安全性可研附表-08.4.9(du修改) 4" xfId="2826"/>
    <cellStyle name="差_726安全性可研附表-08.4.9(du修改) 4 2" xfId="2827"/>
    <cellStyle name="差_726安全性可研附表-08.4.9(du修改) 5" xfId="2828"/>
    <cellStyle name="差_760特性测试估算" xfId="2829"/>
    <cellStyle name="差_760特性测试估算 2" xfId="2830"/>
    <cellStyle name="差_760特性测试估算 2 2" xfId="2831"/>
    <cellStyle name="差_760特性测试估算 2 2 2" xfId="2832"/>
    <cellStyle name="差_760特性测试估算 2 2 2 2" xfId="2833"/>
    <cellStyle name="差_760特性测试估算 2 2 3" xfId="2834"/>
    <cellStyle name="差_760特性测试估算 2 3" xfId="2835"/>
    <cellStyle name="差_760特性测试估算 2 3 2" xfId="2836"/>
    <cellStyle name="差_760特性测试估算 2 4" xfId="2837"/>
    <cellStyle name="差_760特性测试估算 3" xfId="2838"/>
    <cellStyle name="差_760特性测试估算 3 2" xfId="2839"/>
    <cellStyle name="差_760特性测试估算 3 2 2" xfId="2840"/>
    <cellStyle name="差_760特性测试估算 3 3" xfId="2841"/>
    <cellStyle name="差_760特性测试估算 4" xfId="2842"/>
    <cellStyle name="差_760特性测试估算 4 2" xfId="2843"/>
    <cellStyle name="差_760特性测试估算 5" xfId="2844"/>
    <cellStyle name="差_760特性测试估算_新增工艺设备表" xfId="2845"/>
    <cellStyle name="差_760特性测试估算_新增工艺设备表 2" xfId="2846"/>
    <cellStyle name="差_760特性测试估算_新增工艺设备表 2 2" xfId="2847"/>
    <cellStyle name="差_760特性测试估算_新增工艺设备表 3" xfId="2848"/>
    <cellStyle name="差_884估算表2011.8.19-03" xfId="2849"/>
    <cellStyle name="差_884估算表2011.8.19-03 2" xfId="2850"/>
    <cellStyle name="差_884估算表2011.8.19-03 2 2" xfId="2851"/>
    <cellStyle name="差_884估算表2011.8.19-03 2 2 2" xfId="2852"/>
    <cellStyle name="差_884估算表2011.8.19-03 2 2 2 2" xfId="2853"/>
    <cellStyle name="差_884估算表2011.8.19-03 2 2 3" xfId="2854"/>
    <cellStyle name="差_884估算表2011.8.19-03 2 3" xfId="2855"/>
    <cellStyle name="差_884估算表2011.8.19-03 2 3 2" xfId="2856"/>
    <cellStyle name="差_884估算表2011.8.19-03 2 4" xfId="2857"/>
    <cellStyle name="差_884估算表2011.8.19-03 3" xfId="2858"/>
    <cellStyle name="差_884估算表2011.8.19-03 3 2" xfId="2859"/>
    <cellStyle name="差_884估算表2011.8.19-03 3 2 2" xfId="2860"/>
    <cellStyle name="差_884估算表2011.8.19-03 3 3" xfId="2861"/>
    <cellStyle name="差_884估算表2011.8.19-03 4" xfId="2862"/>
    <cellStyle name="差_884估算表2011.8.19-03 4 2" xfId="2863"/>
    <cellStyle name="差_884估算表2011.8.19-03 5" xfId="2864"/>
    <cellStyle name="差_Book1" xfId="2865"/>
    <cellStyle name="差_Book1 2" xfId="2866"/>
    <cellStyle name="差_Book1 2 2" xfId="2867"/>
    <cellStyle name="差_Book1 2 2 2" xfId="2868"/>
    <cellStyle name="差_Book1 2 2 2 2" xfId="2869"/>
    <cellStyle name="差_Book1 2 2 3" xfId="2870"/>
    <cellStyle name="差_Book1 2 3" xfId="2871"/>
    <cellStyle name="差_Book1 2 3 2" xfId="2872"/>
    <cellStyle name="差_Book1 2 4" xfId="2873"/>
    <cellStyle name="差_Book1 2 5" xfId="2874"/>
    <cellStyle name="差_Book1 3" xfId="2875"/>
    <cellStyle name="差_Book1 3 2" xfId="2876"/>
    <cellStyle name="差_Book1 3 2 2" xfId="2877"/>
    <cellStyle name="差_Book1 3 3" xfId="2878"/>
    <cellStyle name="差_Book1 4" xfId="2879"/>
    <cellStyle name="差_Book1 4 2" xfId="2880"/>
    <cellStyle name="差_Book1 4 2 2" xfId="2881"/>
    <cellStyle name="差_Book1 4 3" xfId="2882"/>
    <cellStyle name="差_Book1 5" xfId="2883"/>
    <cellStyle name="差_Book1 5 2" xfId="2884"/>
    <cellStyle name="差_Book1 5 2 2" xfId="2885"/>
    <cellStyle name="差_Book1 5 3" xfId="2886"/>
    <cellStyle name="差_Book1 6" xfId="2887"/>
    <cellStyle name="差_Book1 6 2" xfId="2888"/>
    <cellStyle name="差_Book1 7" xfId="2889"/>
    <cellStyle name="差_Xl0000002" xfId="2890"/>
    <cellStyle name="差_Xl0000002 2" xfId="2891"/>
    <cellStyle name="差_Xl0000002 2 2" xfId="2892"/>
    <cellStyle name="差_Xl0000002 3" xfId="2893"/>
    <cellStyle name="差_报价" xfId="2894"/>
    <cellStyle name="差_报价 2" xfId="2895"/>
    <cellStyle name="差_报价 2 2" xfId="2896"/>
    <cellStyle name="差_报价 2 3" xfId="2897"/>
    <cellStyle name="差_报价 3" xfId="2898"/>
    <cellStyle name="差_初设概算(shi)-5.14晚-7.9-8.27 last " xfId="2899"/>
    <cellStyle name="差_初设概算(shi)-5.14晚-7.9-8.27 last  2" xfId="2900"/>
    <cellStyle name="差_初设概算(shi)-5.14晚-7.9-8.27 last  2 2" xfId="2901"/>
    <cellStyle name="差_初设概算(shi)-5.14晚-7.9-8.27 last  2 2 2" xfId="2902"/>
    <cellStyle name="差_初设概算(shi)-5.14晚-7.9-8.27 last  2 2 2 2" xfId="2903"/>
    <cellStyle name="差_初设概算(shi)-5.14晚-7.9-8.27 last  2 2 3" xfId="2904"/>
    <cellStyle name="差_初设概算(shi)-5.14晚-7.9-8.27 last  2 3" xfId="2905"/>
    <cellStyle name="差_初设概算(shi)-5.14晚-7.9-8.27 last  2 3 2" xfId="2906"/>
    <cellStyle name="差_初设概算(shi)-5.14晚-7.9-8.27 last  2 4" xfId="2907"/>
    <cellStyle name="差_初设概算(shi)-5.14晚-7.9-8.27 last  2 5" xfId="2908"/>
    <cellStyle name="差_初设概算(shi)-5.14晚-7.9-8.27 last  3" xfId="2909"/>
    <cellStyle name="差_初设概算(shi)-5.14晚-7.9-8.27 last  3 2" xfId="2910"/>
    <cellStyle name="差_初设概算(shi)-5.14晚-7.9-8.27 last  3 2 2" xfId="2911"/>
    <cellStyle name="差_初设概算(shi)-5.14晚-7.9-8.27 last  3 3" xfId="2912"/>
    <cellStyle name="差_初设概算(shi)-5.14晚-7.9-8.27 last  4" xfId="2913"/>
    <cellStyle name="差_初设概算(shi)-5.14晚-7.9-8.27 last  4 2" xfId="2914"/>
    <cellStyle name="差_初设概算(shi)-5.14晚-7.9-8.27 last  4 2 2" xfId="2915"/>
    <cellStyle name="差_初设概算(shi)-5.14晚-7.9-8.27 last  4 2 2 2" xfId="2916"/>
    <cellStyle name="差_初设概算(shi)-5.14晚-7.9-8.27 last  4 2 3" xfId="2917"/>
    <cellStyle name="差_初设概算(shi)-5.14晚-7.9-8.27 last  4 3" xfId="2918"/>
    <cellStyle name="差_初设概算(shi)-5.14晚-7.9-8.27 last  4 3 2" xfId="2919"/>
    <cellStyle name="差_初设概算(shi)-5.14晚-7.9-8.27 last  4 4" xfId="2920"/>
    <cellStyle name="差_初设概算(shi)-5.14晚-7.9-8.27 last  5" xfId="2921"/>
    <cellStyle name="差_初设概算(shi)-5.14晚-7.9-8.27 last  5 2" xfId="2922"/>
    <cellStyle name="差_初设概算(shi)-5.14晚-7.9-8.27 last  5 2 2" xfId="2923"/>
    <cellStyle name="差_初设概算(shi)-5.14晚-7.9-8.27 last  5 3" xfId="2924"/>
    <cellStyle name="差_初设概算(shi)-5.14晚-7.9-8.27 last  6" xfId="2925"/>
    <cellStyle name="差_初设概算(shi)-5.14晚-7.9-8.27 last  6 2" xfId="2926"/>
    <cellStyle name="差_初设概算(shi)-5.14晚-7.9-8.27 last  7" xfId="2927"/>
    <cellStyle name="差_风电估算表" xfId="2928"/>
    <cellStyle name="差_风电估算表 2" xfId="2929"/>
    <cellStyle name="差_风电估算表 2 2" xfId="2930"/>
    <cellStyle name="差_风电估算表 2 2 2" xfId="2931"/>
    <cellStyle name="差_风电估算表 2 2 2 2" xfId="2932"/>
    <cellStyle name="差_风电估算表 2 2 3" xfId="2933"/>
    <cellStyle name="差_风电估算表 2 3" xfId="2934"/>
    <cellStyle name="差_风电估算表 2 3 2" xfId="2935"/>
    <cellStyle name="差_风电估算表 2 4" xfId="2936"/>
    <cellStyle name="差_风电估算表 3" xfId="2937"/>
    <cellStyle name="差_风电估算表 3 2" xfId="2938"/>
    <cellStyle name="差_风电估算表 3 2 2" xfId="2939"/>
    <cellStyle name="差_风电估算表 3 3" xfId="2940"/>
    <cellStyle name="差_风电估算表 4" xfId="2941"/>
    <cellStyle name="差_风电估算表 4 2" xfId="2942"/>
    <cellStyle name="差_风电估算表 5" xfId="2943"/>
    <cellStyle name="差_附表-08-11  " xfId="2944"/>
    <cellStyle name="差_附表-08-11   2" xfId="2945"/>
    <cellStyle name="差_附表-08-11   2 2" xfId="2946"/>
    <cellStyle name="差_附表-08-11   3" xfId="2947"/>
    <cellStyle name="差_附件 " xfId="2948"/>
    <cellStyle name="差_附件  2" xfId="2949"/>
    <cellStyle name="差_附件  2 2" xfId="2950"/>
    <cellStyle name="差_附件  2 3" xfId="2951"/>
    <cellStyle name="差_附件  3" xfId="2952"/>
    <cellStyle name="差_概算-初步估算10.19" xfId="2953"/>
    <cellStyle name="差_概算-初步估算10.19 2" xfId="2954"/>
    <cellStyle name="差_概算-初步估算10.19 2 2" xfId="2955"/>
    <cellStyle name="差_概算-初步估算10.19 2 3" xfId="2956"/>
    <cellStyle name="差_概算-初步估算10.19 3" xfId="2957"/>
    <cellStyle name="差_工艺设备表" xfId="2958"/>
    <cellStyle name="差_工艺设备表 2" xfId="2959"/>
    <cellStyle name="差_工艺设备表 2 2" xfId="2960"/>
    <cellStyle name="差_工艺设备表 3" xfId="2961"/>
    <cellStyle name="差_工艺设备表（需要完善）" xfId="2962"/>
    <cellStyle name="差_工艺设备表（需要完善） 2" xfId="2963"/>
    <cellStyle name="差_工艺设备表（需要完善） 2 2" xfId="2964"/>
    <cellStyle name="差_工艺设备表（需要完善） 3" xfId="2965"/>
    <cellStyle name="差_公用设备表" xfId="2966"/>
    <cellStyle name="差_公用设备表 2" xfId="2967"/>
    <cellStyle name="差_公用设备表 2 2" xfId="2968"/>
    <cellStyle name="差_公用设备表 2 2 2" xfId="2969"/>
    <cellStyle name="差_公用设备表 2 2 2 2" xfId="2970"/>
    <cellStyle name="差_公用设备表 2 2 3" xfId="2971"/>
    <cellStyle name="差_公用设备表 2 3" xfId="2972"/>
    <cellStyle name="差_公用设备表 2 3 2" xfId="2973"/>
    <cellStyle name="差_公用设备表 2 4" xfId="2974"/>
    <cellStyle name="差_公用设备表 2 5" xfId="2975"/>
    <cellStyle name="差_公用设备表 3" xfId="2976"/>
    <cellStyle name="差_公用设备表 3 2" xfId="2977"/>
    <cellStyle name="差_公用设备表 3 2 2" xfId="2978"/>
    <cellStyle name="差_公用设备表 3 3" xfId="2979"/>
    <cellStyle name="差_公用设备表 4" xfId="2980"/>
    <cellStyle name="差_公用设备表 4 2" xfId="2981"/>
    <cellStyle name="差_公用设备表 4 2 2" xfId="2982"/>
    <cellStyle name="差_公用设备表 4 2 2 2" xfId="2983"/>
    <cellStyle name="差_公用设备表 4 2 3" xfId="2984"/>
    <cellStyle name="差_公用设备表 4 3" xfId="2985"/>
    <cellStyle name="差_公用设备表 4 3 2" xfId="2986"/>
    <cellStyle name="差_公用设备表 4 4" xfId="2987"/>
    <cellStyle name="差_公用设备表 5" xfId="2988"/>
    <cellStyle name="差_公用设备表 5 2" xfId="2989"/>
    <cellStyle name="差_公用设备表 5 2 2" xfId="2990"/>
    <cellStyle name="差_公用设备表 5 3" xfId="2991"/>
    <cellStyle name="差_公用设备表 6" xfId="2992"/>
    <cellStyle name="差_公用设备表 6 2" xfId="2993"/>
    <cellStyle name="差_公用设备表 7" xfId="2994"/>
    <cellStyle name="差_建构物一览表" xfId="2995"/>
    <cellStyle name="差_建构物一览表 2" xfId="2996"/>
    <cellStyle name="差_建构物一览表 2 2" xfId="2997"/>
    <cellStyle name="差_建构物一览表 2 2 2" xfId="2998"/>
    <cellStyle name="差_建构物一览表 2 2 2 2" xfId="2999"/>
    <cellStyle name="差_建构物一览表 2 2 3" xfId="3000"/>
    <cellStyle name="差_建构物一览表 2 3" xfId="3001"/>
    <cellStyle name="差_建构物一览表 2 3 2" xfId="3002"/>
    <cellStyle name="差_建构物一览表 2 4" xfId="3003"/>
    <cellStyle name="差_建构物一览表 3" xfId="3004"/>
    <cellStyle name="差_建构物一览表 3 2" xfId="3005"/>
    <cellStyle name="差_建构物一览表 3 2 2" xfId="3006"/>
    <cellStyle name="差_建构物一览表 3 3" xfId="3007"/>
    <cellStyle name="差_建构物一览表 4" xfId="3008"/>
    <cellStyle name="差_建构物一览表 4 2" xfId="3009"/>
    <cellStyle name="差_建构物一览表 5" xfId="3010"/>
    <cellStyle name="差_建筑工程预算表(保密网络)" xfId="3011"/>
    <cellStyle name="差_建筑工程预算表(保密网络) 2" xfId="3012"/>
    <cellStyle name="差_建筑工程预算表(保密网络) 2 2" xfId="3013"/>
    <cellStyle name="差_建筑工程预算表(保密网络) 2 2 2" xfId="3014"/>
    <cellStyle name="差_建筑工程预算表(保密网络) 2 2 2 2" xfId="3015"/>
    <cellStyle name="差_建筑工程预算表(保密网络) 2 2 3" xfId="3016"/>
    <cellStyle name="差_建筑工程预算表(保密网络) 2 3" xfId="3017"/>
    <cellStyle name="差_建筑工程预算表(保密网络) 2 3 2" xfId="3018"/>
    <cellStyle name="差_建筑工程预算表(保密网络) 2 4" xfId="3019"/>
    <cellStyle name="差_建筑工程预算表(保密网络) 3" xfId="3020"/>
    <cellStyle name="差_建筑工程预算表(保密网络) 3 2" xfId="3021"/>
    <cellStyle name="差_建筑工程预算表(保密网络) 3 2 2" xfId="3022"/>
    <cellStyle name="差_建筑工程预算表(保密网络) 3 3" xfId="3023"/>
    <cellStyle name="差_建筑工程预算表(保密网络) 4" xfId="3024"/>
    <cellStyle name="差_建筑工程预算表(保密网络) 4 2" xfId="3025"/>
    <cellStyle name="差_建筑工程预算表(保密网络) 5" xfId="3026"/>
    <cellStyle name="差_建筑工程预算表(保密网络)_新增工艺设备表" xfId="3027"/>
    <cellStyle name="差_建筑工程预算表(保密网络)_新增工艺设备表 2" xfId="3028"/>
    <cellStyle name="差_建筑工程预算表(保密网络)_新增工艺设备表 2 2" xfId="3029"/>
    <cellStyle name="差_建筑工程预算表(保密网络)_新增工艺设备表 3" xfId="3030"/>
    <cellStyle name="差_节能减排" xfId="3031"/>
    <cellStyle name="差_节能减排 2" xfId="3032"/>
    <cellStyle name="差_节能减排 2 2" xfId="3033"/>
    <cellStyle name="差_节能减排 2 2 2" xfId="3034"/>
    <cellStyle name="差_节能减排 2 2 2 2" xfId="3035"/>
    <cellStyle name="差_节能减排 2 2 3" xfId="3036"/>
    <cellStyle name="差_节能减排 2 3" xfId="3037"/>
    <cellStyle name="差_节能减排 2 3 2" xfId="3038"/>
    <cellStyle name="差_节能减排 2 4" xfId="3039"/>
    <cellStyle name="差_节能减排 2 5" xfId="3040"/>
    <cellStyle name="差_节能减排 3" xfId="3041"/>
    <cellStyle name="差_节能减排 3 2" xfId="3042"/>
    <cellStyle name="差_节能减排 3 2 2" xfId="3043"/>
    <cellStyle name="差_节能减排 3 3" xfId="3044"/>
    <cellStyle name="差_节能减排 4" xfId="3045"/>
    <cellStyle name="差_节能减排 4 2" xfId="3046"/>
    <cellStyle name="差_节能减排 4 2 2" xfId="3047"/>
    <cellStyle name="差_节能减排 4 2 2 2" xfId="3048"/>
    <cellStyle name="差_节能减排 4 2 3" xfId="3049"/>
    <cellStyle name="差_节能减排 4 3" xfId="3050"/>
    <cellStyle name="差_节能减排 4 3 2" xfId="3051"/>
    <cellStyle name="差_节能减排 4 4" xfId="3052"/>
    <cellStyle name="差_节能减排 5" xfId="3053"/>
    <cellStyle name="差_节能减排 5 2" xfId="3054"/>
    <cellStyle name="差_节能减排 5 2 2" xfId="3055"/>
    <cellStyle name="差_节能减排 5 3" xfId="3056"/>
    <cellStyle name="差_节能减排 6" xfId="3057"/>
    <cellStyle name="差_节能减排 6 2" xfId="3058"/>
    <cellStyle name="差_节能减排 7" xfId="3059"/>
    <cellStyle name="差_可研工艺设备汇总表" xfId="3060"/>
    <cellStyle name="差_可研工艺设备汇总表 2" xfId="3061"/>
    <cellStyle name="差_可研工艺设备汇总表 2 2" xfId="3062"/>
    <cellStyle name="差_可研工艺设备汇总表 2 2 2" xfId="3063"/>
    <cellStyle name="差_可研工艺设备汇总表 2 2 2 2" xfId="3064"/>
    <cellStyle name="差_可研工艺设备汇总表 2 2 3" xfId="3065"/>
    <cellStyle name="差_可研工艺设备汇总表 2 3" xfId="3066"/>
    <cellStyle name="差_可研工艺设备汇总表 2 3 2" xfId="3067"/>
    <cellStyle name="差_可研工艺设备汇总表 2 4" xfId="3068"/>
    <cellStyle name="差_可研工艺设备汇总表 2 5" xfId="3069"/>
    <cellStyle name="差_可研工艺设备汇总表 3" xfId="3070"/>
    <cellStyle name="差_可研工艺设备汇总表 3 2" xfId="3071"/>
    <cellStyle name="差_可研工艺设备汇总表 3 2 2" xfId="3072"/>
    <cellStyle name="差_可研工艺设备汇总表 3 2 2 2" xfId="3073"/>
    <cellStyle name="差_可研工艺设备汇总表 3 2 3" xfId="3074"/>
    <cellStyle name="差_可研工艺设备汇总表 3 3" xfId="3075"/>
    <cellStyle name="差_可研工艺设备汇总表 3 3 2" xfId="3076"/>
    <cellStyle name="差_可研工艺设备汇总表 3 4" xfId="3077"/>
    <cellStyle name="差_可研工艺设备汇总表 4" xfId="3078"/>
    <cellStyle name="差_可研工艺设备汇总表 4 2" xfId="3079"/>
    <cellStyle name="差_可研工艺设备汇总表 4 2 2" xfId="3080"/>
    <cellStyle name="差_可研工艺设备汇总表 4 2 2 2" xfId="3081"/>
    <cellStyle name="差_可研工艺设备汇总表 4 2 3" xfId="3082"/>
    <cellStyle name="差_可研工艺设备汇总表 4 3" xfId="3083"/>
    <cellStyle name="差_可研工艺设备汇总表 4 3 2" xfId="3084"/>
    <cellStyle name="差_可研工艺设备汇总表 4 4" xfId="3085"/>
    <cellStyle name="差_可研工艺设备汇总表 5" xfId="3086"/>
    <cellStyle name="差_可研工艺设备汇总表 5 2" xfId="3087"/>
    <cellStyle name="差_可研工艺设备汇总表 6" xfId="3088"/>
    <cellStyle name="差_可研工艺设备汇总表 6 2" xfId="3089"/>
    <cellStyle name="差_可研估算表09-05-08" xfId="3090"/>
    <cellStyle name="差_可研估算表09-05-08 2" xfId="3091"/>
    <cellStyle name="差_可研估算表09-05-08 2 2" xfId="3092"/>
    <cellStyle name="差_可研估算表09-05-08 3" xfId="3093"/>
    <cellStyle name="差_设备表" xfId="3094"/>
    <cellStyle name="差_设备表 2" xfId="3095"/>
    <cellStyle name="差_设备表 2 2" xfId="3096"/>
    <cellStyle name="差_设备表 3" xfId="3097"/>
    <cellStyle name="差_设备表改" xfId="3098"/>
    <cellStyle name="差_设备表改 2" xfId="3099"/>
    <cellStyle name="差_设备表改 2 2" xfId="3100"/>
    <cellStyle name="差_设备表改 2 2 2" xfId="3101"/>
    <cellStyle name="差_设备表改 2 2 2 2" xfId="3102"/>
    <cellStyle name="差_设备表改 2 2 3" xfId="3103"/>
    <cellStyle name="差_设备表改 2 3" xfId="3104"/>
    <cellStyle name="差_设备表改 2 3 2" xfId="3105"/>
    <cellStyle name="差_设备表改 2 4" xfId="3106"/>
    <cellStyle name="差_设备表改 2 5" xfId="3107"/>
    <cellStyle name="差_设备表改 3" xfId="3108"/>
    <cellStyle name="差_设备表改 3 2" xfId="3109"/>
    <cellStyle name="差_设备表改 3 2 2" xfId="3110"/>
    <cellStyle name="差_设备表改 3 3" xfId="3111"/>
    <cellStyle name="差_设备表改 4" xfId="3112"/>
    <cellStyle name="差_设备表改 4 2" xfId="3113"/>
    <cellStyle name="差_设备表改 4 2 2" xfId="3114"/>
    <cellStyle name="差_设备表改 4 2 2 2" xfId="3115"/>
    <cellStyle name="差_设备表改 4 2 3" xfId="3116"/>
    <cellStyle name="差_设备表改 4 3" xfId="3117"/>
    <cellStyle name="差_设备表改 4 3 2" xfId="3118"/>
    <cellStyle name="差_设备表改 4 4" xfId="3119"/>
    <cellStyle name="差_设备表改 5" xfId="3120"/>
    <cellStyle name="差_设备表改 5 2" xfId="3121"/>
    <cellStyle name="差_设备表改 5 2 2" xfId="3122"/>
    <cellStyle name="差_设备表改 5 3" xfId="3123"/>
    <cellStyle name="差_设备表改 6" xfId="3124"/>
    <cellStyle name="差_设备表改 6 2" xfId="3125"/>
    <cellStyle name="差_设备表改 7" xfId="3126"/>
    <cellStyle name="差_声研保新增工艺设备表" xfId="3127"/>
    <cellStyle name="差_声研保新增工艺设备表 2" xfId="3128"/>
    <cellStyle name="差_声研保新增工艺设备表 2 2" xfId="3129"/>
    <cellStyle name="差_声研保新增工艺设备表 2 2 2" xfId="3130"/>
    <cellStyle name="差_声研保新增工艺设备表 2 3" xfId="3131"/>
    <cellStyle name="差_声研保新增工艺设备表 2 4" xfId="3132"/>
    <cellStyle name="差_声研保新增工艺设备表 3" xfId="3133"/>
    <cellStyle name="差_声研保新增工艺设备表 3 2" xfId="3134"/>
    <cellStyle name="差_声研保新增工艺设备表 4" xfId="3135"/>
    <cellStyle name="差_投资估算" xfId="3136"/>
    <cellStyle name="差_投资估算 2" xfId="3137"/>
    <cellStyle name="差_投资估算 2 2" xfId="3138"/>
    <cellStyle name="差_投资估算 2 2 2" xfId="3139"/>
    <cellStyle name="差_投资估算 2 2 2 2" xfId="3140"/>
    <cellStyle name="差_投资估算 2 2 3" xfId="3141"/>
    <cellStyle name="差_投资估算 2 3" xfId="3142"/>
    <cellStyle name="差_投资估算 2 3 2" xfId="3143"/>
    <cellStyle name="差_投资估算 2 4" xfId="3144"/>
    <cellStyle name="差_投资估算 3" xfId="3145"/>
    <cellStyle name="差_投资估算 3 2" xfId="3146"/>
    <cellStyle name="差_投资估算 3 2 2" xfId="3147"/>
    <cellStyle name="差_投资估算 3 3" xfId="3148"/>
    <cellStyle name="差_投资估算 4" xfId="3149"/>
    <cellStyle name="差_投资估算 4 2" xfId="3150"/>
    <cellStyle name="差_投资估算 5" xfId="3151"/>
    <cellStyle name="差_投资估算_新增工艺设备表" xfId="3152"/>
    <cellStyle name="差_投资估算_新增工艺设备表 2" xfId="3153"/>
    <cellStyle name="差_投资估算_新增工艺设备表 2 2" xfId="3154"/>
    <cellStyle name="差_投资估算_新增工艺设备表 3" xfId="3155"/>
    <cellStyle name="差_投资估算-10-06-01" xfId="3156"/>
    <cellStyle name="差_投资估算-10-06-01 2" xfId="3157"/>
    <cellStyle name="差_投资估算-10-06-01 2 2" xfId="3158"/>
    <cellStyle name="差_投资估算-10-06-01 2 2 2" xfId="3159"/>
    <cellStyle name="差_投资估算-10-06-01 2 2 2 2" xfId="3160"/>
    <cellStyle name="差_投资估算-10-06-01 2 2 3" xfId="3161"/>
    <cellStyle name="差_投资估算-10-06-01 2 3" xfId="3162"/>
    <cellStyle name="差_投资估算-10-06-01 2 3 2" xfId="3163"/>
    <cellStyle name="差_投资估算-10-06-01 2 4" xfId="3164"/>
    <cellStyle name="差_投资估算-10-06-01 2 5" xfId="3165"/>
    <cellStyle name="差_投资估算-10-06-01 3" xfId="3166"/>
    <cellStyle name="差_投资估算-10-06-01 3 2" xfId="3167"/>
    <cellStyle name="差_投资估算-10-06-01 3 2 2" xfId="3168"/>
    <cellStyle name="差_投资估算-10-06-01 3 3" xfId="3169"/>
    <cellStyle name="差_投资估算-10-06-01 4" xfId="3170"/>
    <cellStyle name="差_投资估算-10-06-01 4 2" xfId="3171"/>
    <cellStyle name="差_投资估算-10-06-01 4 2 2" xfId="3172"/>
    <cellStyle name="差_投资估算-10-06-01 4 2 2 2" xfId="3173"/>
    <cellStyle name="差_投资估算-10-06-01 4 2 3" xfId="3174"/>
    <cellStyle name="差_投资估算-10-06-01 4 3" xfId="3175"/>
    <cellStyle name="差_投资估算-10-06-01 4 3 2" xfId="3176"/>
    <cellStyle name="差_投资估算-10-06-01 4 4" xfId="3177"/>
    <cellStyle name="差_投资估算-10-06-01 5" xfId="3178"/>
    <cellStyle name="差_投资估算-10-06-01 5 2" xfId="3179"/>
    <cellStyle name="差_投资估算-10-06-01 5 2 2" xfId="3180"/>
    <cellStyle name="差_投资估算-10-06-01 5 3" xfId="3181"/>
    <cellStyle name="差_投资估算-10-06-01 6" xfId="3182"/>
    <cellStyle name="差_投资估算-10-06-01 6 2" xfId="3183"/>
    <cellStyle name="差_投资估算-10-06-01 7" xfId="3184"/>
    <cellStyle name="差_投资估算表" xfId="3185"/>
    <cellStyle name="差_投资估算表 2" xfId="3186"/>
    <cellStyle name="差_投资估算表 2 2" xfId="3187"/>
    <cellStyle name="差_投资估算表 2 2 2" xfId="3188"/>
    <cellStyle name="差_投资估算表 2 2 2 2" xfId="3189"/>
    <cellStyle name="差_投资估算表 2 2 3" xfId="3190"/>
    <cellStyle name="差_投资估算表 2 3" xfId="3191"/>
    <cellStyle name="差_投资估算表 2 3 2" xfId="3192"/>
    <cellStyle name="差_投资估算表 2 4" xfId="3193"/>
    <cellStyle name="差_投资估算表 2 5" xfId="3194"/>
    <cellStyle name="差_投资估算表 3" xfId="3195"/>
    <cellStyle name="差_投资估算表 3 2" xfId="3196"/>
    <cellStyle name="差_投资估算表 3 2 2" xfId="3197"/>
    <cellStyle name="差_投资估算表 3 3" xfId="3198"/>
    <cellStyle name="差_投资估算表 4" xfId="3199"/>
    <cellStyle name="差_投资估算表 4 2" xfId="3200"/>
    <cellStyle name="差_投资估算表 4 2 2" xfId="3201"/>
    <cellStyle name="差_投资估算表 4 2 2 2" xfId="3202"/>
    <cellStyle name="差_投资估算表 4 2 3" xfId="3203"/>
    <cellStyle name="差_投资估算表 4 3" xfId="3204"/>
    <cellStyle name="差_投资估算表 4 3 2" xfId="3205"/>
    <cellStyle name="差_投资估算表 4 4" xfId="3206"/>
    <cellStyle name="差_投资估算表 5" xfId="3207"/>
    <cellStyle name="差_投资估算表 5 2" xfId="3208"/>
    <cellStyle name="差_投资估算表 5 2 2" xfId="3209"/>
    <cellStyle name="差_投资估算表 5 3" xfId="3210"/>
    <cellStyle name="差_投资估算表 6" xfId="3211"/>
    <cellStyle name="差_投资估算表 6 2" xfId="3212"/>
    <cellStyle name="差_投资估算表 6 2 2" xfId="3213"/>
    <cellStyle name="差_投资估算表 6 3" xfId="3214"/>
    <cellStyle name="差_投资估算表 7" xfId="3215"/>
    <cellStyle name="差_投资估算表 7 2" xfId="3216"/>
    <cellStyle name="差_投资估算表 8" xfId="3217"/>
    <cellStyle name="差_投资估算表_1" xfId="3218"/>
    <cellStyle name="差_投资估算表_1 2" xfId="3219"/>
    <cellStyle name="差_投资估算表_1 2 2" xfId="3220"/>
    <cellStyle name="差_投资估算表_1 3" xfId="3221"/>
    <cellStyle name="差_投资估算及工艺设备（重通）" xfId="3222"/>
    <cellStyle name="差_投资估算及工艺设备（重通） 2" xfId="3223"/>
    <cellStyle name="差_投资估算及工艺设备（重通） 2 2" xfId="3224"/>
    <cellStyle name="差_投资估算及工艺设备（重通） 2 2 2" xfId="3225"/>
    <cellStyle name="差_投资估算及工艺设备（重通） 2 2 2 2" xfId="3226"/>
    <cellStyle name="差_投资估算及工艺设备（重通） 2 2 3" xfId="3227"/>
    <cellStyle name="差_投资估算及工艺设备（重通） 2 3" xfId="3228"/>
    <cellStyle name="差_投资估算及工艺设备（重通） 2 3 2" xfId="3229"/>
    <cellStyle name="差_投资估算及工艺设备（重通） 2 4" xfId="3230"/>
    <cellStyle name="差_投资估算及工艺设备（重通） 2 5" xfId="3231"/>
    <cellStyle name="差_投资估算及工艺设备（重通） 3" xfId="3232"/>
    <cellStyle name="差_投资估算及工艺设备（重通） 3 2" xfId="3233"/>
    <cellStyle name="差_投资估算及工艺设备（重通） 3 2 2" xfId="3234"/>
    <cellStyle name="差_投资估算及工艺设备（重通） 3 3" xfId="3235"/>
    <cellStyle name="差_投资估算及工艺设备（重通） 4" xfId="3236"/>
    <cellStyle name="差_投资估算及工艺设备（重通） 4 2" xfId="3237"/>
    <cellStyle name="差_投资估算及工艺设备（重通） 4 2 2" xfId="3238"/>
    <cellStyle name="差_投资估算及工艺设备（重通） 4 2 2 2" xfId="3239"/>
    <cellStyle name="差_投资估算及工艺设备（重通） 4 2 3" xfId="3240"/>
    <cellStyle name="差_投资估算及工艺设备（重通） 4 3" xfId="3241"/>
    <cellStyle name="差_投资估算及工艺设备（重通） 4 3 2" xfId="3242"/>
    <cellStyle name="差_投资估算及工艺设备（重通） 4 4" xfId="3243"/>
    <cellStyle name="差_投资估算及工艺设备（重通） 5" xfId="3244"/>
    <cellStyle name="差_投资估算及工艺设备（重通） 5 2" xfId="3245"/>
    <cellStyle name="差_投资估算及工艺设备（重通） 5 2 2" xfId="3246"/>
    <cellStyle name="差_投资估算及工艺设备（重通） 5 3" xfId="3247"/>
    <cellStyle name="差_投资估算及工艺设备（重通） 6" xfId="3248"/>
    <cellStyle name="差_投资估算及工艺设备（重通） 6 2" xfId="3249"/>
    <cellStyle name="差_投资估算及工艺设备（重通） 7" xfId="3250"/>
    <cellStyle name="差_新增工艺设备表" xfId="3251"/>
    <cellStyle name="差_新增工艺设备表 2" xfId="3252"/>
    <cellStyle name="差_新增工艺设备表 2 2" xfId="3253"/>
    <cellStyle name="差_新增工艺设备表 2 3" xfId="3254"/>
    <cellStyle name="差_新增工艺设备表 3" xfId="3255"/>
    <cellStyle name="差_新增进口工艺设备表" xfId="3256"/>
    <cellStyle name="差_新增进口工艺设备表 2" xfId="3257"/>
    <cellStyle name="差_新增进口工艺设备表 2 2" xfId="3258"/>
    <cellStyle name="差_新增进口工艺设备表 2 2 2" xfId="3259"/>
    <cellStyle name="差_新增进口工艺设备表 2 2 2 2" xfId="3260"/>
    <cellStyle name="差_新增进口工艺设备表 2 2 3" xfId="3261"/>
    <cellStyle name="差_新增进口工艺设备表 2 3" xfId="3262"/>
    <cellStyle name="差_新增进口工艺设备表 2 3 2" xfId="3263"/>
    <cellStyle name="差_新增进口工艺设备表 2 4" xfId="3264"/>
    <cellStyle name="差_新增进口工艺设备表 3" xfId="3265"/>
    <cellStyle name="差_新增进口工艺设备表 3 2" xfId="3266"/>
    <cellStyle name="差_新增进口工艺设备表 3 2 2" xfId="3267"/>
    <cellStyle name="差_新增进口工艺设备表 3 3" xfId="3268"/>
    <cellStyle name="差_新增进口工艺设备表 4" xfId="3269"/>
    <cellStyle name="差_新增进口工艺设备表 4 2" xfId="3270"/>
    <cellStyle name="差_新增进口工艺设备表 5" xfId="3271"/>
    <cellStyle name="差_招标核准意见表（20100919）" xfId="3272"/>
    <cellStyle name="差_招标核准意见表（20100919） 2" xfId="3273"/>
    <cellStyle name="差_招标核准意见表（20100919） 2 2" xfId="3274"/>
    <cellStyle name="差_招标核准意见表（20100919） 2 2 2" xfId="3275"/>
    <cellStyle name="差_招标核准意见表（20100919） 2 2 2 2" xfId="3276"/>
    <cellStyle name="差_招标核准意见表（20100919） 2 2 3" xfId="3277"/>
    <cellStyle name="差_招标核准意见表（20100919） 2 3" xfId="3278"/>
    <cellStyle name="差_招标核准意见表（20100919） 2 3 2" xfId="3279"/>
    <cellStyle name="差_招标核准意见表（20100919） 2 4" xfId="3280"/>
    <cellStyle name="差_招标核准意见表（20100919） 3" xfId="3281"/>
    <cellStyle name="差_招标核准意见表（20100919） 3 2" xfId="3282"/>
    <cellStyle name="差_招标核准意见表（20100919） 3 2 2" xfId="3283"/>
    <cellStyle name="差_招标核准意见表（20100919） 3 3" xfId="3284"/>
    <cellStyle name="差_招标核准意见表（20100919） 4" xfId="3285"/>
    <cellStyle name="差_招标核准意见表（20100919） 4 2" xfId="3286"/>
    <cellStyle name="差_招标核准意见表（20100919） 5" xfId="3287"/>
    <cellStyle name="差_招标核准意见表（20100919）_新增工艺设备表" xfId="3288"/>
    <cellStyle name="差_招标核准意见表（20100919）_新增工艺设备表 2" xfId="3289"/>
    <cellStyle name="差_招标核准意见表（20100919）_新增工艺设备表 2 2" xfId="3290"/>
    <cellStyle name="差_招标核准意见表（20100919）_新增工艺设备表 3" xfId="3291"/>
    <cellStyle name="常规" xfId="0" builtinId="0"/>
    <cellStyle name="常规 10" xfId="3292"/>
    <cellStyle name="常规 10 10" xfId="3293"/>
    <cellStyle name="常规 10 10 2" xfId="3294"/>
    <cellStyle name="常规 10 11" xfId="3295"/>
    <cellStyle name="常规 10 2" xfId="3296"/>
    <cellStyle name="常规 10 2 10" xfId="3297"/>
    <cellStyle name="常规 10 2 11" xfId="3298"/>
    <cellStyle name="常规 10 2 2" xfId="3299"/>
    <cellStyle name="常规 10 2 2 2" xfId="3300"/>
    <cellStyle name="常规 10 2 2 3" xfId="3301"/>
    <cellStyle name="常规 10 2 3" xfId="3302"/>
    <cellStyle name="常规 10 2 3 2" xfId="3303"/>
    <cellStyle name="常规 10 2 3 2 2" xfId="3304"/>
    <cellStyle name="常规 10 2 3 3" xfId="3305"/>
    <cellStyle name="常规 10 2 3 3 2" xfId="3306"/>
    <cellStyle name="常规 10 2 3 3 2 2" xfId="3307"/>
    <cellStyle name="常规 10 2 3 3 3" xfId="3308"/>
    <cellStyle name="常规 10 2 3 4" xfId="3309"/>
    <cellStyle name="常规 10 2 3 4 2" xfId="3310"/>
    <cellStyle name="常规 10 2 3 5" xfId="3311"/>
    <cellStyle name="常规 10 2 4" xfId="3312"/>
    <cellStyle name="常规 10 2 4 2" xfId="3313"/>
    <cellStyle name="常规 10 2 4 2 2" xfId="3314"/>
    <cellStyle name="常规 10 2 4 2 2 2" xfId="3315"/>
    <cellStyle name="常规 10 2 4 2 3" xfId="3316"/>
    <cellStyle name="常规 10 2 4 3" xfId="3317"/>
    <cellStyle name="常规 10 2 5" xfId="3318"/>
    <cellStyle name="常规 10 2 5 2" xfId="3319"/>
    <cellStyle name="常规 10 2 5 2 2" xfId="3320"/>
    <cellStyle name="常规 10 2 5 3" xfId="3321"/>
    <cellStyle name="常规 10 2 6" xfId="3322"/>
    <cellStyle name="常规 10 2 6 2" xfId="3323"/>
    <cellStyle name="常规 10 2 7" xfId="3324"/>
    <cellStyle name="常规 10 2 7 2" xfId="3325"/>
    <cellStyle name="常规 10 2 8" xfId="3326"/>
    <cellStyle name="常规 10 2 8 2" xfId="3327"/>
    <cellStyle name="常规 10 2 9" xfId="3328"/>
    <cellStyle name="常规 10 3" xfId="3329"/>
    <cellStyle name="常规 10 3 2" xfId="3330"/>
    <cellStyle name="常规 10 3 2 2" xfId="3331"/>
    <cellStyle name="常规 10 3 2 2 2" xfId="3332"/>
    <cellStyle name="常规 10 3 2 3" xfId="3333"/>
    <cellStyle name="常规 10 3 2 4" xfId="3334"/>
    <cellStyle name="常规 10 3 3" xfId="3335"/>
    <cellStyle name="常规 10 3 4" xfId="3336"/>
    <cellStyle name="常规 10 4" xfId="3337"/>
    <cellStyle name="常规 10 4 2" xfId="3338"/>
    <cellStyle name="常规 10 4 2 2" xfId="3339"/>
    <cellStyle name="常规 10 4 2 2 2" xfId="3340"/>
    <cellStyle name="常规 10 4 2 3" xfId="3341"/>
    <cellStyle name="常规 10 4 2 4" xfId="3342"/>
    <cellStyle name="常规 10 4 3" xfId="3343"/>
    <cellStyle name="常规 10 4 3 2" xfId="3344"/>
    <cellStyle name="常规 10 4 4" xfId="3345"/>
    <cellStyle name="常规 10 4 5" xfId="3346"/>
    <cellStyle name="常规 10 5" xfId="3347"/>
    <cellStyle name="常规 10 5 2" xfId="3348"/>
    <cellStyle name="常规 10 5 2 2" xfId="3349"/>
    <cellStyle name="常规 10 5 2 2 2" xfId="3350"/>
    <cellStyle name="常规 10 5 2 3" xfId="3351"/>
    <cellStyle name="常规 10 5 3" xfId="3352"/>
    <cellStyle name="常规 10 5 3 2" xfId="3353"/>
    <cellStyle name="常规 10 5 4" xfId="3354"/>
    <cellStyle name="常规 10 5 5" xfId="3355"/>
    <cellStyle name="常规 10 6" xfId="3356"/>
    <cellStyle name="常规 10 6 2" xfId="3357"/>
    <cellStyle name="常规 10 6 2 2" xfId="3358"/>
    <cellStyle name="常规 10 6 2 2 2" xfId="3359"/>
    <cellStyle name="常规 10 6 2 3" xfId="3360"/>
    <cellStyle name="常规 10 6 3" xfId="3361"/>
    <cellStyle name="常规 10 6 3 2" xfId="3362"/>
    <cellStyle name="常规 10 6 3 2 2" xfId="3363"/>
    <cellStyle name="常规 10 6 3 3" xfId="3364"/>
    <cellStyle name="常规 10 6 4" xfId="3365"/>
    <cellStyle name="常规 10 6 4 2" xfId="3366"/>
    <cellStyle name="常规 10 6 5" xfId="3367"/>
    <cellStyle name="常规 10 7" xfId="3368"/>
    <cellStyle name="常规 10 7 2" xfId="3369"/>
    <cellStyle name="常规 10 7 2 2" xfId="3370"/>
    <cellStyle name="常规 10 7 3" xfId="3371"/>
    <cellStyle name="常规 10 7 3 2" xfId="3372"/>
    <cellStyle name="常规 10 7 3 2 2" xfId="3373"/>
    <cellStyle name="常规 10 7 3 3" xfId="3374"/>
    <cellStyle name="常规 10 7 4" xfId="3375"/>
    <cellStyle name="常规 10 8" xfId="3376"/>
    <cellStyle name="常规 10 9" xfId="3377"/>
    <cellStyle name="常规 11" xfId="3378"/>
    <cellStyle name="常规 11 10" xfId="3379"/>
    <cellStyle name="常规 11 11" xfId="3380"/>
    <cellStyle name="常规 11 12" xfId="3381"/>
    <cellStyle name="常规 11 2" xfId="3382"/>
    <cellStyle name="常规 11 2 10" xfId="3383"/>
    <cellStyle name="常规 11 2 2" xfId="3384"/>
    <cellStyle name="常规 11 2 2 2" xfId="3385"/>
    <cellStyle name="常规 11 2 2 3" xfId="3386"/>
    <cellStyle name="常规 11 2 3" xfId="3387"/>
    <cellStyle name="常规 11 2 3 2" xfId="3388"/>
    <cellStyle name="常规 11 2 3 2 2" xfId="3389"/>
    <cellStyle name="常规 11 2 3 3" xfId="3390"/>
    <cellStyle name="常规 11 2 4" xfId="3391"/>
    <cellStyle name="常规 11 2 4 2" xfId="3392"/>
    <cellStyle name="常规 11 2 5" xfId="3393"/>
    <cellStyle name="常规 11 2 5 2" xfId="3394"/>
    <cellStyle name="常规 11 2 6" xfId="3395"/>
    <cellStyle name="常规 11 2 6 2" xfId="3396"/>
    <cellStyle name="常规 11 2 7" xfId="3397"/>
    <cellStyle name="常规 11 2 7 2" xfId="3398"/>
    <cellStyle name="常规 11 2 8" xfId="3399"/>
    <cellStyle name="常规 11 2 8 2" xfId="3400"/>
    <cellStyle name="常规 11 2 9" xfId="3401"/>
    <cellStyle name="常规 11 3" xfId="3402"/>
    <cellStyle name="常规 11 3 2" xfId="3403"/>
    <cellStyle name="常规 11 3 2 2" xfId="3404"/>
    <cellStyle name="常规 11 3 2 2 2" xfId="3405"/>
    <cellStyle name="常规 11 3 2 3" xfId="3406"/>
    <cellStyle name="常规 11 3 3" xfId="3407"/>
    <cellStyle name="常规 11 3 3 2" xfId="3408"/>
    <cellStyle name="常规 11 3 4" xfId="3409"/>
    <cellStyle name="常规 11 3 5" xfId="3410"/>
    <cellStyle name="常规 11 4" xfId="3411"/>
    <cellStyle name="常规 11 4 2" xfId="3412"/>
    <cellStyle name="常规 11 4 2 2" xfId="3413"/>
    <cellStyle name="常规 11 4 2 2 2" xfId="3414"/>
    <cellStyle name="常规 11 4 2 3" xfId="3415"/>
    <cellStyle name="常规 11 4 3" xfId="3416"/>
    <cellStyle name="常规 11 5" xfId="3417"/>
    <cellStyle name="常规 11 5 2" xfId="3418"/>
    <cellStyle name="常规 11 5 2 2" xfId="3419"/>
    <cellStyle name="常规 11 5 2 2 2" xfId="3420"/>
    <cellStyle name="常规 11 5 2 3" xfId="3421"/>
    <cellStyle name="常规 11 5 3" xfId="3422"/>
    <cellStyle name="常规 11 5 3 2" xfId="3423"/>
    <cellStyle name="常规 11 5 3 2 2" xfId="3424"/>
    <cellStyle name="常规 11 5 3 3" xfId="3425"/>
    <cellStyle name="常规 11 5 4" xfId="3426"/>
    <cellStyle name="常规 11 6" xfId="3427"/>
    <cellStyle name="常规 11 6 2" xfId="3428"/>
    <cellStyle name="常规 11 6 2 2" xfId="3429"/>
    <cellStyle name="常规 11 6 2 2 2" xfId="3430"/>
    <cellStyle name="常规 11 6 2 3" xfId="3431"/>
    <cellStyle name="常规 11 6 3" xfId="3432"/>
    <cellStyle name="常规 11 6 3 2" xfId="3433"/>
    <cellStyle name="常规 11 6 3 2 2" xfId="3434"/>
    <cellStyle name="常规 11 6 3 3" xfId="3435"/>
    <cellStyle name="常规 11 6 4" xfId="3436"/>
    <cellStyle name="常规 11 6 4 2" xfId="3437"/>
    <cellStyle name="常规 11 6 5" xfId="3438"/>
    <cellStyle name="常规 11 7" xfId="3439"/>
    <cellStyle name="常规 11 7 2" xfId="3440"/>
    <cellStyle name="常规 11 7 2 2" xfId="3441"/>
    <cellStyle name="常规 11 7 3" xfId="3442"/>
    <cellStyle name="常规 11 8" xfId="3443"/>
    <cellStyle name="常规 11 8 2" xfId="3444"/>
    <cellStyle name="常规 11 9" xfId="3445"/>
    <cellStyle name="常规 11 9 2" xfId="3446"/>
    <cellStyle name="常规 11_概算-初步估算10.19" xfId="3447"/>
    <cellStyle name="常规 12" xfId="3448"/>
    <cellStyle name="常规 12 2" xfId="3449"/>
    <cellStyle name="常规 12 2 2" xfId="3450"/>
    <cellStyle name="常规 12 2 2 2" xfId="3451"/>
    <cellStyle name="常规 12 2 2 2 2" xfId="3452"/>
    <cellStyle name="常规 12 2 2 3" xfId="3453"/>
    <cellStyle name="常规 12 2 3" xfId="3454"/>
    <cellStyle name="常规 12 2 3 2" xfId="3455"/>
    <cellStyle name="常规 12 2 3 2 2" xfId="3456"/>
    <cellStyle name="常规 12 2 3 3" xfId="3457"/>
    <cellStyle name="常规 12 2 4" xfId="3458"/>
    <cellStyle name="常规 12 2 4 2" xfId="3459"/>
    <cellStyle name="常规 12 2 5" xfId="3460"/>
    <cellStyle name="常规 12 2 6" xfId="3461"/>
    <cellStyle name="常规 12 3" xfId="3462"/>
    <cellStyle name="常规 12 3 2" xfId="3463"/>
    <cellStyle name="常规 12 3 2 2" xfId="3464"/>
    <cellStyle name="常规 12 3 2 2 2" xfId="3465"/>
    <cellStyle name="常规 12 3 2 3" xfId="3466"/>
    <cellStyle name="常规 12 4" xfId="3467"/>
    <cellStyle name="常规 12 4 2" xfId="3468"/>
    <cellStyle name="常规 12 4 2 2" xfId="3469"/>
    <cellStyle name="常规 12 4 3" xfId="3470"/>
    <cellStyle name="常规 12 5" xfId="3471"/>
    <cellStyle name="常规 12 5 2" xfId="3472"/>
    <cellStyle name="常规 12 5 2 2" xfId="3473"/>
    <cellStyle name="常规 12 5 2 2 2" xfId="3474"/>
    <cellStyle name="常规 12 5 2 3" xfId="3475"/>
    <cellStyle name="常规 12 5 3" xfId="3476"/>
    <cellStyle name="常规 12 5 3 2" xfId="3477"/>
    <cellStyle name="常规 12 5 3 2 2" xfId="3478"/>
    <cellStyle name="常规 12 5 3 3" xfId="3479"/>
    <cellStyle name="常规 12 5 4" xfId="3480"/>
    <cellStyle name="常规 12 5 4 2" xfId="3481"/>
    <cellStyle name="常规 12 5 5" xfId="3482"/>
    <cellStyle name="常规 12 6" xfId="3483"/>
    <cellStyle name="常规 12 6 2" xfId="3484"/>
    <cellStyle name="常规 12 6 2 2" xfId="3485"/>
    <cellStyle name="常规 12 6 3" xfId="3486"/>
    <cellStyle name="常规 12 7" xfId="3487"/>
    <cellStyle name="常规 12 8" xfId="3488"/>
    <cellStyle name="常规 13" xfId="3489"/>
    <cellStyle name="常规 13 2" xfId="3490"/>
    <cellStyle name="常规 13 2 2" xfId="3491"/>
    <cellStyle name="常规 13 2 2 2" xfId="3492"/>
    <cellStyle name="常规 13 2 2 2 2" xfId="3493"/>
    <cellStyle name="常规 13 2 2 3" xfId="3494"/>
    <cellStyle name="常规 13 2 3" xfId="3495"/>
    <cellStyle name="常规 13 2 3 2" xfId="3496"/>
    <cellStyle name="常规 13 2 4" xfId="3497"/>
    <cellStyle name="常规 13 2 4 2" xfId="3498"/>
    <cellStyle name="常规 13 2 5" xfId="3499"/>
    <cellStyle name="常规 13 2 6" xfId="3500"/>
    <cellStyle name="常规 13 3" xfId="3501"/>
    <cellStyle name="常规 13 3 2" xfId="3502"/>
    <cellStyle name="常规 13 3 2 2" xfId="3503"/>
    <cellStyle name="常规 13 3 2 2 2" xfId="3504"/>
    <cellStyle name="常规 13 3 2 3" xfId="3505"/>
    <cellStyle name="常规 13 3 3" xfId="3506"/>
    <cellStyle name="常规 13 3 3 2" xfId="3507"/>
    <cellStyle name="常规 13 3 4" xfId="3508"/>
    <cellStyle name="常规 13 4" xfId="3509"/>
    <cellStyle name="常规 13 4 2" xfId="3510"/>
    <cellStyle name="常规 13 4 2 2" xfId="3511"/>
    <cellStyle name="常规 13 4 3" xfId="3512"/>
    <cellStyle name="常规 13 5" xfId="3513"/>
    <cellStyle name="常规 13 5 2" xfId="3514"/>
    <cellStyle name="常规 13 5 2 2" xfId="3515"/>
    <cellStyle name="常规 13 5 3" xfId="3516"/>
    <cellStyle name="常规 13 6" xfId="3517"/>
    <cellStyle name="常规 13 6 2" xfId="3518"/>
    <cellStyle name="常规 13 7" xfId="3519"/>
    <cellStyle name="常规 13 7 2" xfId="3520"/>
    <cellStyle name="常规 13 8" xfId="3521"/>
    <cellStyle name="常规 13 9" xfId="3522"/>
    <cellStyle name="常规 14" xfId="3523"/>
    <cellStyle name="常规 14 2" xfId="3524"/>
    <cellStyle name="常规 14 2 2" xfId="3525"/>
    <cellStyle name="常规 14 2 2 2" xfId="3526"/>
    <cellStyle name="常规 14 2 2 2 2" xfId="3527"/>
    <cellStyle name="常规 14 2 2 3" xfId="3528"/>
    <cellStyle name="常规 14 2 2 3 2" xfId="3529"/>
    <cellStyle name="常规 14 2 2 4" xfId="3530"/>
    <cellStyle name="常规 14 2 3" xfId="3531"/>
    <cellStyle name="常规 14 2 3 2" xfId="3532"/>
    <cellStyle name="常规 14 2 3 2 2" xfId="3533"/>
    <cellStyle name="常规 14 2 3 3" xfId="3534"/>
    <cellStyle name="常规 14 2 4" xfId="3535"/>
    <cellStyle name="常规 14 2 4 2" xfId="3536"/>
    <cellStyle name="常规 14 2 5" xfId="3537"/>
    <cellStyle name="常规 14 2 5 2" xfId="3538"/>
    <cellStyle name="常规 14 2 6" xfId="3539"/>
    <cellStyle name="常规 14 2 7" xfId="3540"/>
    <cellStyle name="常规 14 3" xfId="3541"/>
    <cellStyle name="常规 14 3 2" xfId="3542"/>
    <cellStyle name="常规 14 3 2 2" xfId="3543"/>
    <cellStyle name="常规 14 3 2 2 2" xfId="3544"/>
    <cellStyle name="常规 14 3 2 3" xfId="3545"/>
    <cellStyle name="常规 14 3 3" xfId="3546"/>
    <cellStyle name="常规 14 3 3 2" xfId="3547"/>
    <cellStyle name="常规 14 3 4" xfId="3548"/>
    <cellStyle name="常规 14 3 4 2" xfId="3549"/>
    <cellStyle name="常规 14 3 5" xfId="3550"/>
    <cellStyle name="常规 14 4" xfId="3551"/>
    <cellStyle name="常规 14 4 2" xfId="3552"/>
    <cellStyle name="常规 14 4 2 2" xfId="3553"/>
    <cellStyle name="常规 14 4 2 2 2" xfId="3554"/>
    <cellStyle name="常规 14 4 2 3" xfId="3555"/>
    <cellStyle name="常规 14 4 3" xfId="3556"/>
    <cellStyle name="常规 14 4 3 2" xfId="3557"/>
    <cellStyle name="常规 14 4 4" xfId="3558"/>
    <cellStyle name="常规 14 5" xfId="3559"/>
    <cellStyle name="常规 14 5 2" xfId="3560"/>
    <cellStyle name="常规 14 5 2 2" xfId="3561"/>
    <cellStyle name="常规 14 5 3" xfId="3562"/>
    <cellStyle name="常规 14 6" xfId="3563"/>
    <cellStyle name="常规 14 6 2" xfId="3564"/>
    <cellStyle name="常规 14 7" xfId="3565"/>
    <cellStyle name="常规 14 7 2" xfId="3566"/>
    <cellStyle name="常规 14 8" xfId="3567"/>
    <cellStyle name="常规 14 9" xfId="3568"/>
    <cellStyle name="常规 15" xfId="3569"/>
    <cellStyle name="常规 15 2" xfId="3570"/>
    <cellStyle name="常规 15 2 2" xfId="3571"/>
    <cellStyle name="常规 15 2 2 2" xfId="3572"/>
    <cellStyle name="常规 15 2 2 2 2" xfId="3573"/>
    <cellStyle name="常规 15 2 2 3" xfId="3574"/>
    <cellStyle name="常规 15 2 3" xfId="3575"/>
    <cellStyle name="常规 15 2 3 2" xfId="3576"/>
    <cellStyle name="常规 15 2 4" xfId="3577"/>
    <cellStyle name="常规 15 2 4 2" xfId="3578"/>
    <cellStyle name="常规 15 2 5" xfId="3579"/>
    <cellStyle name="常规 15 2 6" xfId="3580"/>
    <cellStyle name="常规 15 3" xfId="3581"/>
    <cellStyle name="常规 15 3 2" xfId="3582"/>
    <cellStyle name="常规 15 3 2 2" xfId="3583"/>
    <cellStyle name="常规 15 3 2 2 2" xfId="3584"/>
    <cellStyle name="常规 15 3 2 3" xfId="3585"/>
    <cellStyle name="常规 15 3 3" xfId="3586"/>
    <cellStyle name="常规 15 3 3 2" xfId="3587"/>
    <cellStyle name="常规 15 3 4" xfId="3588"/>
    <cellStyle name="常规 15 4" xfId="3589"/>
    <cellStyle name="常规 15 4 2" xfId="3590"/>
    <cellStyle name="常规 15 4 2 2" xfId="3591"/>
    <cellStyle name="常规 15 4 3" xfId="3592"/>
    <cellStyle name="常规 15 5" xfId="3593"/>
    <cellStyle name="常规 15 5 2" xfId="3594"/>
    <cellStyle name="常规 15 5 2 2" xfId="3595"/>
    <cellStyle name="常规 15 5 3" xfId="3596"/>
    <cellStyle name="常规 15 6" xfId="3597"/>
    <cellStyle name="常规 15 6 2" xfId="3598"/>
    <cellStyle name="常规 15 7" xfId="3599"/>
    <cellStyle name="常规 15 7 2" xfId="3600"/>
    <cellStyle name="常规 15 8" xfId="3601"/>
    <cellStyle name="常规 15 9" xfId="3602"/>
    <cellStyle name="常规 16" xfId="3603"/>
    <cellStyle name="常规 16 10" xfId="3604"/>
    <cellStyle name="常规 16 2" xfId="3605"/>
    <cellStyle name="常规 16 2 2" xfId="3606"/>
    <cellStyle name="常规 16 2 2 2" xfId="3607"/>
    <cellStyle name="常规 16 2 2 2 2" xfId="3608"/>
    <cellStyle name="常规 16 2 2 3" xfId="3609"/>
    <cellStyle name="常规 16 2 3" xfId="3610"/>
    <cellStyle name="常规 16 2 3 2" xfId="3611"/>
    <cellStyle name="常规 16 2 3 2 2" xfId="3612"/>
    <cellStyle name="常规 16 2 3 3" xfId="3613"/>
    <cellStyle name="常规 16 2 4" xfId="3614"/>
    <cellStyle name="常规 16 2 4 2" xfId="3615"/>
    <cellStyle name="常规 16 2 5" xfId="3616"/>
    <cellStyle name="常规 16 2 5 2" xfId="3617"/>
    <cellStyle name="常规 16 2 6" xfId="3618"/>
    <cellStyle name="常规 16 2 7" xfId="3619"/>
    <cellStyle name="常规 16 3" xfId="3620"/>
    <cellStyle name="常规 16 3 2" xfId="3621"/>
    <cellStyle name="常规 16 3 2 2" xfId="3622"/>
    <cellStyle name="常规 16 3 2 2 2" xfId="3623"/>
    <cellStyle name="常规 16 3 2 3" xfId="3624"/>
    <cellStyle name="常规 16 3 3" xfId="3625"/>
    <cellStyle name="常规 16 3 3 2" xfId="3626"/>
    <cellStyle name="常规 16 3 4" xfId="3627"/>
    <cellStyle name="常规 16 4" xfId="3628"/>
    <cellStyle name="常规 16 4 2" xfId="3629"/>
    <cellStyle name="常规 16 4 2 2" xfId="3630"/>
    <cellStyle name="常规 16 4 3" xfId="3631"/>
    <cellStyle name="常规 16 5" xfId="3632"/>
    <cellStyle name="常规 16 5 2" xfId="3633"/>
    <cellStyle name="常规 16 5 2 2" xfId="3634"/>
    <cellStyle name="常规 16 5 3" xfId="3635"/>
    <cellStyle name="常规 16 6" xfId="3636"/>
    <cellStyle name="常规 16 6 2" xfId="3637"/>
    <cellStyle name="常规 16 6 2 2" xfId="3638"/>
    <cellStyle name="常规 16 6 3" xfId="3639"/>
    <cellStyle name="常规 16 7" xfId="3640"/>
    <cellStyle name="常规 16 7 2" xfId="3641"/>
    <cellStyle name="常规 16 8" xfId="3642"/>
    <cellStyle name="常规 16 8 2" xfId="3643"/>
    <cellStyle name="常规 16 9" xfId="3644"/>
    <cellStyle name="常规 17" xfId="3645"/>
    <cellStyle name="常规 17 10" xfId="3646"/>
    <cellStyle name="常规 17 2" xfId="3647"/>
    <cellStyle name="常规 17 2 2" xfId="3648"/>
    <cellStyle name="常规 17 2 2 2" xfId="3649"/>
    <cellStyle name="常规 17 2 2 2 2" xfId="3650"/>
    <cellStyle name="常规 17 2 2 3" xfId="3651"/>
    <cellStyle name="常规 17 2 3" xfId="3652"/>
    <cellStyle name="常规 17 2 3 2" xfId="3653"/>
    <cellStyle name="常规 17 2 4" xfId="3654"/>
    <cellStyle name="常规 17 2 4 2" xfId="3655"/>
    <cellStyle name="常规 17 2 5" xfId="3656"/>
    <cellStyle name="常规 17 2 6" xfId="3657"/>
    <cellStyle name="常规 17 3" xfId="3658"/>
    <cellStyle name="常规 17 3 2" xfId="3659"/>
    <cellStyle name="常规 17 3 2 2" xfId="3660"/>
    <cellStyle name="常规 17 3 2 2 2" xfId="3661"/>
    <cellStyle name="常规 17 3 2 3" xfId="3662"/>
    <cellStyle name="常规 17 3 3" xfId="3663"/>
    <cellStyle name="常规 17 3 3 2" xfId="3664"/>
    <cellStyle name="常规 17 3 4" xfId="3665"/>
    <cellStyle name="常规 17 4" xfId="3666"/>
    <cellStyle name="常规 17 4 2" xfId="3667"/>
    <cellStyle name="常规 17 4 2 2" xfId="3668"/>
    <cellStyle name="常规 17 4 3" xfId="3669"/>
    <cellStyle name="常规 17 5" xfId="3670"/>
    <cellStyle name="常规 17 5 2" xfId="3671"/>
    <cellStyle name="常规 17 5 2 2" xfId="3672"/>
    <cellStyle name="常规 17 5 3" xfId="3673"/>
    <cellStyle name="常规 17 6" xfId="3674"/>
    <cellStyle name="常规 17 6 2" xfId="3675"/>
    <cellStyle name="常规 17 6 2 2" xfId="3676"/>
    <cellStyle name="常规 17 6 3" xfId="3677"/>
    <cellStyle name="常规 17 7" xfId="3678"/>
    <cellStyle name="常规 17 7 2" xfId="3679"/>
    <cellStyle name="常规 17 8" xfId="3680"/>
    <cellStyle name="常规 17 8 2" xfId="3681"/>
    <cellStyle name="常规 17 9" xfId="3682"/>
    <cellStyle name="常规 18" xfId="3683"/>
    <cellStyle name="常规 18 10" xfId="3684"/>
    <cellStyle name="常规 18 2" xfId="3685"/>
    <cellStyle name="常规 18 2 2" xfId="3686"/>
    <cellStyle name="常规 18 2 2 2" xfId="3687"/>
    <cellStyle name="常规 18 2 2 2 2" xfId="3688"/>
    <cellStyle name="常规 18 2 2 2 2 2" xfId="3689"/>
    <cellStyle name="常规 18 2 2 2 3" xfId="3690"/>
    <cellStyle name="常规 18 2 2 3" xfId="3691"/>
    <cellStyle name="常规 18 2 2 3 2" xfId="3692"/>
    <cellStyle name="常规 18 2 2 4" xfId="3693"/>
    <cellStyle name="常规 18 2 3" xfId="3694"/>
    <cellStyle name="常规 18 2 3 2" xfId="3695"/>
    <cellStyle name="常规 18 2 3 2 2" xfId="3696"/>
    <cellStyle name="常规 18 2 3 3" xfId="3697"/>
    <cellStyle name="常规 18 2 4" xfId="3698"/>
    <cellStyle name="常规 18 2 4 2" xfId="3699"/>
    <cellStyle name="常规 18 2 4 2 2" xfId="3700"/>
    <cellStyle name="常规 18 2 4 3" xfId="3701"/>
    <cellStyle name="常规 18 2 5" xfId="3702"/>
    <cellStyle name="常规 18 2 5 2" xfId="3703"/>
    <cellStyle name="常规 18 2 6" xfId="3704"/>
    <cellStyle name="常规 18 2 6 2" xfId="3705"/>
    <cellStyle name="常规 18 2 7" xfId="3706"/>
    <cellStyle name="常规 18 2 8" xfId="3707"/>
    <cellStyle name="常规 18 3" xfId="3708"/>
    <cellStyle name="常规 18 3 2" xfId="3709"/>
    <cellStyle name="常规 18 3 2 2" xfId="3710"/>
    <cellStyle name="常规 18 3 2 2 2" xfId="3711"/>
    <cellStyle name="常规 18 3 2 3" xfId="3712"/>
    <cellStyle name="常规 18 3 3" xfId="3713"/>
    <cellStyle name="常规 18 3 3 2" xfId="3714"/>
    <cellStyle name="常规 18 3 4" xfId="3715"/>
    <cellStyle name="常规 18 4" xfId="3716"/>
    <cellStyle name="常规 18 4 2" xfId="3717"/>
    <cellStyle name="常规 18 4 2 2" xfId="3718"/>
    <cellStyle name="常规 18 4 2 2 2" xfId="3719"/>
    <cellStyle name="常规 18 4 2 3" xfId="3720"/>
    <cellStyle name="常规 18 4 3" xfId="3721"/>
    <cellStyle name="常规 18 4 3 2" xfId="3722"/>
    <cellStyle name="常规 18 4 4" xfId="3723"/>
    <cellStyle name="常规 18 5" xfId="3724"/>
    <cellStyle name="常规 18 5 2" xfId="3725"/>
    <cellStyle name="常规 18 5 2 2" xfId="3726"/>
    <cellStyle name="常规 18 5 3" xfId="3727"/>
    <cellStyle name="常规 18 6" xfId="3728"/>
    <cellStyle name="常规 18 6 2" xfId="3729"/>
    <cellStyle name="常规 18 6 2 2" xfId="3730"/>
    <cellStyle name="常规 18 6 3" xfId="3731"/>
    <cellStyle name="常规 18 7" xfId="3732"/>
    <cellStyle name="常规 18 7 2" xfId="3733"/>
    <cellStyle name="常规 18 8" xfId="3734"/>
    <cellStyle name="常规 18 8 2" xfId="3735"/>
    <cellStyle name="常规 18 9" xfId="3736"/>
    <cellStyle name="常规 19" xfId="3737"/>
    <cellStyle name="常规 19 2" xfId="3738"/>
    <cellStyle name="常规 19 2 2" xfId="3739"/>
    <cellStyle name="常规 19 2 2 2" xfId="3740"/>
    <cellStyle name="常规 19 2 2 2 2" xfId="3741"/>
    <cellStyle name="常规 19 2 2 3" xfId="3742"/>
    <cellStyle name="常规 19 2 3" xfId="3743"/>
    <cellStyle name="常规 19 2 3 2" xfId="3744"/>
    <cellStyle name="常规 19 2 4" xfId="3745"/>
    <cellStyle name="常规 19 2 4 2" xfId="3746"/>
    <cellStyle name="常规 19 2 5" xfId="3747"/>
    <cellStyle name="常规 19 2 5 2" xfId="3748"/>
    <cellStyle name="常规 19 2 6" xfId="3749"/>
    <cellStyle name="常规 19 2 7" xfId="3750"/>
    <cellStyle name="常规 19 3" xfId="3751"/>
    <cellStyle name="常规 19 3 2" xfId="3752"/>
    <cellStyle name="常规 19 3 2 2" xfId="3753"/>
    <cellStyle name="常规 19 3 3" xfId="3754"/>
    <cellStyle name="常规 19 4" xfId="3755"/>
    <cellStyle name="常规 19 4 2" xfId="3756"/>
    <cellStyle name="常规 19 4 2 2" xfId="3757"/>
    <cellStyle name="常规 19 4 3" xfId="3758"/>
    <cellStyle name="常规 19 5" xfId="3759"/>
    <cellStyle name="常规 19 5 2" xfId="3760"/>
    <cellStyle name="常规 19 5 2 2" xfId="3761"/>
    <cellStyle name="常规 19 5 2 2 2" xfId="3762"/>
    <cellStyle name="常规 19 5 2 3" xfId="3763"/>
    <cellStyle name="常规 19 5 3" xfId="3764"/>
    <cellStyle name="常规 19 5 3 2" xfId="3765"/>
    <cellStyle name="常规 19 5 3 2 2" xfId="3766"/>
    <cellStyle name="常规 19 5 3 3" xfId="3767"/>
    <cellStyle name="常规 19 5 4" xfId="3768"/>
    <cellStyle name="常规 19 5 4 2" xfId="3769"/>
    <cellStyle name="常规 19 5 5" xfId="3770"/>
    <cellStyle name="常规 19 6" xfId="3771"/>
    <cellStyle name="常规 19 6 2" xfId="3772"/>
    <cellStyle name="常规 19 7" xfId="3773"/>
    <cellStyle name="常规 19 7 2" xfId="3774"/>
    <cellStyle name="常规 19 8" xfId="3775"/>
    <cellStyle name="常规 19 9" xfId="3776"/>
    <cellStyle name="常规 2" xfId="3777"/>
    <cellStyle name="常规 2 10" xfId="3778"/>
    <cellStyle name="常规 2 10 2" xfId="3779"/>
    <cellStyle name="常规 2 10 2 2" xfId="3780"/>
    <cellStyle name="常规 2 10 3" xfId="3781"/>
    <cellStyle name="常规 2 11" xfId="3782"/>
    <cellStyle name="常规 2 11 2" xfId="3783"/>
    <cellStyle name="常规 2 11 2 2" xfId="3784"/>
    <cellStyle name="常规 2 11 3" xfId="3785"/>
    <cellStyle name="常规 2 12" xfId="3786"/>
    <cellStyle name="常规 2 12 2" xfId="3787"/>
    <cellStyle name="常规 2 12 2 2" xfId="3788"/>
    <cellStyle name="常规 2 12 3" xfId="3789"/>
    <cellStyle name="常规 2 13" xfId="3790"/>
    <cellStyle name="常规 2 13 2" xfId="3791"/>
    <cellStyle name="常规 2 14" xfId="3792"/>
    <cellStyle name="常规 2 14 2" xfId="3793"/>
    <cellStyle name="常规 2 15" xfId="3794"/>
    <cellStyle name="常规 2 15 2" xfId="3795"/>
    <cellStyle name="常规 2 16" xfId="3796"/>
    <cellStyle name="常规 2 17" xfId="3797"/>
    <cellStyle name="常规 2 19" xfId="3798"/>
    <cellStyle name="常规 2 19 2" xfId="3799"/>
    <cellStyle name="常规 2 19 2 2" xfId="3800"/>
    <cellStyle name="常规 2 19 2 2 2" xfId="3801"/>
    <cellStyle name="常规 2 19 2 3" xfId="3802"/>
    <cellStyle name="常规 2 19 3" xfId="3803"/>
    <cellStyle name="常规 2 19 3 2" xfId="3804"/>
    <cellStyle name="常规 2 19 4" xfId="3805"/>
    <cellStyle name="常规 2 2" xfId="3806"/>
    <cellStyle name="常规 2 2 10" xfId="3807"/>
    <cellStyle name="常规 2 2 10 2" xfId="3808"/>
    <cellStyle name="常规 2 2 11" xfId="3809"/>
    <cellStyle name="常规 2 2 11 2" xfId="3810"/>
    <cellStyle name="常规 2 2 12" xfId="3811"/>
    <cellStyle name="常规 2 2 12 2" xfId="3812"/>
    <cellStyle name="常规 2 2 13" xfId="3813"/>
    <cellStyle name="常规 2 2 14" xfId="3814"/>
    <cellStyle name="常规 2 2 2" xfId="3815"/>
    <cellStyle name="常规 2 2 2 2" xfId="3816"/>
    <cellStyle name="常规 2 2 2 2 2" xfId="3817"/>
    <cellStyle name="常规 2 2 2 2 2 2" xfId="3818"/>
    <cellStyle name="常规 2 2 2 2 2 2 2" xfId="3819"/>
    <cellStyle name="常规 2 2 2 2 2 3" xfId="3820"/>
    <cellStyle name="常规 2 2 2 2 3" xfId="3821"/>
    <cellStyle name="常规 2 2 2 2 3 2" xfId="3822"/>
    <cellStyle name="常规 2 2 2 2 3 2 2" xfId="3823"/>
    <cellStyle name="常规 2 2 2 2 3 3" xfId="3824"/>
    <cellStyle name="常规 2 2 2 2 4" xfId="3825"/>
    <cellStyle name="常规 2 2 2 2 4 2" xfId="3826"/>
    <cellStyle name="常规 2 2 2 2 5" xfId="3827"/>
    <cellStyle name="常规 2 2 2 2 6" xfId="3828"/>
    <cellStyle name="常规 2 2 2 3" xfId="3829"/>
    <cellStyle name="常规 2 2 2 3 2" xfId="3830"/>
    <cellStyle name="常规 2 2 2 3 2 2" xfId="3831"/>
    <cellStyle name="常规 2 2 2 3 3" xfId="3832"/>
    <cellStyle name="常规 2 2 2 4" xfId="3833"/>
    <cellStyle name="常规 2 2 2 4 2" xfId="3834"/>
    <cellStyle name="常规 2 2 2 4 2 2" xfId="3835"/>
    <cellStyle name="常规 2 2 2 4 3" xfId="3836"/>
    <cellStyle name="常规 2 2 2 5" xfId="3837"/>
    <cellStyle name="常规 2 2 2 5 2" xfId="3838"/>
    <cellStyle name="常规 2 2 2 6" xfId="3839"/>
    <cellStyle name="常规 2 2 2 6 2" xfId="3840"/>
    <cellStyle name="常规 2 2 2 7" xfId="3841"/>
    <cellStyle name="常规 2 2 2 8" xfId="3842"/>
    <cellStyle name="常规 2 2 3" xfId="3843"/>
    <cellStyle name="常规 2 2 3 2" xfId="3844"/>
    <cellStyle name="常规 2 2 3 2 2" xfId="3845"/>
    <cellStyle name="常规 2 2 3 2 2 2" xfId="3846"/>
    <cellStyle name="常规 2 2 3 2 3" xfId="3847"/>
    <cellStyle name="常规 2 2 3 3" xfId="3848"/>
    <cellStyle name="常规 2 2 3 3 2" xfId="3849"/>
    <cellStyle name="常规 2 2 3 4" xfId="3850"/>
    <cellStyle name="常规 2 2 3 5" xfId="3851"/>
    <cellStyle name="常规 2 2 4" xfId="3852"/>
    <cellStyle name="常规 2 2 4 2" xfId="3853"/>
    <cellStyle name="常规 2 2 4 2 2" xfId="3854"/>
    <cellStyle name="常规 2 2 4 3" xfId="3855"/>
    <cellStyle name="常规 2 2 5" xfId="3856"/>
    <cellStyle name="常规 2 2 5 2" xfId="3857"/>
    <cellStyle name="常规 2 2 5 2 2" xfId="3858"/>
    <cellStyle name="常规 2 2 5 2 2 2" xfId="3859"/>
    <cellStyle name="常规 2 2 5 2 3" xfId="3860"/>
    <cellStyle name="常规 2 2 5 3" xfId="3861"/>
    <cellStyle name="常规 2 2 5 3 2" xfId="3862"/>
    <cellStyle name="常规 2 2 5 4" xfId="3863"/>
    <cellStyle name="常规 2 2 6" xfId="3864"/>
    <cellStyle name="常规 2 2 6 2" xfId="3865"/>
    <cellStyle name="常规 2 2 6 2 2" xfId="3866"/>
    <cellStyle name="常规 2 2 6 3" xfId="3867"/>
    <cellStyle name="常规 2 2 7" xfId="3868"/>
    <cellStyle name="常规 2 2 7 2" xfId="3869"/>
    <cellStyle name="常规 2 2 7 2 2" xfId="3870"/>
    <cellStyle name="常规 2 2 7 3" xfId="3871"/>
    <cellStyle name="常规 2 2 8" xfId="3872"/>
    <cellStyle name="常规 2 2 9" xfId="3873"/>
    <cellStyle name="常规 2 2 9 2" xfId="3874"/>
    <cellStyle name="常规 2 2_大悟(一期首批)建议书估算 2013.4.30" xfId="3875"/>
    <cellStyle name="常规 2 3" xfId="3876"/>
    <cellStyle name="常规 2 3 2" xfId="3877"/>
    <cellStyle name="常规 2 3 2 2" xfId="3878"/>
    <cellStyle name="常规 2 3 2 2 2" xfId="3879"/>
    <cellStyle name="常规 2 3 2 2 2 2" xfId="3880"/>
    <cellStyle name="常规 2 3 2 2 3" xfId="3881"/>
    <cellStyle name="常规 2 3 2 3" xfId="3882"/>
    <cellStyle name="常规 2 3 2 3 2" xfId="3883"/>
    <cellStyle name="常规 2 3 2 4" xfId="3884"/>
    <cellStyle name="常规 2 3 2 4 2" xfId="3885"/>
    <cellStyle name="常规 2 3 2 5" xfId="3886"/>
    <cellStyle name="常规 2 3 2 6" xfId="3887"/>
    <cellStyle name="常规 2 3 2 7" xfId="3888"/>
    <cellStyle name="常规 2 3 3" xfId="3889"/>
    <cellStyle name="常规 2 3 3 2" xfId="3890"/>
    <cellStyle name="常规 2 3 3 2 2" xfId="3891"/>
    <cellStyle name="常规 2 3 3 2 2 2" xfId="3892"/>
    <cellStyle name="常规 2 3 3 2 3" xfId="3893"/>
    <cellStyle name="常规 2 3 3 3" xfId="3894"/>
    <cellStyle name="常规 2 3 3 3 2" xfId="3895"/>
    <cellStyle name="常规 2 3 3 4" xfId="3896"/>
    <cellStyle name="常规 2 3 3 4 2" xfId="3897"/>
    <cellStyle name="常规 2 3 3 5" xfId="3898"/>
    <cellStyle name="常规 2 3 4" xfId="3899"/>
    <cellStyle name="常规 2 3 4 2" xfId="3900"/>
    <cellStyle name="常规 2 3 4 3" xfId="3901"/>
    <cellStyle name="常规 2 3 4 3 2" xfId="3902"/>
    <cellStyle name="常规 2 3 4 4" xfId="3903"/>
    <cellStyle name="常规 2 3 5" xfId="3904"/>
    <cellStyle name="常规 2 3 5 2" xfId="3905"/>
    <cellStyle name="常规 2 3 6" xfId="3906"/>
    <cellStyle name="常规 2 3 6 2" xfId="3907"/>
    <cellStyle name="常规 2 3 7" xfId="3908"/>
    <cellStyle name="常规 2 3 8" xfId="3909"/>
    <cellStyle name="常规 2 3 9" xfId="3910"/>
    <cellStyle name="常规 2 4" xfId="3911"/>
    <cellStyle name="常规 2 4 2" xfId="3912"/>
    <cellStyle name="常规 2 4 2 2" xfId="3913"/>
    <cellStyle name="常规 2 4 2 2 2" xfId="3914"/>
    <cellStyle name="常规 2 4 2 3" xfId="3915"/>
    <cellStyle name="常规 2 4 3" xfId="3916"/>
    <cellStyle name="常规 2 4 3 2" xfId="3917"/>
    <cellStyle name="常规 2 4 3 2 2" xfId="3918"/>
    <cellStyle name="常规 2 4 3 3" xfId="3919"/>
    <cellStyle name="常规 2 4 4" xfId="3920"/>
    <cellStyle name="常规 2 4 4 2" xfId="3921"/>
    <cellStyle name="常规 2 4 4 2 2" xfId="3922"/>
    <cellStyle name="常规 2 4 4 3" xfId="3923"/>
    <cellStyle name="常规 2 4 5" xfId="3924"/>
    <cellStyle name="常规 2 4 5 2" xfId="3925"/>
    <cellStyle name="常规 2 4 5 2 2" xfId="3926"/>
    <cellStyle name="常规 2 4 5 3" xfId="3927"/>
    <cellStyle name="常规 2 4 6" xfId="3928"/>
    <cellStyle name="常规 2 4 6 2" xfId="3929"/>
    <cellStyle name="常规 2 4 7" xfId="3930"/>
    <cellStyle name="常规 2 4 8" xfId="3931"/>
    <cellStyle name="常规 2 5" xfId="3932"/>
    <cellStyle name="常规 2 5 2" xfId="3933"/>
    <cellStyle name="常规 2 5 2 2" xfId="3934"/>
    <cellStyle name="常规 2 5 2 2 2" xfId="3935"/>
    <cellStyle name="常规 2 5 2 3" xfId="3936"/>
    <cellStyle name="常规 2 5 3" xfId="3937"/>
    <cellStyle name="常规 2 5 3 2" xfId="3938"/>
    <cellStyle name="常规 2 5 3 2 2" xfId="3939"/>
    <cellStyle name="常规 2 5 3 3" xfId="3940"/>
    <cellStyle name="常规 2 5 4" xfId="3941"/>
    <cellStyle name="常规 2 5 4 2" xfId="3942"/>
    <cellStyle name="常规 2 5 4 2 2" xfId="3943"/>
    <cellStyle name="常规 2 5 4 3" xfId="3944"/>
    <cellStyle name="常规 2 5 5" xfId="3945"/>
    <cellStyle name="常规 2 5 5 2" xfId="3946"/>
    <cellStyle name="常规 2 5 5 2 2" xfId="3947"/>
    <cellStyle name="常规 2 5 5 3" xfId="3948"/>
    <cellStyle name="常规 2 5 6" xfId="3949"/>
    <cellStyle name="常规 2 5 6 2" xfId="3950"/>
    <cellStyle name="常规 2 5 7" xfId="3951"/>
    <cellStyle name="常规 2 6" xfId="3952"/>
    <cellStyle name="常规 2 6 2" xfId="3953"/>
    <cellStyle name="常规 2 6 2 2" xfId="3954"/>
    <cellStyle name="常规 2 6 3" xfId="3955"/>
    <cellStyle name="常规 2 7" xfId="3956"/>
    <cellStyle name="常规 2 7 2" xfId="3957"/>
    <cellStyle name="常规 2 7 2 2" xfId="3958"/>
    <cellStyle name="常规 2 7 3" xfId="3959"/>
    <cellStyle name="常规 2 8" xfId="3960"/>
    <cellStyle name="常规 2 8 2" xfId="3961"/>
    <cellStyle name="常规 2 8 2 2" xfId="3962"/>
    <cellStyle name="常规 2 8 3" xfId="3963"/>
    <cellStyle name="常规 2 9" xfId="3964"/>
    <cellStyle name="常规 2 9 2" xfId="3965"/>
    <cellStyle name="常规 2 9 2 2" xfId="3966"/>
    <cellStyle name="常规 2 9 3" xfId="3967"/>
    <cellStyle name="常规 2_Xl0000002" xfId="3968"/>
    <cellStyle name="常规 20" xfId="3969"/>
    <cellStyle name="常规 20 10" xfId="3970"/>
    <cellStyle name="常规 20 2" xfId="3971"/>
    <cellStyle name="常规 20 2 2" xfId="3972"/>
    <cellStyle name="常规 20 2 2 2" xfId="3973"/>
    <cellStyle name="常规 20 2 2 2 2" xfId="3974"/>
    <cellStyle name="常规 20 2 2 3" xfId="3975"/>
    <cellStyle name="常规 20 2 3" xfId="3976"/>
    <cellStyle name="常规 20 2 3 2" xfId="3977"/>
    <cellStyle name="常规 20 2 4" xfId="3978"/>
    <cellStyle name="常规 20 2 4 2" xfId="3979"/>
    <cellStyle name="常规 20 2 5" xfId="3980"/>
    <cellStyle name="常规 20 2 5 2" xfId="3981"/>
    <cellStyle name="常规 20 2 6" xfId="3982"/>
    <cellStyle name="常规 20 2 7" xfId="3983"/>
    <cellStyle name="常规 20 3" xfId="3984"/>
    <cellStyle name="常规 20 3 2" xfId="3985"/>
    <cellStyle name="常规 20 3 2 2" xfId="3986"/>
    <cellStyle name="常规 20 3 3" xfId="3987"/>
    <cellStyle name="常规 20 4" xfId="3988"/>
    <cellStyle name="常规 20 4 2" xfId="3989"/>
    <cellStyle name="常规 20 4 2 2" xfId="3990"/>
    <cellStyle name="常规 20 4 3" xfId="3991"/>
    <cellStyle name="常规 20 5" xfId="3992"/>
    <cellStyle name="常规 20 5 2" xfId="3993"/>
    <cellStyle name="常规 20 5 2 2" xfId="3994"/>
    <cellStyle name="常规 20 5 3" xfId="3995"/>
    <cellStyle name="常规 20 6" xfId="3996"/>
    <cellStyle name="常规 20 6 2" xfId="3997"/>
    <cellStyle name="常规 20 6 2 2" xfId="3998"/>
    <cellStyle name="常规 20 6 3" xfId="3999"/>
    <cellStyle name="常规 20 7" xfId="4000"/>
    <cellStyle name="常规 20 7 2" xfId="4001"/>
    <cellStyle name="常规 20 8" xfId="4002"/>
    <cellStyle name="常规 20 8 2" xfId="4003"/>
    <cellStyle name="常规 20 9" xfId="4004"/>
    <cellStyle name="常规 21" xfId="4005"/>
    <cellStyle name="常规 21 2" xfId="4006"/>
    <cellStyle name="常规 21 2 2" xfId="4007"/>
    <cellStyle name="常规 21 2 2 2" xfId="4008"/>
    <cellStyle name="常规 21 2 2 2 2" xfId="4009"/>
    <cellStyle name="常规 21 2 2 3" xfId="4010"/>
    <cellStyle name="常规 21 2 3" xfId="4011"/>
    <cellStyle name="常规 21 2 3 2" xfId="4012"/>
    <cellStyle name="常规 21 2 3 2 2" xfId="4013"/>
    <cellStyle name="常规 21 2 3 3" xfId="4014"/>
    <cellStyle name="常规 21 2 4" xfId="4015"/>
    <cellStyle name="常规 21 2 4 2" xfId="4016"/>
    <cellStyle name="常规 21 2 5" xfId="4017"/>
    <cellStyle name="常规 21 2 5 2" xfId="4018"/>
    <cellStyle name="常规 21 2 6" xfId="4019"/>
    <cellStyle name="常规 21 2 7" xfId="4020"/>
    <cellStyle name="常规 21 3" xfId="4021"/>
    <cellStyle name="常规 21 3 2" xfId="4022"/>
    <cellStyle name="常规 21 3 2 2" xfId="4023"/>
    <cellStyle name="常规 21 3 3" xfId="4024"/>
    <cellStyle name="常规 21 4" xfId="4025"/>
    <cellStyle name="常规 21 4 2" xfId="4026"/>
    <cellStyle name="常规 21 4 2 2" xfId="4027"/>
    <cellStyle name="常规 21 4 3" xfId="4028"/>
    <cellStyle name="常规 21 5" xfId="4029"/>
    <cellStyle name="常规 21 6" xfId="4030"/>
    <cellStyle name="常规 21 7" xfId="4031"/>
    <cellStyle name="常规 22" xfId="4032"/>
    <cellStyle name="常规 22 10" xfId="4033"/>
    <cellStyle name="常规 22 2" xfId="4034"/>
    <cellStyle name="常规 22 2 2" xfId="4035"/>
    <cellStyle name="常规 22 2 2 2" xfId="4036"/>
    <cellStyle name="常规 22 2 2 2 2" xfId="4037"/>
    <cellStyle name="常规 22 2 2 2 2 2" xfId="4038"/>
    <cellStyle name="常规 22 2 2 2 3" xfId="4039"/>
    <cellStyle name="常规 22 2 2 3" xfId="4040"/>
    <cellStyle name="常规 22 2 2 3 2" xfId="4041"/>
    <cellStyle name="常规 22 2 2 4" xfId="4042"/>
    <cellStyle name="常规 22 2 3" xfId="4043"/>
    <cellStyle name="常规 22 2 3 2" xfId="4044"/>
    <cellStyle name="常规 22 2 3 2 2" xfId="4045"/>
    <cellStyle name="常规 22 2 3 3" xfId="4046"/>
    <cellStyle name="常规 22 2 4" xfId="4047"/>
    <cellStyle name="常规 22 2 4 2" xfId="4048"/>
    <cellStyle name="常规 22 2 5" xfId="4049"/>
    <cellStyle name="常规 22 2 5 2" xfId="4050"/>
    <cellStyle name="常规 22 2 6" xfId="4051"/>
    <cellStyle name="常规 22 2 6 2" xfId="4052"/>
    <cellStyle name="常规 22 2 7" xfId="4053"/>
    <cellStyle name="常规 22 2 8" xfId="4054"/>
    <cellStyle name="常规 22 3" xfId="4055"/>
    <cellStyle name="常规 22 3 2" xfId="4056"/>
    <cellStyle name="常规 22 3 2 2" xfId="4057"/>
    <cellStyle name="常规 22 3 2 2 2" xfId="4058"/>
    <cellStyle name="常规 22 3 2 3" xfId="4059"/>
    <cellStyle name="常规 22 3 3" xfId="4060"/>
    <cellStyle name="常规 22 3 3 2" xfId="4061"/>
    <cellStyle name="常规 22 3 4" xfId="4062"/>
    <cellStyle name="常规 22 4" xfId="4063"/>
    <cellStyle name="常规 22 4 2" xfId="4064"/>
    <cellStyle name="常规 22 4 2 2" xfId="4065"/>
    <cellStyle name="常规 22 4 2 2 2" xfId="4066"/>
    <cellStyle name="常规 22 4 2 3" xfId="4067"/>
    <cellStyle name="常规 22 4 3" xfId="4068"/>
    <cellStyle name="常规 22 4 3 2" xfId="4069"/>
    <cellStyle name="常规 22 4 4" xfId="4070"/>
    <cellStyle name="常规 22 5" xfId="4071"/>
    <cellStyle name="常规 22 5 2" xfId="4072"/>
    <cellStyle name="常规 22 5 2 2" xfId="4073"/>
    <cellStyle name="常规 22 5 3" xfId="4074"/>
    <cellStyle name="常规 22 6" xfId="4075"/>
    <cellStyle name="常规 22 6 2" xfId="4076"/>
    <cellStyle name="常规 22 6 2 2" xfId="4077"/>
    <cellStyle name="常规 22 6 3" xfId="4078"/>
    <cellStyle name="常规 22 7" xfId="4079"/>
    <cellStyle name="常规 22 7 2" xfId="4080"/>
    <cellStyle name="常规 22 7 2 2" xfId="4081"/>
    <cellStyle name="常规 22 7 3" xfId="4082"/>
    <cellStyle name="常规 22 8" xfId="4083"/>
    <cellStyle name="常规 22 9" xfId="4084"/>
    <cellStyle name="常规 23" xfId="4085"/>
    <cellStyle name="常规 23 10" xfId="4086"/>
    <cellStyle name="常规 23 10 2" xfId="4087"/>
    <cellStyle name="常规 23 11" xfId="4088"/>
    <cellStyle name="常规 23 2" xfId="4089"/>
    <cellStyle name="常规 23 2 2" xfId="4090"/>
    <cellStyle name="常规 23 2 3" xfId="4091"/>
    <cellStyle name="常规 23 2 3 2" xfId="4092"/>
    <cellStyle name="常规 23 2 4" xfId="4093"/>
    <cellStyle name="常规 23 2 4 2" xfId="4094"/>
    <cellStyle name="常规 23 2 5" xfId="4095"/>
    <cellStyle name="常规 23 2 5 2" xfId="4096"/>
    <cellStyle name="常规 23 2 6" xfId="4097"/>
    <cellStyle name="常规 23 2 6 2" xfId="4098"/>
    <cellStyle name="常规 23 2 7" xfId="4099"/>
    <cellStyle name="常规 23 2 8" xfId="4100"/>
    <cellStyle name="常规 23 3" xfId="4101"/>
    <cellStyle name="常规 23 3 2" xfId="4102"/>
    <cellStyle name="常规 23 3 2 2" xfId="4103"/>
    <cellStyle name="常规 23 3 2 2 2" xfId="4104"/>
    <cellStyle name="常规 23 3 2 3" xfId="4105"/>
    <cellStyle name="常规 23 4" xfId="4106"/>
    <cellStyle name="常规 23 4 2" xfId="4107"/>
    <cellStyle name="常规 23 4 2 2" xfId="4108"/>
    <cellStyle name="常规 23 4 3" xfId="4109"/>
    <cellStyle name="常规 23 5" xfId="4110"/>
    <cellStyle name="常规 23 5 2" xfId="4111"/>
    <cellStyle name="常规 23 5 2 2" xfId="4112"/>
    <cellStyle name="常规 23 5 3" xfId="4113"/>
    <cellStyle name="常规 23 6" xfId="4114"/>
    <cellStyle name="常规 23 6 2" xfId="4115"/>
    <cellStyle name="常规 23 6 2 2" xfId="4116"/>
    <cellStyle name="常规 23 6 3" xfId="4117"/>
    <cellStyle name="常规 23 7" xfId="4118"/>
    <cellStyle name="常规 23 7 2" xfId="4119"/>
    <cellStyle name="常规 23 8" xfId="4120"/>
    <cellStyle name="常规 23 8 2" xfId="4121"/>
    <cellStyle name="常规 23 9" xfId="4122"/>
    <cellStyle name="常规 23 9 2" xfId="4123"/>
    <cellStyle name="常规 24" xfId="4124"/>
    <cellStyle name="常规 24 2" xfId="4125"/>
    <cellStyle name="常规 24 2 2" xfId="4126"/>
    <cellStyle name="常规 24 2 2 2" xfId="4127"/>
    <cellStyle name="常规 24 2 2 2 2" xfId="4128"/>
    <cellStyle name="常规 24 2 2 3" xfId="4129"/>
    <cellStyle name="常规 24 2 3" xfId="4130"/>
    <cellStyle name="常规 24 2 3 2" xfId="4131"/>
    <cellStyle name="常规 24 2 4" xfId="4132"/>
    <cellStyle name="常规 24 2 4 2" xfId="4133"/>
    <cellStyle name="常规 24 2 5" xfId="4134"/>
    <cellStyle name="常规 24 2 5 2" xfId="4135"/>
    <cellStyle name="常规 24 2 6" xfId="4136"/>
    <cellStyle name="常规 24 2 7" xfId="4137"/>
    <cellStyle name="常规 24 3" xfId="4138"/>
    <cellStyle name="常规 24 3 2" xfId="4139"/>
    <cellStyle name="常规 24 3 2 2" xfId="4140"/>
    <cellStyle name="常规 24 3 2 2 2" xfId="4141"/>
    <cellStyle name="常规 24 3 2 3" xfId="4142"/>
    <cellStyle name="常规 24 3 3" xfId="4143"/>
    <cellStyle name="常规 24 3 3 2" xfId="4144"/>
    <cellStyle name="常规 24 3 4" xfId="4145"/>
    <cellStyle name="常规 24 4" xfId="4146"/>
    <cellStyle name="常规 24 4 2" xfId="4147"/>
    <cellStyle name="常规 24 4 2 2" xfId="4148"/>
    <cellStyle name="常规 24 4 3" xfId="4149"/>
    <cellStyle name="常规 24 4 3 2" xfId="4150"/>
    <cellStyle name="常规 24 4 4" xfId="4151"/>
    <cellStyle name="常规 24 5" xfId="4152"/>
    <cellStyle name="常规 24 5 2" xfId="4153"/>
    <cellStyle name="常规 24 5 2 2" xfId="4154"/>
    <cellStyle name="常规 24 5 3" xfId="4155"/>
    <cellStyle name="常规 24 6" xfId="4156"/>
    <cellStyle name="常规 24 6 2" xfId="4157"/>
    <cellStyle name="常规 24 7" xfId="4158"/>
    <cellStyle name="常规 24 7 2" xfId="4159"/>
    <cellStyle name="常规 24 8" xfId="4160"/>
    <cellStyle name="常规 24 9" xfId="4161"/>
    <cellStyle name="常规 25" xfId="4162"/>
    <cellStyle name="常规 25 2" xfId="4163"/>
    <cellStyle name="常规 25 2 2" xfId="4164"/>
    <cellStyle name="常规 25 2 2 2" xfId="4165"/>
    <cellStyle name="常规 25 2 2 2 2" xfId="4166"/>
    <cellStyle name="常规 25 2 2 3" xfId="4167"/>
    <cellStyle name="常规 25 2 3" xfId="4168"/>
    <cellStyle name="常规 25 2 3 2" xfId="4169"/>
    <cellStyle name="常规 25 2 3 2 2" xfId="4170"/>
    <cellStyle name="常规 25 2 3 3" xfId="4171"/>
    <cellStyle name="常规 25 2 4" xfId="4172"/>
    <cellStyle name="常规 25 2 4 2" xfId="4173"/>
    <cellStyle name="常规 25 2 5" xfId="4174"/>
    <cellStyle name="常规 25 2 5 2" xfId="4175"/>
    <cellStyle name="常规 25 2 6" xfId="4176"/>
    <cellStyle name="常规 25 2 7" xfId="4177"/>
    <cellStyle name="常规 25 3" xfId="4178"/>
    <cellStyle name="常规 25 3 2" xfId="4179"/>
    <cellStyle name="常规 25 3 2 2" xfId="4180"/>
    <cellStyle name="常规 25 3 3" xfId="4181"/>
    <cellStyle name="常规 25 4" xfId="4182"/>
    <cellStyle name="常规 25 4 2" xfId="4183"/>
    <cellStyle name="常规 25 4 2 2" xfId="4184"/>
    <cellStyle name="常规 25 4 3" xfId="4185"/>
    <cellStyle name="常规 25 5" xfId="4186"/>
    <cellStyle name="常规 25 5 2" xfId="4187"/>
    <cellStyle name="常规 25 6" xfId="4188"/>
    <cellStyle name="常规 25 6 2" xfId="4189"/>
    <cellStyle name="常规 25 7" xfId="4190"/>
    <cellStyle name="常规 25 8" xfId="4191"/>
    <cellStyle name="常规 25 9" xfId="4192"/>
    <cellStyle name="常规 26" xfId="4193"/>
    <cellStyle name="常规 26 2" xfId="4194"/>
    <cellStyle name="常规 26 2 2" xfId="4195"/>
    <cellStyle name="常规 26 2 2 2" xfId="4196"/>
    <cellStyle name="常规 26 2 3" xfId="4197"/>
    <cellStyle name="常规 26 3" xfId="4198"/>
    <cellStyle name="常规 26 3 2" xfId="4199"/>
    <cellStyle name="常规 26 3 2 2" xfId="4200"/>
    <cellStyle name="常规 26 3 3" xfId="4201"/>
    <cellStyle name="常规 26 4" xfId="4202"/>
    <cellStyle name="常规 26 4 2" xfId="4203"/>
    <cellStyle name="常规 26 5" xfId="4204"/>
    <cellStyle name="常规 26 6" xfId="4205"/>
    <cellStyle name="常规 26 7" xfId="4206"/>
    <cellStyle name="常规 26 8" xfId="4207"/>
    <cellStyle name="常规 27" xfId="4208"/>
    <cellStyle name="常规 27 2" xfId="4209"/>
    <cellStyle name="常规 27 2 2" xfId="4210"/>
    <cellStyle name="常规 27 2 2 2" xfId="4211"/>
    <cellStyle name="常规 27 2 3" xfId="4212"/>
    <cellStyle name="常规 27 2 3 2" xfId="4213"/>
    <cellStyle name="常规 27 2 4" xfId="4214"/>
    <cellStyle name="常规 27 3" xfId="4215"/>
    <cellStyle name="常规 27 3 2" xfId="4216"/>
    <cellStyle name="常规 27 3 2 2" xfId="4217"/>
    <cellStyle name="常规 27 3 3" xfId="4218"/>
    <cellStyle name="常规 27 4" xfId="4219"/>
    <cellStyle name="常规 27 4 2" xfId="4220"/>
    <cellStyle name="常规 27 5" xfId="4221"/>
    <cellStyle name="常规 27 5 2" xfId="4222"/>
    <cellStyle name="常规 27 6" xfId="4223"/>
    <cellStyle name="常规 27 6 2" xfId="4224"/>
    <cellStyle name="常规 27 7" xfId="4225"/>
    <cellStyle name="常规 27 8" xfId="4226"/>
    <cellStyle name="常规 27 9" xfId="4227"/>
    <cellStyle name="常规 28" xfId="4228"/>
    <cellStyle name="常规 28 2" xfId="4229"/>
    <cellStyle name="常规 28 2 2" xfId="4230"/>
    <cellStyle name="常规 28 2 2 2" xfId="4231"/>
    <cellStyle name="常规 28 2 3" xfId="4232"/>
    <cellStyle name="常规 28 2 3 2" xfId="4233"/>
    <cellStyle name="常规 28 2 4" xfId="4234"/>
    <cellStyle name="常规 28 2 5" xfId="4235"/>
    <cellStyle name="常规 28 3" xfId="4236"/>
    <cellStyle name="常规 28 3 2" xfId="4237"/>
    <cellStyle name="常规 28 3 2 2" xfId="4238"/>
    <cellStyle name="常规 28 3 3" xfId="4239"/>
    <cellStyle name="常规 28 4" xfId="4240"/>
    <cellStyle name="常规 28 4 2" xfId="4241"/>
    <cellStyle name="常规 28 5" xfId="4242"/>
    <cellStyle name="常规 28 5 2" xfId="4243"/>
    <cellStyle name="常规 28 6" xfId="4244"/>
    <cellStyle name="常规 28 7" xfId="4245"/>
    <cellStyle name="常规 29" xfId="4246"/>
    <cellStyle name="常规 29 2" xfId="4247"/>
    <cellStyle name="常规 29 2 2" xfId="4248"/>
    <cellStyle name="常规 29 2 2 2" xfId="4249"/>
    <cellStyle name="常规 29 2 3" xfId="4250"/>
    <cellStyle name="常规 29 2 3 2" xfId="4251"/>
    <cellStyle name="常规 29 2 4" xfId="4252"/>
    <cellStyle name="常规 29 2 5" xfId="4253"/>
    <cellStyle name="常规 29 3" xfId="4254"/>
    <cellStyle name="常规 29 3 2" xfId="4255"/>
    <cellStyle name="常规 29 3 2 2" xfId="4256"/>
    <cellStyle name="常规 29 3 3" xfId="4257"/>
    <cellStyle name="常规 29 4" xfId="4258"/>
    <cellStyle name="常规 29 4 2" xfId="4259"/>
    <cellStyle name="常规 29 5" xfId="4260"/>
    <cellStyle name="常规 29 5 2" xfId="4261"/>
    <cellStyle name="常规 29 5 2 2" xfId="4262"/>
    <cellStyle name="常规 29 5 3" xfId="4263"/>
    <cellStyle name="常规 29 6" xfId="4264"/>
    <cellStyle name="常规 29 6 2" xfId="4265"/>
    <cellStyle name="常规 29 7" xfId="4266"/>
    <cellStyle name="常规 29 7 2" xfId="4267"/>
    <cellStyle name="常规 29 8" xfId="4268"/>
    <cellStyle name="常规 29 9" xfId="4269"/>
    <cellStyle name="常规 3" xfId="4270"/>
    <cellStyle name="常规 3 10" xfId="4271"/>
    <cellStyle name="常规 3 11" xfId="4272"/>
    <cellStyle name="常规 3 2" xfId="4273"/>
    <cellStyle name="常规 3 2 10" xfId="4274"/>
    <cellStyle name="常规 3 2 10 2" xfId="4275"/>
    <cellStyle name="常规 3 2 11" xfId="4276"/>
    <cellStyle name="常规 3 2 11 2" xfId="4277"/>
    <cellStyle name="常规 3 2 12" xfId="4278"/>
    <cellStyle name="常规 3 2 2" xfId="4279"/>
    <cellStyle name="常规 3 2 2 2" xfId="4280"/>
    <cellStyle name="常规 3 2 2 2 2" xfId="4281"/>
    <cellStyle name="常规 3 2 2 2 2 2" xfId="4282"/>
    <cellStyle name="常规 3 2 2 2 3" xfId="4283"/>
    <cellStyle name="常规 3 2 2 3" xfId="4284"/>
    <cellStyle name="常规 3 2 2 3 2" xfId="4285"/>
    <cellStyle name="常规 3 2 2 4" xfId="4286"/>
    <cellStyle name="常规 3 2 2 5" xfId="4287"/>
    <cellStyle name="常规 3 2 3" xfId="4288"/>
    <cellStyle name="常规 3 2 3 2" xfId="4289"/>
    <cellStyle name="常规 3 2 3 2 2" xfId="4290"/>
    <cellStyle name="常规 3 2 3 3" xfId="4291"/>
    <cellStyle name="常规 3 2 4" xfId="4292"/>
    <cellStyle name="常规 3 2 4 2" xfId="4293"/>
    <cellStyle name="常规 3 2 4 2 2" xfId="4294"/>
    <cellStyle name="常规 3 2 4 2 2 2" xfId="4295"/>
    <cellStyle name="常规 3 2 4 2 3" xfId="4296"/>
    <cellStyle name="常规 3 2 4 3" xfId="4297"/>
    <cellStyle name="常规 3 2 4 3 2" xfId="4298"/>
    <cellStyle name="常规 3 2 4 4" xfId="4299"/>
    <cellStyle name="常规 3 2 5" xfId="4300"/>
    <cellStyle name="常规 3 2 5 2" xfId="4301"/>
    <cellStyle name="常规 3 2 5 2 2" xfId="4302"/>
    <cellStyle name="常规 3 2 5 2 2 2" xfId="4303"/>
    <cellStyle name="常规 3 2 5 2 3" xfId="4304"/>
    <cellStyle name="常规 3 2 5 3" xfId="4305"/>
    <cellStyle name="常规 3 2 5 3 2" xfId="4306"/>
    <cellStyle name="常规 3 2 5 3 2 2" xfId="4307"/>
    <cellStyle name="常规 3 2 5 3 3" xfId="4308"/>
    <cellStyle name="常规 3 2 5 4" xfId="4309"/>
    <cellStyle name="常规 3 2 5 4 2" xfId="4310"/>
    <cellStyle name="常规 3 2 5 5" xfId="4311"/>
    <cellStyle name="常规 3 2 6" xfId="4312"/>
    <cellStyle name="常规 3 2 6 2" xfId="4313"/>
    <cellStyle name="常规 3 2 6 2 2" xfId="4314"/>
    <cellStyle name="常规 3 2 6 2 2 2" xfId="4315"/>
    <cellStyle name="常规 3 2 6 2 3" xfId="4316"/>
    <cellStyle name="常规 3 2 6 3" xfId="4317"/>
    <cellStyle name="常规 3 2 6 3 2" xfId="4318"/>
    <cellStyle name="常规 3 2 6 3 2 2" xfId="4319"/>
    <cellStyle name="常规 3 2 6 3 3" xfId="4320"/>
    <cellStyle name="常规 3 2 6 4" xfId="4321"/>
    <cellStyle name="常规 3 2 6 4 2" xfId="4322"/>
    <cellStyle name="常规 3 2 6 5" xfId="4323"/>
    <cellStyle name="常规 3 2 7" xfId="4324"/>
    <cellStyle name="常规 3 2 7 2" xfId="4325"/>
    <cellStyle name="常规 3 2 7 2 2" xfId="4326"/>
    <cellStyle name="常规 3 2 7 3" xfId="4327"/>
    <cellStyle name="常规 3 2 8" xfId="4328"/>
    <cellStyle name="常规 3 2 8 2" xfId="4329"/>
    <cellStyle name="常规 3 2 8 2 2" xfId="4330"/>
    <cellStyle name="常规 3 2 8 3" xfId="4331"/>
    <cellStyle name="常规 3 2 9" xfId="4332"/>
    <cellStyle name="常规 3 2 9 2" xfId="4333"/>
    <cellStyle name="常规 3 3" xfId="4334"/>
    <cellStyle name="常规 3 3 2" xfId="4335"/>
    <cellStyle name="常规 3 3 2 2" xfId="4336"/>
    <cellStyle name="常规 3 3 2 2 2" xfId="4337"/>
    <cellStyle name="常规 3 3 2 2 2 2" xfId="4338"/>
    <cellStyle name="常规 3 3 2 2 3" xfId="4339"/>
    <cellStyle name="常规 3 3 2 3" xfId="4340"/>
    <cellStyle name="常规 3 3 2 3 2" xfId="4341"/>
    <cellStyle name="常规 3 3 2 4" xfId="4342"/>
    <cellStyle name="常规 3 3 3" xfId="4343"/>
    <cellStyle name="常规 3 3 3 2" xfId="4344"/>
    <cellStyle name="常规 3 3 3 2 2" xfId="4345"/>
    <cellStyle name="常规 3 3 3 3" xfId="4346"/>
    <cellStyle name="常规 3 3 4" xfId="4347"/>
    <cellStyle name="常规 3 3 4 2" xfId="4348"/>
    <cellStyle name="常规 3 3 4 2 2" xfId="4349"/>
    <cellStyle name="常规 3 3 4 3" xfId="4350"/>
    <cellStyle name="常规 3 3 5" xfId="4351"/>
    <cellStyle name="常规 3 3 5 2" xfId="4352"/>
    <cellStyle name="常规 3 3 6" xfId="4353"/>
    <cellStyle name="常规 3 3 6 2" xfId="4354"/>
    <cellStyle name="常规 3 3 7" xfId="4355"/>
    <cellStyle name="常规 3 3 8" xfId="4356"/>
    <cellStyle name="常规 3 4" xfId="4357"/>
    <cellStyle name="常规 3 4 2" xfId="4358"/>
    <cellStyle name="常规 3 4 2 2" xfId="4359"/>
    <cellStyle name="常规 3 4 3" xfId="4360"/>
    <cellStyle name="常规 3 5" xfId="4361"/>
    <cellStyle name="常规 3 5 2" xfId="4362"/>
    <cellStyle name="常规 3 5 2 2" xfId="4363"/>
    <cellStyle name="常规 3 5 2 2 2" xfId="4364"/>
    <cellStyle name="常规 3 5 2 3" xfId="4365"/>
    <cellStyle name="常规 3 5 3" xfId="4366"/>
    <cellStyle name="常规 3 5 3 2" xfId="4367"/>
    <cellStyle name="常规 3 5 4" xfId="4368"/>
    <cellStyle name="常规 3 6" xfId="4369"/>
    <cellStyle name="常规 3 6 2" xfId="4370"/>
    <cellStyle name="常规 3 6 2 2" xfId="4371"/>
    <cellStyle name="常规 3 6 2 2 2" xfId="4372"/>
    <cellStyle name="常规 3 6 2 3" xfId="4373"/>
    <cellStyle name="常规 3 6 3" xfId="4374"/>
    <cellStyle name="常规 3 6 3 2" xfId="4375"/>
    <cellStyle name="常规 3 6 3 2 2" xfId="4376"/>
    <cellStyle name="常规 3 6 3 3" xfId="4377"/>
    <cellStyle name="常规 3 6 4" xfId="4378"/>
    <cellStyle name="常规 3 6 4 2" xfId="4379"/>
    <cellStyle name="常规 3 6 5" xfId="4380"/>
    <cellStyle name="常规 3 7" xfId="4381"/>
    <cellStyle name="常规 3 7 2" xfId="4382"/>
    <cellStyle name="常规 3 8" xfId="4383"/>
    <cellStyle name="常规 3 8 2" xfId="4384"/>
    <cellStyle name="常规 3 9" xfId="4385"/>
    <cellStyle name="常规 3 9 2" xfId="4386"/>
    <cellStyle name="常规 3_662平台估算       2011.9.8-第二稿" xfId="4387"/>
    <cellStyle name="常规 30" xfId="4388"/>
    <cellStyle name="常规 30 2" xfId="4389"/>
    <cellStyle name="常规 30 2 2" xfId="4390"/>
    <cellStyle name="常规 30 2 2 2" xfId="4391"/>
    <cellStyle name="常规 30 2 3" xfId="4392"/>
    <cellStyle name="常规 30 2 4" xfId="4393"/>
    <cellStyle name="常规 30 3" xfId="4394"/>
    <cellStyle name="常规 30 3 2" xfId="4395"/>
    <cellStyle name="常规 30 3 2 2" xfId="4396"/>
    <cellStyle name="常规 30 3 3" xfId="4397"/>
    <cellStyle name="常规 30 4" xfId="4398"/>
    <cellStyle name="常规 30 4 2" xfId="4399"/>
    <cellStyle name="常规 30 5" xfId="4400"/>
    <cellStyle name="常规 30 5 2" xfId="4401"/>
    <cellStyle name="常规 30 6" xfId="4402"/>
    <cellStyle name="常规 30 7" xfId="4403"/>
    <cellStyle name="常规 31" xfId="4404"/>
    <cellStyle name="常规 31 2" xfId="4405"/>
    <cellStyle name="常规 31 2 2" xfId="4406"/>
    <cellStyle name="常规 31 2 2 2" xfId="4407"/>
    <cellStyle name="常规 31 2 2 2 2" xfId="4408"/>
    <cellStyle name="常规 31 2 2 3" xfId="4409"/>
    <cellStyle name="常规 31 2 3" xfId="4410"/>
    <cellStyle name="常规 31 2 3 2" xfId="4411"/>
    <cellStyle name="常规 31 2 4" xfId="4412"/>
    <cellStyle name="常规 31 2 5" xfId="4413"/>
    <cellStyle name="常规 31 3" xfId="4414"/>
    <cellStyle name="常规 31 3 2" xfId="4415"/>
    <cellStyle name="常规 31 3 2 2" xfId="4416"/>
    <cellStyle name="常规 31 3 3" xfId="4417"/>
    <cellStyle name="常规 31 4" xfId="4418"/>
    <cellStyle name="常规 31 4 2" xfId="4419"/>
    <cellStyle name="常规 31 5" xfId="4420"/>
    <cellStyle name="常规 31 5 2" xfId="4421"/>
    <cellStyle name="常规 31 6" xfId="4422"/>
    <cellStyle name="常规 31 7" xfId="4423"/>
    <cellStyle name="常规 32" xfId="4424"/>
    <cellStyle name="常规 32 2" xfId="4425"/>
    <cellStyle name="常规 32 2 2" xfId="4426"/>
    <cellStyle name="常规 32 2 2 2" xfId="4427"/>
    <cellStyle name="常规 32 2 2 2 2" xfId="4428"/>
    <cellStyle name="常规 32 2 2 3" xfId="4429"/>
    <cellStyle name="常规 32 2 3" xfId="4430"/>
    <cellStyle name="常规 32 2 3 2" xfId="4431"/>
    <cellStyle name="常规 32 2 4" xfId="4432"/>
    <cellStyle name="常规 32 3" xfId="4433"/>
    <cellStyle name="常规 32 3 2" xfId="4434"/>
    <cellStyle name="常规 32 3 2 2" xfId="4435"/>
    <cellStyle name="常规 32 3 3" xfId="4436"/>
    <cellStyle name="常规 32 4" xfId="4437"/>
    <cellStyle name="常规 32 4 2" xfId="4438"/>
    <cellStyle name="常规 32 5" xfId="4439"/>
    <cellStyle name="常规 33" xfId="4440"/>
    <cellStyle name="常规 33 2" xfId="4441"/>
    <cellStyle name="常规 33 2 2" xfId="4442"/>
    <cellStyle name="常规 33 2 2 2" xfId="4443"/>
    <cellStyle name="常规 33 2 3" xfId="4444"/>
    <cellStyle name="常规 33 2 4" xfId="4445"/>
    <cellStyle name="常规 33 3" xfId="4446"/>
    <cellStyle name="常规 33 3 2" xfId="4447"/>
    <cellStyle name="常规 33 3 2 2" xfId="4448"/>
    <cellStyle name="常规 33 3 3" xfId="4449"/>
    <cellStyle name="常规 33 4" xfId="4450"/>
    <cellStyle name="常规 33 4 2" xfId="4451"/>
    <cellStyle name="常规 33 5" xfId="4452"/>
    <cellStyle name="常规 33 6" xfId="4453"/>
    <cellStyle name="常规 34" xfId="4454"/>
    <cellStyle name="常规 34 2" xfId="4455"/>
    <cellStyle name="常规 34 2 2" xfId="4456"/>
    <cellStyle name="常规 34 2 2 2" xfId="4457"/>
    <cellStyle name="常规 34 2 3" xfId="4458"/>
    <cellStyle name="常规 34 3" xfId="4459"/>
    <cellStyle name="常规 34 3 2" xfId="4460"/>
    <cellStyle name="常规 34 3 2 2" xfId="4461"/>
    <cellStyle name="常规 34 3 3" xfId="4462"/>
    <cellStyle name="常规 34 4" xfId="4463"/>
    <cellStyle name="常规 34 4 2" xfId="4464"/>
    <cellStyle name="常规 34 5" xfId="4465"/>
    <cellStyle name="常规 35" xfId="4466"/>
    <cellStyle name="常规 35 2" xfId="4467"/>
    <cellStyle name="常规 35 2 2" xfId="4468"/>
    <cellStyle name="常规 35 2 2 2" xfId="4469"/>
    <cellStyle name="常规 35 2 3" xfId="4470"/>
    <cellStyle name="常规 35 3" xfId="4471"/>
    <cellStyle name="常规 35 3 2" xfId="4472"/>
    <cellStyle name="常规 35 3 2 2" xfId="4473"/>
    <cellStyle name="常规 35 3 3" xfId="4474"/>
    <cellStyle name="常规 35 4" xfId="4475"/>
    <cellStyle name="常规 35 4 2" xfId="4476"/>
    <cellStyle name="常规 35 5" xfId="4477"/>
    <cellStyle name="常规 36" xfId="4478"/>
    <cellStyle name="常规 36 2" xfId="4479"/>
    <cellStyle name="常规 36 3" xfId="4480"/>
    <cellStyle name="常规 36 3 2" xfId="4481"/>
    <cellStyle name="常规 36 3 2 2" xfId="4482"/>
    <cellStyle name="常规 36 3 3" xfId="4483"/>
    <cellStyle name="常规 36 4" xfId="4484"/>
    <cellStyle name="常规 36 4 2" xfId="4485"/>
    <cellStyle name="常规 36 4 2 2" xfId="4486"/>
    <cellStyle name="常规 36 4 3" xfId="4487"/>
    <cellStyle name="常规 36 5" xfId="4488"/>
    <cellStyle name="常规 37" xfId="4489"/>
    <cellStyle name="常规 37 2" xfId="4490"/>
    <cellStyle name="常规 37 2 2" xfId="4491"/>
    <cellStyle name="常规 37 2 2 2" xfId="4492"/>
    <cellStyle name="常规 37 2 2 3" xfId="4493"/>
    <cellStyle name="常规 37 2 3" xfId="4494"/>
    <cellStyle name="常规 37 2 4" xfId="4495"/>
    <cellStyle name="常规 37 3" xfId="4496"/>
    <cellStyle name="常规 37 3 2" xfId="4497"/>
    <cellStyle name="常规 37 3 2 2" xfId="4498"/>
    <cellStyle name="常规 37 3 3" xfId="4499"/>
    <cellStyle name="常规 37 3 4" xfId="4500"/>
    <cellStyle name="常规 37 4" xfId="4501"/>
    <cellStyle name="常规 37 4 2" xfId="4502"/>
    <cellStyle name="常规 37 4 2 2" xfId="4503"/>
    <cellStyle name="常规 37 4 3" xfId="4504"/>
    <cellStyle name="常规 37 5" xfId="4505"/>
    <cellStyle name="常规 38" xfId="4506"/>
    <cellStyle name="常规 38 2" xfId="4507"/>
    <cellStyle name="常规 38 2 2" xfId="4508"/>
    <cellStyle name="常规 38 2 2 2" xfId="4509"/>
    <cellStyle name="常规 38 2 3" xfId="4510"/>
    <cellStyle name="常规 38 2 4" xfId="4511"/>
    <cellStyle name="常规 38 3" xfId="4512"/>
    <cellStyle name="常规 38 4" xfId="4513"/>
    <cellStyle name="常规 39" xfId="4514"/>
    <cellStyle name="常规 39 2" xfId="4515"/>
    <cellStyle name="常规 39 2 2" xfId="4516"/>
    <cellStyle name="常规 39 2 2 2" xfId="4517"/>
    <cellStyle name="常规 39 2 3" xfId="4518"/>
    <cellStyle name="常规 39 2 4" xfId="4519"/>
    <cellStyle name="常规 39 3" xfId="4520"/>
    <cellStyle name="常规 39 3 2" xfId="4521"/>
    <cellStyle name="常规 39 3 2 2" xfId="4522"/>
    <cellStyle name="常规 39 3 3" xfId="4523"/>
    <cellStyle name="常规 39 4" xfId="4524"/>
    <cellStyle name="常规 39 4 2" xfId="4525"/>
    <cellStyle name="常规 39 4 2 2" xfId="4526"/>
    <cellStyle name="常规 39 4 3" xfId="4527"/>
    <cellStyle name="常规 39 5" xfId="4528"/>
    <cellStyle name="常规 39 6" xfId="4529"/>
    <cellStyle name="常规 4" xfId="4530"/>
    <cellStyle name="常规 4 10" xfId="4531"/>
    <cellStyle name="常规 4 10 2" xfId="4532"/>
    <cellStyle name="常规 4 11" xfId="4533"/>
    <cellStyle name="常规 4 11 2" xfId="4534"/>
    <cellStyle name="常规 4 12" xfId="4535"/>
    <cellStyle name="常规 4 12 2" xfId="4536"/>
    <cellStyle name="常规 4 13" xfId="4537"/>
    <cellStyle name="常规 4 2" xfId="4538"/>
    <cellStyle name="常规 4 2 10" xfId="4539"/>
    <cellStyle name="常规 4 2 2" xfId="4540"/>
    <cellStyle name="常规 4 2 2 2" xfId="4541"/>
    <cellStyle name="常规 4 2 2 2 2" xfId="4542"/>
    <cellStyle name="常规 4 2 2 2 2 2" xfId="4543"/>
    <cellStyle name="常规 4 2 2 2 3" xfId="4544"/>
    <cellStyle name="常规 4 2 2 3" xfId="4545"/>
    <cellStyle name="常规 4 2 2 3 2" xfId="4546"/>
    <cellStyle name="常规 4 2 2 4" xfId="4547"/>
    <cellStyle name="常规 4 2 2 5" xfId="4548"/>
    <cellStyle name="常规 4 2 3" xfId="4549"/>
    <cellStyle name="常规 4 2 3 2" xfId="4550"/>
    <cellStyle name="常规 4 2 3 2 2" xfId="4551"/>
    <cellStyle name="常规 4 2 3 3" xfId="4552"/>
    <cellStyle name="常规 4 2 4" xfId="4553"/>
    <cellStyle name="常规 4 2 4 2" xfId="4554"/>
    <cellStyle name="常规 4 2 4 2 2" xfId="4555"/>
    <cellStyle name="常规 4 2 4 3" xfId="4556"/>
    <cellStyle name="常规 4 2 5" xfId="4557"/>
    <cellStyle name="常规 4 2 5 2" xfId="4558"/>
    <cellStyle name="常规 4 2 5 2 2" xfId="4559"/>
    <cellStyle name="常规 4 2 5 3" xfId="4560"/>
    <cellStyle name="常规 4 2 6" xfId="4561"/>
    <cellStyle name="常规 4 2 6 2" xfId="4562"/>
    <cellStyle name="常规 4 2 7" xfId="4563"/>
    <cellStyle name="常规 4 2 7 2" xfId="4564"/>
    <cellStyle name="常规 4 2 8" xfId="4565"/>
    <cellStyle name="常规 4 2 8 2" xfId="4566"/>
    <cellStyle name="常规 4 2 9" xfId="4567"/>
    <cellStyle name="常规 4 3" xfId="4568"/>
    <cellStyle name="常规 4 3 2" xfId="4569"/>
    <cellStyle name="常规 4 3 2 2" xfId="4570"/>
    <cellStyle name="常规 4 3 2 2 2" xfId="4571"/>
    <cellStyle name="常规 4 3 2 3" xfId="4572"/>
    <cellStyle name="常规 4 3 3" xfId="4573"/>
    <cellStyle name="常规 4 3 3 2" xfId="4574"/>
    <cellStyle name="常规 4 3 3 2 2" xfId="4575"/>
    <cellStyle name="常规 4 3 3 3" xfId="4576"/>
    <cellStyle name="常规 4 3 4" xfId="4577"/>
    <cellStyle name="常规 4 3 4 2" xfId="4578"/>
    <cellStyle name="常规 4 3 5" xfId="4579"/>
    <cellStyle name="常规 4 3 6" xfId="4580"/>
    <cellStyle name="常规 4 4" xfId="4581"/>
    <cellStyle name="常规 4 4 2" xfId="4582"/>
    <cellStyle name="常规 4 4 2 2" xfId="4583"/>
    <cellStyle name="常规 4 4 2 2 2" xfId="4584"/>
    <cellStyle name="常规 4 4 2 3" xfId="4585"/>
    <cellStyle name="常规 4 4 3" xfId="4586"/>
    <cellStyle name="常规 4 4 3 2" xfId="4587"/>
    <cellStyle name="常规 4 4 4" xfId="4588"/>
    <cellStyle name="常规 4 5" xfId="4589"/>
    <cellStyle name="常规 4 5 2" xfId="4590"/>
    <cellStyle name="常规 4 5 2 2" xfId="4591"/>
    <cellStyle name="常规 4 5 3" xfId="4592"/>
    <cellStyle name="常规 4 6" xfId="4593"/>
    <cellStyle name="常规 4 6 2" xfId="4594"/>
    <cellStyle name="常规 4 6 2 2" xfId="4595"/>
    <cellStyle name="常规 4 6 3" xfId="4596"/>
    <cellStyle name="常规 4 7" xfId="4597"/>
    <cellStyle name="常规 4 7 2" xfId="4598"/>
    <cellStyle name="常规 4 7 2 2" xfId="4599"/>
    <cellStyle name="常规 4 7 3" xfId="4600"/>
    <cellStyle name="常规 4 8" xfId="4601"/>
    <cellStyle name="常规 4 8 2" xfId="4602"/>
    <cellStyle name="常规 4 8 2 2" xfId="4603"/>
    <cellStyle name="常规 4 8 3" xfId="4604"/>
    <cellStyle name="常规 4 9" xfId="4605"/>
    <cellStyle name="常规 4 9 2" xfId="4606"/>
    <cellStyle name="常规 4 9 2 2" xfId="4607"/>
    <cellStyle name="常规 4 9 3" xfId="4608"/>
    <cellStyle name="常规 40" xfId="4609"/>
    <cellStyle name="常规 40 2" xfId="4610"/>
    <cellStyle name="常规 40 2 2" xfId="4611"/>
    <cellStyle name="常规 40 2 2 2" xfId="4612"/>
    <cellStyle name="常规 40 2 3" xfId="4613"/>
    <cellStyle name="常规 40 2 4" xfId="4614"/>
    <cellStyle name="常规 40 3" xfId="4615"/>
    <cellStyle name="常规 40 3 2" xfId="4616"/>
    <cellStyle name="常规 40 3 2 2" xfId="4617"/>
    <cellStyle name="常规 40 3 3" xfId="4618"/>
    <cellStyle name="常规 40 4" xfId="4619"/>
    <cellStyle name="常规 40 4 2" xfId="4620"/>
    <cellStyle name="常规 40 5" xfId="4621"/>
    <cellStyle name="常规 40 6" xfId="4622"/>
    <cellStyle name="常规 41" xfId="4623"/>
    <cellStyle name="常规 41 2" xfId="4624"/>
    <cellStyle name="常规 41 2 2" xfId="4625"/>
    <cellStyle name="常规 41 2 2 2" xfId="4626"/>
    <cellStyle name="常规 41 2 3" xfId="4627"/>
    <cellStyle name="常规 41 2 4" xfId="4628"/>
    <cellStyle name="常规 41 3" xfId="4629"/>
    <cellStyle name="常规 41 3 2" xfId="4630"/>
    <cellStyle name="常规 41 3 2 2" xfId="4631"/>
    <cellStyle name="常规 41 3 3" xfId="4632"/>
    <cellStyle name="常规 41 4" xfId="4633"/>
    <cellStyle name="常规 41 4 2" xfId="4634"/>
    <cellStyle name="常规 41 5" xfId="4635"/>
    <cellStyle name="常规 41 6" xfId="4636"/>
    <cellStyle name="常规 42" xfId="4637"/>
    <cellStyle name="常规 43" xfId="4638"/>
    <cellStyle name="常规 43 2" xfId="4639"/>
    <cellStyle name="常规 43 2 2" xfId="4640"/>
    <cellStyle name="常规 43 3" xfId="4641"/>
    <cellStyle name="常规 44" xfId="4642"/>
    <cellStyle name="常规 44 2" xfId="4643"/>
    <cellStyle name="常规 44 2 2" xfId="4644"/>
    <cellStyle name="常规 44 3" xfId="4645"/>
    <cellStyle name="常规 45" xfId="4646"/>
    <cellStyle name="常规 45 2" xfId="4647"/>
    <cellStyle name="常规 45 2 2" xfId="4648"/>
    <cellStyle name="常规 45 3" xfId="4649"/>
    <cellStyle name="常规 46" xfId="4650"/>
    <cellStyle name="常规 46 2" xfId="4651"/>
    <cellStyle name="常规 46 2 2" xfId="4652"/>
    <cellStyle name="常规 46 3" xfId="4653"/>
    <cellStyle name="常规 47" xfId="4654"/>
    <cellStyle name="常规 47 2" xfId="4655"/>
    <cellStyle name="常规 47 2 2" xfId="4656"/>
    <cellStyle name="常规 47 3" xfId="4657"/>
    <cellStyle name="常规 48" xfId="4658"/>
    <cellStyle name="常规 48 2" xfId="4659"/>
    <cellStyle name="常规 48 2 2" xfId="4660"/>
    <cellStyle name="常规 48 3" xfId="4661"/>
    <cellStyle name="常规 49" xfId="4662"/>
    <cellStyle name="常规 49 2" xfId="4663"/>
    <cellStyle name="常规 49 2 2" xfId="4664"/>
    <cellStyle name="常规 49 3" xfId="4665"/>
    <cellStyle name="常规 5" xfId="4666"/>
    <cellStyle name="常规 5 10" xfId="4667"/>
    <cellStyle name="常规 5 10 2" xfId="4668"/>
    <cellStyle name="常规 5 11" xfId="4669"/>
    <cellStyle name="常规 5 11 2" xfId="4670"/>
    <cellStyle name="常规 5 12" xfId="4671"/>
    <cellStyle name="常规 5 2" xfId="4672"/>
    <cellStyle name="常规 5 2 10" xfId="4673"/>
    <cellStyle name="常规 5 2 2" xfId="4674"/>
    <cellStyle name="常规 5 2 2 2" xfId="4675"/>
    <cellStyle name="常规 5 2 2 2 2" xfId="4676"/>
    <cellStyle name="常规 5 2 2 2 2 2" xfId="4677"/>
    <cellStyle name="常规 5 2 2 2 3" xfId="4678"/>
    <cellStyle name="常规 5 2 2 3" xfId="4679"/>
    <cellStyle name="常规 5 2 2 3 2" xfId="4680"/>
    <cellStyle name="常规 5 2 2 4" xfId="4681"/>
    <cellStyle name="常规 5 2 3" xfId="4682"/>
    <cellStyle name="常规 5 2 3 2" xfId="4683"/>
    <cellStyle name="常规 5 2 3 2 2" xfId="4684"/>
    <cellStyle name="常规 5 2 3 2 2 2" xfId="4685"/>
    <cellStyle name="常规 5 2 3 2 3" xfId="4686"/>
    <cellStyle name="常规 5 2 3 3" xfId="4687"/>
    <cellStyle name="常规 5 2 3 3 2" xfId="4688"/>
    <cellStyle name="常规 5 2 3 4" xfId="4689"/>
    <cellStyle name="常规 5 2 4" xfId="4690"/>
    <cellStyle name="常规 5 2 4 2" xfId="4691"/>
    <cellStyle name="常规 5 2 4 2 2" xfId="4692"/>
    <cellStyle name="常规 5 2 4 3" xfId="4693"/>
    <cellStyle name="常规 5 2 5" xfId="4694"/>
    <cellStyle name="常规 5 2 5 2" xfId="4695"/>
    <cellStyle name="常规 5 2 6" xfId="4696"/>
    <cellStyle name="常规 5 2 6 2" xfId="4697"/>
    <cellStyle name="常规 5 2 7" xfId="4698"/>
    <cellStyle name="常规 5 2 7 2" xfId="4699"/>
    <cellStyle name="常规 5 2 8" xfId="4700"/>
    <cellStyle name="常规 5 2 8 2" xfId="4701"/>
    <cellStyle name="常规 5 2 9" xfId="4702"/>
    <cellStyle name="常规 5 3" xfId="4703"/>
    <cellStyle name="常规 5 3 2" xfId="4704"/>
    <cellStyle name="常规 5 3 2 2" xfId="4705"/>
    <cellStyle name="常规 5 3 3" xfId="4706"/>
    <cellStyle name="常规 5 4" xfId="4707"/>
    <cellStyle name="常规 5 4 2" xfId="4708"/>
    <cellStyle name="常规 5 4 2 2" xfId="4709"/>
    <cellStyle name="常规 5 4 2 2 2" xfId="4710"/>
    <cellStyle name="常规 5 4 2 3" xfId="4711"/>
    <cellStyle name="常规 5 4 3" xfId="4712"/>
    <cellStyle name="常规 5 4 3 2" xfId="4713"/>
    <cellStyle name="常规 5 4 4" xfId="4714"/>
    <cellStyle name="常规 5 5" xfId="4715"/>
    <cellStyle name="常规 5 5 2" xfId="4716"/>
    <cellStyle name="常规 5 5 2 2" xfId="4717"/>
    <cellStyle name="常规 5 5 2 2 2" xfId="4718"/>
    <cellStyle name="常规 5 5 2 3" xfId="4719"/>
    <cellStyle name="常规 5 5 3" xfId="4720"/>
    <cellStyle name="常规 5 5 3 2" xfId="4721"/>
    <cellStyle name="常规 5 5 3 2 2" xfId="4722"/>
    <cellStyle name="常规 5 5 3 3" xfId="4723"/>
    <cellStyle name="常规 5 5 4" xfId="4724"/>
    <cellStyle name="常规 5 5 4 2" xfId="4725"/>
    <cellStyle name="常规 5 5 5" xfId="4726"/>
    <cellStyle name="常规 5 6" xfId="4727"/>
    <cellStyle name="常规 5 6 2" xfId="4728"/>
    <cellStyle name="常规 5 6 2 2" xfId="4729"/>
    <cellStyle name="常规 5 6 2 2 2" xfId="4730"/>
    <cellStyle name="常规 5 6 2 3" xfId="4731"/>
    <cellStyle name="常规 5 6 3" xfId="4732"/>
    <cellStyle name="常规 5 6 3 2" xfId="4733"/>
    <cellStyle name="常规 5 6 3 2 2" xfId="4734"/>
    <cellStyle name="常规 5 6 3 3" xfId="4735"/>
    <cellStyle name="常规 5 6 4" xfId="4736"/>
    <cellStyle name="常规 5 6 4 2" xfId="4737"/>
    <cellStyle name="常规 5 6 5" xfId="4738"/>
    <cellStyle name="常规 5 7" xfId="4739"/>
    <cellStyle name="常规 5 7 2" xfId="4740"/>
    <cellStyle name="常规 5 7 2 2" xfId="4741"/>
    <cellStyle name="常规 5 7 2 2 2" xfId="4742"/>
    <cellStyle name="常规 5 7 2 3" xfId="4743"/>
    <cellStyle name="常规 5 7 3" xfId="4744"/>
    <cellStyle name="常规 5 7 3 2" xfId="4745"/>
    <cellStyle name="常规 5 7 3 2 2" xfId="4746"/>
    <cellStyle name="常规 5 7 3 3" xfId="4747"/>
    <cellStyle name="常规 5 7 4" xfId="4748"/>
    <cellStyle name="常规 5 7 4 2" xfId="4749"/>
    <cellStyle name="常规 5 7 5" xfId="4750"/>
    <cellStyle name="常规 5 8" xfId="4751"/>
    <cellStyle name="常规 5 8 2" xfId="4752"/>
    <cellStyle name="常规 5 9" xfId="4753"/>
    <cellStyle name="常规 5 9 2" xfId="4754"/>
    <cellStyle name="常规 5_222" xfId="4755"/>
    <cellStyle name="常规 50" xfId="4756"/>
    <cellStyle name="常规 50 2" xfId="4757"/>
    <cellStyle name="常规 50 2 2" xfId="4758"/>
    <cellStyle name="常规 50 3" xfId="4759"/>
    <cellStyle name="常规 50 3 2" xfId="4760"/>
    <cellStyle name="常规 50 3 2 2" xfId="4761"/>
    <cellStyle name="常规 50 3 3" xfId="4762"/>
    <cellStyle name="常规 50 4" xfId="4763"/>
    <cellStyle name="常规 51" xfId="4764"/>
    <cellStyle name="常规 51 2" xfId="4765"/>
    <cellStyle name="常规 51 2 2" xfId="4766"/>
    <cellStyle name="常规 51 3" xfId="4767"/>
    <cellStyle name="常规 52" xfId="4768"/>
    <cellStyle name="常规 52 2" xfId="4769"/>
    <cellStyle name="常规 52 2 2" xfId="4770"/>
    <cellStyle name="常规 52 3" xfId="4771"/>
    <cellStyle name="常规 53" xfId="4772"/>
    <cellStyle name="常规 53 2" xfId="4773"/>
    <cellStyle name="常规 53 2 2" xfId="4774"/>
    <cellStyle name="常规 53 3" xfId="4775"/>
    <cellStyle name="常规 54" xfId="4776"/>
    <cellStyle name="常规 54 2" xfId="4777"/>
    <cellStyle name="常规 54 2 2" xfId="4778"/>
    <cellStyle name="常规 54 3" xfId="4779"/>
    <cellStyle name="常规 55" xfId="4780"/>
    <cellStyle name="常规 55 2" xfId="4781"/>
    <cellStyle name="常规 55 2 2" xfId="4782"/>
    <cellStyle name="常规 55 3" xfId="4783"/>
    <cellStyle name="常规 56" xfId="4784"/>
    <cellStyle name="常规 56 2" xfId="4785"/>
    <cellStyle name="常规 56 2 2" xfId="4786"/>
    <cellStyle name="常规 56 3" xfId="4787"/>
    <cellStyle name="常规 57" xfId="4788"/>
    <cellStyle name="常规 57 2" xfId="4789"/>
    <cellStyle name="常规 57 2 2" xfId="4790"/>
    <cellStyle name="常规 57 3" xfId="4791"/>
    <cellStyle name="常规 58" xfId="4792"/>
    <cellStyle name="常规 58 2" xfId="4793"/>
    <cellStyle name="常规 58 2 2" xfId="4794"/>
    <cellStyle name="常规 58 3" xfId="4795"/>
    <cellStyle name="常规 59" xfId="4796"/>
    <cellStyle name="常规 59 2" xfId="4797"/>
    <cellStyle name="常规 59 2 2" xfId="4798"/>
    <cellStyle name="常规 59 3" xfId="4799"/>
    <cellStyle name="常规 6" xfId="4800"/>
    <cellStyle name="常规 6 10" xfId="4801"/>
    <cellStyle name="常规 6 10 2" xfId="4802"/>
    <cellStyle name="常规 6 11" xfId="4803"/>
    <cellStyle name="常规 6 2" xfId="4804"/>
    <cellStyle name="常规 6 2 2" xfId="4805"/>
    <cellStyle name="常规 6 2 2 2" xfId="4806"/>
    <cellStyle name="常规 6 2 2 2 2" xfId="4807"/>
    <cellStyle name="常规 6 2 2 3" xfId="4808"/>
    <cellStyle name="常规 6 2 3" xfId="4809"/>
    <cellStyle name="常规 6 2 3 2" xfId="4810"/>
    <cellStyle name="常规 6 2 3 2 2" xfId="4811"/>
    <cellStyle name="常规 6 2 3 3" xfId="4812"/>
    <cellStyle name="常规 6 2 4" xfId="4813"/>
    <cellStyle name="常规 6 2 4 2" xfId="4814"/>
    <cellStyle name="常规 6 2 5" xfId="4815"/>
    <cellStyle name="常规 6 2 5 2" xfId="4816"/>
    <cellStyle name="常规 6 2 6" xfId="4817"/>
    <cellStyle name="常规 6 2 7" xfId="4818"/>
    <cellStyle name="常规 6 3" xfId="4819"/>
    <cellStyle name="常规 6 3 2" xfId="4820"/>
    <cellStyle name="常规 6 3 2 2" xfId="4821"/>
    <cellStyle name="常规 6 3 2 2 2" xfId="4822"/>
    <cellStyle name="常规 6 3 2 3" xfId="4823"/>
    <cellStyle name="常规 6 3 3" xfId="4824"/>
    <cellStyle name="常规 6 3 3 2" xfId="4825"/>
    <cellStyle name="常规 6 3 4" xfId="4826"/>
    <cellStyle name="常规 6 4" xfId="4827"/>
    <cellStyle name="常规 6 4 2" xfId="4828"/>
    <cellStyle name="常规 6 4 2 2" xfId="4829"/>
    <cellStyle name="常规 6 4 3" xfId="4830"/>
    <cellStyle name="常规 6 5" xfId="4831"/>
    <cellStyle name="常规 6 5 2" xfId="4832"/>
    <cellStyle name="常规 6 5 2 2" xfId="4833"/>
    <cellStyle name="常规 6 5 2 2 2" xfId="4834"/>
    <cellStyle name="常规 6 5 2 3" xfId="4835"/>
    <cellStyle name="常规 6 5 3" xfId="4836"/>
    <cellStyle name="常规 6 5 3 2" xfId="4837"/>
    <cellStyle name="常规 6 5 3 2 2" xfId="4838"/>
    <cellStyle name="常规 6 5 3 3" xfId="4839"/>
    <cellStyle name="常规 6 5 4" xfId="4840"/>
    <cellStyle name="常规 6 5 4 2" xfId="4841"/>
    <cellStyle name="常规 6 5 5" xfId="4842"/>
    <cellStyle name="常规 6 6" xfId="4843"/>
    <cellStyle name="常规 6 6 2" xfId="4844"/>
    <cellStyle name="常规 6 6 2 2" xfId="4845"/>
    <cellStyle name="常规 6 6 3" xfId="4846"/>
    <cellStyle name="常规 6 7" xfId="4847"/>
    <cellStyle name="常规 6 7 2" xfId="4848"/>
    <cellStyle name="常规 6 7 2 2" xfId="4849"/>
    <cellStyle name="常规 6 7 3" xfId="4850"/>
    <cellStyle name="常规 6 8" xfId="4851"/>
    <cellStyle name="常规 6 8 2" xfId="4852"/>
    <cellStyle name="常规 6 9" xfId="4853"/>
    <cellStyle name="常规 6 9 2" xfId="4854"/>
    <cellStyle name="常规 60" xfId="4855"/>
    <cellStyle name="常规 60 2" xfId="4856"/>
    <cellStyle name="常规 60 2 2" xfId="4857"/>
    <cellStyle name="常规 60 3" xfId="4858"/>
    <cellStyle name="常规 61" xfId="4859"/>
    <cellStyle name="常规 61 2" xfId="4860"/>
    <cellStyle name="常规 61 2 2" xfId="4861"/>
    <cellStyle name="常规 61 3" xfId="4862"/>
    <cellStyle name="常规 62" xfId="4863"/>
    <cellStyle name="常规 62 2" xfId="4864"/>
    <cellStyle name="常规 62 2 2" xfId="4865"/>
    <cellStyle name="常规 62 3" xfId="4866"/>
    <cellStyle name="常规 63" xfId="4867"/>
    <cellStyle name="常规 63 2" xfId="4868"/>
    <cellStyle name="常规 63 2 2" xfId="4869"/>
    <cellStyle name="常规 63 3" xfId="4870"/>
    <cellStyle name="常规 64" xfId="4871"/>
    <cellStyle name="常规 64 2" xfId="4872"/>
    <cellStyle name="常规 64 3" xfId="4873"/>
    <cellStyle name="常规 65" xfId="4874"/>
    <cellStyle name="常规 66" xfId="4875"/>
    <cellStyle name="常规 67" xfId="4876"/>
    <cellStyle name="常规 68" xfId="4877"/>
    <cellStyle name="常规 69" xfId="4878"/>
    <cellStyle name="常规 7" xfId="4879"/>
    <cellStyle name="常规 7 10" xfId="4880"/>
    <cellStyle name="常规 7 10 2" xfId="4881"/>
    <cellStyle name="常规 7 11" xfId="4882"/>
    <cellStyle name="常规 7 2" xfId="4883"/>
    <cellStyle name="常规 7 2 10" xfId="4884"/>
    <cellStyle name="常规 7 2 2" xfId="4885"/>
    <cellStyle name="常规 7 2 2 2" xfId="4886"/>
    <cellStyle name="常规 7 2 2 2 2" xfId="4887"/>
    <cellStyle name="常规 7 2 2 2 2 2" xfId="4888"/>
    <cellStyle name="常规 7 2 2 2 3" xfId="4889"/>
    <cellStyle name="常规 7 2 2 3" xfId="4890"/>
    <cellStyle name="常规 7 2 2 3 2" xfId="4891"/>
    <cellStyle name="常规 7 2 2 3 2 2" xfId="4892"/>
    <cellStyle name="常规 7 2 2 3 3" xfId="4893"/>
    <cellStyle name="常规 7 2 2 4" xfId="4894"/>
    <cellStyle name="常规 7 2 2 4 2" xfId="4895"/>
    <cellStyle name="常规 7 2 2 5" xfId="4896"/>
    <cellStyle name="常规 7 2 3" xfId="4897"/>
    <cellStyle name="常规 7 2 3 2" xfId="4898"/>
    <cellStyle name="常规 7 2 3 2 2" xfId="4899"/>
    <cellStyle name="常规 7 2 3 3" xfId="4900"/>
    <cellStyle name="常规 7 2 4" xfId="4901"/>
    <cellStyle name="常规 7 2 4 2" xfId="4902"/>
    <cellStyle name="常规 7 2 4 2 2" xfId="4903"/>
    <cellStyle name="常规 7 2 4 3" xfId="4904"/>
    <cellStyle name="常规 7 2 5" xfId="4905"/>
    <cellStyle name="常规 7 2 5 2" xfId="4906"/>
    <cellStyle name="常规 7 2 5 2 2" xfId="4907"/>
    <cellStyle name="常规 7 2 5 3" xfId="4908"/>
    <cellStyle name="常规 7 2 6" xfId="4909"/>
    <cellStyle name="常规 7 2 6 2" xfId="4910"/>
    <cellStyle name="常规 7 2 7" xfId="4911"/>
    <cellStyle name="常规 7 2 7 2" xfId="4912"/>
    <cellStyle name="常规 7 2 8" xfId="4913"/>
    <cellStyle name="常规 7 2 8 2" xfId="4914"/>
    <cellStyle name="常规 7 2 9" xfId="4915"/>
    <cellStyle name="常规 7 3" xfId="4916"/>
    <cellStyle name="常规 7 3 2" xfId="4917"/>
    <cellStyle name="常规 7 3 2 2" xfId="4918"/>
    <cellStyle name="常规 7 3 2 2 2" xfId="4919"/>
    <cellStyle name="常规 7 3 2 3" xfId="4920"/>
    <cellStyle name="常规 7 3 3" xfId="4921"/>
    <cellStyle name="常规 7 3 3 2" xfId="4922"/>
    <cellStyle name="常规 7 3 4" xfId="4923"/>
    <cellStyle name="常规 7 4" xfId="4924"/>
    <cellStyle name="常规 7 4 2" xfId="4925"/>
    <cellStyle name="常规 7 4 2 2" xfId="4926"/>
    <cellStyle name="常规 7 4 2 2 2" xfId="4927"/>
    <cellStyle name="常规 7 4 2 3" xfId="4928"/>
    <cellStyle name="常规 7 4 3" xfId="4929"/>
    <cellStyle name="常规 7 4 3 2" xfId="4930"/>
    <cellStyle name="常规 7 4 4" xfId="4931"/>
    <cellStyle name="常规 7 5" xfId="4932"/>
    <cellStyle name="常规 7 5 2" xfId="4933"/>
    <cellStyle name="常规 7 5 2 2" xfId="4934"/>
    <cellStyle name="常规 7 5 2 2 2" xfId="4935"/>
    <cellStyle name="常规 7 5 2 3" xfId="4936"/>
    <cellStyle name="常规 7 5 3" xfId="4937"/>
    <cellStyle name="常规 7 5 3 2" xfId="4938"/>
    <cellStyle name="常规 7 5 3 2 2" xfId="4939"/>
    <cellStyle name="常规 7 5 3 3" xfId="4940"/>
    <cellStyle name="常规 7 5 4" xfId="4941"/>
    <cellStyle name="常规 7 5 4 2" xfId="4942"/>
    <cellStyle name="常规 7 5 5" xfId="4943"/>
    <cellStyle name="常规 7 6" xfId="4944"/>
    <cellStyle name="常规 7 6 2" xfId="4945"/>
    <cellStyle name="常规 7 6 2 2" xfId="4946"/>
    <cellStyle name="常规 7 6 2 2 2" xfId="4947"/>
    <cellStyle name="常规 7 6 2 3" xfId="4948"/>
    <cellStyle name="常规 7 6 3" xfId="4949"/>
    <cellStyle name="常规 7 6 3 2" xfId="4950"/>
    <cellStyle name="常规 7 6 3 2 2" xfId="4951"/>
    <cellStyle name="常规 7 6 3 3" xfId="4952"/>
    <cellStyle name="常规 7 6 4" xfId="4953"/>
    <cellStyle name="常规 7 6 4 2" xfId="4954"/>
    <cellStyle name="常规 7 6 5" xfId="4955"/>
    <cellStyle name="常规 7 7" xfId="4956"/>
    <cellStyle name="常规 7 7 2" xfId="4957"/>
    <cellStyle name="常规 7 7 2 2" xfId="4958"/>
    <cellStyle name="常规 7 7 3" xfId="4959"/>
    <cellStyle name="常规 7 8" xfId="4960"/>
    <cellStyle name="常规 7 8 2" xfId="4961"/>
    <cellStyle name="常规 7 9" xfId="4962"/>
    <cellStyle name="常规 7 9 2" xfId="4963"/>
    <cellStyle name="常规 8" xfId="4964"/>
    <cellStyle name="常规 8 10" xfId="4965"/>
    <cellStyle name="常规 8 11" xfId="4966"/>
    <cellStyle name="常规 8 2" xfId="4967"/>
    <cellStyle name="常规 8 2 2" xfId="4968"/>
    <cellStyle name="常规 8 2 2 2" xfId="4969"/>
    <cellStyle name="常规 8 2 2 2 2" xfId="4970"/>
    <cellStyle name="常规 8 2 2 3" xfId="4971"/>
    <cellStyle name="常规 8 2 3" xfId="4972"/>
    <cellStyle name="常规 8 2 3 2" xfId="4973"/>
    <cellStyle name="常规 8 2 4" xfId="4974"/>
    <cellStyle name="常规 8 2 4 2" xfId="4975"/>
    <cellStyle name="常规 8 2 5" xfId="4976"/>
    <cellStyle name="常规 8 2 6" xfId="4977"/>
    <cellStyle name="常规 8 3" xfId="4978"/>
    <cellStyle name="常规 8 3 2" xfId="4979"/>
    <cellStyle name="常规 8 3 2 2" xfId="4980"/>
    <cellStyle name="常规 8 3 2 2 2" xfId="4981"/>
    <cellStyle name="常规 8 3 2 3" xfId="4982"/>
    <cellStyle name="常规 8 3 3" xfId="4983"/>
    <cellStyle name="常规 8 3 3 2" xfId="4984"/>
    <cellStyle name="常规 8 3 3 2 2" xfId="4985"/>
    <cellStyle name="常规 8 3 3 3" xfId="4986"/>
    <cellStyle name="常规 8 3 4" xfId="4987"/>
    <cellStyle name="常规 8 3 4 2" xfId="4988"/>
    <cellStyle name="常规 8 3 5" xfId="4989"/>
    <cellStyle name="常规 8 4" xfId="4990"/>
    <cellStyle name="常规 8 4 2" xfId="4991"/>
    <cellStyle name="常规 8 4 2 2" xfId="4992"/>
    <cellStyle name="常规 8 4 3" xfId="4993"/>
    <cellStyle name="常规 8 5" xfId="4994"/>
    <cellStyle name="常规 8 5 2" xfId="4995"/>
    <cellStyle name="常规 8 5 2 2" xfId="4996"/>
    <cellStyle name="常规 8 5 2 2 2" xfId="4997"/>
    <cellStyle name="常规 8 5 2 3" xfId="4998"/>
    <cellStyle name="常规 8 5 3" xfId="4999"/>
    <cellStyle name="常规 8 5 3 2" xfId="5000"/>
    <cellStyle name="常规 8 5 3 2 2" xfId="5001"/>
    <cellStyle name="常规 8 5 3 3" xfId="5002"/>
    <cellStyle name="常规 8 5 4" xfId="5003"/>
    <cellStyle name="常规 8 5 4 2" xfId="5004"/>
    <cellStyle name="常规 8 5 5" xfId="5005"/>
    <cellStyle name="常规 8 6" xfId="5006"/>
    <cellStyle name="常规 8 6 2" xfId="5007"/>
    <cellStyle name="常规 8 6 2 2" xfId="5008"/>
    <cellStyle name="常规 8 6 2 2 2" xfId="5009"/>
    <cellStyle name="常规 8 6 2 3" xfId="5010"/>
    <cellStyle name="常规 8 6 3" xfId="5011"/>
    <cellStyle name="常规 8 6 3 2" xfId="5012"/>
    <cellStyle name="常规 8 6 3 2 2" xfId="5013"/>
    <cellStyle name="常规 8 6 3 3" xfId="5014"/>
    <cellStyle name="常规 8 6 4" xfId="5015"/>
    <cellStyle name="常规 8 6 4 2" xfId="5016"/>
    <cellStyle name="常规 8 6 5" xfId="5017"/>
    <cellStyle name="常规 8 7" xfId="5018"/>
    <cellStyle name="常规 8 7 2" xfId="5019"/>
    <cellStyle name="常规 8 7 2 2" xfId="5020"/>
    <cellStyle name="常规 8 7 3" xfId="5021"/>
    <cellStyle name="常规 8 8" xfId="5022"/>
    <cellStyle name="常规 8 8 2" xfId="5023"/>
    <cellStyle name="常规 8 9" xfId="5024"/>
    <cellStyle name="常规 8 9 2" xfId="5025"/>
    <cellStyle name="常规 9" xfId="5026"/>
    <cellStyle name="常规 9 10" xfId="5027"/>
    <cellStyle name="常规 9 11" xfId="5028"/>
    <cellStyle name="常规 9 2" xfId="5029"/>
    <cellStyle name="常规 9 2 10" xfId="5030"/>
    <cellStyle name="常规 9 2 11" xfId="5031"/>
    <cellStyle name="常规 9 2 2" xfId="5032"/>
    <cellStyle name="常规 9 2 2 2" xfId="5033"/>
    <cellStyle name="常规 9 2 2 2 2" xfId="5034"/>
    <cellStyle name="常规 9 2 2 3" xfId="5035"/>
    <cellStyle name="常规 9 2 3" xfId="5036"/>
    <cellStyle name="常规 9 2 3 2" xfId="5037"/>
    <cellStyle name="常规 9 2 3 2 2" xfId="5038"/>
    <cellStyle name="常规 9 2 3 3" xfId="5039"/>
    <cellStyle name="常规 9 2 3 4" xfId="5040"/>
    <cellStyle name="常规 9 2 4" xfId="5041"/>
    <cellStyle name="常规 9 2 4 2" xfId="5042"/>
    <cellStyle name="常规 9 2 4 2 2" xfId="5043"/>
    <cellStyle name="常规 9 2 4 3" xfId="5044"/>
    <cellStyle name="常规 9 2 5" xfId="5045"/>
    <cellStyle name="常规 9 2 5 2" xfId="5046"/>
    <cellStyle name="常规 9 2 5 2 2" xfId="5047"/>
    <cellStyle name="常规 9 2 5 3" xfId="5048"/>
    <cellStyle name="常规 9 2 6" xfId="5049"/>
    <cellStyle name="常规 9 2 6 2" xfId="5050"/>
    <cellStyle name="常规 9 2 7" xfId="5051"/>
    <cellStyle name="常规 9 2 7 2" xfId="5052"/>
    <cellStyle name="常规 9 2 8" xfId="5053"/>
    <cellStyle name="常规 9 2 8 2" xfId="5054"/>
    <cellStyle name="常规 9 2 9" xfId="5055"/>
    <cellStyle name="常规 9 3" xfId="5056"/>
    <cellStyle name="常规 9 3 2" xfId="5057"/>
    <cellStyle name="常规 9 3 2 2" xfId="5058"/>
    <cellStyle name="常规 9 3 2 2 2" xfId="5059"/>
    <cellStyle name="常规 9 3 2 2 2 2" xfId="5060"/>
    <cellStyle name="常规 9 3 2 2 3" xfId="5061"/>
    <cellStyle name="常规 9 3 2 3" xfId="5062"/>
    <cellStyle name="常规 9 3 2 3 2" xfId="5063"/>
    <cellStyle name="常规 9 3 2 3 2 2" xfId="5064"/>
    <cellStyle name="常规 9 3 2 3 3" xfId="5065"/>
    <cellStyle name="常规 9 3 2 4" xfId="5066"/>
    <cellStyle name="常规 9 3 2 4 2" xfId="5067"/>
    <cellStyle name="常规 9 3 2 5" xfId="5068"/>
    <cellStyle name="常规 9 3 2 6" xfId="5069"/>
    <cellStyle name="常规 9 3 3" xfId="5070"/>
    <cellStyle name="常规 9 3 3 2" xfId="5071"/>
    <cellStyle name="常规 9 3 3 2 2" xfId="5072"/>
    <cellStyle name="常规 9 3 3 2 2 2" xfId="5073"/>
    <cellStyle name="常规 9 3 3 2 3" xfId="5074"/>
    <cellStyle name="常规 9 3 3 3" xfId="5075"/>
    <cellStyle name="常规 9 3 3 3 2" xfId="5076"/>
    <cellStyle name="常规 9 3 3 4" xfId="5077"/>
    <cellStyle name="常规 9 3 4" xfId="5078"/>
    <cellStyle name="常规 9 3 4 2" xfId="5079"/>
    <cellStyle name="常规 9 3 5" xfId="5080"/>
    <cellStyle name="常规 9 3 5 2" xfId="5081"/>
    <cellStyle name="常规 9 3 6" xfId="5082"/>
    <cellStyle name="常规 9 4" xfId="5083"/>
    <cellStyle name="常规 9 4 2" xfId="5084"/>
    <cellStyle name="常规 9 4 2 2" xfId="5085"/>
    <cellStyle name="常规 9 4 2 2 2" xfId="5086"/>
    <cellStyle name="常规 9 4 2 3" xfId="5087"/>
    <cellStyle name="常规 9 4 3" xfId="5088"/>
    <cellStyle name="常规 9 4 3 2" xfId="5089"/>
    <cellStyle name="常规 9 4 3 2 2" xfId="5090"/>
    <cellStyle name="常规 9 4 3 3" xfId="5091"/>
    <cellStyle name="常规 9 4 4" xfId="5092"/>
    <cellStyle name="常规 9 4 4 2" xfId="5093"/>
    <cellStyle name="常规 9 4 5" xfId="5094"/>
    <cellStyle name="常规 9 5" xfId="5095"/>
    <cellStyle name="常规 9 5 2" xfId="5096"/>
    <cellStyle name="常规 9 5 2 2" xfId="5097"/>
    <cellStyle name="常规 9 5 2 2 2" xfId="5098"/>
    <cellStyle name="常规 9 5 2 3" xfId="5099"/>
    <cellStyle name="常规 9 5 3" xfId="5100"/>
    <cellStyle name="常规 9 5 3 2" xfId="5101"/>
    <cellStyle name="常规 9 5 3 2 2" xfId="5102"/>
    <cellStyle name="常规 9 5 3 3" xfId="5103"/>
    <cellStyle name="常规 9 5 4" xfId="5104"/>
    <cellStyle name="常规 9 5 4 2" xfId="5105"/>
    <cellStyle name="常规 9 5 5" xfId="5106"/>
    <cellStyle name="常规 9 6" xfId="5107"/>
    <cellStyle name="常规 9 6 2" xfId="5108"/>
    <cellStyle name="常规 9 6 2 2" xfId="5109"/>
    <cellStyle name="常规 9 6 3" xfId="5110"/>
    <cellStyle name="常规 9 7" xfId="5111"/>
    <cellStyle name="常规 9 7 2" xfId="5112"/>
    <cellStyle name="常规 9 8" xfId="5113"/>
    <cellStyle name="常规 9 8 2" xfId="5114"/>
    <cellStyle name="常规 9 9" xfId="5115"/>
    <cellStyle name="常规 9 9 2" xfId="5116"/>
    <cellStyle name="常规 9_Xl0000002" xfId="5117"/>
    <cellStyle name="超级链接_PERSONAL" xfId="5118"/>
    <cellStyle name="超链接 2" xfId="5119"/>
    <cellStyle name="超链接 2 2" xfId="5120"/>
    <cellStyle name="超链接 2 2 2" xfId="5121"/>
    <cellStyle name="超链接 2 2 2 2" xfId="5122"/>
    <cellStyle name="超链接 2 2 3" xfId="5123"/>
    <cellStyle name="超链接 2 2 4" xfId="5124"/>
    <cellStyle name="超链接 2 3" xfId="5125"/>
    <cellStyle name="超链接 2 3 2" xfId="5126"/>
    <cellStyle name="超链接 2 3 2 2" xfId="5127"/>
    <cellStyle name="超链接 2 3 3" xfId="5128"/>
    <cellStyle name="超链接 2 4" xfId="5129"/>
    <cellStyle name="超链接 2 4 2" xfId="5130"/>
    <cellStyle name="超链接 2 5" xfId="5131"/>
    <cellStyle name="超链接 3" xfId="5132"/>
    <cellStyle name="超链接 3 2" xfId="5133"/>
    <cellStyle name="超链接 3 2 2" xfId="5134"/>
    <cellStyle name="超链接 3 2 2 2" xfId="5135"/>
    <cellStyle name="超链接 3 2 3" xfId="5136"/>
    <cellStyle name="超链接 3 2 4" xfId="5137"/>
    <cellStyle name="超链接 3 3" xfId="5138"/>
    <cellStyle name="超链接 3 3 2" xfId="5139"/>
    <cellStyle name="超链接 3 3 2 2" xfId="5140"/>
    <cellStyle name="超链接 3 3 3" xfId="5141"/>
    <cellStyle name="超链接 3 4" xfId="5142"/>
    <cellStyle name="超链接 3 4 2" xfId="5143"/>
    <cellStyle name="超链接 3 5" xfId="5144"/>
    <cellStyle name="超链接 4" xfId="5145"/>
    <cellStyle name="超链接 4 2" xfId="5146"/>
    <cellStyle name="超链接 4 2 2" xfId="5147"/>
    <cellStyle name="超链接 4 2 2 2" xfId="5148"/>
    <cellStyle name="超链接 4 2 3" xfId="5149"/>
    <cellStyle name="超链接 4 2 4" xfId="5150"/>
    <cellStyle name="超链接 4 3" xfId="5151"/>
    <cellStyle name="超链接 4 3 2" xfId="5152"/>
    <cellStyle name="超链接 4 3 2 2" xfId="5153"/>
    <cellStyle name="超链接 4 3 3" xfId="5154"/>
    <cellStyle name="超链接 4 4" xfId="5155"/>
    <cellStyle name="超链接 4 4 2" xfId="5156"/>
    <cellStyle name="超链接 4 5" xfId="5157"/>
    <cellStyle name="分级显示列_1_Book1" xfId="5158"/>
    <cellStyle name="分级显示行_1_Book1" xfId="5159"/>
    <cellStyle name="好" xfId="5160" builtinId="26" customBuiltin="1"/>
    <cellStyle name="好 2" xfId="5161"/>
    <cellStyle name="好 2 2" xfId="5162"/>
    <cellStyle name="好 2 2 2" xfId="5163"/>
    <cellStyle name="好 2 2 2 2" xfId="5164"/>
    <cellStyle name="好 2 2 3" xfId="5165"/>
    <cellStyle name="好 2 2 4" xfId="5166"/>
    <cellStyle name="好 2 3" xfId="5167"/>
    <cellStyle name="好 2 3 2" xfId="5168"/>
    <cellStyle name="好 2 3 2 2" xfId="5169"/>
    <cellStyle name="好 2 3 3" xfId="5170"/>
    <cellStyle name="好 2 4" xfId="5171"/>
    <cellStyle name="好 2 4 2" xfId="5172"/>
    <cellStyle name="好 2 5" xfId="5173"/>
    <cellStyle name="好 2 5 2" xfId="5174"/>
    <cellStyle name="好 2 6" xfId="5175"/>
    <cellStyle name="好 3" xfId="5176"/>
    <cellStyle name="好 3 2" xfId="5177"/>
    <cellStyle name="好 3 2 2" xfId="5178"/>
    <cellStyle name="好 3 2 2 2" xfId="5179"/>
    <cellStyle name="好 3 2 3" xfId="5180"/>
    <cellStyle name="好 3 3" xfId="5181"/>
    <cellStyle name="好 3 3 2" xfId="5182"/>
    <cellStyle name="好 3 3 2 2" xfId="5183"/>
    <cellStyle name="好 3 3 3" xfId="5184"/>
    <cellStyle name="好 3 4" xfId="5185"/>
    <cellStyle name="好 3 5" xfId="5186"/>
    <cellStyle name="好 4" xfId="5187"/>
    <cellStyle name="好 4 2" xfId="5188"/>
    <cellStyle name="好 4 2 2" xfId="5189"/>
    <cellStyle name="好 4 2 2 2" xfId="5190"/>
    <cellStyle name="好 4 2 3" xfId="5191"/>
    <cellStyle name="好 4 3" xfId="5192"/>
    <cellStyle name="好 5" xfId="5193"/>
    <cellStyle name="好 5 2" xfId="5194"/>
    <cellStyle name="好 5 2 2" xfId="5195"/>
    <cellStyle name="好 5 2 2 2" xfId="5196"/>
    <cellStyle name="好 5 2 3" xfId="5197"/>
    <cellStyle name="好 5 3" xfId="5198"/>
    <cellStyle name="好 5 3 2" xfId="5199"/>
    <cellStyle name="好 5 4" xfId="5200"/>
    <cellStyle name="好 6" xfId="5201"/>
    <cellStyle name="好 6 2" xfId="5202"/>
    <cellStyle name="好 6 2 2" xfId="5203"/>
    <cellStyle name="好 6 3" xfId="5204"/>
    <cellStyle name="好 7" xfId="5205"/>
    <cellStyle name="好_☆403投资估算表" xfId="5206"/>
    <cellStyle name="好_☆403投资估算表 2" xfId="5207"/>
    <cellStyle name="好_☆403投资估算表 2 2" xfId="5208"/>
    <cellStyle name="好_☆403投资估算表 2 2 2" xfId="5209"/>
    <cellStyle name="好_☆403投资估算表 2 2 2 2" xfId="5210"/>
    <cellStyle name="好_☆403投资估算表 2 2 3" xfId="5211"/>
    <cellStyle name="好_☆403投资估算表 2 3" xfId="5212"/>
    <cellStyle name="好_☆403投资估算表 2 3 2" xfId="5213"/>
    <cellStyle name="好_☆403投资估算表 2 4" xfId="5214"/>
    <cellStyle name="好_☆403投资估算表 2 5" xfId="5215"/>
    <cellStyle name="好_☆403投资估算表 3" xfId="5216"/>
    <cellStyle name="好_☆403投资估算表 3 2" xfId="5217"/>
    <cellStyle name="好_☆403投资估算表 3 2 2" xfId="5218"/>
    <cellStyle name="好_☆403投资估算表 3 3" xfId="5219"/>
    <cellStyle name="好_☆403投资估算表 4" xfId="5220"/>
    <cellStyle name="好_☆403投资估算表 4 2" xfId="5221"/>
    <cellStyle name="好_☆403投资估算表 4 2 2" xfId="5222"/>
    <cellStyle name="好_☆403投资估算表 4 2 2 2" xfId="5223"/>
    <cellStyle name="好_☆403投资估算表 4 2 3" xfId="5224"/>
    <cellStyle name="好_☆403投资估算表 4 3" xfId="5225"/>
    <cellStyle name="好_☆403投资估算表 4 3 2" xfId="5226"/>
    <cellStyle name="好_☆403投资估算表 4 4" xfId="5227"/>
    <cellStyle name="好_☆403投资估算表 5" xfId="5228"/>
    <cellStyle name="好_☆403投资估算表 5 2" xfId="5229"/>
    <cellStyle name="好_☆403投资估算表 5 2 2" xfId="5230"/>
    <cellStyle name="好_☆403投资估算表 5 3" xfId="5231"/>
    <cellStyle name="好_☆403投资估算表 6" xfId="5232"/>
    <cellStyle name="好_☆403投资估算表 6 2" xfId="5233"/>
    <cellStyle name="好_☆403投资估算表 7" xfId="5234"/>
    <cellStyle name="好_★724附表" xfId="5235"/>
    <cellStyle name="好_★724附表 2" xfId="5236"/>
    <cellStyle name="好_★724附表 2 2" xfId="5237"/>
    <cellStyle name="好_★724附表 2 2 2" xfId="5238"/>
    <cellStyle name="好_★724附表 2 2 2 2" xfId="5239"/>
    <cellStyle name="好_★724附表 2 2 3" xfId="5240"/>
    <cellStyle name="好_★724附表 2 3" xfId="5241"/>
    <cellStyle name="好_★724附表 2 3 2" xfId="5242"/>
    <cellStyle name="好_★724附表 2 4" xfId="5243"/>
    <cellStyle name="好_★724附表 2 5" xfId="5244"/>
    <cellStyle name="好_★724附表 3" xfId="5245"/>
    <cellStyle name="好_★724附表 3 2" xfId="5246"/>
    <cellStyle name="好_★724附表 3 2 2" xfId="5247"/>
    <cellStyle name="好_★724附表 3 3" xfId="5248"/>
    <cellStyle name="好_★724附表 4" xfId="5249"/>
    <cellStyle name="好_★724附表 4 2" xfId="5250"/>
    <cellStyle name="好_★724附表 4 2 2" xfId="5251"/>
    <cellStyle name="好_★724附表 4 2 2 2" xfId="5252"/>
    <cellStyle name="好_★724附表 4 2 3" xfId="5253"/>
    <cellStyle name="好_★724附表 4 3" xfId="5254"/>
    <cellStyle name="好_★724附表 4 3 2" xfId="5255"/>
    <cellStyle name="好_★724附表 4 4" xfId="5256"/>
    <cellStyle name="好_★724附表 5" xfId="5257"/>
    <cellStyle name="好_★724附表 5 2" xfId="5258"/>
    <cellStyle name="好_★724附表 5 2 2" xfId="5259"/>
    <cellStyle name="好_★724附表 5 3" xfId="5260"/>
    <cellStyle name="好_★724附表 6" xfId="5261"/>
    <cellStyle name="好_★724附表 6 2" xfId="5262"/>
    <cellStyle name="好_★724附表 7" xfId="5263"/>
    <cellStyle name="好_388厂动态保军项目建议书-(0515)原稿" xfId="5264"/>
    <cellStyle name="好_388厂动态保军项目建议书-(0515)原稿 2" xfId="5265"/>
    <cellStyle name="好_388厂动态保军项目建议书-(0515)原稿 2 2" xfId="5266"/>
    <cellStyle name="好_388厂动态保军项目建议书-(0515)原稿 2 2 2" xfId="5267"/>
    <cellStyle name="好_388厂动态保军项目建议书-(0515)原稿 2 2 2 2" xfId="5268"/>
    <cellStyle name="好_388厂动态保军项目建议书-(0515)原稿 2 2 3" xfId="5269"/>
    <cellStyle name="好_388厂动态保军项目建议书-(0515)原稿 2 3" xfId="5270"/>
    <cellStyle name="好_388厂动态保军项目建议书-(0515)原稿 2 3 2" xfId="5271"/>
    <cellStyle name="好_388厂动态保军项目建议书-(0515)原稿 2 4" xfId="5272"/>
    <cellStyle name="好_388厂动态保军项目建议书-(0515)原稿 3" xfId="5273"/>
    <cellStyle name="好_388厂动态保军项目建议书-(0515)原稿 3 2" xfId="5274"/>
    <cellStyle name="好_388厂动态保军项目建议书-(0515)原稿 3 2 2" xfId="5275"/>
    <cellStyle name="好_388厂动态保军项目建议书-(0515)原稿 3 3" xfId="5276"/>
    <cellStyle name="好_388厂动态保军项目建议书-(0515)原稿 4" xfId="5277"/>
    <cellStyle name="好_388厂动态保军项目建议书-(0515)原稿 4 2" xfId="5278"/>
    <cellStyle name="好_388厂动态保军项目建议书-(0515)原稿 5" xfId="5279"/>
    <cellStyle name="好_388大船" xfId="5280"/>
    <cellStyle name="好_388大船 2" xfId="5281"/>
    <cellStyle name="好_388大船 2 2" xfId="5282"/>
    <cellStyle name="好_388大船 2 2 2" xfId="5283"/>
    <cellStyle name="好_388大船 2 2 2 2" xfId="5284"/>
    <cellStyle name="好_388大船 2 2 3" xfId="5285"/>
    <cellStyle name="好_388大船 2 3" xfId="5286"/>
    <cellStyle name="好_388大船 2 3 2" xfId="5287"/>
    <cellStyle name="好_388大船 2 4" xfId="5288"/>
    <cellStyle name="好_388大船 2 5" xfId="5289"/>
    <cellStyle name="好_388大船 3" xfId="5290"/>
    <cellStyle name="好_388大船 3 2" xfId="5291"/>
    <cellStyle name="好_388大船 3 2 2" xfId="5292"/>
    <cellStyle name="好_388大船 3 3" xfId="5293"/>
    <cellStyle name="好_388大船 4" xfId="5294"/>
    <cellStyle name="好_388大船 4 2" xfId="5295"/>
    <cellStyle name="好_388大船 4 2 2" xfId="5296"/>
    <cellStyle name="好_388大船 4 2 2 2" xfId="5297"/>
    <cellStyle name="好_388大船 4 2 3" xfId="5298"/>
    <cellStyle name="好_388大船 4 3" xfId="5299"/>
    <cellStyle name="好_388大船 4 3 2" xfId="5300"/>
    <cellStyle name="好_388大船 4 4" xfId="5301"/>
    <cellStyle name="好_388大船 5" xfId="5302"/>
    <cellStyle name="好_388大船 5 2" xfId="5303"/>
    <cellStyle name="好_388大船 5 2 2" xfId="5304"/>
    <cellStyle name="好_388大船 5 3" xfId="5305"/>
    <cellStyle name="好_388大船 6" xfId="5306"/>
    <cellStyle name="好_388大船 6 2" xfId="5307"/>
    <cellStyle name="好_388大船 7" xfId="5308"/>
    <cellStyle name="好_388综合设备表" xfId="5309"/>
    <cellStyle name="好_388综合设备表 2" xfId="5310"/>
    <cellStyle name="好_388综合设备表 2 2" xfId="5311"/>
    <cellStyle name="好_388综合设备表 2 2 2" xfId="5312"/>
    <cellStyle name="好_388综合设备表 2 2 2 2" xfId="5313"/>
    <cellStyle name="好_388综合设备表 2 2 3" xfId="5314"/>
    <cellStyle name="好_388综合设备表 2 3" xfId="5315"/>
    <cellStyle name="好_388综合设备表 2 3 2" xfId="5316"/>
    <cellStyle name="好_388综合设备表 2 4" xfId="5317"/>
    <cellStyle name="好_388综合设备表 2 5" xfId="5318"/>
    <cellStyle name="好_388综合设备表 3" xfId="5319"/>
    <cellStyle name="好_388综合设备表 3 2" xfId="5320"/>
    <cellStyle name="好_388综合设备表 3 2 2" xfId="5321"/>
    <cellStyle name="好_388综合设备表 3 3" xfId="5322"/>
    <cellStyle name="好_388综合设备表 4" xfId="5323"/>
    <cellStyle name="好_388综合设备表 4 2" xfId="5324"/>
    <cellStyle name="好_388综合设备表 4 2 2" xfId="5325"/>
    <cellStyle name="好_388综合设备表 4 2 2 2" xfId="5326"/>
    <cellStyle name="好_388综合设备表 4 2 3" xfId="5327"/>
    <cellStyle name="好_388综合设备表 4 3" xfId="5328"/>
    <cellStyle name="好_388综合设备表 4 3 2" xfId="5329"/>
    <cellStyle name="好_388综合设备表 4 4" xfId="5330"/>
    <cellStyle name="好_388综合设备表 5" xfId="5331"/>
    <cellStyle name="好_388综合设备表 5 2" xfId="5332"/>
    <cellStyle name="好_388综合设备表 5 2 2" xfId="5333"/>
    <cellStyle name="好_388综合设备表 5 3" xfId="5334"/>
    <cellStyle name="好_388综合设备表 6" xfId="5335"/>
    <cellStyle name="好_388综合设备表 6 2" xfId="5336"/>
    <cellStyle name="好_388综合设备表 7" xfId="5337"/>
    <cellStyle name="好_403投资估算（石）09.2.19" xfId="5338"/>
    <cellStyle name="好_403投资估算（石）09.2.19 2" xfId="5339"/>
    <cellStyle name="好_403投资估算（石）09.2.19 2 2" xfId="5340"/>
    <cellStyle name="好_403投资估算（石）09.2.19 2 2 2" xfId="5341"/>
    <cellStyle name="好_403投资估算（石）09.2.19 2 2 2 2" xfId="5342"/>
    <cellStyle name="好_403投资估算（石）09.2.19 2 2 3" xfId="5343"/>
    <cellStyle name="好_403投资估算（石）09.2.19 2 3" xfId="5344"/>
    <cellStyle name="好_403投资估算（石）09.2.19 2 3 2" xfId="5345"/>
    <cellStyle name="好_403投资估算（石）09.2.19 2 4" xfId="5346"/>
    <cellStyle name="好_403投资估算（石）09.2.19 2 5" xfId="5347"/>
    <cellStyle name="好_403投资估算（石）09.2.19 3" xfId="5348"/>
    <cellStyle name="好_403投资估算（石）09.2.19 3 2" xfId="5349"/>
    <cellStyle name="好_403投资估算（石）09.2.19 3 2 2" xfId="5350"/>
    <cellStyle name="好_403投资估算（石）09.2.19 3 3" xfId="5351"/>
    <cellStyle name="好_403投资估算（石）09.2.19 4" xfId="5352"/>
    <cellStyle name="好_403投资估算（石）09.2.19 4 2" xfId="5353"/>
    <cellStyle name="好_403投资估算（石）09.2.19 4 2 2" xfId="5354"/>
    <cellStyle name="好_403投资估算（石）09.2.19 4 2 2 2" xfId="5355"/>
    <cellStyle name="好_403投资估算（石）09.2.19 4 2 3" xfId="5356"/>
    <cellStyle name="好_403投资估算（石）09.2.19 4 3" xfId="5357"/>
    <cellStyle name="好_403投资估算（石）09.2.19 4 3 2" xfId="5358"/>
    <cellStyle name="好_403投资估算（石）09.2.19 4 4" xfId="5359"/>
    <cellStyle name="好_403投资估算（石）09.2.19 5" xfId="5360"/>
    <cellStyle name="好_403投资估算（石）09.2.19 5 2" xfId="5361"/>
    <cellStyle name="好_403投资估算（石）09.2.19 5 2 2" xfId="5362"/>
    <cellStyle name="好_403投资估算（石）09.2.19 5 3" xfId="5363"/>
    <cellStyle name="好_403投资估算（石）09.2.19 6" xfId="5364"/>
    <cellStyle name="好_403投资估算（石）09.2.19 6 2" xfId="5365"/>
    <cellStyle name="好_403投资估算（石）09.2.19 7" xfId="5366"/>
    <cellStyle name="好_438估算表10-08-30" xfId="5367"/>
    <cellStyle name="好_438估算表10-08-30 2" xfId="5368"/>
    <cellStyle name="好_438估算表10-08-30 2 2" xfId="5369"/>
    <cellStyle name="好_438估算表10-08-30 2 2 2" xfId="5370"/>
    <cellStyle name="好_438估算表10-08-30 2 3" xfId="5371"/>
    <cellStyle name="好_438估算表10-08-30 2 4" xfId="5372"/>
    <cellStyle name="好_438估算表10-08-30 3" xfId="5373"/>
    <cellStyle name="好_438估算表10-08-30 3 2" xfId="5374"/>
    <cellStyle name="好_438估算表10-08-30 4" xfId="5375"/>
    <cellStyle name="好_438声隐身估算10-09-30" xfId="5376"/>
    <cellStyle name="好_438声隐身估算10-09-30 2" xfId="5377"/>
    <cellStyle name="好_438声隐身估算10-09-30 2 2" xfId="5378"/>
    <cellStyle name="好_438声隐身估算10-09-30 2 2 2" xfId="5379"/>
    <cellStyle name="好_438声隐身估算10-09-30 2 3" xfId="5380"/>
    <cellStyle name="好_438声隐身估算10-09-30 2 4" xfId="5381"/>
    <cellStyle name="好_438声隐身估算10-09-30 3" xfId="5382"/>
    <cellStyle name="好_438声隐身估算10-09-30 3 2" xfId="5383"/>
    <cellStyle name="好_438声隐身估算10-09-30 4" xfId="5384"/>
    <cellStyle name="好_446设备表 评审后" xfId="5385"/>
    <cellStyle name="好_446设备表 评审后 2" xfId="5386"/>
    <cellStyle name="好_446设备表 评审后 2 2" xfId="5387"/>
    <cellStyle name="好_446设备表 评审后 2 2 2" xfId="5388"/>
    <cellStyle name="好_446设备表 评审后 2 3" xfId="5389"/>
    <cellStyle name="好_446设备表 评审后 2 4" xfId="5390"/>
    <cellStyle name="好_446设备表 评审后 3" xfId="5391"/>
    <cellStyle name="好_446设备表 评审后 3 2" xfId="5392"/>
    <cellStyle name="好_446设备表 评审后 4" xfId="5393"/>
    <cellStyle name="好_446新增设备表2010-08-2" xfId="5394"/>
    <cellStyle name="好_446新增设备表2010-08-2 2" xfId="5395"/>
    <cellStyle name="好_446新增设备表2010-08-2 2 2" xfId="5396"/>
    <cellStyle name="好_446新增设备表2010-08-2 2 2 2" xfId="5397"/>
    <cellStyle name="好_446新增设备表2010-08-2 2 2 2 2" xfId="5398"/>
    <cellStyle name="好_446新增设备表2010-08-2 2 2 3" xfId="5399"/>
    <cellStyle name="好_446新增设备表2010-08-2 2 3" xfId="5400"/>
    <cellStyle name="好_446新增设备表2010-08-2 2 3 2" xfId="5401"/>
    <cellStyle name="好_446新增设备表2010-08-2 2 4" xfId="5402"/>
    <cellStyle name="好_446新增设备表2010-08-2 2 5" xfId="5403"/>
    <cellStyle name="好_446新增设备表2010-08-2 3" xfId="5404"/>
    <cellStyle name="好_446新增设备表2010-08-2 3 2" xfId="5405"/>
    <cellStyle name="好_446新增设备表2010-08-2 3 2 2" xfId="5406"/>
    <cellStyle name="好_446新增设备表2010-08-2 3 3" xfId="5407"/>
    <cellStyle name="好_446新增设备表2010-08-2 4" xfId="5408"/>
    <cellStyle name="好_446新增设备表2010-08-2 4 2" xfId="5409"/>
    <cellStyle name="好_446新增设备表2010-08-2 4 2 2" xfId="5410"/>
    <cellStyle name="好_446新增设备表2010-08-2 4 2 2 2" xfId="5411"/>
    <cellStyle name="好_446新增设备表2010-08-2 4 2 3" xfId="5412"/>
    <cellStyle name="好_446新增设备表2010-08-2 4 3" xfId="5413"/>
    <cellStyle name="好_446新增设备表2010-08-2 4 3 2" xfId="5414"/>
    <cellStyle name="好_446新增设备表2010-08-2 4 4" xfId="5415"/>
    <cellStyle name="好_446新增设备表2010-08-2 5" xfId="5416"/>
    <cellStyle name="好_446新增设备表2010-08-2 5 2" xfId="5417"/>
    <cellStyle name="好_446新增设备表2010-08-2 5 2 2" xfId="5418"/>
    <cellStyle name="好_446新增设备表2010-08-2 5 3" xfId="5419"/>
    <cellStyle name="好_446新增设备表2010-08-2 6" xfId="5420"/>
    <cellStyle name="好_446新增设备表2010-08-2 6 2" xfId="5421"/>
    <cellStyle name="好_446新增设备表2010-08-2 7" xfId="5422"/>
    <cellStyle name="好_446新增设备表2010-6-6" xfId="5423"/>
    <cellStyle name="好_446新增设备表2010-6-6 2" xfId="5424"/>
    <cellStyle name="好_446新增设备表2010-6-6 2 2" xfId="5425"/>
    <cellStyle name="好_446新增设备表2010-6-6 2 2 2" xfId="5426"/>
    <cellStyle name="好_446新增设备表2010-6-6 2 3" xfId="5427"/>
    <cellStyle name="好_446新增设备表2010-6-6 2 4" xfId="5428"/>
    <cellStyle name="好_446新增设备表2010-6-6 3" xfId="5429"/>
    <cellStyle name="好_446新增设备表2010-6-6 3 2" xfId="5430"/>
    <cellStyle name="好_446新增设备表2010-6-6 4" xfId="5431"/>
    <cellStyle name="好_446研保估算表10-08-05" xfId="5432"/>
    <cellStyle name="好_446研保估算表10-08-05 2" xfId="5433"/>
    <cellStyle name="好_446研保估算表10-08-05 2 2" xfId="5434"/>
    <cellStyle name="好_446研保估算表10-08-05 2 2 2" xfId="5435"/>
    <cellStyle name="好_446研保估算表10-08-05 2 2 2 2" xfId="5436"/>
    <cellStyle name="好_446研保估算表10-08-05 2 2 3" xfId="5437"/>
    <cellStyle name="好_446研保估算表10-08-05 2 3" xfId="5438"/>
    <cellStyle name="好_446研保估算表10-08-05 2 3 2" xfId="5439"/>
    <cellStyle name="好_446研保估算表10-08-05 2 4" xfId="5440"/>
    <cellStyle name="好_446研保估算表10-08-05 2 5" xfId="5441"/>
    <cellStyle name="好_446研保估算表10-08-05 3" xfId="5442"/>
    <cellStyle name="好_446研保估算表10-08-05 3 2" xfId="5443"/>
    <cellStyle name="好_446研保估算表10-08-05 3 2 2" xfId="5444"/>
    <cellStyle name="好_446研保估算表10-08-05 3 3" xfId="5445"/>
    <cellStyle name="好_446研保估算表10-08-05 4" xfId="5446"/>
    <cellStyle name="好_446研保估算表10-08-05 4 2" xfId="5447"/>
    <cellStyle name="好_446研保估算表10-08-05 4 2 2" xfId="5448"/>
    <cellStyle name="好_446研保估算表10-08-05 4 2 2 2" xfId="5449"/>
    <cellStyle name="好_446研保估算表10-08-05 4 2 3" xfId="5450"/>
    <cellStyle name="好_446研保估算表10-08-05 4 3" xfId="5451"/>
    <cellStyle name="好_446研保估算表10-08-05 4 3 2" xfId="5452"/>
    <cellStyle name="好_446研保估算表10-08-05 4 4" xfId="5453"/>
    <cellStyle name="好_446研保估算表10-08-05 5" xfId="5454"/>
    <cellStyle name="好_446研保估算表10-08-05 5 2" xfId="5455"/>
    <cellStyle name="好_446研保估算表10-08-05 5 2 2" xfId="5456"/>
    <cellStyle name="好_446研保估算表10-08-05 5 3" xfId="5457"/>
    <cellStyle name="好_446研保估算表10-08-05 6" xfId="5458"/>
    <cellStyle name="好_446研保估算表10-08-05 6 2" xfId="5459"/>
    <cellStyle name="好_446研保估算表10-08-05 7" xfId="5460"/>
    <cellStyle name="好_455厂投资建议书估算新模版" xfId="5461"/>
    <cellStyle name="好_455厂投资建议书估算新模版 2" xfId="5462"/>
    <cellStyle name="好_455厂投资建议书估算新模版 2 2" xfId="5463"/>
    <cellStyle name="好_455厂投资建议书估算新模版 2 2 2" xfId="5464"/>
    <cellStyle name="好_455厂投资建议书估算新模版 2 2 2 2" xfId="5465"/>
    <cellStyle name="好_455厂投资建议书估算新模版 2 2 3" xfId="5466"/>
    <cellStyle name="好_455厂投资建议书估算新模版 2 3" xfId="5467"/>
    <cellStyle name="好_455厂投资建议书估算新模版 2 3 2" xfId="5468"/>
    <cellStyle name="好_455厂投资建议书估算新模版 2 4" xfId="5469"/>
    <cellStyle name="好_455厂投资建议书估算新模版 2 5" xfId="5470"/>
    <cellStyle name="好_455厂投资建议书估算新模版 3" xfId="5471"/>
    <cellStyle name="好_455厂投资建议书估算新模版 3 2" xfId="5472"/>
    <cellStyle name="好_455厂投资建议书估算新模版 3 2 2" xfId="5473"/>
    <cellStyle name="好_455厂投资建议书估算新模版 3 3" xfId="5474"/>
    <cellStyle name="好_455厂投资建议书估算新模版 4" xfId="5475"/>
    <cellStyle name="好_455厂投资建议书估算新模版 4 2" xfId="5476"/>
    <cellStyle name="好_455厂投资建议书估算新模版 4 2 2" xfId="5477"/>
    <cellStyle name="好_455厂投资建议书估算新模版 4 3" xfId="5478"/>
    <cellStyle name="好_455厂投资建议书估算新模版 5" xfId="5479"/>
    <cellStyle name="好_455厂投资建议书估算新模版 5 2" xfId="5480"/>
    <cellStyle name="好_455厂投资建议书估算新模版 6" xfId="5481"/>
    <cellStyle name="好_6402投资估算09-03-06" xfId="5482"/>
    <cellStyle name="好_6402投资估算09-03-06 2" xfId="5483"/>
    <cellStyle name="好_6402投资估算09-03-06 2 2" xfId="5484"/>
    <cellStyle name="好_6402投资估算09-03-06 2 2 2" xfId="5485"/>
    <cellStyle name="好_6402投资估算09-03-06 2 2 2 2" xfId="5486"/>
    <cellStyle name="好_6402投资估算09-03-06 2 2 3" xfId="5487"/>
    <cellStyle name="好_6402投资估算09-03-06 2 3" xfId="5488"/>
    <cellStyle name="好_6402投资估算09-03-06 2 3 2" xfId="5489"/>
    <cellStyle name="好_6402投资估算09-03-06 2 4" xfId="5490"/>
    <cellStyle name="好_6402投资估算09-03-06 2 5" xfId="5491"/>
    <cellStyle name="好_6402投资估算09-03-06 3" xfId="5492"/>
    <cellStyle name="好_6402投资估算09-03-06 3 2" xfId="5493"/>
    <cellStyle name="好_6402投资估算09-03-06 3 2 2" xfId="5494"/>
    <cellStyle name="好_6402投资估算09-03-06 3 3" xfId="5495"/>
    <cellStyle name="好_6402投资估算09-03-06 4" xfId="5496"/>
    <cellStyle name="好_6402投资估算09-03-06 4 2" xfId="5497"/>
    <cellStyle name="好_6402投资估算09-03-06 4 2 2" xfId="5498"/>
    <cellStyle name="好_6402投资估算09-03-06 4 2 2 2" xfId="5499"/>
    <cellStyle name="好_6402投资估算09-03-06 4 2 3" xfId="5500"/>
    <cellStyle name="好_6402投资估算09-03-06 4 3" xfId="5501"/>
    <cellStyle name="好_6402投资估算09-03-06 4 3 2" xfId="5502"/>
    <cellStyle name="好_6402投资估算09-03-06 4 4" xfId="5503"/>
    <cellStyle name="好_6402投资估算09-03-06 5" xfId="5504"/>
    <cellStyle name="好_6402投资估算09-03-06 5 2" xfId="5505"/>
    <cellStyle name="好_6402投资估算09-03-06 5 2 2" xfId="5506"/>
    <cellStyle name="好_6402投资估算09-03-06 5 3" xfId="5507"/>
    <cellStyle name="好_6402投资估算09-03-06 6" xfId="5508"/>
    <cellStyle name="好_6402投资估算09-03-06 6 2" xfId="5509"/>
    <cellStyle name="好_6402投资估算09-03-06 7" xfId="5510"/>
    <cellStyle name="好_662平台可研-估算2011.9.3-第1稿" xfId="5511"/>
    <cellStyle name="好_662平台可研-估算2011.9.3-第1稿 2" xfId="5512"/>
    <cellStyle name="好_662平台可研-估算2011.9.3-第1稿 2 2" xfId="5513"/>
    <cellStyle name="好_662平台可研-估算2011.9.3-第1稿 2 2 2" xfId="5514"/>
    <cellStyle name="好_662平台可研-估算2011.9.3-第1稿 2 2 2 2" xfId="5515"/>
    <cellStyle name="好_662平台可研-估算2011.9.3-第1稿 2 2 3" xfId="5516"/>
    <cellStyle name="好_662平台可研-估算2011.9.3-第1稿 2 3" xfId="5517"/>
    <cellStyle name="好_662平台可研-估算2011.9.3-第1稿 2 3 2" xfId="5518"/>
    <cellStyle name="好_662平台可研-估算2011.9.3-第1稿 2 4" xfId="5519"/>
    <cellStyle name="好_662平台可研-估算2011.9.3-第1稿 3" xfId="5520"/>
    <cellStyle name="好_662平台可研-估算2011.9.3-第1稿 3 2" xfId="5521"/>
    <cellStyle name="好_662平台可研-估算2011.9.3-第1稿 3 2 2" xfId="5522"/>
    <cellStyle name="好_662平台可研-估算2011.9.3-第1稿 3 3" xfId="5523"/>
    <cellStyle name="好_662平台可研-估算2011.9.3-第1稿 4" xfId="5524"/>
    <cellStyle name="好_662平台可研-估算2011.9.3-第1稿 4 2" xfId="5525"/>
    <cellStyle name="好_662平台可研-估算2011.9.3-第1稿 5" xfId="5526"/>
    <cellStyle name="好_6A项目建议书设备、概算表（调整对照表）" xfId="5527"/>
    <cellStyle name="好_6A项目建议书设备、概算表（调整对照表） 2" xfId="5528"/>
    <cellStyle name="好_6A项目建议书设备、概算表（调整对照表） 2 2" xfId="5529"/>
    <cellStyle name="好_6A项目建议书设备、概算表（调整对照表） 3" xfId="5530"/>
    <cellStyle name="好_701估算表090505" xfId="5531"/>
    <cellStyle name="好_701估算表090505 2" xfId="5532"/>
    <cellStyle name="好_701估算表090505 2 2" xfId="5533"/>
    <cellStyle name="好_701估算表090505 2 2 2" xfId="5534"/>
    <cellStyle name="好_701估算表090505 2 2 2 2" xfId="5535"/>
    <cellStyle name="好_701估算表090505 2 2 3" xfId="5536"/>
    <cellStyle name="好_701估算表090505 2 3" xfId="5537"/>
    <cellStyle name="好_701估算表090505 2 3 2" xfId="5538"/>
    <cellStyle name="好_701估算表090505 2 4" xfId="5539"/>
    <cellStyle name="好_701估算表090505 3" xfId="5540"/>
    <cellStyle name="好_701估算表090505 3 2" xfId="5541"/>
    <cellStyle name="好_701估算表090505 3 2 2" xfId="5542"/>
    <cellStyle name="好_701估算表090505 3 3" xfId="5543"/>
    <cellStyle name="好_701估算表090505 4" xfId="5544"/>
    <cellStyle name="好_701估算表090505 4 2" xfId="5545"/>
    <cellStyle name="好_701估算表090505 5" xfId="5546"/>
    <cellStyle name="好_701估算表090505_新增工艺设备表" xfId="5547"/>
    <cellStyle name="好_701估算表090505_新增工艺设备表 2" xfId="5548"/>
    <cellStyle name="好_701估算表090505_新增工艺设备表 2 2" xfId="5549"/>
    <cellStyle name="好_701估算表090505_新增工艺设备表 3" xfId="5550"/>
    <cellStyle name="好_702-给樊稿（10.813）" xfId="5551"/>
    <cellStyle name="好_702-给樊稿（10.813） 2" xfId="5552"/>
    <cellStyle name="好_702-给樊稿（10.813） 2 2" xfId="5553"/>
    <cellStyle name="好_702-给樊稿（10.813） 2 2 2" xfId="5554"/>
    <cellStyle name="好_702-给樊稿（10.813） 2 2 2 2" xfId="5555"/>
    <cellStyle name="好_702-给樊稿（10.813） 2 2 3" xfId="5556"/>
    <cellStyle name="好_702-给樊稿（10.813） 2 3" xfId="5557"/>
    <cellStyle name="好_702-给樊稿（10.813） 2 3 2" xfId="5558"/>
    <cellStyle name="好_702-给樊稿（10.813） 2 4" xfId="5559"/>
    <cellStyle name="好_702-给樊稿（10.813） 3" xfId="5560"/>
    <cellStyle name="好_702-给樊稿（10.813） 3 2" xfId="5561"/>
    <cellStyle name="好_702-给樊稿（10.813） 3 2 2" xfId="5562"/>
    <cellStyle name="好_702-给樊稿（10.813） 3 3" xfId="5563"/>
    <cellStyle name="好_702-给樊稿（10.813） 4" xfId="5564"/>
    <cellStyle name="好_702-给樊稿（10.813） 4 2" xfId="5565"/>
    <cellStyle name="好_702-给樊稿（10.813） 5" xfId="5566"/>
    <cellStyle name="好_717概算081023" xfId="5567"/>
    <cellStyle name="好_717概算081023 2" xfId="5568"/>
    <cellStyle name="好_717概算081023 2 2" xfId="5569"/>
    <cellStyle name="好_717概算081023 2 2 2" xfId="5570"/>
    <cellStyle name="好_717概算081023 2 2 2 2" xfId="5571"/>
    <cellStyle name="好_717概算081023 2 2 3" xfId="5572"/>
    <cellStyle name="好_717概算081023 2 3" xfId="5573"/>
    <cellStyle name="好_717概算081023 2 3 2" xfId="5574"/>
    <cellStyle name="好_717概算081023 2 4" xfId="5575"/>
    <cellStyle name="好_717概算081023 3" xfId="5576"/>
    <cellStyle name="好_717概算081023 3 2" xfId="5577"/>
    <cellStyle name="好_717概算081023 3 2 2" xfId="5578"/>
    <cellStyle name="好_717概算081023 3 3" xfId="5579"/>
    <cellStyle name="好_717概算081023 4" xfId="5580"/>
    <cellStyle name="好_717概算081023 4 2" xfId="5581"/>
    <cellStyle name="好_717概算081023 5" xfId="5582"/>
    <cellStyle name="好_717概算081023_新增工艺设备表" xfId="5583"/>
    <cellStyle name="好_717概算081023_新增工艺设备表 2" xfId="5584"/>
    <cellStyle name="好_717概算081023_新增工艺设备表 2 2" xfId="5585"/>
    <cellStyle name="好_717概算081023_新增工艺设备表 3" xfId="5586"/>
    <cellStyle name="好_718安全性上报三表" xfId="5587"/>
    <cellStyle name="好_718安全性上报三表 2" xfId="5588"/>
    <cellStyle name="好_718安全性上报三表 2 2" xfId="5589"/>
    <cellStyle name="好_718安全性上报三表 2 2 2" xfId="5590"/>
    <cellStyle name="好_718安全性上报三表 2 3" xfId="5591"/>
    <cellStyle name="好_718安全性上报三表 2 4" xfId="5592"/>
    <cellStyle name="好_718安全性上报三表 3" xfId="5593"/>
    <cellStyle name="好_718安全性上报三表 3 2" xfId="5594"/>
    <cellStyle name="好_718安全性上报三表 4" xfId="5595"/>
    <cellStyle name="好_726安全性可研附表-08.4.9(du修改)" xfId="5596"/>
    <cellStyle name="好_726安全性可研附表-08.4.9(du修改) 2" xfId="5597"/>
    <cellStyle name="好_726安全性可研附表-08.4.9(du修改) 2 2" xfId="5598"/>
    <cellStyle name="好_726安全性可研附表-08.4.9(du修改) 2 2 2" xfId="5599"/>
    <cellStyle name="好_726安全性可研附表-08.4.9(du修改) 2 2 2 2" xfId="5600"/>
    <cellStyle name="好_726安全性可研附表-08.4.9(du修改) 2 2 3" xfId="5601"/>
    <cellStyle name="好_726安全性可研附表-08.4.9(du修改) 2 3" xfId="5602"/>
    <cellStyle name="好_726安全性可研附表-08.4.9(du修改) 2 3 2" xfId="5603"/>
    <cellStyle name="好_726安全性可研附表-08.4.9(du修改) 2 4" xfId="5604"/>
    <cellStyle name="好_726安全性可研附表-08.4.9(du修改) 2 5" xfId="5605"/>
    <cellStyle name="好_726安全性可研附表-08.4.9(du修改) 3" xfId="5606"/>
    <cellStyle name="好_726安全性可研附表-08.4.9(du修改) 3 2" xfId="5607"/>
    <cellStyle name="好_726安全性可研附表-08.4.9(du修改) 3 2 2" xfId="5608"/>
    <cellStyle name="好_726安全性可研附表-08.4.9(du修改) 3 3" xfId="5609"/>
    <cellStyle name="好_726安全性可研附表-08.4.9(du修改) 4" xfId="5610"/>
    <cellStyle name="好_726安全性可研附表-08.4.9(du修改) 4 2" xfId="5611"/>
    <cellStyle name="好_726安全性可研附表-08.4.9(du修改) 5" xfId="5612"/>
    <cellStyle name="好_760特性测试估算" xfId="5613"/>
    <cellStyle name="好_760特性测试估算 2" xfId="5614"/>
    <cellStyle name="好_760特性测试估算 2 2" xfId="5615"/>
    <cellStyle name="好_760特性测试估算 2 2 2" xfId="5616"/>
    <cellStyle name="好_760特性测试估算 2 2 2 2" xfId="5617"/>
    <cellStyle name="好_760特性测试估算 2 2 3" xfId="5618"/>
    <cellStyle name="好_760特性测试估算 2 3" xfId="5619"/>
    <cellStyle name="好_760特性测试估算 2 3 2" xfId="5620"/>
    <cellStyle name="好_760特性测试估算 2 4" xfId="5621"/>
    <cellStyle name="好_760特性测试估算 3" xfId="5622"/>
    <cellStyle name="好_760特性测试估算 3 2" xfId="5623"/>
    <cellStyle name="好_760特性测试估算 3 2 2" xfId="5624"/>
    <cellStyle name="好_760特性测试估算 3 3" xfId="5625"/>
    <cellStyle name="好_760特性测试估算 4" xfId="5626"/>
    <cellStyle name="好_760特性测试估算 4 2" xfId="5627"/>
    <cellStyle name="好_760特性测试估算 5" xfId="5628"/>
    <cellStyle name="好_760特性测试估算_新增工艺设备表" xfId="5629"/>
    <cellStyle name="好_760特性测试估算_新增工艺设备表 2" xfId="5630"/>
    <cellStyle name="好_760特性测试估算_新增工艺设备表 2 2" xfId="5631"/>
    <cellStyle name="好_760特性测试估算_新增工艺设备表 3" xfId="5632"/>
    <cellStyle name="好_884估算表2011.8.19-03" xfId="5633"/>
    <cellStyle name="好_884估算表2011.8.19-03 2" xfId="5634"/>
    <cellStyle name="好_884估算表2011.8.19-03 2 2" xfId="5635"/>
    <cellStyle name="好_884估算表2011.8.19-03 2 2 2" xfId="5636"/>
    <cellStyle name="好_884估算表2011.8.19-03 2 2 2 2" xfId="5637"/>
    <cellStyle name="好_884估算表2011.8.19-03 2 2 3" xfId="5638"/>
    <cellStyle name="好_884估算表2011.8.19-03 2 3" xfId="5639"/>
    <cellStyle name="好_884估算表2011.8.19-03 2 3 2" xfId="5640"/>
    <cellStyle name="好_884估算表2011.8.19-03 2 4" xfId="5641"/>
    <cellStyle name="好_884估算表2011.8.19-03 3" xfId="5642"/>
    <cellStyle name="好_884估算表2011.8.19-03 3 2" xfId="5643"/>
    <cellStyle name="好_884估算表2011.8.19-03 3 2 2" xfId="5644"/>
    <cellStyle name="好_884估算表2011.8.19-03 3 3" xfId="5645"/>
    <cellStyle name="好_884估算表2011.8.19-03 4" xfId="5646"/>
    <cellStyle name="好_884估算表2011.8.19-03 4 2" xfId="5647"/>
    <cellStyle name="好_884估算表2011.8.19-03 5" xfId="5648"/>
    <cellStyle name="好_Book1" xfId="5649"/>
    <cellStyle name="好_Book1 2" xfId="5650"/>
    <cellStyle name="好_Book1 2 2" xfId="5651"/>
    <cellStyle name="好_Book1 2 2 2" xfId="5652"/>
    <cellStyle name="好_Book1 2 2 2 2" xfId="5653"/>
    <cellStyle name="好_Book1 2 2 3" xfId="5654"/>
    <cellStyle name="好_Book1 2 3" xfId="5655"/>
    <cellStyle name="好_Book1 2 3 2" xfId="5656"/>
    <cellStyle name="好_Book1 2 4" xfId="5657"/>
    <cellStyle name="好_Book1 2 5" xfId="5658"/>
    <cellStyle name="好_Book1 3" xfId="5659"/>
    <cellStyle name="好_Book1 3 2" xfId="5660"/>
    <cellStyle name="好_Book1 3 2 2" xfId="5661"/>
    <cellStyle name="好_Book1 3 3" xfId="5662"/>
    <cellStyle name="好_Book1 4" xfId="5663"/>
    <cellStyle name="好_Book1 4 2" xfId="5664"/>
    <cellStyle name="好_Book1 4 2 2" xfId="5665"/>
    <cellStyle name="好_Book1 4 3" xfId="5666"/>
    <cellStyle name="好_Book1 5" xfId="5667"/>
    <cellStyle name="好_Book1 5 2" xfId="5668"/>
    <cellStyle name="好_Book1 5 2 2" xfId="5669"/>
    <cellStyle name="好_Book1 5 3" xfId="5670"/>
    <cellStyle name="好_Book1 6" xfId="5671"/>
    <cellStyle name="好_Book1 6 2" xfId="5672"/>
    <cellStyle name="好_Book1 7" xfId="5673"/>
    <cellStyle name="好_Xl0000002" xfId="5674"/>
    <cellStyle name="好_Xl0000002 2" xfId="5675"/>
    <cellStyle name="好_Xl0000002 2 2" xfId="5676"/>
    <cellStyle name="好_Xl0000002 3" xfId="5677"/>
    <cellStyle name="好_报价" xfId="5678"/>
    <cellStyle name="好_报价 2" xfId="5679"/>
    <cellStyle name="好_报价 2 2" xfId="5680"/>
    <cellStyle name="好_报价 2 3" xfId="5681"/>
    <cellStyle name="好_报价 3" xfId="5682"/>
    <cellStyle name="好_初设概算(shi)-5.14晚-7.9-8.27 last " xfId="5683"/>
    <cellStyle name="好_初设概算(shi)-5.14晚-7.9-8.27 last  2" xfId="5684"/>
    <cellStyle name="好_初设概算(shi)-5.14晚-7.9-8.27 last  2 2" xfId="5685"/>
    <cellStyle name="好_初设概算(shi)-5.14晚-7.9-8.27 last  2 2 2" xfId="5686"/>
    <cellStyle name="好_初设概算(shi)-5.14晚-7.9-8.27 last  2 2 2 2" xfId="5687"/>
    <cellStyle name="好_初设概算(shi)-5.14晚-7.9-8.27 last  2 2 3" xfId="5688"/>
    <cellStyle name="好_初设概算(shi)-5.14晚-7.9-8.27 last  2 3" xfId="5689"/>
    <cellStyle name="好_初设概算(shi)-5.14晚-7.9-8.27 last  2 3 2" xfId="5690"/>
    <cellStyle name="好_初设概算(shi)-5.14晚-7.9-8.27 last  2 4" xfId="5691"/>
    <cellStyle name="好_初设概算(shi)-5.14晚-7.9-8.27 last  2 5" xfId="5692"/>
    <cellStyle name="好_初设概算(shi)-5.14晚-7.9-8.27 last  3" xfId="5693"/>
    <cellStyle name="好_初设概算(shi)-5.14晚-7.9-8.27 last  3 2" xfId="5694"/>
    <cellStyle name="好_初设概算(shi)-5.14晚-7.9-8.27 last  3 2 2" xfId="5695"/>
    <cellStyle name="好_初设概算(shi)-5.14晚-7.9-8.27 last  3 3" xfId="5696"/>
    <cellStyle name="好_初设概算(shi)-5.14晚-7.9-8.27 last  4" xfId="5697"/>
    <cellStyle name="好_初设概算(shi)-5.14晚-7.9-8.27 last  4 2" xfId="5698"/>
    <cellStyle name="好_初设概算(shi)-5.14晚-7.9-8.27 last  4 2 2" xfId="5699"/>
    <cellStyle name="好_初设概算(shi)-5.14晚-7.9-8.27 last  4 2 2 2" xfId="5700"/>
    <cellStyle name="好_初设概算(shi)-5.14晚-7.9-8.27 last  4 2 3" xfId="5701"/>
    <cellStyle name="好_初设概算(shi)-5.14晚-7.9-8.27 last  4 3" xfId="5702"/>
    <cellStyle name="好_初设概算(shi)-5.14晚-7.9-8.27 last  4 3 2" xfId="5703"/>
    <cellStyle name="好_初设概算(shi)-5.14晚-7.9-8.27 last  4 4" xfId="5704"/>
    <cellStyle name="好_初设概算(shi)-5.14晚-7.9-8.27 last  5" xfId="5705"/>
    <cellStyle name="好_初设概算(shi)-5.14晚-7.9-8.27 last  5 2" xfId="5706"/>
    <cellStyle name="好_初设概算(shi)-5.14晚-7.9-8.27 last  5 2 2" xfId="5707"/>
    <cellStyle name="好_初设概算(shi)-5.14晚-7.9-8.27 last  5 3" xfId="5708"/>
    <cellStyle name="好_初设概算(shi)-5.14晚-7.9-8.27 last  6" xfId="5709"/>
    <cellStyle name="好_初设概算(shi)-5.14晚-7.9-8.27 last  6 2" xfId="5710"/>
    <cellStyle name="好_初设概算(shi)-5.14晚-7.9-8.27 last  7" xfId="5711"/>
    <cellStyle name="好_风电估算表" xfId="5712"/>
    <cellStyle name="好_风电估算表 2" xfId="5713"/>
    <cellStyle name="好_风电估算表 2 2" xfId="5714"/>
    <cellStyle name="好_风电估算表 2 2 2" xfId="5715"/>
    <cellStyle name="好_风电估算表 2 2 2 2" xfId="5716"/>
    <cellStyle name="好_风电估算表 2 2 3" xfId="5717"/>
    <cellStyle name="好_风电估算表 2 3" xfId="5718"/>
    <cellStyle name="好_风电估算表 2 3 2" xfId="5719"/>
    <cellStyle name="好_风电估算表 2 4" xfId="5720"/>
    <cellStyle name="好_风电估算表 3" xfId="5721"/>
    <cellStyle name="好_风电估算表 3 2" xfId="5722"/>
    <cellStyle name="好_风电估算表 3 2 2" xfId="5723"/>
    <cellStyle name="好_风电估算表 3 3" xfId="5724"/>
    <cellStyle name="好_风电估算表 4" xfId="5725"/>
    <cellStyle name="好_风电估算表 4 2" xfId="5726"/>
    <cellStyle name="好_风电估算表 5" xfId="5727"/>
    <cellStyle name="好_附表-08-11  " xfId="5728"/>
    <cellStyle name="好_附表-08-11   2" xfId="5729"/>
    <cellStyle name="好_附表-08-11   2 2" xfId="5730"/>
    <cellStyle name="好_附表-08-11   3" xfId="5731"/>
    <cellStyle name="好_附件 " xfId="5732"/>
    <cellStyle name="好_附件  2" xfId="5733"/>
    <cellStyle name="好_附件  2 2" xfId="5734"/>
    <cellStyle name="好_附件  2 3" xfId="5735"/>
    <cellStyle name="好_附件  3" xfId="5736"/>
    <cellStyle name="好_概算-初步估算10.19" xfId="5737"/>
    <cellStyle name="好_概算-初步估算10.19 2" xfId="5738"/>
    <cellStyle name="好_概算-初步估算10.19 2 2" xfId="5739"/>
    <cellStyle name="好_概算-初步估算10.19 2 3" xfId="5740"/>
    <cellStyle name="好_概算-初步估算10.19 3" xfId="5741"/>
    <cellStyle name="好_工艺设备表" xfId="5742"/>
    <cellStyle name="好_工艺设备表 2" xfId="5743"/>
    <cellStyle name="好_工艺设备表 2 2" xfId="5744"/>
    <cellStyle name="好_工艺设备表 3" xfId="5745"/>
    <cellStyle name="好_工艺设备表（需要完善）" xfId="5746"/>
    <cellStyle name="好_工艺设备表（需要完善） 2" xfId="5747"/>
    <cellStyle name="好_工艺设备表（需要完善） 2 2" xfId="5748"/>
    <cellStyle name="好_工艺设备表（需要完善） 3" xfId="5749"/>
    <cellStyle name="好_公用设备表" xfId="5750"/>
    <cellStyle name="好_公用设备表 2" xfId="5751"/>
    <cellStyle name="好_公用设备表 2 2" xfId="5752"/>
    <cellStyle name="好_公用设备表 2 2 2" xfId="5753"/>
    <cellStyle name="好_公用设备表 2 2 2 2" xfId="5754"/>
    <cellStyle name="好_公用设备表 2 2 3" xfId="5755"/>
    <cellStyle name="好_公用设备表 2 3" xfId="5756"/>
    <cellStyle name="好_公用设备表 2 3 2" xfId="5757"/>
    <cellStyle name="好_公用设备表 2 4" xfId="5758"/>
    <cellStyle name="好_公用设备表 2 5" xfId="5759"/>
    <cellStyle name="好_公用设备表 3" xfId="5760"/>
    <cellStyle name="好_公用设备表 3 2" xfId="5761"/>
    <cellStyle name="好_公用设备表 3 2 2" xfId="5762"/>
    <cellStyle name="好_公用设备表 3 3" xfId="5763"/>
    <cellStyle name="好_公用设备表 4" xfId="5764"/>
    <cellStyle name="好_公用设备表 4 2" xfId="5765"/>
    <cellStyle name="好_公用设备表 4 2 2" xfId="5766"/>
    <cellStyle name="好_公用设备表 4 2 2 2" xfId="5767"/>
    <cellStyle name="好_公用设备表 4 2 3" xfId="5768"/>
    <cellStyle name="好_公用设备表 4 3" xfId="5769"/>
    <cellStyle name="好_公用设备表 4 3 2" xfId="5770"/>
    <cellStyle name="好_公用设备表 4 4" xfId="5771"/>
    <cellStyle name="好_公用设备表 5" xfId="5772"/>
    <cellStyle name="好_公用设备表 5 2" xfId="5773"/>
    <cellStyle name="好_公用设备表 5 2 2" xfId="5774"/>
    <cellStyle name="好_公用设备表 5 3" xfId="5775"/>
    <cellStyle name="好_公用设备表 6" xfId="5776"/>
    <cellStyle name="好_公用设备表 6 2" xfId="5777"/>
    <cellStyle name="好_公用设备表 7" xfId="5778"/>
    <cellStyle name="好_建构物一览表" xfId="5779"/>
    <cellStyle name="好_建构物一览表 2" xfId="5780"/>
    <cellStyle name="好_建构物一览表 2 2" xfId="5781"/>
    <cellStyle name="好_建构物一览表 2 2 2" xfId="5782"/>
    <cellStyle name="好_建构物一览表 2 2 2 2" xfId="5783"/>
    <cellStyle name="好_建构物一览表 2 2 3" xfId="5784"/>
    <cellStyle name="好_建构物一览表 2 3" xfId="5785"/>
    <cellStyle name="好_建构物一览表 2 3 2" xfId="5786"/>
    <cellStyle name="好_建构物一览表 2 4" xfId="5787"/>
    <cellStyle name="好_建构物一览表 3" xfId="5788"/>
    <cellStyle name="好_建构物一览表 3 2" xfId="5789"/>
    <cellStyle name="好_建构物一览表 3 2 2" xfId="5790"/>
    <cellStyle name="好_建构物一览表 3 3" xfId="5791"/>
    <cellStyle name="好_建构物一览表 4" xfId="5792"/>
    <cellStyle name="好_建构物一览表 4 2" xfId="5793"/>
    <cellStyle name="好_建构物一览表 5" xfId="5794"/>
    <cellStyle name="好_建筑工程预算表(保密网络)" xfId="5795"/>
    <cellStyle name="好_建筑工程预算表(保密网络) 2" xfId="5796"/>
    <cellStyle name="好_建筑工程预算表(保密网络) 2 2" xfId="5797"/>
    <cellStyle name="好_建筑工程预算表(保密网络) 2 2 2" xfId="5798"/>
    <cellStyle name="好_建筑工程预算表(保密网络) 2 2 2 2" xfId="5799"/>
    <cellStyle name="好_建筑工程预算表(保密网络) 2 2 3" xfId="5800"/>
    <cellStyle name="好_建筑工程预算表(保密网络) 2 3" xfId="5801"/>
    <cellStyle name="好_建筑工程预算表(保密网络) 2 3 2" xfId="5802"/>
    <cellStyle name="好_建筑工程预算表(保密网络) 2 4" xfId="5803"/>
    <cellStyle name="好_建筑工程预算表(保密网络) 3" xfId="5804"/>
    <cellStyle name="好_建筑工程预算表(保密网络) 3 2" xfId="5805"/>
    <cellStyle name="好_建筑工程预算表(保密网络) 3 2 2" xfId="5806"/>
    <cellStyle name="好_建筑工程预算表(保密网络) 3 3" xfId="5807"/>
    <cellStyle name="好_建筑工程预算表(保密网络) 4" xfId="5808"/>
    <cellStyle name="好_建筑工程预算表(保密网络) 4 2" xfId="5809"/>
    <cellStyle name="好_建筑工程预算表(保密网络) 5" xfId="5810"/>
    <cellStyle name="好_建筑工程预算表(保密网络)_新增工艺设备表" xfId="5811"/>
    <cellStyle name="好_建筑工程预算表(保密网络)_新增工艺设备表 2" xfId="5812"/>
    <cellStyle name="好_建筑工程预算表(保密网络)_新增工艺设备表 2 2" xfId="5813"/>
    <cellStyle name="好_建筑工程预算表(保密网络)_新增工艺设备表 3" xfId="5814"/>
    <cellStyle name="好_节能减排" xfId="5815"/>
    <cellStyle name="好_节能减排 2" xfId="5816"/>
    <cellStyle name="好_节能减排 2 2" xfId="5817"/>
    <cellStyle name="好_节能减排 2 2 2" xfId="5818"/>
    <cellStyle name="好_节能减排 2 2 2 2" xfId="5819"/>
    <cellStyle name="好_节能减排 2 2 3" xfId="5820"/>
    <cellStyle name="好_节能减排 2 3" xfId="5821"/>
    <cellStyle name="好_节能减排 2 3 2" xfId="5822"/>
    <cellStyle name="好_节能减排 2 4" xfId="5823"/>
    <cellStyle name="好_节能减排 2 5" xfId="5824"/>
    <cellStyle name="好_节能减排 3" xfId="5825"/>
    <cellStyle name="好_节能减排 3 2" xfId="5826"/>
    <cellStyle name="好_节能减排 3 2 2" xfId="5827"/>
    <cellStyle name="好_节能减排 3 3" xfId="5828"/>
    <cellStyle name="好_节能减排 4" xfId="5829"/>
    <cellStyle name="好_节能减排 4 2" xfId="5830"/>
    <cellStyle name="好_节能减排 4 2 2" xfId="5831"/>
    <cellStyle name="好_节能减排 4 2 2 2" xfId="5832"/>
    <cellStyle name="好_节能减排 4 2 3" xfId="5833"/>
    <cellStyle name="好_节能减排 4 3" xfId="5834"/>
    <cellStyle name="好_节能减排 4 3 2" xfId="5835"/>
    <cellStyle name="好_节能减排 4 4" xfId="5836"/>
    <cellStyle name="好_节能减排 5" xfId="5837"/>
    <cellStyle name="好_节能减排 5 2" xfId="5838"/>
    <cellStyle name="好_节能减排 5 2 2" xfId="5839"/>
    <cellStyle name="好_节能减排 5 3" xfId="5840"/>
    <cellStyle name="好_节能减排 6" xfId="5841"/>
    <cellStyle name="好_节能减排 6 2" xfId="5842"/>
    <cellStyle name="好_节能减排 7" xfId="5843"/>
    <cellStyle name="好_可研工艺设备汇总表" xfId="5844"/>
    <cellStyle name="好_可研工艺设备汇总表 2" xfId="5845"/>
    <cellStyle name="好_可研工艺设备汇总表 2 2" xfId="5846"/>
    <cellStyle name="好_可研工艺设备汇总表 2 2 2" xfId="5847"/>
    <cellStyle name="好_可研工艺设备汇总表 2 2 2 2" xfId="5848"/>
    <cellStyle name="好_可研工艺设备汇总表 2 2 3" xfId="5849"/>
    <cellStyle name="好_可研工艺设备汇总表 2 3" xfId="5850"/>
    <cellStyle name="好_可研工艺设备汇总表 2 3 2" xfId="5851"/>
    <cellStyle name="好_可研工艺设备汇总表 2 4" xfId="5852"/>
    <cellStyle name="好_可研工艺设备汇总表 2 5" xfId="5853"/>
    <cellStyle name="好_可研工艺设备汇总表 3" xfId="5854"/>
    <cellStyle name="好_可研工艺设备汇总表 3 2" xfId="5855"/>
    <cellStyle name="好_可研工艺设备汇总表 3 2 2" xfId="5856"/>
    <cellStyle name="好_可研工艺设备汇总表 3 2 2 2" xfId="5857"/>
    <cellStyle name="好_可研工艺设备汇总表 3 2 3" xfId="5858"/>
    <cellStyle name="好_可研工艺设备汇总表 3 3" xfId="5859"/>
    <cellStyle name="好_可研工艺设备汇总表 3 3 2" xfId="5860"/>
    <cellStyle name="好_可研工艺设备汇总表 3 4" xfId="5861"/>
    <cellStyle name="好_可研工艺设备汇总表 4" xfId="5862"/>
    <cellStyle name="好_可研工艺设备汇总表 4 2" xfId="5863"/>
    <cellStyle name="好_可研工艺设备汇总表 4 2 2" xfId="5864"/>
    <cellStyle name="好_可研工艺设备汇总表 4 2 2 2" xfId="5865"/>
    <cellStyle name="好_可研工艺设备汇总表 4 2 3" xfId="5866"/>
    <cellStyle name="好_可研工艺设备汇总表 4 3" xfId="5867"/>
    <cellStyle name="好_可研工艺设备汇总表 4 3 2" xfId="5868"/>
    <cellStyle name="好_可研工艺设备汇总表 4 4" xfId="5869"/>
    <cellStyle name="好_可研工艺设备汇总表 5" xfId="5870"/>
    <cellStyle name="好_可研工艺设备汇总表 5 2" xfId="5871"/>
    <cellStyle name="好_可研工艺设备汇总表 6" xfId="5872"/>
    <cellStyle name="好_可研工艺设备汇总表 6 2" xfId="5873"/>
    <cellStyle name="好_可研估算表09-05-08" xfId="5874"/>
    <cellStyle name="好_可研估算表09-05-08 2" xfId="5875"/>
    <cellStyle name="好_可研估算表09-05-08 2 2" xfId="5876"/>
    <cellStyle name="好_可研估算表09-05-08 3" xfId="5877"/>
    <cellStyle name="好_设备表" xfId="5878"/>
    <cellStyle name="好_设备表 2" xfId="5879"/>
    <cellStyle name="好_设备表 2 2" xfId="5880"/>
    <cellStyle name="好_设备表 3" xfId="5881"/>
    <cellStyle name="好_设备表改" xfId="5882"/>
    <cellStyle name="好_设备表改 2" xfId="5883"/>
    <cellStyle name="好_设备表改 2 2" xfId="5884"/>
    <cellStyle name="好_设备表改 2 2 2" xfId="5885"/>
    <cellStyle name="好_设备表改 2 2 2 2" xfId="5886"/>
    <cellStyle name="好_设备表改 2 2 3" xfId="5887"/>
    <cellStyle name="好_设备表改 2 3" xfId="5888"/>
    <cellStyle name="好_设备表改 2 3 2" xfId="5889"/>
    <cellStyle name="好_设备表改 2 4" xfId="5890"/>
    <cellStyle name="好_设备表改 2 5" xfId="5891"/>
    <cellStyle name="好_设备表改 3" xfId="5892"/>
    <cellStyle name="好_设备表改 3 2" xfId="5893"/>
    <cellStyle name="好_设备表改 3 2 2" xfId="5894"/>
    <cellStyle name="好_设备表改 3 3" xfId="5895"/>
    <cellStyle name="好_设备表改 4" xfId="5896"/>
    <cellStyle name="好_设备表改 4 2" xfId="5897"/>
    <cellStyle name="好_设备表改 4 2 2" xfId="5898"/>
    <cellStyle name="好_设备表改 4 2 2 2" xfId="5899"/>
    <cellStyle name="好_设备表改 4 2 3" xfId="5900"/>
    <cellStyle name="好_设备表改 4 3" xfId="5901"/>
    <cellStyle name="好_设备表改 4 3 2" xfId="5902"/>
    <cellStyle name="好_设备表改 4 4" xfId="5903"/>
    <cellStyle name="好_设备表改 5" xfId="5904"/>
    <cellStyle name="好_设备表改 5 2" xfId="5905"/>
    <cellStyle name="好_设备表改 5 2 2" xfId="5906"/>
    <cellStyle name="好_设备表改 5 3" xfId="5907"/>
    <cellStyle name="好_设备表改 6" xfId="5908"/>
    <cellStyle name="好_设备表改 6 2" xfId="5909"/>
    <cellStyle name="好_设备表改 7" xfId="5910"/>
    <cellStyle name="好_声研保新增工艺设备表" xfId="5911"/>
    <cellStyle name="好_声研保新增工艺设备表 2" xfId="5912"/>
    <cellStyle name="好_声研保新增工艺设备表 2 2" xfId="5913"/>
    <cellStyle name="好_声研保新增工艺设备表 2 2 2" xfId="5914"/>
    <cellStyle name="好_声研保新增工艺设备表 2 3" xfId="5915"/>
    <cellStyle name="好_声研保新增工艺设备表 2 4" xfId="5916"/>
    <cellStyle name="好_声研保新增工艺设备表 3" xfId="5917"/>
    <cellStyle name="好_声研保新增工艺设备表 3 2" xfId="5918"/>
    <cellStyle name="好_声研保新增工艺设备表 4" xfId="5919"/>
    <cellStyle name="好_投资估算" xfId="5920"/>
    <cellStyle name="好_投资估算 2" xfId="5921"/>
    <cellStyle name="好_投资估算 2 2" xfId="5922"/>
    <cellStyle name="好_投资估算 2 2 2" xfId="5923"/>
    <cellStyle name="好_投资估算 2 2 2 2" xfId="5924"/>
    <cellStyle name="好_投资估算 2 2 3" xfId="5925"/>
    <cellStyle name="好_投资估算 2 3" xfId="5926"/>
    <cellStyle name="好_投资估算 2 3 2" xfId="5927"/>
    <cellStyle name="好_投资估算 2 4" xfId="5928"/>
    <cellStyle name="好_投资估算 3" xfId="5929"/>
    <cellStyle name="好_投资估算 3 2" xfId="5930"/>
    <cellStyle name="好_投资估算 3 2 2" xfId="5931"/>
    <cellStyle name="好_投资估算 3 3" xfId="5932"/>
    <cellStyle name="好_投资估算 4" xfId="5933"/>
    <cellStyle name="好_投资估算 4 2" xfId="5934"/>
    <cellStyle name="好_投资估算 5" xfId="5935"/>
    <cellStyle name="好_投资估算_新增工艺设备表" xfId="5936"/>
    <cellStyle name="好_投资估算_新增工艺设备表 2" xfId="5937"/>
    <cellStyle name="好_投资估算_新增工艺设备表 2 2" xfId="5938"/>
    <cellStyle name="好_投资估算_新增工艺设备表 3" xfId="5939"/>
    <cellStyle name="好_投资估算-10-06-01" xfId="5940"/>
    <cellStyle name="好_投资估算-10-06-01 2" xfId="5941"/>
    <cellStyle name="好_投资估算-10-06-01 2 2" xfId="5942"/>
    <cellStyle name="好_投资估算-10-06-01 2 2 2" xfId="5943"/>
    <cellStyle name="好_投资估算-10-06-01 2 2 2 2" xfId="5944"/>
    <cellStyle name="好_投资估算-10-06-01 2 2 3" xfId="5945"/>
    <cellStyle name="好_投资估算-10-06-01 2 3" xfId="5946"/>
    <cellStyle name="好_投资估算-10-06-01 2 3 2" xfId="5947"/>
    <cellStyle name="好_投资估算-10-06-01 2 4" xfId="5948"/>
    <cellStyle name="好_投资估算-10-06-01 2 5" xfId="5949"/>
    <cellStyle name="好_投资估算-10-06-01 3" xfId="5950"/>
    <cellStyle name="好_投资估算-10-06-01 3 2" xfId="5951"/>
    <cellStyle name="好_投资估算-10-06-01 3 2 2" xfId="5952"/>
    <cellStyle name="好_投资估算-10-06-01 3 3" xfId="5953"/>
    <cellStyle name="好_投资估算-10-06-01 4" xfId="5954"/>
    <cellStyle name="好_投资估算-10-06-01 4 2" xfId="5955"/>
    <cellStyle name="好_投资估算-10-06-01 4 2 2" xfId="5956"/>
    <cellStyle name="好_投资估算-10-06-01 4 2 2 2" xfId="5957"/>
    <cellStyle name="好_投资估算-10-06-01 4 2 3" xfId="5958"/>
    <cellStyle name="好_投资估算-10-06-01 4 3" xfId="5959"/>
    <cellStyle name="好_投资估算-10-06-01 4 3 2" xfId="5960"/>
    <cellStyle name="好_投资估算-10-06-01 4 4" xfId="5961"/>
    <cellStyle name="好_投资估算-10-06-01 5" xfId="5962"/>
    <cellStyle name="好_投资估算-10-06-01 5 2" xfId="5963"/>
    <cellStyle name="好_投资估算-10-06-01 5 2 2" xfId="5964"/>
    <cellStyle name="好_投资估算-10-06-01 5 3" xfId="5965"/>
    <cellStyle name="好_投资估算-10-06-01 6" xfId="5966"/>
    <cellStyle name="好_投资估算-10-06-01 6 2" xfId="5967"/>
    <cellStyle name="好_投资估算-10-06-01 7" xfId="5968"/>
    <cellStyle name="好_投资估算表" xfId="5969"/>
    <cellStyle name="好_投资估算表 2" xfId="5970"/>
    <cellStyle name="好_投资估算表 2 2" xfId="5971"/>
    <cellStyle name="好_投资估算表 2 2 2" xfId="5972"/>
    <cellStyle name="好_投资估算表 2 2 2 2" xfId="5973"/>
    <cellStyle name="好_投资估算表 2 2 3" xfId="5974"/>
    <cellStyle name="好_投资估算表 2 3" xfId="5975"/>
    <cellStyle name="好_投资估算表 2 3 2" xfId="5976"/>
    <cellStyle name="好_投资估算表 2 4" xfId="5977"/>
    <cellStyle name="好_投资估算表 2 5" xfId="5978"/>
    <cellStyle name="好_投资估算表 3" xfId="5979"/>
    <cellStyle name="好_投资估算表 3 2" xfId="5980"/>
    <cellStyle name="好_投资估算表 3 2 2" xfId="5981"/>
    <cellStyle name="好_投资估算表 3 3" xfId="5982"/>
    <cellStyle name="好_投资估算表 4" xfId="5983"/>
    <cellStyle name="好_投资估算表 4 2" xfId="5984"/>
    <cellStyle name="好_投资估算表 4 2 2" xfId="5985"/>
    <cellStyle name="好_投资估算表 4 2 2 2" xfId="5986"/>
    <cellStyle name="好_投资估算表 4 2 3" xfId="5987"/>
    <cellStyle name="好_投资估算表 4 3" xfId="5988"/>
    <cellStyle name="好_投资估算表 4 3 2" xfId="5989"/>
    <cellStyle name="好_投资估算表 4 4" xfId="5990"/>
    <cellStyle name="好_投资估算表 5" xfId="5991"/>
    <cellStyle name="好_投资估算表 5 2" xfId="5992"/>
    <cellStyle name="好_投资估算表 5 2 2" xfId="5993"/>
    <cellStyle name="好_投资估算表 5 3" xfId="5994"/>
    <cellStyle name="好_投资估算表 6" xfId="5995"/>
    <cellStyle name="好_投资估算表 6 2" xfId="5996"/>
    <cellStyle name="好_投资估算表 6 2 2" xfId="5997"/>
    <cellStyle name="好_投资估算表 6 3" xfId="5998"/>
    <cellStyle name="好_投资估算表 7" xfId="5999"/>
    <cellStyle name="好_投资估算表 7 2" xfId="6000"/>
    <cellStyle name="好_投资估算表 8" xfId="6001"/>
    <cellStyle name="好_投资估算表_1" xfId="6002"/>
    <cellStyle name="好_投资估算表_1 2" xfId="6003"/>
    <cellStyle name="好_投资估算表_1 2 2" xfId="6004"/>
    <cellStyle name="好_投资估算表_1 3" xfId="6005"/>
    <cellStyle name="好_投资估算及工艺设备（重通）" xfId="6006"/>
    <cellStyle name="好_投资估算及工艺设备（重通） 2" xfId="6007"/>
    <cellStyle name="好_投资估算及工艺设备（重通） 2 2" xfId="6008"/>
    <cellStyle name="好_投资估算及工艺设备（重通） 2 2 2" xfId="6009"/>
    <cellStyle name="好_投资估算及工艺设备（重通） 2 2 2 2" xfId="6010"/>
    <cellStyle name="好_投资估算及工艺设备（重通） 2 2 3" xfId="6011"/>
    <cellStyle name="好_投资估算及工艺设备（重通） 2 3" xfId="6012"/>
    <cellStyle name="好_投资估算及工艺设备（重通） 2 3 2" xfId="6013"/>
    <cellStyle name="好_投资估算及工艺设备（重通） 2 4" xfId="6014"/>
    <cellStyle name="好_投资估算及工艺设备（重通） 2 5" xfId="6015"/>
    <cellStyle name="好_投资估算及工艺设备（重通） 3" xfId="6016"/>
    <cellStyle name="好_投资估算及工艺设备（重通） 3 2" xfId="6017"/>
    <cellStyle name="好_投资估算及工艺设备（重通） 3 2 2" xfId="6018"/>
    <cellStyle name="好_投资估算及工艺设备（重通） 3 3" xfId="6019"/>
    <cellStyle name="好_投资估算及工艺设备（重通） 4" xfId="6020"/>
    <cellStyle name="好_投资估算及工艺设备（重通） 4 2" xfId="6021"/>
    <cellStyle name="好_投资估算及工艺设备（重通） 4 2 2" xfId="6022"/>
    <cellStyle name="好_投资估算及工艺设备（重通） 4 2 2 2" xfId="6023"/>
    <cellStyle name="好_投资估算及工艺设备（重通） 4 2 3" xfId="6024"/>
    <cellStyle name="好_投资估算及工艺设备（重通） 4 3" xfId="6025"/>
    <cellStyle name="好_投资估算及工艺设备（重通） 4 3 2" xfId="6026"/>
    <cellStyle name="好_投资估算及工艺设备（重通） 4 4" xfId="6027"/>
    <cellStyle name="好_投资估算及工艺设备（重通） 5" xfId="6028"/>
    <cellStyle name="好_投资估算及工艺设备（重通） 5 2" xfId="6029"/>
    <cellStyle name="好_投资估算及工艺设备（重通） 5 2 2" xfId="6030"/>
    <cellStyle name="好_投资估算及工艺设备（重通） 5 3" xfId="6031"/>
    <cellStyle name="好_投资估算及工艺设备（重通） 6" xfId="6032"/>
    <cellStyle name="好_投资估算及工艺设备（重通） 6 2" xfId="6033"/>
    <cellStyle name="好_投资估算及工艺设备（重通） 7" xfId="6034"/>
    <cellStyle name="好_新增工艺设备表" xfId="6035"/>
    <cellStyle name="好_新增工艺设备表 2" xfId="6036"/>
    <cellStyle name="好_新增工艺设备表 2 2" xfId="6037"/>
    <cellStyle name="好_新增工艺设备表 2 3" xfId="6038"/>
    <cellStyle name="好_新增工艺设备表 3" xfId="6039"/>
    <cellStyle name="好_新增进口工艺设备表" xfId="6040"/>
    <cellStyle name="好_新增进口工艺设备表 2" xfId="6041"/>
    <cellStyle name="好_新增进口工艺设备表 2 2" xfId="6042"/>
    <cellStyle name="好_新增进口工艺设备表 2 2 2" xfId="6043"/>
    <cellStyle name="好_新增进口工艺设备表 2 2 2 2" xfId="6044"/>
    <cellStyle name="好_新增进口工艺设备表 2 2 3" xfId="6045"/>
    <cellStyle name="好_新增进口工艺设备表 2 3" xfId="6046"/>
    <cellStyle name="好_新增进口工艺设备表 2 3 2" xfId="6047"/>
    <cellStyle name="好_新增进口工艺设备表 2 4" xfId="6048"/>
    <cellStyle name="好_新增进口工艺设备表 3" xfId="6049"/>
    <cellStyle name="好_新增进口工艺设备表 3 2" xfId="6050"/>
    <cellStyle name="好_新增进口工艺设备表 3 2 2" xfId="6051"/>
    <cellStyle name="好_新增进口工艺设备表 3 3" xfId="6052"/>
    <cellStyle name="好_新增进口工艺设备表 4" xfId="6053"/>
    <cellStyle name="好_新增进口工艺设备表 4 2" xfId="6054"/>
    <cellStyle name="好_新增进口工艺设备表 5" xfId="6055"/>
    <cellStyle name="好_招标核准意见表（20100919）" xfId="6056"/>
    <cellStyle name="好_招标核准意见表（20100919） 2" xfId="6057"/>
    <cellStyle name="好_招标核准意见表（20100919） 2 2" xfId="6058"/>
    <cellStyle name="好_招标核准意见表（20100919） 2 2 2" xfId="6059"/>
    <cellStyle name="好_招标核准意见表（20100919） 2 2 2 2" xfId="6060"/>
    <cellStyle name="好_招标核准意见表（20100919） 2 2 3" xfId="6061"/>
    <cellStyle name="好_招标核准意见表（20100919） 2 3" xfId="6062"/>
    <cellStyle name="好_招标核准意见表（20100919） 2 3 2" xfId="6063"/>
    <cellStyle name="好_招标核准意见表（20100919） 2 4" xfId="6064"/>
    <cellStyle name="好_招标核准意见表（20100919） 3" xfId="6065"/>
    <cellStyle name="好_招标核准意见表（20100919） 3 2" xfId="6066"/>
    <cellStyle name="好_招标核准意见表（20100919） 3 2 2" xfId="6067"/>
    <cellStyle name="好_招标核准意见表（20100919） 3 3" xfId="6068"/>
    <cellStyle name="好_招标核准意见表（20100919） 4" xfId="6069"/>
    <cellStyle name="好_招标核准意见表（20100919） 4 2" xfId="6070"/>
    <cellStyle name="好_招标核准意见表（20100919） 5" xfId="6071"/>
    <cellStyle name="好_招标核准意见表（20100919）_新增工艺设备表" xfId="6072"/>
    <cellStyle name="好_招标核准意见表（20100919）_新增工艺设备表 2" xfId="6073"/>
    <cellStyle name="好_招标核准意见表（20100919）_新增工艺设备表 2 2" xfId="6074"/>
    <cellStyle name="好_招标核准意见表（20100919）_新增工艺设备表 3" xfId="6075"/>
    <cellStyle name="后继超级链接_PERSONAL" xfId="6076"/>
    <cellStyle name="汇总" xfId="6077" builtinId="25" customBuiltin="1"/>
    <cellStyle name="汇总 2" xfId="6078"/>
    <cellStyle name="汇总 2 2" xfId="6079"/>
    <cellStyle name="汇总 2 2 2" xfId="6080"/>
    <cellStyle name="汇总 2 2 2 2" xfId="6081"/>
    <cellStyle name="汇总 2 2 3" xfId="6082"/>
    <cellStyle name="汇总 2 2 4" xfId="6083"/>
    <cellStyle name="汇总 2 3" xfId="6084"/>
    <cellStyle name="汇总 2 3 2" xfId="6085"/>
    <cellStyle name="汇总 2 3 2 2" xfId="6086"/>
    <cellStyle name="汇总 2 3 3" xfId="6087"/>
    <cellStyle name="汇总 2 4" xfId="6088"/>
    <cellStyle name="汇总 2 4 2" xfId="6089"/>
    <cellStyle name="汇总 2 5" xfId="6090"/>
    <cellStyle name="汇总 2 5 2" xfId="6091"/>
    <cellStyle name="汇总 2 6" xfId="6092"/>
    <cellStyle name="汇总 3" xfId="6093"/>
    <cellStyle name="汇总 3 2" xfId="6094"/>
    <cellStyle name="汇总 3 2 2" xfId="6095"/>
    <cellStyle name="汇总 3 3" xfId="6096"/>
    <cellStyle name="汇总 3 4" xfId="6097"/>
    <cellStyle name="汇总 4" xfId="6098"/>
    <cellStyle name="汇总 4 2" xfId="6099"/>
    <cellStyle name="汇总 4 2 2" xfId="6100"/>
    <cellStyle name="汇总 4 3" xfId="6101"/>
    <cellStyle name="汇总 5" xfId="6102"/>
    <cellStyle name="货币 2" xfId="6103"/>
    <cellStyle name="货币 2 2" xfId="6104"/>
    <cellStyle name="货币 2 2 2" xfId="6105"/>
    <cellStyle name="货币 2 2 2 2" xfId="6106"/>
    <cellStyle name="货币 2 2 2 2 2" xfId="6107"/>
    <cellStyle name="货币 2 2 2 2 2 2" xfId="6108"/>
    <cellStyle name="货币 2 2 2 2 3" xfId="6109"/>
    <cellStyle name="货币 2 2 2 3" xfId="6110"/>
    <cellStyle name="货币 2 2 2 3 2" xfId="6111"/>
    <cellStyle name="货币 2 2 2 4" xfId="6112"/>
    <cellStyle name="货币 2 2 3" xfId="6113"/>
    <cellStyle name="货币 2 2 3 2" xfId="6114"/>
    <cellStyle name="货币 2 2 3 2 2" xfId="6115"/>
    <cellStyle name="货币 2 2 3 3" xfId="6116"/>
    <cellStyle name="货币 2 2 4" xfId="6117"/>
    <cellStyle name="货币 2 2 4 2" xfId="6118"/>
    <cellStyle name="货币 2 2 4 2 2" xfId="6119"/>
    <cellStyle name="货币 2 2 4 3" xfId="6120"/>
    <cellStyle name="货币 2 2 5" xfId="6121"/>
    <cellStyle name="货币 2 2 5 2" xfId="6122"/>
    <cellStyle name="货币 2 2 5 2 2" xfId="6123"/>
    <cellStyle name="货币 2 2 5 3" xfId="6124"/>
    <cellStyle name="货币 2 2 6" xfId="6125"/>
    <cellStyle name="货币 2 2 6 2" xfId="6126"/>
    <cellStyle name="货币 2 2 7" xfId="6127"/>
    <cellStyle name="货币 2 2 8" xfId="6128"/>
    <cellStyle name="货币 2 3" xfId="6129"/>
    <cellStyle name="货币 2 3 2" xfId="6130"/>
    <cellStyle name="货币 2 3 2 2" xfId="6131"/>
    <cellStyle name="货币 2 3 2 2 2" xfId="6132"/>
    <cellStyle name="货币 2 3 2 3" xfId="6133"/>
    <cellStyle name="货币 2 3 3" xfId="6134"/>
    <cellStyle name="货币 2 3 3 2" xfId="6135"/>
    <cellStyle name="货币 2 3 3 2 2" xfId="6136"/>
    <cellStyle name="货币 2 3 3 3" xfId="6137"/>
    <cellStyle name="货币 2 3 4" xfId="6138"/>
    <cellStyle name="货币 2 3 4 2" xfId="6139"/>
    <cellStyle name="货币 2 3 5" xfId="6140"/>
    <cellStyle name="货币 2 4" xfId="6141"/>
    <cellStyle name="货币 2 4 2" xfId="6142"/>
    <cellStyle name="货币 2 4 2 2" xfId="6143"/>
    <cellStyle name="货币 2 4 3" xfId="6144"/>
    <cellStyle name="货币 2 5" xfId="6145"/>
    <cellStyle name="货币 2 5 2" xfId="6146"/>
    <cellStyle name="货币 2 5 2 2" xfId="6147"/>
    <cellStyle name="货币 2 5 2 2 2" xfId="6148"/>
    <cellStyle name="货币 2 5 2 3" xfId="6149"/>
    <cellStyle name="货币 2 5 3" xfId="6150"/>
    <cellStyle name="货币 2 5 3 2" xfId="6151"/>
    <cellStyle name="货币 2 5 4" xfId="6152"/>
    <cellStyle name="货币 2 6" xfId="6153"/>
    <cellStyle name="货币 2 6 2" xfId="6154"/>
    <cellStyle name="货币 2 6 2 2" xfId="6155"/>
    <cellStyle name="货币 2 6 3" xfId="6156"/>
    <cellStyle name="货币 2 7" xfId="6157"/>
    <cellStyle name="货币 2 7 2" xfId="6158"/>
    <cellStyle name="货币 2 8" xfId="6159"/>
    <cellStyle name="货币 2 9" xfId="6160"/>
    <cellStyle name="货币 3" xfId="6161"/>
    <cellStyle name="货币 3 2" xfId="6162"/>
    <cellStyle name="货币 3 2 2" xfId="6163"/>
    <cellStyle name="货币 3 2 2 2" xfId="6164"/>
    <cellStyle name="货币 3 2 2 2 2" xfId="6165"/>
    <cellStyle name="货币 3 2 2 3" xfId="6166"/>
    <cellStyle name="货币 3 2 2 4" xfId="6167"/>
    <cellStyle name="货币 3 2 3" xfId="6168"/>
    <cellStyle name="货币 3 2 3 2" xfId="6169"/>
    <cellStyle name="货币 3 2 3 2 2" xfId="6170"/>
    <cellStyle name="货币 3 2 3 3" xfId="6171"/>
    <cellStyle name="货币 3 2 4" xfId="6172"/>
    <cellStyle name="货币 3 2 4 2" xfId="6173"/>
    <cellStyle name="货币 3 2 5" xfId="6174"/>
    <cellStyle name="货币 3 2 6" xfId="6175"/>
    <cellStyle name="货币 3 3" xfId="6176"/>
    <cellStyle name="货币 3 3 2" xfId="6177"/>
    <cellStyle name="货币 3 3 2 2" xfId="6178"/>
    <cellStyle name="货币 3 3 3" xfId="6179"/>
    <cellStyle name="货币 3 3 4" xfId="6180"/>
    <cellStyle name="货币 3 4" xfId="6181"/>
    <cellStyle name="货币 3 4 2" xfId="6182"/>
    <cellStyle name="货币 3 4 2 2" xfId="6183"/>
    <cellStyle name="货币 3 4 3" xfId="6184"/>
    <cellStyle name="货币 3 5" xfId="6185"/>
    <cellStyle name="货币 3 5 2" xfId="6186"/>
    <cellStyle name="货币 3 5 2 2" xfId="6187"/>
    <cellStyle name="货币 3 5 2 2 2" xfId="6188"/>
    <cellStyle name="货币 3 5 2 3" xfId="6189"/>
    <cellStyle name="货币 3 5 3" xfId="6190"/>
    <cellStyle name="货币 3 5 3 2" xfId="6191"/>
    <cellStyle name="货币 3 5 4" xfId="6192"/>
    <cellStyle name="货币 3 6" xfId="6193"/>
    <cellStyle name="货币 3 6 2" xfId="6194"/>
    <cellStyle name="货币 3 7" xfId="6195"/>
    <cellStyle name="货币 3 8" xfId="6196"/>
    <cellStyle name="货币 4" xfId="6197"/>
    <cellStyle name="货币 4 2" xfId="6198"/>
    <cellStyle name="货币 4 2 2" xfId="6199"/>
    <cellStyle name="货币 4 3" xfId="6200"/>
    <cellStyle name="计算" xfId="6201" builtinId="22" customBuiltin="1"/>
    <cellStyle name="计算 2" xfId="6202"/>
    <cellStyle name="计算 2 2" xfId="6203"/>
    <cellStyle name="计算 2 2 2" xfId="6204"/>
    <cellStyle name="计算 2 2 2 2" xfId="6205"/>
    <cellStyle name="计算 2 2 3" xfId="6206"/>
    <cellStyle name="计算 2 2 4" xfId="6207"/>
    <cellStyle name="计算 2 3" xfId="6208"/>
    <cellStyle name="计算 2 3 2" xfId="6209"/>
    <cellStyle name="计算 2 3 2 2" xfId="6210"/>
    <cellStyle name="计算 2 3 3" xfId="6211"/>
    <cellStyle name="计算 2 4" xfId="6212"/>
    <cellStyle name="计算 2 4 2" xfId="6213"/>
    <cellStyle name="计算 2 5" xfId="6214"/>
    <cellStyle name="计算 2 5 2" xfId="6215"/>
    <cellStyle name="计算 2 6" xfId="6216"/>
    <cellStyle name="计算 3" xfId="6217"/>
    <cellStyle name="计算 3 2" xfId="6218"/>
    <cellStyle name="计算 3 2 2" xfId="6219"/>
    <cellStyle name="计算 3 2 2 2" xfId="6220"/>
    <cellStyle name="计算 3 2 3" xfId="6221"/>
    <cellStyle name="计算 3 3" xfId="6222"/>
    <cellStyle name="计算 3 3 2" xfId="6223"/>
    <cellStyle name="计算 3 4" xfId="6224"/>
    <cellStyle name="计算 3 5" xfId="6225"/>
    <cellStyle name="计算 4" xfId="6226"/>
    <cellStyle name="计算 4 2" xfId="6227"/>
    <cellStyle name="计算 4 2 2" xfId="6228"/>
    <cellStyle name="计算 4 2 2 2" xfId="6229"/>
    <cellStyle name="计算 4 2 3" xfId="6230"/>
    <cellStyle name="计算 4 3" xfId="6231"/>
    <cellStyle name="计算 4 3 2" xfId="6232"/>
    <cellStyle name="计算 4 4" xfId="6233"/>
    <cellStyle name="计算 5" xfId="6234"/>
    <cellStyle name="计算 5 2" xfId="6235"/>
    <cellStyle name="计算 5 2 2" xfId="6236"/>
    <cellStyle name="计算 5 3" xfId="6237"/>
    <cellStyle name="计算 6" xfId="6238"/>
    <cellStyle name="检查单元格" xfId="6239" builtinId="23" customBuiltin="1"/>
    <cellStyle name="检查单元格 2" xfId="6240"/>
    <cellStyle name="检查单元格 2 2" xfId="6241"/>
    <cellStyle name="检查单元格 2 2 2" xfId="6242"/>
    <cellStyle name="检查单元格 2 2 2 2" xfId="6243"/>
    <cellStyle name="检查单元格 2 2 3" xfId="6244"/>
    <cellStyle name="检查单元格 2 2 4" xfId="6245"/>
    <cellStyle name="检查单元格 2 3" xfId="6246"/>
    <cellStyle name="检查单元格 2 3 2" xfId="6247"/>
    <cellStyle name="检查单元格 2 3 2 2" xfId="6248"/>
    <cellStyle name="检查单元格 2 3 3" xfId="6249"/>
    <cellStyle name="检查单元格 2 4" xfId="6250"/>
    <cellStyle name="检查单元格 2 4 2" xfId="6251"/>
    <cellStyle name="检查单元格 2 5" xfId="6252"/>
    <cellStyle name="检查单元格 2 5 2" xfId="6253"/>
    <cellStyle name="检查单元格 2 6" xfId="6254"/>
    <cellStyle name="检查单元格 3" xfId="6255"/>
    <cellStyle name="检查单元格 3 2" xfId="6256"/>
    <cellStyle name="检查单元格 3 2 2" xfId="6257"/>
    <cellStyle name="检查单元格 3 2 2 2" xfId="6258"/>
    <cellStyle name="检查单元格 3 2 3" xfId="6259"/>
    <cellStyle name="检查单元格 3 3" xfId="6260"/>
    <cellStyle name="检查单元格 3 3 2" xfId="6261"/>
    <cellStyle name="检查单元格 3 4" xfId="6262"/>
    <cellStyle name="检查单元格 3 5" xfId="6263"/>
    <cellStyle name="检查单元格 4" xfId="6264"/>
    <cellStyle name="检查单元格 4 2" xfId="6265"/>
    <cellStyle name="检查单元格 4 2 2" xfId="6266"/>
    <cellStyle name="检查单元格 4 2 2 2" xfId="6267"/>
    <cellStyle name="检查单元格 4 2 3" xfId="6268"/>
    <cellStyle name="检查单元格 4 3" xfId="6269"/>
    <cellStyle name="检查单元格 4 3 2" xfId="6270"/>
    <cellStyle name="检查单元格 4 4" xfId="6271"/>
    <cellStyle name="检查单元格 5" xfId="6272"/>
    <cellStyle name="检查单元格 5 2" xfId="6273"/>
    <cellStyle name="检查单元格 5 2 2" xfId="6274"/>
    <cellStyle name="检查单元格 5 3" xfId="6275"/>
    <cellStyle name="检查单元格 6" xfId="6276"/>
    <cellStyle name="解释性文本" xfId="6277" builtinId="53" customBuiltin="1"/>
    <cellStyle name="解释性文本 2" xfId="6278"/>
    <cellStyle name="解释性文本 2 2" xfId="6279"/>
    <cellStyle name="解释性文本 2 2 2" xfId="6280"/>
    <cellStyle name="解释性文本 2 2 2 2" xfId="6281"/>
    <cellStyle name="解释性文本 2 2 3" xfId="6282"/>
    <cellStyle name="解释性文本 2 2 4" xfId="6283"/>
    <cellStyle name="解释性文本 2 3" xfId="6284"/>
    <cellStyle name="解释性文本 2 3 2" xfId="6285"/>
    <cellStyle name="解释性文本 2 3 2 2" xfId="6286"/>
    <cellStyle name="解释性文本 2 3 3" xfId="6287"/>
    <cellStyle name="解释性文本 2 4" xfId="6288"/>
    <cellStyle name="解释性文本 2 4 2" xfId="6289"/>
    <cellStyle name="解释性文本 2 5" xfId="6290"/>
    <cellStyle name="解释性文本 2 5 2" xfId="6291"/>
    <cellStyle name="解释性文本 2 6" xfId="6292"/>
    <cellStyle name="解释性文本 3" xfId="6293"/>
    <cellStyle name="解释性文本 3 2" xfId="6294"/>
    <cellStyle name="解释性文本 3 2 2" xfId="6295"/>
    <cellStyle name="解释性文本 3 3" xfId="6296"/>
    <cellStyle name="解释性文本 3 4" xfId="6297"/>
    <cellStyle name="解释性文本 4" xfId="6298"/>
    <cellStyle name="解释性文本 4 2" xfId="6299"/>
    <cellStyle name="解释性文本 4 2 2" xfId="6300"/>
    <cellStyle name="解释性文本 4 3" xfId="6301"/>
    <cellStyle name="解释性文本 5" xfId="6302"/>
    <cellStyle name="借出原因" xfId="6303"/>
    <cellStyle name="警告文本" xfId="6304" builtinId="11" customBuiltin="1"/>
    <cellStyle name="警告文本 2" xfId="6305"/>
    <cellStyle name="警告文本 2 2" xfId="6306"/>
    <cellStyle name="警告文本 2 2 2" xfId="6307"/>
    <cellStyle name="警告文本 2 2 2 2" xfId="6308"/>
    <cellStyle name="警告文本 2 2 3" xfId="6309"/>
    <cellStyle name="警告文本 2 2 4" xfId="6310"/>
    <cellStyle name="警告文本 2 3" xfId="6311"/>
    <cellStyle name="警告文本 2 3 2" xfId="6312"/>
    <cellStyle name="警告文本 2 3 2 2" xfId="6313"/>
    <cellStyle name="警告文本 2 3 3" xfId="6314"/>
    <cellStyle name="警告文本 2 4" xfId="6315"/>
    <cellStyle name="警告文本 2 4 2" xfId="6316"/>
    <cellStyle name="警告文本 2 5" xfId="6317"/>
    <cellStyle name="警告文本 2 5 2" xfId="6318"/>
    <cellStyle name="警告文本 2 6" xfId="6319"/>
    <cellStyle name="警告文本 3" xfId="6320"/>
    <cellStyle name="警告文本 3 2" xfId="6321"/>
    <cellStyle name="警告文本 3 2 2" xfId="6322"/>
    <cellStyle name="警告文本 3 3" xfId="6323"/>
    <cellStyle name="警告文本 3 4" xfId="6324"/>
    <cellStyle name="警告文本 4" xfId="6325"/>
    <cellStyle name="警告文本 4 2" xfId="6326"/>
    <cellStyle name="警告文本 4 2 2" xfId="6327"/>
    <cellStyle name="警告文本 4 3" xfId="6328"/>
    <cellStyle name="警告文本 5" xfId="6329"/>
    <cellStyle name="链接单元格" xfId="6330" builtinId="24" customBuiltin="1"/>
    <cellStyle name="链接单元格 2" xfId="6331"/>
    <cellStyle name="链接单元格 2 2" xfId="6332"/>
    <cellStyle name="链接单元格 2 2 2" xfId="6333"/>
    <cellStyle name="链接单元格 2 2 2 2" xfId="6334"/>
    <cellStyle name="链接单元格 2 2 3" xfId="6335"/>
    <cellStyle name="链接单元格 2 2 4" xfId="6336"/>
    <cellStyle name="链接单元格 2 3" xfId="6337"/>
    <cellStyle name="链接单元格 2 3 2" xfId="6338"/>
    <cellStyle name="链接单元格 2 3 2 2" xfId="6339"/>
    <cellStyle name="链接单元格 2 3 3" xfId="6340"/>
    <cellStyle name="链接单元格 2 4" xfId="6341"/>
    <cellStyle name="链接单元格 2 4 2" xfId="6342"/>
    <cellStyle name="链接单元格 2 5" xfId="6343"/>
    <cellStyle name="链接单元格 2 5 2" xfId="6344"/>
    <cellStyle name="链接单元格 2 6" xfId="6345"/>
    <cellStyle name="链接单元格 3" xfId="6346"/>
    <cellStyle name="链接单元格 3 2" xfId="6347"/>
    <cellStyle name="链接单元格 3 2 2" xfId="6348"/>
    <cellStyle name="链接单元格 3 3" xfId="6349"/>
    <cellStyle name="链接单元格 3 4" xfId="6350"/>
    <cellStyle name="链接单元格 4" xfId="6351"/>
    <cellStyle name="链接单元格 4 2" xfId="6352"/>
    <cellStyle name="链接单元格 4 2 2" xfId="6353"/>
    <cellStyle name="链接单元格 4 3" xfId="6354"/>
    <cellStyle name="链接单元格 5" xfId="6355"/>
    <cellStyle name="콤마 [0]_BOILER-CO1" xfId="6356"/>
    <cellStyle name="콤마_BOILER-CO1" xfId="6357"/>
    <cellStyle name="통화 [0]_BOILER-CO1" xfId="6358"/>
    <cellStyle name="통화_BOILER-CO1" xfId="6359"/>
    <cellStyle name="표준_0N-HANDLING " xfId="6360"/>
    <cellStyle name="霓付 [0]_97MBO" xfId="6361"/>
    <cellStyle name="霓付_97MBO" xfId="6362"/>
    <cellStyle name="烹拳 [0]_97MBO" xfId="6363"/>
    <cellStyle name="烹拳_97MBO" xfId="6364"/>
    <cellStyle name="普通_ 白土" xfId="6365"/>
    <cellStyle name="千分位[0]_ 白土" xfId="6366"/>
    <cellStyle name="千分位_ 白土" xfId="6367"/>
    <cellStyle name="千位[0]_ 方正PC" xfId="6368"/>
    <cellStyle name="千位_ 方正PC" xfId="6369"/>
    <cellStyle name="千位分隔 2" xfId="6370"/>
    <cellStyle name="千位分隔 2 2" xfId="6371"/>
    <cellStyle name="千位分隔 2 2 2" xfId="6372"/>
    <cellStyle name="千位分隔 2 2 2 2" xfId="6373"/>
    <cellStyle name="千位分隔 2 2 2 2 2" xfId="6374"/>
    <cellStyle name="千位分隔 2 2 2 3" xfId="6375"/>
    <cellStyle name="千位分隔 2 2 3" xfId="6376"/>
    <cellStyle name="千位分隔 2 2 3 2" xfId="6377"/>
    <cellStyle name="千位分隔 2 2 3 2 2" xfId="6378"/>
    <cellStyle name="千位分隔 2 2 3 3" xfId="6379"/>
    <cellStyle name="千位分隔 2 2 4" xfId="6380"/>
    <cellStyle name="千位分隔 2 2 4 2" xfId="6381"/>
    <cellStyle name="千位分隔 2 2 5" xfId="6382"/>
    <cellStyle name="千位分隔 2 3" xfId="6383"/>
    <cellStyle name="千位分隔 2 3 2" xfId="6384"/>
    <cellStyle name="千位分隔 2 3 2 2" xfId="6385"/>
    <cellStyle name="千位分隔 2 3 2 2 2" xfId="6386"/>
    <cellStyle name="千位分隔 2 3 2 3" xfId="6387"/>
    <cellStyle name="千位分隔 2 3 3" xfId="6388"/>
    <cellStyle name="千位分隔 2 3 3 2" xfId="6389"/>
    <cellStyle name="千位分隔 2 3 4" xfId="6390"/>
    <cellStyle name="千位分隔 2 4" xfId="6391"/>
    <cellStyle name="千位分隔 2 4 2" xfId="6392"/>
    <cellStyle name="千位分隔 2 4 2 2" xfId="6393"/>
    <cellStyle name="千位分隔 2 4 2 2 2" xfId="6394"/>
    <cellStyle name="千位分隔 2 4 2 3" xfId="6395"/>
    <cellStyle name="千位分隔 2 4 3" xfId="6396"/>
    <cellStyle name="千位分隔 2 4 3 2" xfId="6397"/>
    <cellStyle name="千位分隔 2 4 4" xfId="6398"/>
    <cellStyle name="千位分隔 2 5" xfId="6399"/>
    <cellStyle name="千位分隔 2 5 2" xfId="6400"/>
    <cellStyle name="千位分隔 2 5 2 2" xfId="6401"/>
    <cellStyle name="千位分隔 2 5 3" xfId="6402"/>
    <cellStyle name="千位分隔 2 6" xfId="6403"/>
    <cellStyle name="千位分隔 2 6 2" xfId="6404"/>
    <cellStyle name="千位分隔 2 7" xfId="6405"/>
    <cellStyle name="千位分隔 3" xfId="6406"/>
    <cellStyle name="千位分隔 3 2" xfId="6407"/>
    <cellStyle name="千位分隔 3 2 2" xfId="6408"/>
    <cellStyle name="千位分隔 3 3" xfId="6409"/>
    <cellStyle name="钎霖_laroux" xfId="6410"/>
    <cellStyle name="强调文字颜色 1" xfId="6411" builtinId="29" customBuiltin="1"/>
    <cellStyle name="强调文字颜色 1 2" xfId="6412"/>
    <cellStyle name="强调文字颜色 1 2 2" xfId="6413"/>
    <cellStyle name="强调文字颜色 1 2 2 2" xfId="6414"/>
    <cellStyle name="强调文字颜色 1 2 2 2 2" xfId="6415"/>
    <cellStyle name="强调文字颜色 1 2 2 3" xfId="6416"/>
    <cellStyle name="强调文字颜色 1 2 2 4" xfId="6417"/>
    <cellStyle name="强调文字颜色 1 2 3" xfId="6418"/>
    <cellStyle name="强调文字颜色 1 2 3 2" xfId="6419"/>
    <cellStyle name="强调文字颜色 1 2 3 2 2" xfId="6420"/>
    <cellStyle name="强调文字颜色 1 2 3 3" xfId="6421"/>
    <cellStyle name="强调文字颜色 1 2 4" xfId="6422"/>
    <cellStyle name="强调文字颜色 1 2 4 2" xfId="6423"/>
    <cellStyle name="强调文字颜色 1 2 5" xfId="6424"/>
    <cellStyle name="强调文字颜色 1 2 5 2" xfId="6425"/>
    <cellStyle name="强调文字颜色 1 2 6" xfId="6426"/>
    <cellStyle name="强调文字颜色 1 3" xfId="6427"/>
    <cellStyle name="强调文字颜色 1 3 2" xfId="6428"/>
    <cellStyle name="强调文字颜色 1 3 2 2" xfId="6429"/>
    <cellStyle name="强调文字颜色 1 3 2 2 2" xfId="6430"/>
    <cellStyle name="强调文字颜色 1 3 2 3" xfId="6431"/>
    <cellStyle name="强调文字颜色 1 3 3" xfId="6432"/>
    <cellStyle name="强调文字颜色 1 3 3 2" xfId="6433"/>
    <cellStyle name="强调文字颜色 1 3 4" xfId="6434"/>
    <cellStyle name="强调文字颜色 1 3 4 2" xfId="6435"/>
    <cellStyle name="强调文字颜色 1 3 5" xfId="6436"/>
    <cellStyle name="强调文字颜色 1 3 6" xfId="6437"/>
    <cellStyle name="强调文字颜色 1 4" xfId="6438"/>
    <cellStyle name="强调文字颜色 1 4 2" xfId="6439"/>
    <cellStyle name="强调文字颜色 1 4 2 2" xfId="6440"/>
    <cellStyle name="强调文字颜色 1 4 2 2 2" xfId="6441"/>
    <cellStyle name="强调文字颜色 1 4 2 3" xfId="6442"/>
    <cellStyle name="强调文字颜色 1 4 3" xfId="6443"/>
    <cellStyle name="强调文字颜色 1 4 3 2" xfId="6444"/>
    <cellStyle name="强调文字颜色 1 4 4" xfId="6445"/>
    <cellStyle name="强调文字颜色 1 5" xfId="6446"/>
    <cellStyle name="强调文字颜色 1 5 2" xfId="6447"/>
    <cellStyle name="强调文字颜色 1 5 2 2" xfId="6448"/>
    <cellStyle name="强调文字颜色 1 5 3" xfId="6449"/>
    <cellStyle name="强调文字颜色 1 6" xfId="6450"/>
    <cellStyle name="强调文字颜色 2" xfId="6451" builtinId="33" customBuiltin="1"/>
    <cellStyle name="强调文字颜色 2 2" xfId="6452"/>
    <cellStyle name="强调文字颜色 2 2 2" xfId="6453"/>
    <cellStyle name="强调文字颜色 2 2 2 2" xfId="6454"/>
    <cellStyle name="强调文字颜色 2 2 2 2 2" xfId="6455"/>
    <cellStyle name="强调文字颜色 2 2 2 3" xfId="6456"/>
    <cellStyle name="强调文字颜色 2 2 2 4" xfId="6457"/>
    <cellStyle name="强调文字颜色 2 2 3" xfId="6458"/>
    <cellStyle name="强调文字颜色 2 2 3 2" xfId="6459"/>
    <cellStyle name="强调文字颜色 2 2 3 2 2" xfId="6460"/>
    <cellStyle name="强调文字颜色 2 2 3 3" xfId="6461"/>
    <cellStyle name="强调文字颜色 2 2 4" xfId="6462"/>
    <cellStyle name="强调文字颜色 2 2 4 2" xfId="6463"/>
    <cellStyle name="强调文字颜色 2 2 5" xfId="6464"/>
    <cellStyle name="强调文字颜色 2 2 5 2" xfId="6465"/>
    <cellStyle name="强调文字颜色 2 2 6" xfId="6466"/>
    <cellStyle name="强调文字颜色 2 3" xfId="6467"/>
    <cellStyle name="强调文字颜色 2 3 2" xfId="6468"/>
    <cellStyle name="强调文字颜色 2 3 2 2" xfId="6469"/>
    <cellStyle name="强调文字颜色 2 3 2 2 2" xfId="6470"/>
    <cellStyle name="强调文字颜色 2 3 2 3" xfId="6471"/>
    <cellStyle name="强调文字颜色 2 3 3" xfId="6472"/>
    <cellStyle name="强调文字颜色 2 3 3 2" xfId="6473"/>
    <cellStyle name="强调文字颜色 2 3 4" xfId="6474"/>
    <cellStyle name="强调文字颜色 2 3 4 2" xfId="6475"/>
    <cellStyle name="强调文字颜色 2 3 5" xfId="6476"/>
    <cellStyle name="强调文字颜色 2 3 6" xfId="6477"/>
    <cellStyle name="强调文字颜色 2 4" xfId="6478"/>
    <cellStyle name="强调文字颜色 2 4 2" xfId="6479"/>
    <cellStyle name="强调文字颜色 2 4 2 2" xfId="6480"/>
    <cellStyle name="强调文字颜色 2 4 2 2 2" xfId="6481"/>
    <cellStyle name="强调文字颜色 2 4 2 3" xfId="6482"/>
    <cellStyle name="强调文字颜色 2 4 3" xfId="6483"/>
    <cellStyle name="强调文字颜色 2 4 3 2" xfId="6484"/>
    <cellStyle name="强调文字颜色 2 4 4" xfId="6485"/>
    <cellStyle name="强调文字颜色 2 5" xfId="6486"/>
    <cellStyle name="强调文字颜色 2 5 2" xfId="6487"/>
    <cellStyle name="强调文字颜色 2 5 2 2" xfId="6488"/>
    <cellStyle name="强调文字颜色 2 5 3" xfId="6489"/>
    <cellStyle name="强调文字颜色 2 6" xfId="6490"/>
    <cellStyle name="强调文字颜色 3" xfId="6491" builtinId="37" customBuiltin="1"/>
    <cellStyle name="强调文字颜色 3 2" xfId="6492"/>
    <cellStyle name="强调文字颜色 3 2 2" xfId="6493"/>
    <cellStyle name="强调文字颜色 3 2 2 2" xfId="6494"/>
    <cellStyle name="强调文字颜色 3 2 2 2 2" xfId="6495"/>
    <cellStyle name="强调文字颜色 3 2 2 3" xfId="6496"/>
    <cellStyle name="强调文字颜色 3 2 2 4" xfId="6497"/>
    <cellStyle name="强调文字颜色 3 2 3" xfId="6498"/>
    <cellStyle name="强调文字颜色 3 2 3 2" xfId="6499"/>
    <cellStyle name="强调文字颜色 3 2 3 2 2" xfId="6500"/>
    <cellStyle name="强调文字颜色 3 2 3 3" xfId="6501"/>
    <cellStyle name="强调文字颜色 3 2 4" xfId="6502"/>
    <cellStyle name="强调文字颜色 3 2 4 2" xfId="6503"/>
    <cellStyle name="强调文字颜色 3 2 5" xfId="6504"/>
    <cellStyle name="强调文字颜色 3 2 5 2" xfId="6505"/>
    <cellStyle name="强调文字颜色 3 2 6" xfId="6506"/>
    <cellStyle name="强调文字颜色 3 3" xfId="6507"/>
    <cellStyle name="强调文字颜色 3 3 2" xfId="6508"/>
    <cellStyle name="强调文字颜色 3 3 2 2" xfId="6509"/>
    <cellStyle name="强调文字颜色 3 3 2 2 2" xfId="6510"/>
    <cellStyle name="强调文字颜色 3 3 2 3" xfId="6511"/>
    <cellStyle name="强调文字颜色 3 3 3" xfId="6512"/>
    <cellStyle name="强调文字颜色 3 3 3 2" xfId="6513"/>
    <cellStyle name="强调文字颜色 3 3 4" xfId="6514"/>
    <cellStyle name="强调文字颜色 3 3 4 2" xfId="6515"/>
    <cellStyle name="强调文字颜色 3 3 5" xfId="6516"/>
    <cellStyle name="强调文字颜色 3 3 6" xfId="6517"/>
    <cellStyle name="强调文字颜色 3 4" xfId="6518"/>
    <cellStyle name="强调文字颜色 3 4 2" xfId="6519"/>
    <cellStyle name="强调文字颜色 3 4 2 2" xfId="6520"/>
    <cellStyle name="强调文字颜色 3 4 2 2 2" xfId="6521"/>
    <cellStyle name="强调文字颜色 3 4 2 3" xfId="6522"/>
    <cellStyle name="强调文字颜色 3 4 3" xfId="6523"/>
    <cellStyle name="强调文字颜色 3 4 3 2" xfId="6524"/>
    <cellStyle name="强调文字颜色 3 4 4" xfId="6525"/>
    <cellStyle name="强调文字颜色 3 5" xfId="6526"/>
    <cellStyle name="强调文字颜色 3 5 2" xfId="6527"/>
    <cellStyle name="强调文字颜色 3 5 2 2" xfId="6528"/>
    <cellStyle name="强调文字颜色 3 5 3" xfId="6529"/>
    <cellStyle name="强调文字颜色 3 6" xfId="6530"/>
    <cellStyle name="强调文字颜色 4" xfId="6531" builtinId="41" customBuiltin="1"/>
    <cellStyle name="强调文字颜色 4 2" xfId="6532"/>
    <cellStyle name="强调文字颜色 4 2 2" xfId="6533"/>
    <cellStyle name="强调文字颜色 4 2 2 2" xfId="6534"/>
    <cellStyle name="强调文字颜色 4 2 2 2 2" xfId="6535"/>
    <cellStyle name="强调文字颜色 4 2 2 3" xfId="6536"/>
    <cellStyle name="强调文字颜色 4 2 2 4" xfId="6537"/>
    <cellStyle name="强调文字颜色 4 2 3" xfId="6538"/>
    <cellStyle name="强调文字颜色 4 2 3 2" xfId="6539"/>
    <cellStyle name="强调文字颜色 4 2 3 2 2" xfId="6540"/>
    <cellStyle name="强调文字颜色 4 2 3 3" xfId="6541"/>
    <cellStyle name="强调文字颜色 4 2 4" xfId="6542"/>
    <cellStyle name="强调文字颜色 4 2 4 2" xfId="6543"/>
    <cellStyle name="强调文字颜色 4 2 5" xfId="6544"/>
    <cellStyle name="强调文字颜色 4 2 5 2" xfId="6545"/>
    <cellStyle name="强调文字颜色 4 2 6" xfId="6546"/>
    <cellStyle name="强调文字颜色 4 3" xfId="6547"/>
    <cellStyle name="强调文字颜色 4 3 2" xfId="6548"/>
    <cellStyle name="强调文字颜色 4 3 2 2" xfId="6549"/>
    <cellStyle name="强调文字颜色 4 3 2 2 2" xfId="6550"/>
    <cellStyle name="强调文字颜色 4 3 2 3" xfId="6551"/>
    <cellStyle name="强调文字颜色 4 3 3" xfId="6552"/>
    <cellStyle name="强调文字颜色 4 3 3 2" xfId="6553"/>
    <cellStyle name="强调文字颜色 4 3 4" xfId="6554"/>
    <cellStyle name="强调文字颜色 4 3 4 2" xfId="6555"/>
    <cellStyle name="强调文字颜色 4 3 5" xfId="6556"/>
    <cellStyle name="强调文字颜色 4 3 6" xfId="6557"/>
    <cellStyle name="强调文字颜色 4 4" xfId="6558"/>
    <cellStyle name="强调文字颜色 4 4 2" xfId="6559"/>
    <cellStyle name="强调文字颜色 4 4 2 2" xfId="6560"/>
    <cellStyle name="强调文字颜色 4 4 2 2 2" xfId="6561"/>
    <cellStyle name="强调文字颜色 4 4 2 3" xfId="6562"/>
    <cellStyle name="强调文字颜色 4 4 3" xfId="6563"/>
    <cellStyle name="强调文字颜色 4 4 3 2" xfId="6564"/>
    <cellStyle name="强调文字颜色 4 4 4" xfId="6565"/>
    <cellStyle name="强调文字颜色 4 5" xfId="6566"/>
    <cellStyle name="强调文字颜色 4 5 2" xfId="6567"/>
    <cellStyle name="强调文字颜色 4 5 2 2" xfId="6568"/>
    <cellStyle name="强调文字颜色 4 5 3" xfId="6569"/>
    <cellStyle name="强调文字颜色 4 6" xfId="6570"/>
    <cellStyle name="强调文字颜色 5" xfId="6571" builtinId="45" customBuiltin="1"/>
    <cellStyle name="强调文字颜色 5 2" xfId="6572"/>
    <cellStyle name="强调文字颜色 5 2 2" xfId="6573"/>
    <cellStyle name="强调文字颜色 5 2 2 2" xfId="6574"/>
    <cellStyle name="强调文字颜色 5 2 2 2 2" xfId="6575"/>
    <cellStyle name="强调文字颜色 5 2 2 3" xfId="6576"/>
    <cellStyle name="强调文字颜色 5 2 2 4" xfId="6577"/>
    <cellStyle name="强调文字颜色 5 2 3" xfId="6578"/>
    <cellStyle name="强调文字颜色 5 2 3 2" xfId="6579"/>
    <cellStyle name="强调文字颜色 5 2 3 2 2" xfId="6580"/>
    <cellStyle name="强调文字颜色 5 2 3 3" xfId="6581"/>
    <cellStyle name="强调文字颜色 5 2 4" xfId="6582"/>
    <cellStyle name="强调文字颜色 5 2 4 2" xfId="6583"/>
    <cellStyle name="强调文字颜色 5 2 5" xfId="6584"/>
    <cellStyle name="强调文字颜色 5 2 5 2" xfId="6585"/>
    <cellStyle name="强调文字颜色 5 2 6" xfId="6586"/>
    <cellStyle name="强调文字颜色 5 3" xfId="6587"/>
    <cellStyle name="强调文字颜色 5 3 2" xfId="6588"/>
    <cellStyle name="强调文字颜色 5 3 2 2" xfId="6589"/>
    <cellStyle name="强调文字颜色 5 3 2 2 2" xfId="6590"/>
    <cellStyle name="强调文字颜色 5 3 2 3" xfId="6591"/>
    <cellStyle name="强调文字颜色 5 3 3" xfId="6592"/>
    <cellStyle name="强调文字颜色 5 3 3 2" xfId="6593"/>
    <cellStyle name="强调文字颜色 5 3 4" xfId="6594"/>
    <cellStyle name="强调文字颜色 5 3 4 2" xfId="6595"/>
    <cellStyle name="强调文字颜色 5 3 5" xfId="6596"/>
    <cellStyle name="强调文字颜色 5 3 6" xfId="6597"/>
    <cellStyle name="强调文字颜色 5 4" xfId="6598"/>
    <cellStyle name="强调文字颜色 5 4 2" xfId="6599"/>
    <cellStyle name="强调文字颜色 5 4 2 2" xfId="6600"/>
    <cellStyle name="强调文字颜色 5 4 2 2 2" xfId="6601"/>
    <cellStyle name="强调文字颜色 5 4 2 3" xfId="6602"/>
    <cellStyle name="强调文字颜色 5 4 3" xfId="6603"/>
    <cellStyle name="强调文字颜色 5 4 3 2" xfId="6604"/>
    <cellStyle name="强调文字颜色 5 4 4" xfId="6605"/>
    <cellStyle name="强调文字颜色 5 5" xfId="6606"/>
    <cellStyle name="强调文字颜色 5 5 2" xfId="6607"/>
    <cellStyle name="强调文字颜色 5 5 2 2" xfId="6608"/>
    <cellStyle name="强调文字颜色 5 5 3" xfId="6609"/>
    <cellStyle name="强调文字颜色 5 6" xfId="6610"/>
    <cellStyle name="强调文字颜色 6" xfId="6611" builtinId="49" customBuiltin="1"/>
    <cellStyle name="强调文字颜色 6 2" xfId="6612"/>
    <cellStyle name="强调文字颜色 6 2 2" xfId="6613"/>
    <cellStyle name="强调文字颜色 6 2 2 2" xfId="6614"/>
    <cellStyle name="强调文字颜色 6 2 2 2 2" xfId="6615"/>
    <cellStyle name="强调文字颜色 6 2 2 3" xfId="6616"/>
    <cellStyle name="强调文字颜色 6 2 2 4" xfId="6617"/>
    <cellStyle name="强调文字颜色 6 2 3" xfId="6618"/>
    <cellStyle name="强调文字颜色 6 2 3 2" xfId="6619"/>
    <cellStyle name="强调文字颜色 6 2 3 2 2" xfId="6620"/>
    <cellStyle name="强调文字颜色 6 2 3 3" xfId="6621"/>
    <cellStyle name="强调文字颜色 6 2 4" xfId="6622"/>
    <cellStyle name="强调文字颜色 6 2 4 2" xfId="6623"/>
    <cellStyle name="强调文字颜色 6 2 5" xfId="6624"/>
    <cellStyle name="强调文字颜色 6 2 5 2" xfId="6625"/>
    <cellStyle name="强调文字颜色 6 2 6" xfId="6626"/>
    <cellStyle name="强调文字颜色 6 3" xfId="6627"/>
    <cellStyle name="强调文字颜色 6 3 2" xfId="6628"/>
    <cellStyle name="强调文字颜色 6 3 2 2" xfId="6629"/>
    <cellStyle name="强调文字颜色 6 3 2 2 2" xfId="6630"/>
    <cellStyle name="强调文字颜色 6 3 2 3" xfId="6631"/>
    <cellStyle name="强调文字颜色 6 3 3" xfId="6632"/>
    <cellStyle name="强调文字颜色 6 3 3 2" xfId="6633"/>
    <cellStyle name="强调文字颜色 6 3 4" xfId="6634"/>
    <cellStyle name="强调文字颜色 6 3 4 2" xfId="6635"/>
    <cellStyle name="强调文字颜色 6 3 5" xfId="6636"/>
    <cellStyle name="强调文字颜色 6 3 6" xfId="6637"/>
    <cellStyle name="强调文字颜色 6 4" xfId="6638"/>
    <cellStyle name="强调文字颜色 6 4 2" xfId="6639"/>
    <cellStyle name="强调文字颜色 6 4 2 2" xfId="6640"/>
    <cellStyle name="强调文字颜色 6 4 2 2 2" xfId="6641"/>
    <cellStyle name="强调文字颜色 6 4 2 3" xfId="6642"/>
    <cellStyle name="强调文字颜色 6 4 3" xfId="6643"/>
    <cellStyle name="强调文字颜色 6 4 3 2" xfId="6644"/>
    <cellStyle name="强调文字颜色 6 4 4" xfId="6645"/>
    <cellStyle name="强调文字颜色 6 5" xfId="6646"/>
    <cellStyle name="强调文字颜色 6 5 2" xfId="6647"/>
    <cellStyle name="强调文字颜色 6 5 2 2" xfId="6648"/>
    <cellStyle name="强调文字颜色 6 5 3" xfId="6649"/>
    <cellStyle name="强调文字颜色 6 6" xfId="6650"/>
    <cellStyle name="日期" xfId="6651"/>
    <cellStyle name="商品名称" xfId="6652"/>
    <cellStyle name="适中" xfId="6653" builtinId="28" customBuiltin="1"/>
    <cellStyle name="适中 2" xfId="6654"/>
    <cellStyle name="适中 2 2" xfId="6655"/>
    <cellStyle name="适中 2 2 2" xfId="6656"/>
    <cellStyle name="适中 2 2 2 2" xfId="6657"/>
    <cellStyle name="适中 2 2 3" xfId="6658"/>
    <cellStyle name="适中 2 2 4" xfId="6659"/>
    <cellStyle name="适中 2 3" xfId="6660"/>
    <cellStyle name="适中 2 3 2" xfId="6661"/>
    <cellStyle name="适中 2 3 2 2" xfId="6662"/>
    <cellStyle name="适中 2 3 3" xfId="6663"/>
    <cellStyle name="适中 2 4" xfId="6664"/>
    <cellStyle name="适中 2 4 2" xfId="6665"/>
    <cellStyle name="适中 2 5" xfId="6666"/>
    <cellStyle name="适中 2 5 2" xfId="6667"/>
    <cellStyle name="适中 2 6" xfId="6668"/>
    <cellStyle name="适中 3" xfId="6669"/>
    <cellStyle name="适中 3 2" xfId="6670"/>
    <cellStyle name="适中 3 2 2" xfId="6671"/>
    <cellStyle name="适中 3 2 2 2" xfId="6672"/>
    <cellStyle name="适中 3 2 3" xfId="6673"/>
    <cellStyle name="适中 3 3" xfId="6674"/>
    <cellStyle name="适中 3 3 2" xfId="6675"/>
    <cellStyle name="适中 3 3 2 2" xfId="6676"/>
    <cellStyle name="适中 3 3 3" xfId="6677"/>
    <cellStyle name="适中 3 4" xfId="6678"/>
    <cellStyle name="适中 3 5" xfId="6679"/>
    <cellStyle name="适中 4" xfId="6680"/>
    <cellStyle name="适中 4 2" xfId="6681"/>
    <cellStyle name="适中 4 2 2" xfId="6682"/>
    <cellStyle name="适中 4 2 2 2" xfId="6683"/>
    <cellStyle name="适中 4 2 3" xfId="6684"/>
    <cellStyle name="适中 4 3" xfId="6685"/>
    <cellStyle name="适中 5" xfId="6686"/>
    <cellStyle name="适中 5 2" xfId="6687"/>
    <cellStyle name="适中 5 2 2" xfId="6688"/>
    <cellStyle name="适中 5 2 2 2" xfId="6689"/>
    <cellStyle name="适中 5 2 3" xfId="6690"/>
    <cellStyle name="适中 5 3" xfId="6691"/>
    <cellStyle name="适中 5 3 2" xfId="6692"/>
    <cellStyle name="适中 5 4" xfId="6693"/>
    <cellStyle name="适中 6" xfId="6694"/>
    <cellStyle name="适中 6 2" xfId="6695"/>
    <cellStyle name="适中 6 2 2" xfId="6696"/>
    <cellStyle name="适中 6 3" xfId="6697"/>
    <cellStyle name="适中 7" xfId="6698"/>
    <cellStyle name="输出" xfId="6699" builtinId="21" customBuiltin="1"/>
    <cellStyle name="输出 2" xfId="6700"/>
    <cellStyle name="输出 2 2" xfId="6701"/>
    <cellStyle name="输出 2 2 2" xfId="6702"/>
    <cellStyle name="输出 2 2 2 2" xfId="6703"/>
    <cellStyle name="输出 2 2 3" xfId="6704"/>
    <cellStyle name="输出 2 2 4" xfId="6705"/>
    <cellStyle name="输出 2 3" xfId="6706"/>
    <cellStyle name="输出 2 3 2" xfId="6707"/>
    <cellStyle name="输出 2 3 2 2" xfId="6708"/>
    <cellStyle name="输出 2 3 3" xfId="6709"/>
    <cellStyle name="输出 2 4" xfId="6710"/>
    <cellStyle name="输出 2 4 2" xfId="6711"/>
    <cellStyle name="输出 2 5" xfId="6712"/>
    <cellStyle name="输出 2 5 2" xfId="6713"/>
    <cellStyle name="输出 2 6" xfId="6714"/>
    <cellStyle name="输出 3" xfId="6715"/>
    <cellStyle name="输出 3 2" xfId="6716"/>
    <cellStyle name="输出 3 2 2" xfId="6717"/>
    <cellStyle name="输出 3 2 2 2" xfId="6718"/>
    <cellStyle name="输出 3 2 3" xfId="6719"/>
    <cellStyle name="输出 3 3" xfId="6720"/>
    <cellStyle name="输出 3 3 2" xfId="6721"/>
    <cellStyle name="输出 3 4" xfId="6722"/>
    <cellStyle name="输出 3 5" xfId="6723"/>
    <cellStyle name="输出 4" xfId="6724"/>
    <cellStyle name="输出 4 2" xfId="6725"/>
    <cellStyle name="输出 4 2 2" xfId="6726"/>
    <cellStyle name="输出 4 2 2 2" xfId="6727"/>
    <cellStyle name="输出 4 2 3" xfId="6728"/>
    <cellStyle name="输出 4 3" xfId="6729"/>
    <cellStyle name="输出 4 3 2" xfId="6730"/>
    <cellStyle name="输出 4 4" xfId="6731"/>
    <cellStyle name="输出 5" xfId="6732"/>
    <cellStyle name="输出 5 2" xfId="6733"/>
    <cellStyle name="输出 5 2 2" xfId="6734"/>
    <cellStyle name="输出 5 3" xfId="6735"/>
    <cellStyle name="输出 6" xfId="6736"/>
    <cellStyle name="输入" xfId="6737" builtinId="20" customBuiltin="1"/>
    <cellStyle name="输入 2" xfId="6738"/>
    <cellStyle name="输入 2 2" xfId="6739"/>
    <cellStyle name="输入 2 2 2" xfId="6740"/>
    <cellStyle name="输入 2 2 2 2" xfId="6741"/>
    <cellStyle name="输入 2 2 3" xfId="6742"/>
    <cellStyle name="输入 2 2 4" xfId="6743"/>
    <cellStyle name="输入 2 3" xfId="6744"/>
    <cellStyle name="输入 2 3 2" xfId="6745"/>
    <cellStyle name="输入 2 3 2 2" xfId="6746"/>
    <cellStyle name="输入 2 3 3" xfId="6747"/>
    <cellStyle name="输入 2 4" xfId="6748"/>
    <cellStyle name="输入 2 4 2" xfId="6749"/>
    <cellStyle name="输入 2 5" xfId="6750"/>
    <cellStyle name="输入 2 5 2" xfId="6751"/>
    <cellStyle name="输入 2 6" xfId="6752"/>
    <cellStyle name="输入 3" xfId="6753"/>
    <cellStyle name="输入 3 2" xfId="6754"/>
    <cellStyle name="输入 3 2 2" xfId="6755"/>
    <cellStyle name="输入 3 2 2 2" xfId="6756"/>
    <cellStyle name="输入 3 2 3" xfId="6757"/>
    <cellStyle name="输入 3 3" xfId="6758"/>
    <cellStyle name="输入 3 3 2" xfId="6759"/>
    <cellStyle name="输入 3 4" xfId="6760"/>
    <cellStyle name="输入 3 5" xfId="6761"/>
    <cellStyle name="输入 4" xfId="6762"/>
    <cellStyle name="输入 4 2" xfId="6763"/>
    <cellStyle name="输入 4 2 2" xfId="6764"/>
    <cellStyle name="输入 4 2 2 2" xfId="6765"/>
    <cellStyle name="输入 4 2 3" xfId="6766"/>
    <cellStyle name="输入 4 3" xfId="6767"/>
    <cellStyle name="输入 4 3 2" xfId="6768"/>
    <cellStyle name="输入 4 4" xfId="6769"/>
    <cellStyle name="输入 5" xfId="6770"/>
    <cellStyle name="输入 5 2" xfId="6771"/>
    <cellStyle name="输入 5 2 2" xfId="6772"/>
    <cellStyle name="输入 5 3" xfId="6773"/>
    <cellStyle name="输入 6" xfId="6774"/>
    <cellStyle name="数量" xfId="6775"/>
    <cellStyle name="未定义" xfId="6776"/>
    <cellStyle name="样式 1" xfId="6777"/>
    <cellStyle name="样式 1 2" xfId="6778"/>
    <cellStyle name="样式 1 2 2" xfId="6779"/>
    <cellStyle name="样式 1 2 3" xfId="6780"/>
    <cellStyle name="样式 1 3" xfId="6781"/>
    <cellStyle name="样式 1 4" xfId="6782"/>
    <cellStyle name="一般_D-Link 產品 一月份價格表 -(全總版）" xfId="6783"/>
    <cellStyle name="昗弨_Pacific Region P&amp;L" xfId="6784"/>
    <cellStyle name="寘嬫愗傝 [0.00]_Region Orders (2)" xfId="6785"/>
    <cellStyle name="寘嬫愗傝_Region Orders (2)" xfId="6786"/>
    <cellStyle name="中文表格" xfId="6787"/>
    <cellStyle name="注释" xfId="6788" builtinId="10" customBuiltin="1"/>
    <cellStyle name="注释 2" xfId="6789"/>
    <cellStyle name="注释 2 2" xfId="6790"/>
    <cellStyle name="注释 2 2 2" xfId="6791"/>
    <cellStyle name="注释 2 2 2 2" xfId="6792"/>
    <cellStyle name="注释 2 2 2 2 2" xfId="6793"/>
    <cellStyle name="注释 2 2 2 3" xfId="6794"/>
    <cellStyle name="注释 2 2 3" xfId="6795"/>
    <cellStyle name="注释 2 2 3 2" xfId="6796"/>
    <cellStyle name="注释 2 2 4" xfId="6797"/>
    <cellStyle name="注释 2 2 5" xfId="6798"/>
    <cellStyle name="注释 2 3" xfId="6799"/>
    <cellStyle name="注释 2 3 2" xfId="6800"/>
    <cellStyle name="注释 2 3 2 2" xfId="6801"/>
    <cellStyle name="注释 2 3 3" xfId="6802"/>
    <cellStyle name="注释 2 4" xfId="6803"/>
    <cellStyle name="注释 2 4 2" xfId="6804"/>
    <cellStyle name="注释 2 4 2 2" xfId="6805"/>
    <cellStyle name="注释 2 4 3" xfId="6806"/>
    <cellStyle name="注释 2 5" xfId="6807"/>
    <cellStyle name="注释 2 5 2" xfId="6808"/>
    <cellStyle name="注释 2 6" xfId="6809"/>
    <cellStyle name="注释 2 6 2" xfId="6810"/>
    <cellStyle name="注释 2 7" xfId="6811"/>
    <cellStyle name="注释 2 8" xfId="6812"/>
    <cellStyle name="注释 3" xfId="6813"/>
    <cellStyle name="注释 3 2" xfId="6814"/>
    <cellStyle name="注释 3 2 2" xfId="6815"/>
    <cellStyle name="注释 3 2 2 2" xfId="6816"/>
    <cellStyle name="注释 3 2 3" xfId="6817"/>
    <cellStyle name="注释 3 3" xfId="6818"/>
    <cellStyle name="注释 3 3 2" xfId="6819"/>
    <cellStyle name="注释 3 4" xfId="6820"/>
    <cellStyle name="注释 3 5" xfId="6821"/>
    <cellStyle name="注释 4" xfId="6822"/>
    <cellStyle name="注释 4 2" xfId="6823"/>
    <cellStyle name="注释 4 2 2" xfId="6824"/>
    <cellStyle name="注释 4 2 2 2" xfId="6825"/>
    <cellStyle name="注释 4 2 3" xfId="6826"/>
    <cellStyle name="注释 4 3" xfId="6827"/>
    <cellStyle name="注释 4 3 2" xfId="6828"/>
    <cellStyle name="注释 4 4" xfId="6829"/>
    <cellStyle name="注释 5" xfId="6830"/>
    <cellStyle name="注释 5 2" xfId="6831"/>
    <cellStyle name="注释 5 2 2" xfId="6832"/>
    <cellStyle name="注释 5 3" xfId="6833"/>
    <cellStyle name="注释 6" xfId="6834"/>
    <cellStyle name="注释 6 2" xfId="6835"/>
    <cellStyle name="注释 6 2 2" xfId="6836"/>
    <cellStyle name="注释 6 3" xfId="6837"/>
    <cellStyle name="注释 7" xfId="6838"/>
    <cellStyle name="注释 8" xfId="6839"/>
    <cellStyle name="字符" xfId="684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914400</xdr:colOff>
      <xdr:row>0</xdr:row>
      <xdr:rowOff>95250</xdr:rowOff>
    </xdr:from>
    <xdr:to>
      <xdr:col>4</xdr:col>
      <xdr:colOff>1990725</xdr:colOff>
      <xdr:row>2</xdr:row>
      <xdr:rowOff>66675</xdr:rowOff>
    </xdr:to>
    <xdr:pic>
      <xdr:nvPicPr>
        <xdr:cNvPr id="2864" name="图片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95250"/>
          <a:ext cx="10763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13"/>
  <sheetViews>
    <sheetView tabSelected="1" view="pageBreakPreview" topLeftCell="A32" zoomScale="80" zoomScaleNormal="85" zoomScaleSheetLayoutView="80" workbookViewId="0">
      <selection activeCell="K75" sqref="K75"/>
    </sheetView>
  </sheetViews>
  <sheetFormatPr defaultRowHeight="14.25"/>
  <cols>
    <col min="1" max="1" width="6.5" style="8" customWidth="1"/>
    <col min="2" max="2" width="7" style="8" customWidth="1"/>
    <col min="3" max="3" width="23.125" style="9" customWidth="1"/>
    <col min="4" max="4" width="11.875" style="8" customWidth="1"/>
    <col min="5" max="5" width="28.75" style="9" customWidth="1"/>
    <col min="6" max="6" width="15.75" style="8" customWidth="1"/>
    <col min="7" max="7" width="8.75" style="8" customWidth="1"/>
    <col min="8" max="8" width="7.25" style="8" customWidth="1"/>
    <col min="9" max="9" width="6.5" style="8" customWidth="1"/>
    <col min="10" max="10" width="7" style="8" customWidth="1"/>
    <col min="11" max="11" width="6.25" style="8" customWidth="1"/>
    <col min="12" max="12" width="8.625" style="8" customWidth="1"/>
    <col min="13" max="13" width="8.75" style="8" customWidth="1"/>
    <col min="14" max="14" width="7.25" style="8" customWidth="1"/>
    <col min="15" max="15" width="9.125" style="8" customWidth="1"/>
    <col min="16" max="16" width="7.875" style="8" customWidth="1"/>
    <col min="17" max="17" width="11.125" style="8" customWidth="1"/>
    <col min="18" max="18" width="8.25" style="8" customWidth="1"/>
    <col min="19" max="16384" width="9" style="8"/>
  </cols>
  <sheetData>
    <row r="2" spans="1:21" ht="31.5">
      <c r="A2" s="8" t="s">
        <v>26</v>
      </c>
      <c r="E2" s="9" t="s">
        <v>37</v>
      </c>
    </row>
    <row r="3" spans="1:21" ht="26.25">
      <c r="A3" s="18" t="s">
        <v>16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5" spans="1:21" ht="42.75" customHeight="1">
      <c r="A5" s="16" t="s">
        <v>28</v>
      </c>
      <c r="B5" s="16"/>
      <c r="C5" s="16" t="s">
        <v>39</v>
      </c>
      <c r="D5" s="16"/>
      <c r="E5" s="10" t="s">
        <v>0</v>
      </c>
      <c r="F5" s="10" t="s">
        <v>38</v>
      </c>
      <c r="G5" s="16" t="s">
        <v>22</v>
      </c>
      <c r="H5" s="16"/>
      <c r="I5" s="16" t="s">
        <v>29</v>
      </c>
      <c r="J5" s="16"/>
      <c r="K5" s="10" t="s">
        <v>23</v>
      </c>
      <c r="L5" s="16" t="s">
        <v>211</v>
      </c>
      <c r="M5" s="16"/>
      <c r="N5" s="10" t="s">
        <v>17</v>
      </c>
      <c r="O5" s="10">
        <v>2</v>
      </c>
      <c r="P5" s="10" t="s">
        <v>18</v>
      </c>
      <c r="Q5" s="10"/>
      <c r="R5" s="10"/>
    </row>
    <row r="6" spans="1:21">
      <c r="A6" s="16" t="s">
        <v>1</v>
      </c>
      <c r="B6" s="16" t="s">
        <v>2</v>
      </c>
      <c r="C6" s="19" t="s">
        <v>3</v>
      </c>
      <c r="D6" s="16" t="s">
        <v>15</v>
      </c>
      <c r="E6" s="21" t="s">
        <v>24</v>
      </c>
      <c r="F6" s="16" t="s">
        <v>212</v>
      </c>
      <c r="G6" s="16" t="s">
        <v>213</v>
      </c>
      <c r="H6" s="16" t="s">
        <v>4</v>
      </c>
      <c r="I6" s="16" t="s">
        <v>5</v>
      </c>
      <c r="J6" s="16"/>
      <c r="K6" s="16"/>
      <c r="L6" s="16" t="s">
        <v>30</v>
      </c>
      <c r="M6" s="16"/>
      <c r="N6" s="16" t="s">
        <v>13</v>
      </c>
      <c r="O6" s="16" t="s">
        <v>14</v>
      </c>
      <c r="P6" s="16"/>
      <c r="Q6" s="16" t="s">
        <v>27</v>
      </c>
      <c r="R6" s="16" t="s">
        <v>6</v>
      </c>
      <c r="S6" s="17" t="s">
        <v>32</v>
      </c>
      <c r="T6" s="17" t="s">
        <v>33</v>
      </c>
      <c r="U6" s="17" t="s">
        <v>34</v>
      </c>
    </row>
    <row r="7" spans="1:21" ht="39.75" customHeight="1">
      <c r="A7" s="16"/>
      <c r="B7" s="16"/>
      <c r="C7" s="20"/>
      <c r="D7" s="16"/>
      <c r="E7" s="21"/>
      <c r="F7" s="16"/>
      <c r="G7" s="16"/>
      <c r="H7" s="16"/>
      <c r="I7" s="10" t="s">
        <v>7</v>
      </c>
      <c r="J7" s="10" t="s">
        <v>8</v>
      </c>
      <c r="K7" s="10" t="s">
        <v>9</v>
      </c>
      <c r="L7" s="10" t="s">
        <v>10</v>
      </c>
      <c r="M7" s="10" t="s">
        <v>9</v>
      </c>
      <c r="N7" s="16"/>
      <c r="O7" s="10" t="s">
        <v>11</v>
      </c>
      <c r="P7" s="10" t="s">
        <v>12</v>
      </c>
      <c r="Q7" s="16"/>
      <c r="R7" s="16"/>
      <c r="S7" s="17"/>
      <c r="T7" s="17"/>
      <c r="U7" s="17"/>
    </row>
    <row r="8" spans="1:21" s="13" customFormat="1">
      <c r="A8" s="11" t="s">
        <v>40</v>
      </c>
      <c r="B8" s="11"/>
      <c r="C8" s="12" t="s">
        <v>65</v>
      </c>
      <c r="D8" s="11"/>
      <c r="E8" s="12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21">
      <c r="A9" s="10">
        <v>1</v>
      </c>
      <c r="B9" s="10" t="s">
        <v>50</v>
      </c>
      <c r="C9" s="14" t="s">
        <v>66</v>
      </c>
      <c r="D9" s="10" t="s">
        <v>69</v>
      </c>
      <c r="E9" s="14" t="s">
        <v>69</v>
      </c>
      <c r="F9" s="10" t="s">
        <v>70</v>
      </c>
      <c r="G9" s="10" t="s">
        <v>45</v>
      </c>
      <c r="H9" s="10" t="s">
        <v>46</v>
      </c>
      <c r="I9" s="10"/>
      <c r="J9" s="10">
        <v>1</v>
      </c>
      <c r="K9" s="10">
        <f t="shared" ref="K9:K17" si="0">SUM(I9:J9)</f>
        <v>1</v>
      </c>
      <c r="L9" s="10">
        <v>30</v>
      </c>
      <c r="M9" s="10">
        <f t="shared" ref="M9:M18" si="1">L9*K9</f>
        <v>30</v>
      </c>
      <c r="N9" s="10"/>
      <c r="O9" s="10"/>
      <c r="P9" s="10"/>
      <c r="Q9" s="10"/>
      <c r="R9" s="10" t="s">
        <v>59</v>
      </c>
    </row>
    <row r="10" spans="1:21">
      <c r="A10" s="10">
        <v>2</v>
      </c>
      <c r="B10" s="10" t="s">
        <v>68</v>
      </c>
      <c r="C10" s="14" t="s">
        <v>66</v>
      </c>
      <c r="D10" s="10" t="s">
        <v>67</v>
      </c>
      <c r="E10" s="14" t="s">
        <v>67</v>
      </c>
      <c r="F10" s="10" t="s">
        <v>70</v>
      </c>
      <c r="G10" s="10" t="s">
        <v>45</v>
      </c>
      <c r="H10" s="10" t="s">
        <v>46</v>
      </c>
      <c r="I10" s="10">
        <v>1</v>
      </c>
      <c r="J10" s="10"/>
      <c r="K10" s="10">
        <f t="shared" si="0"/>
        <v>1</v>
      </c>
      <c r="L10" s="10">
        <v>30</v>
      </c>
      <c r="M10" s="10">
        <f t="shared" si="1"/>
        <v>30</v>
      </c>
      <c r="N10" s="10"/>
      <c r="O10" s="10"/>
      <c r="P10" s="10"/>
      <c r="Q10" s="10"/>
      <c r="R10" s="10" t="s">
        <v>49</v>
      </c>
    </row>
    <row r="11" spans="1:21">
      <c r="A11" s="10">
        <v>3</v>
      </c>
      <c r="B11" s="10" t="s">
        <v>71</v>
      </c>
      <c r="C11" s="14" t="s">
        <v>72</v>
      </c>
      <c r="D11" s="10" t="s">
        <v>73</v>
      </c>
      <c r="E11" s="14" t="s">
        <v>73</v>
      </c>
      <c r="F11" s="10" t="s">
        <v>76</v>
      </c>
      <c r="G11" s="10" t="s">
        <v>75</v>
      </c>
      <c r="H11" s="10" t="s">
        <v>46</v>
      </c>
      <c r="I11" s="10">
        <v>1</v>
      </c>
      <c r="J11" s="10"/>
      <c r="K11" s="10">
        <f t="shared" si="0"/>
        <v>1</v>
      </c>
      <c r="L11" s="10">
        <v>15</v>
      </c>
      <c r="M11" s="10">
        <f t="shared" si="1"/>
        <v>15</v>
      </c>
      <c r="N11" s="10"/>
      <c r="O11" s="10"/>
      <c r="P11" s="10"/>
      <c r="Q11" s="10"/>
      <c r="R11" s="10" t="s">
        <v>49</v>
      </c>
    </row>
    <row r="12" spans="1:21">
      <c r="A12" s="10">
        <v>4</v>
      </c>
      <c r="B12" s="10" t="s">
        <v>77</v>
      </c>
      <c r="C12" s="14" t="s">
        <v>78</v>
      </c>
      <c r="D12" s="10" t="s">
        <v>79</v>
      </c>
      <c r="E12" s="14" t="s">
        <v>249</v>
      </c>
      <c r="F12" s="10" t="s">
        <v>76</v>
      </c>
      <c r="G12" s="10" t="s">
        <v>45</v>
      </c>
      <c r="H12" s="10" t="s">
        <v>46</v>
      </c>
      <c r="I12" s="10"/>
      <c r="J12" s="10">
        <v>1</v>
      </c>
      <c r="K12" s="10">
        <f t="shared" si="0"/>
        <v>1</v>
      </c>
      <c r="L12" s="10">
        <v>12</v>
      </c>
      <c r="M12" s="10">
        <f t="shared" si="1"/>
        <v>12</v>
      </c>
      <c r="N12" s="10"/>
      <c r="O12" s="10"/>
      <c r="P12" s="10"/>
      <c r="Q12" s="10"/>
      <c r="R12" s="10" t="s">
        <v>59</v>
      </c>
    </row>
    <row r="13" spans="1:21">
      <c r="A13" s="10">
        <v>9</v>
      </c>
      <c r="B13" s="10" t="s">
        <v>206</v>
      </c>
      <c r="C13" s="14" t="s">
        <v>92</v>
      </c>
      <c r="D13" s="10"/>
      <c r="E13" s="14" t="s">
        <v>93</v>
      </c>
      <c r="F13" s="10" t="s">
        <v>76</v>
      </c>
      <c r="G13" s="10" t="s">
        <v>45</v>
      </c>
      <c r="H13" s="10" t="s">
        <v>46</v>
      </c>
      <c r="I13" s="10">
        <v>1</v>
      </c>
      <c r="J13" s="10"/>
      <c r="K13" s="10">
        <f t="shared" si="0"/>
        <v>1</v>
      </c>
      <c r="L13" s="10">
        <v>60</v>
      </c>
      <c r="M13" s="10">
        <f t="shared" si="1"/>
        <v>60</v>
      </c>
      <c r="N13" s="10"/>
      <c r="O13" s="10"/>
      <c r="P13" s="10"/>
      <c r="Q13" s="10"/>
      <c r="R13" s="10" t="s">
        <v>49</v>
      </c>
    </row>
    <row r="14" spans="1:21">
      <c r="A14" s="10">
        <v>5</v>
      </c>
      <c r="B14" s="10" t="s">
        <v>207</v>
      </c>
      <c r="C14" s="14" t="s">
        <v>80</v>
      </c>
      <c r="D14" s="10" t="s">
        <v>81</v>
      </c>
      <c r="E14" s="14" t="s">
        <v>81</v>
      </c>
      <c r="F14" s="10" t="s">
        <v>82</v>
      </c>
      <c r="G14" s="10" t="s">
        <v>45</v>
      </c>
      <c r="H14" s="10" t="s">
        <v>46</v>
      </c>
      <c r="I14" s="10"/>
      <c r="J14" s="10">
        <v>1</v>
      </c>
      <c r="K14" s="10">
        <f t="shared" si="0"/>
        <v>1</v>
      </c>
      <c r="L14" s="10">
        <v>100</v>
      </c>
      <c r="M14" s="10">
        <f t="shared" si="1"/>
        <v>100</v>
      </c>
      <c r="N14" s="10"/>
      <c r="O14" s="10"/>
      <c r="P14" s="10"/>
      <c r="Q14" s="10"/>
      <c r="R14" s="10" t="s">
        <v>59</v>
      </c>
    </row>
    <row r="15" spans="1:21">
      <c r="A15" s="10">
        <v>6</v>
      </c>
      <c r="B15" s="10" t="s">
        <v>208</v>
      </c>
      <c r="C15" s="14" t="s">
        <v>83</v>
      </c>
      <c r="D15" s="10" t="s">
        <v>84</v>
      </c>
      <c r="E15" s="14" t="s">
        <v>84</v>
      </c>
      <c r="F15" s="10" t="s">
        <v>85</v>
      </c>
      <c r="G15" s="10" t="s">
        <v>86</v>
      </c>
      <c r="H15" s="10" t="s">
        <v>46</v>
      </c>
      <c r="I15" s="10"/>
      <c r="J15" s="10">
        <v>1</v>
      </c>
      <c r="K15" s="10">
        <f t="shared" si="0"/>
        <v>1</v>
      </c>
      <c r="L15" s="10">
        <v>425</v>
      </c>
      <c r="M15" s="10">
        <f t="shared" si="1"/>
        <v>425</v>
      </c>
      <c r="N15" s="10"/>
      <c r="O15" s="10"/>
      <c r="P15" s="10"/>
      <c r="Q15" s="10"/>
      <c r="R15" s="10" t="s">
        <v>60</v>
      </c>
    </row>
    <row r="16" spans="1:21">
      <c r="A16" s="10">
        <v>8</v>
      </c>
      <c r="B16" s="10" t="s">
        <v>89</v>
      </c>
      <c r="C16" s="14" t="s">
        <v>90</v>
      </c>
      <c r="D16" s="10"/>
      <c r="E16" s="14"/>
      <c r="F16" s="10" t="s">
        <v>91</v>
      </c>
      <c r="G16" s="10" t="s">
        <v>45</v>
      </c>
      <c r="H16" s="10" t="s">
        <v>46</v>
      </c>
      <c r="I16" s="10"/>
      <c r="J16" s="10">
        <v>1</v>
      </c>
      <c r="K16" s="10">
        <f t="shared" si="0"/>
        <v>1</v>
      </c>
      <c r="L16" s="10">
        <v>22</v>
      </c>
      <c r="M16" s="10">
        <f t="shared" si="1"/>
        <v>22</v>
      </c>
      <c r="N16" s="10"/>
      <c r="O16" s="10"/>
      <c r="P16" s="10"/>
      <c r="Q16" s="10"/>
      <c r="R16" s="10" t="s">
        <v>59</v>
      </c>
    </row>
    <row r="17" spans="1:18" ht="28.5">
      <c r="A17" s="10">
        <v>7</v>
      </c>
      <c r="B17" s="10" t="s">
        <v>209</v>
      </c>
      <c r="C17" s="14" t="s">
        <v>87</v>
      </c>
      <c r="D17" s="10"/>
      <c r="E17" s="14"/>
      <c r="F17" s="10" t="s">
        <v>70</v>
      </c>
      <c r="G17" s="10" t="s">
        <v>45</v>
      </c>
      <c r="H17" s="10" t="s">
        <v>46</v>
      </c>
      <c r="I17" s="10">
        <v>1</v>
      </c>
      <c r="J17" s="10">
        <v>1</v>
      </c>
      <c r="K17" s="10">
        <f t="shared" si="0"/>
        <v>2</v>
      </c>
      <c r="L17" s="10">
        <v>550</v>
      </c>
      <c r="M17" s="10">
        <f t="shared" si="1"/>
        <v>1100</v>
      </c>
      <c r="N17" s="10"/>
      <c r="O17" s="10"/>
      <c r="P17" s="10"/>
      <c r="Q17" s="10"/>
      <c r="R17" s="10" t="s">
        <v>88</v>
      </c>
    </row>
    <row r="18" spans="1:18">
      <c r="A18" s="10">
        <v>10</v>
      </c>
      <c r="B18" s="10" t="s">
        <v>99</v>
      </c>
      <c r="C18" s="14" t="s">
        <v>101</v>
      </c>
      <c r="D18" s="10"/>
      <c r="E18" s="14"/>
      <c r="F18" s="10" t="s">
        <v>97</v>
      </c>
      <c r="G18" s="10" t="s">
        <v>44</v>
      </c>
      <c r="H18" s="10" t="s">
        <v>46</v>
      </c>
      <c r="I18" s="10"/>
      <c r="J18" s="10">
        <v>1</v>
      </c>
      <c r="K18" s="10">
        <f t="shared" ref="K18:K27" si="2">SUM(I18:J18)</f>
        <v>1</v>
      </c>
      <c r="L18" s="10">
        <v>350</v>
      </c>
      <c r="M18" s="10">
        <f t="shared" si="1"/>
        <v>350</v>
      </c>
      <c r="N18" s="10"/>
      <c r="O18" s="10"/>
      <c r="P18" s="10"/>
      <c r="Q18" s="10"/>
      <c r="R18" s="10" t="s">
        <v>59</v>
      </c>
    </row>
    <row r="19" spans="1:18">
      <c r="A19" s="10">
        <v>11</v>
      </c>
      <c r="B19" s="10"/>
      <c r="C19" s="14" t="s">
        <v>96</v>
      </c>
      <c r="D19" s="10"/>
      <c r="E19" s="14"/>
      <c r="F19" s="10"/>
      <c r="G19" s="10" t="s">
        <v>74</v>
      </c>
      <c r="H19" s="10" t="s">
        <v>46</v>
      </c>
      <c r="I19" s="10"/>
      <c r="J19" s="10">
        <v>1</v>
      </c>
      <c r="K19" s="10">
        <f t="shared" si="2"/>
        <v>1</v>
      </c>
      <c r="L19" s="10"/>
      <c r="M19" s="10"/>
      <c r="N19" s="10"/>
      <c r="O19" s="10"/>
      <c r="P19" s="10"/>
      <c r="Q19" s="10"/>
      <c r="R19" s="10" t="s">
        <v>59</v>
      </c>
    </row>
    <row r="20" spans="1:18" ht="28.5">
      <c r="A20" s="10">
        <v>12</v>
      </c>
      <c r="B20" s="10" t="s">
        <v>100</v>
      </c>
      <c r="C20" s="14" t="s">
        <v>210</v>
      </c>
      <c r="D20" s="10" t="s">
        <v>81</v>
      </c>
      <c r="E20" s="14"/>
      <c r="F20" s="10" t="s">
        <v>98</v>
      </c>
      <c r="G20" s="10" t="s">
        <v>74</v>
      </c>
      <c r="H20" s="10" t="s">
        <v>46</v>
      </c>
      <c r="I20" s="10"/>
      <c r="J20" s="10">
        <v>1</v>
      </c>
      <c r="K20" s="10">
        <f t="shared" si="2"/>
        <v>1</v>
      </c>
      <c r="L20" s="10">
        <v>55</v>
      </c>
      <c r="M20" s="10">
        <f t="shared" ref="M20:M27" si="3">L20*K20</f>
        <v>55</v>
      </c>
      <c r="N20" s="10"/>
      <c r="O20" s="10"/>
      <c r="P20" s="10"/>
      <c r="Q20" s="10"/>
      <c r="R20" s="10" t="s">
        <v>59</v>
      </c>
    </row>
    <row r="21" spans="1:18">
      <c r="A21" s="10">
        <v>13</v>
      </c>
      <c r="B21" s="10" t="s">
        <v>110</v>
      </c>
      <c r="C21" s="14" t="s">
        <v>109</v>
      </c>
      <c r="D21" s="10"/>
      <c r="E21" s="14"/>
      <c r="F21" s="10" t="s">
        <v>196</v>
      </c>
      <c r="G21" s="10" t="s">
        <v>45</v>
      </c>
      <c r="H21" s="10" t="s">
        <v>46</v>
      </c>
      <c r="I21" s="10"/>
      <c r="J21" s="10">
        <v>1</v>
      </c>
      <c r="K21" s="10">
        <f t="shared" si="2"/>
        <v>1</v>
      </c>
      <c r="L21" s="10">
        <v>25</v>
      </c>
      <c r="M21" s="10">
        <f t="shared" si="3"/>
        <v>25</v>
      </c>
      <c r="N21" s="10"/>
      <c r="O21" s="10"/>
      <c r="P21" s="10"/>
      <c r="Q21" s="10"/>
      <c r="R21" s="10" t="s">
        <v>59</v>
      </c>
    </row>
    <row r="22" spans="1:18">
      <c r="A22" s="10">
        <v>14</v>
      </c>
      <c r="B22" s="10" t="s">
        <v>114</v>
      </c>
      <c r="C22" s="14" t="s">
        <v>111</v>
      </c>
      <c r="D22" s="10"/>
      <c r="E22" s="14"/>
      <c r="F22" s="10" t="s">
        <v>197</v>
      </c>
      <c r="G22" s="10" t="s">
        <v>45</v>
      </c>
      <c r="H22" s="10" t="s">
        <v>46</v>
      </c>
      <c r="I22" s="10"/>
      <c r="J22" s="10">
        <v>1</v>
      </c>
      <c r="K22" s="10">
        <f t="shared" si="2"/>
        <v>1</v>
      </c>
      <c r="L22" s="10">
        <v>25</v>
      </c>
      <c r="M22" s="10">
        <f t="shared" si="3"/>
        <v>25</v>
      </c>
      <c r="N22" s="10"/>
      <c r="O22" s="10"/>
      <c r="P22" s="10"/>
      <c r="Q22" s="10"/>
      <c r="R22" s="10" t="s">
        <v>59</v>
      </c>
    </row>
    <row r="23" spans="1:18">
      <c r="A23" s="10">
        <v>15</v>
      </c>
      <c r="B23" s="10" t="s">
        <v>115</v>
      </c>
      <c r="C23" s="14" t="s">
        <v>112</v>
      </c>
      <c r="D23" s="10"/>
      <c r="E23" s="14"/>
      <c r="F23" s="10" t="s">
        <v>198</v>
      </c>
      <c r="G23" s="10" t="s">
        <v>45</v>
      </c>
      <c r="H23" s="10" t="s">
        <v>46</v>
      </c>
      <c r="I23" s="10"/>
      <c r="J23" s="10">
        <v>1</v>
      </c>
      <c r="K23" s="10">
        <f t="shared" si="2"/>
        <v>1</v>
      </c>
      <c r="L23" s="10">
        <v>25</v>
      </c>
      <c r="M23" s="10">
        <f t="shared" si="3"/>
        <v>25</v>
      </c>
      <c r="N23" s="10"/>
      <c r="O23" s="10"/>
      <c r="P23" s="10"/>
      <c r="Q23" s="10"/>
      <c r="R23" s="10" t="s">
        <v>59</v>
      </c>
    </row>
    <row r="24" spans="1:18">
      <c r="A24" s="10">
        <v>16</v>
      </c>
      <c r="B24" s="10" t="s">
        <v>116</v>
      </c>
      <c r="C24" s="14" t="s">
        <v>113</v>
      </c>
      <c r="D24" s="10"/>
      <c r="E24" s="14"/>
      <c r="F24" s="10" t="s">
        <v>198</v>
      </c>
      <c r="G24" s="10" t="s">
        <v>45</v>
      </c>
      <c r="H24" s="10" t="s">
        <v>46</v>
      </c>
      <c r="I24" s="10"/>
      <c r="J24" s="10">
        <v>2</v>
      </c>
      <c r="K24" s="10">
        <f t="shared" si="2"/>
        <v>2</v>
      </c>
      <c r="L24" s="10">
        <v>25</v>
      </c>
      <c r="M24" s="10">
        <f t="shared" si="3"/>
        <v>50</v>
      </c>
      <c r="N24" s="10"/>
      <c r="O24" s="10"/>
      <c r="P24" s="10"/>
      <c r="Q24" s="10"/>
      <c r="R24" s="10" t="s">
        <v>59</v>
      </c>
    </row>
    <row r="25" spans="1:18" ht="28.5">
      <c r="A25" s="10">
        <v>17</v>
      </c>
      <c r="B25" s="10"/>
      <c r="C25" s="14" t="s">
        <v>94</v>
      </c>
      <c r="D25" s="10"/>
      <c r="E25" s="14" t="s">
        <v>117</v>
      </c>
      <c r="F25" s="10"/>
      <c r="G25" s="10" t="s">
        <v>45</v>
      </c>
      <c r="H25" s="10" t="s">
        <v>46</v>
      </c>
      <c r="I25" s="10"/>
      <c r="J25" s="10">
        <v>1</v>
      </c>
      <c r="K25" s="10">
        <f t="shared" si="2"/>
        <v>1</v>
      </c>
      <c r="L25" s="10">
        <v>27</v>
      </c>
      <c r="M25" s="10">
        <f t="shared" si="3"/>
        <v>27</v>
      </c>
      <c r="N25" s="10"/>
      <c r="O25" s="10">
        <v>75</v>
      </c>
      <c r="P25" s="10">
        <f>O25*J25</f>
        <v>75</v>
      </c>
      <c r="Q25" s="10"/>
      <c r="R25" s="10" t="s">
        <v>95</v>
      </c>
    </row>
    <row r="26" spans="1:18">
      <c r="A26" s="10">
        <v>18</v>
      </c>
      <c r="B26" s="10"/>
      <c r="C26" s="14" t="s">
        <v>94</v>
      </c>
      <c r="D26" s="10"/>
      <c r="E26" s="14" t="s">
        <v>118</v>
      </c>
      <c r="F26" s="10"/>
      <c r="G26" s="10" t="s">
        <v>45</v>
      </c>
      <c r="H26" s="10" t="s">
        <v>46</v>
      </c>
      <c r="I26" s="10"/>
      <c r="J26" s="10">
        <v>2</v>
      </c>
      <c r="K26" s="10">
        <f t="shared" si="2"/>
        <v>2</v>
      </c>
      <c r="L26" s="10">
        <v>14</v>
      </c>
      <c r="M26" s="10">
        <f t="shared" si="3"/>
        <v>28</v>
      </c>
      <c r="N26" s="10"/>
      <c r="O26" s="10">
        <v>35</v>
      </c>
      <c r="P26" s="10">
        <f>O26*J26</f>
        <v>70</v>
      </c>
      <c r="Q26" s="10"/>
      <c r="R26" s="10" t="s">
        <v>95</v>
      </c>
    </row>
    <row r="27" spans="1:18">
      <c r="A27" s="10">
        <v>19</v>
      </c>
      <c r="B27" s="10"/>
      <c r="C27" s="14" t="s">
        <v>94</v>
      </c>
      <c r="D27" s="10"/>
      <c r="E27" s="14" t="s">
        <v>119</v>
      </c>
      <c r="F27" s="10"/>
      <c r="G27" s="10" t="s">
        <v>45</v>
      </c>
      <c r="H27" s="10" t="s">
        <v>46</v>
      </c>
      <c r="I27" s="10"/>
      <c r="J27" s="10">
        <v>1</v>
      </c>
      <c r="K27" s="10">
        <f t="shared" si="2"/>
        <v>1</v>
      </c>
      <c r="L27" s="10">
        <v>12</v>
      </c>
      <c r="M27" s="10">
        <f t="shared" si="3"/>
        <v>12</v>
      </c>
      <c r="N27" s="10"/>
      <c r="O27" s="10">
        <v>20</v>
      </c>
      <c r="P27" s="10">
        <f>O27*J27</f>
        <v>20</v>
      </c>
      <c r="Q27" s="10"/>
      <c r="R27" s="10" t="s">
        <v>95</v>
      </c>
    </row>
    <row r="28" spans="1:18" s="13" customFormat="1">
      <c r="A28" s="11"/>
      <c r="B28" s="11"/>
      <c r="C28" s="12" t="s">
        <v>178</v>
      </c>
      <c r="D28" s="11"/>
      <c r="E28" s="12"/>
      <c r="F28" s="11"/>
      <c r="G28" s="11"/>
      <c r="H28" s="11"/>
      <c r="I28" s="11">
        <f>SUM(I9:I27)</f>
        <v>4</v>
      </c>
      <c r="J28" s="11">
        <f>SUM(J9:J27)</f>
        <v>18</v>
      </c>
      <c r="K28" s="11">
        <f>SUM(K9:K27)</f>
        <v>22</v>
      </c>
      <c r="L28" s="11"/>
      <c r="M28" s="11">
        <f>SUM(M9:M27)</f>
        <v>2391</v>
      </c>
      <c r="N28" s="11"/>
      <c r="O28" s="11"/>
      <c r="P28" s="11">
        <f>SUM(P9:P27)</f>
        <v>165</v>
      </c>
      <c r="Q28" s="11"/>
      <c r="R28" s="11"/>
    </row>
    <row r="29" spans="1:18" s="13" customFormat="1">
      <c r="A29" s="11"/>
      <c r="B29" s="11"/>
      <c r="C29" s="12"/>
      <c r="D29" s="11"/>
      <c r="E29" s="12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s="13" customFormat="1">
      <c r="A30" s="11" t="s">
        <v>179</v>
      </c>
      <c r="B30" s="11"/>
      <c r="C30" s="12" t="s">
        <v>180</v>
      </c>
      <c r="D30" s="11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>
      <c r="A31" s="10">
        <v>1</v>
      </c>
      <c r="B31" s="15" t="s">
        <v>214</v>
      </c>
      <c r="C31" s="14" t="s">
        <v>181</v>
      </c>
      <c r="D31" s="10"/>
      <c r="E31" s="14" t="s">
        <v>182</v>
      </c>
      <c r="F31" s="10" t="s">
        <v>183</v>
      </c>
      <c r="G31" s="10" t="s">
        <v>45</v>
      </c>
      <c r="H31" s="10" t="s">
        <v>184</v>
      </c>
      <c r="I31" s="10"/>
      <c r="J31" s="10">
        <v>1</v>
      </c>
      <c r="K31" s="10">
        <f t="shared" ref="K31:K37" si="4">SUM(I31:J31)</f>
        <v>1</v>
      </c>
      <c r="L31" s="10"/>
      <c r="M31" s="10"/>
      <c r="N31" s="10"/>
      <c r="O31" s="10"/>
      <c r="P31" s="10"/>
      <c r="Q31" s="10"/>
      <c r="R31" s="10" t="s">
        <v>59</v>
      </c>
    </row>
    <row r="32" spans="1:18">
      <c r="A32" s="10">
        <v>2</v>
      </c>
      <c r="B32" s="15" t="s">
        <v>215</v>
      </c>
      <c r="C32" s="14" t="s">
        <v>185</v>
      </c>
      <c r="D32" s="10"/>
      <c r="E32" s="14"/>
      <c r="F32" s="10" t="s">
        <v>186</v>
      </c>
      <c r="G32" s="10" t="s">
        <v>45</v>
      </c>
      <c r="H32" s="10" t="s">
        <v>46</v>
      </c>
      <c r="I32" s="10"/>
      <c r="J32" s="10">
        <v>6</v>
      </c>
      <c r="K32" s="10">
        <f t="shared" si="4"/>
        <v>6</v>
      </c>
      <c r="L32" s="10">
        <v>30</v>
      </c>
      <c r="M32" s="10">
        <f t="shared" ref="M32:M37" si="5">L32*K32</f>
        <v>180</v>
      </c>
      <c r="N32" s="10"/>
      <c r="O32" s="10"/>
      <c r="P32" s="10"/>
      <c r="Q32" s="10"/>
      <c r="R32" s="10" t="s">
        <v>59</v>
      </c>
    </row>
    <row r="33" spans="1:18">
      <c r="A33" s="10">
        <v>3</v>
      </c>
      <c r="B33" s="15" t="s">
        <v>216</v>
      </c>
      <c r="C33" s="14" t="s">
        <v>187</v>
      </c>
      <c r="D33" s="10"/>
      <c r="E33" s="14" t="s">
        <v>189</v>
      </c>
      <c r="F33" s="10" t="s">
        <v>189</v>
      </c>
      <c r="G33" s="10" t="s">
        <v>75</v>
      </c>
      <c r="H33" s="10" t="s">
        <v>46</v>
      </c>
      <c r="I33" s="10"/>
      <c r="J33" s="10">
        <v>2</v>
      </c>
      <c r="K33" s="10">
        <f t="shared" si="4"/>
        <v>2</v>
      </c>
      <c r="L33" s="10">
        <v>36</v>
      </c>
      <c r="M33" s="10">
        <f t="shared" si="5"/>
        <v>72</v>
      </c>
      <c r="N33" s="10"/>
      <c r="O33" s="10"/>
      <c r="P33" s="10"/>
      <c r="Q33" s="10"/>
      <c r="R33" s="10" t="s">
        <v>59</v>
      </c>
    </row>
    <row r="34" spans="1:18">
      <c r="A34" s="10">
        <v>4</v>
      </c>
      <c r="B34" s="15" t="s">
        <v>217</v>
      </c>
      <c r="C34" s="14" t="s">
        <v>188</v>
      </c>
      <c r="D34" s="10"/>
      <c r="E34" s="14" t="s">
        <v>190</v>
      </c>
      <c r="F34" s="10" t="s">
        <v>190</v>
      </c>
      <c r="G34" s="10" t="s">
        <v>45</v>
      </c>
      <c r="H34" s="10" t="s">
        <v>46</v>
      </c>
      <c r="I34" s="10"/>
      <c r="J34" s="10">
        <v>4</v>
      </c>
      <c r="K34" s="10">
        <f t="shared" si="4"/>
        <v>4</v>
      </c>
      <c r="L34" s="10">
        <v>90</v>
      </c>
      <c r="M34" s="10">
        <f t="shared" si="5"/>
        <v>360</v>
      </c>
      <c r="N34" s="10"/>
      <c r="O34" s="10"/>
      <c r="P34" s="10"/>
      <c r="Q34" s="10"/>
      <c r="R34" s="10" t="s">
        <v>59</v>
      </c>
    </row>
    <row r="35" spans="1:18">
      <c r="A35" s="10">
        <v>5</v>
      </c>
      <c r="B35" s="15" t="s">
        <v>218</v>
      </c>
      <c r="C35" s="14" t="s">
        <v>188</v>
      </c>
      <c r="D35" s="10"/>
      <c r="E35" s="14" t="s">
        <v>190</v>
      </c>
      <c r="F35" s="10" t="s">
        <v>191</v>
      </c>
      <c r="G35" s="10" t="s">
        <v>45</v>
      </c>
      <c r="H35" s="10" t="s">
        <v>46</v>
      </c>
      <c r="I35" s="10"/>
      <c r="J35" s="10">
        <v>2</v>
      </c>
      <c r="K35" s="10">
        <f t="shared" si="4"/>
        <v>2</v>
      </c>
      <c r="L35" s="10">
        <v>200</v>
      </c>
      <c r="M35" s="10">
        <f t="shared" si="5"/>
        <v>400</v>
      </c>
      <c r="N35" s="10"/>
      <c r="O35" s="10"/>
      <c r="P35" s="10"/>
      <c r="Q35" s="10"/>
      <c r="R35" s="10" t="s">
        <v>59</v>
      </c>
    </row>
    <row r="36" spans="1:18" ht="28.5">
      <c r="A36" s="10">
        <v>6</v>
      </c>
      <c r="B36" s="10"/>
      <c r="C36" s="14" t="s">
        <v>94</v>
      </c>
      <c r="D36" s="10"/>
      <c r="E36" s="14" t="s">
        <v>117</v>
      </c>
      <c r="F36" s="10"/>
      <c r="G36" s="10" t="s">
        <v>45</v>
      </c>
      <c r="H36" s="10" t="s">
        <v>46</v>
      </c>
      <c r="I36" s="10"/>
      <c r="J36" s="10">
        <v>1</v>
      </c>
      <c r="K36" s="10">
        <f t="shared" si="4"/>
        <v>1</v>
      </c>
      <c r="L36" s="10">
        <v>27</v>
      </c>
      <c r="M36" s="10">
        <f t="shared" si="5"/>
        <v>27</v>
      </c>
      <c r="N36" s="10"/>
      <c r="O36" s="10">
        <v>75</v>
      </c>
      <c r="P36" s="10">
        <f>O36*J36</f>
        <v>75</v>
      </c>
      <c r="Q36" s="10"/>
      <c r="R36" s="10" t="s">
        <v>95</v>
      </c>
    </row>
    <row r="37" spans="1:18">
      <c r="A37" s="10">
        <v>7</v>
      </c>
      <c r="B37" s="10"/>
      <c r="C37" s="14" t="s">
        <v>94</v>
      </c>
      <c r="D37" s="10"/>
      <c r="E37" s="14" t="s">
        <v>119</v>
      </c>
      <c r="F37" s="10"/>
      <c r="G37" s="10" t="s">
        <v>45</v>
      </c>
      <c r="H37" s="10" t="s">
        <v>46</v>
      </c>
      <c r="I37" s="10"/>
      <c r="J37" s="10">
        <v>1</v>
      </c>
      <c r="K37" s="10">
        <f t="shared" si="4"/>
        <v>1</v>
      </c>
      <c r="L37" s="10">
        <v>12</v>
      </c>
      <c r="M37" s="10">
        <f t="shared" si="5"/>
        <v>12</v>
      </c>
      <c r="N37" s="10"/>
      <c r="O37" s="10">
        <v>20</v>
      </c>
      <c r="P37" s="10">
        <f>O37*J37</f>
        <v>20</v>
      </c>
      <c r="Q37" s="10"/>
      <c r="R37" s="10" t="s">
        <v>95</v>
      </c>
    </row>
    <row r="38" spans="1:18" s="13" customFormat="1">
      <c r="A38" s="11"/>
      <c r="B38" s="11"/>
      <c r="C38" s="12" t="s">
        <v>178</v>
      </c>
      <c r="D38" s="11"/>
      <c r="E38" s="12"/>
      <c r="F38" s="11"/>
      <c r="G38" s="11"/>
      <c r="H38" s="11"/>
      <c r="I38" s="11"/>
      <c r="J38" s="11">
        <f>SUM(J31:J37)</f>
        <v>17</v>
      </c>
      <c r="K38" s="11">
        <f>SUM(K31:K37)</f>
        <v>17</v>
      </c>
      <c r="L38" s="11"/>
      <c r="M38" s="11">
        <f>SUM(M31:M37)</f>
        <v>1051</v>
      </c>
      <c r="N38" s="11"/>
      <c r="O38" s="11"/>
      <c r="P38" s="11">
        <f>SUM(P31:P37)</f>
        <v>95</v>
      </c>
      <c r="Q38" s="11"/>
      <c r="R38" s="11"/>
    </row>
    <row r="39" spans="1:18" s="13" customFormat="1">
      <c r="A39" s="11"/>
      <c r="B39" s="11"/>
      <c r="C39" s="12"/>
      <c r="D39" s="11"/>
      <c r="E39" s="12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s="13" customFormat="1">
      <c r="A40" s="11" t="s">
        <v>192</v>
      </c>
      <c r="B40" s="11"/>
      <c r="C40" s="12" t="s">
        <v>41</v>
      </c>
      <c r="D40" s="11"/>
      <c r="E40" s="12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>
      <c r="A41" s="10">
        <v>1</v>
      </c>
      <c r="B41" s="10" t="s">
        <v>51</v>
      </c>
      <c r="C41" s="14" t="s">
        <v>42</v>
      </c>
      <c r="D41" s="10" t="s">
        <v>220</v>
      </c>
      <c r="E41" s="14" t="s">
        <v>221</v>
      </c>
      <c r="F41" s="10" t="s">
        <v>47</v>
      </c>
      <c r="G41" s="10" t="s">
        <v>45</v>
      </c>
      <c r="H41" s="10" t="s">
        <v>46</v>
      </c>
      <c r="I41" s="10">
        <v>4</v>
      </c>
      <c r="J41" s="10"/>
      <c r="K41" s="10">
        <f t="shared" ref="K41:K67" si="6">SUM(I41:J41)</f>
        <v>4</v>
      </c>
      <c r="L41" s="10">
        <v>8</v>
      </c>
      <c r="M41" s="10">
        <f t="shared" ref="M41:M74" si="7">L41*K41</f>
        <v>32</v>
      </c>
      <c r="N41" s="10"/>
      <c r="O41" s="10"/>
      <c r="P41" s="10"/>
      <c r="Q41" s="10"/>
      <c r="R41" s="10" t="s">
        <v>219</v>
      </c>
    </row>
    <row r="42" spans="1:18">
      <c r="A42" s="10">
        <v>2</v>
      </c>
      <c r="B42" s="10" t="s">
        <v>52</v>
      </c>
      <c r="C42" s="14" t="s">
        <v>42</v>
      </c>
      <c r="D42" s="10" t="s">
        <v>48</v>
      </c>
      <c r="E42" s="14" t="s">
        <v>43</v>
      </c>
      <c r="F42" s="10" t="s">
        <v>47</v>
      </c>
      <c r="G42" s="10" t="s">
        <v>45</v>
      </c>
      <c r="H42" s="10" t="s">
        <v>46</v>
      </c>
      <c r="I42" s="10">
        <v>4</v>
      </c>
      <c r="J42" s="10"/>
      <c r="K42" s="10">
        <f t="shared" si="6"/>
        <v>4</v>
      </c>
      <c r="L42" s="10">
        <v>13.5</v>
      </c>
      <c r="M42" s="10">
        <f t="shared" si="7"/>
        <v>54</v>
      </c>
      <c r="N42" s="10"/>
      <c r="O42" s="10"/>
      <c r="P42" s="10"/>
      <c r="Q42" s="10"/>
      <c r="R42" s="10" t="s">
        <v>219</v>
      </c>
    </row>
    <row r="43" spans="1:18">
      <c r="A43" s="10">
        <v>3</v>
      </c>
      <c r="B43" s="10" t="s">
        <v>120</v>
      </c>
      <c r="C43" s="14" t="s">
        <v>121</v>
      </c>
      <c r="D43" s="10"/>
      <c r="E43" s="14"/>
      <c r="F43" s="10" t="s">
        <v>47</v>
      </c>
      <c r="G43" s="10" t="s">
        <v>45</v>
      </c>
      <c r="H43" s="10" t="s">
        <v>46</v>
      </c>
      <c r="I43" s="10"/>
      <c r="J43" s="10">
        <v>4</v>
      </c>
      <c r="K43" s="10">
        <f t="shared" si="6"/>
        <v>4</v>
      </c>
      <c r="L43" s="10">
        <v>13.2</v>
      </c>
      <c r="M43" s="10">
        <f t="shared" si="7"/>
        <v>52.8</v>
      </c>
      <c r="N43" s="10"/>
      <c r="O43" s="10"/>
      <c r="P43" s="10"/>
      <c r="Q43" s="10"/>
      <c r="R43" s="10" t="s">
        <v>59</v>
      </c>
    </row>
    <row r="44" spans="1:18">
      <c r="A44" s="10">
        <v>4</v>
      </c>
      <c r="B44" s="10" t="s">
        <v>122</v>
      </c>
      <c r="C44" s="14" t="s">
        <v>123</v>
      </c>
      <c r="D44" s="10"/>
      <c r="E44" s="14"/>
      <c r="F44" s="10" t="s">
        <v>47</v>
      </c>
      <c r="G44" s="10" t="s">
        <v>45</v>
      </c>
      <c r="H44" s="10" t="s">
        <v>46</v>
      </c>
      <c r="I44" s="10"/>
      <c r="J44" s="10">
        <v>6</v>
      </c>
      <c r="K44" s="10">
        <f t="shared" si="6"/>
        <v>6</v>
      </c>
      <c r="L44" s="10">
        <v>15</v>
      </c>
      <c r="M44" s="10">
        <f t="shared" si="7"/>
        <v>90</v>
      </c>
      <c r="N44" s="10"/>
      <c r="O44" s="10"/>
      <c r="P44" s="10"/>
      <c r="Q44" s="10"/>
      <c r="R44" s="10" t="s">
        <v>59</v>
      </c>
    </row>
    <row r="45" spans="1:18" ht="15" customHeight="1">
      <c r="A45" s="10">
        <v>5</v>
      </c>
      <c r="B45" s="10" t="s">
        <v>57</v>
      </c>
      <c r="C45" s="14" t="s">
        <v>53</v>
      </c>
      <c r="D45" s="10" t="s">
        <v>226</v>
      </c>
      <c r="E45" s="14"/>
      <c r="F45" s="10" t="s">
        <v>47</v>
      </c>
      <c r="G45" s="10" t="s">
        <v>45</v>
      </c>
      <c r="H45" s="10" t="s">
        <v>46</v>
      </c>
      <c r="I45" s="10"/>
      <c r="J45" s="10">
        <v>16</v>
      </c>
      <c r="K45" s="10">
        <f t="shared" si="6"/>
        <v>16</v>
      </c>
      <c r="L45" s="10">
        <v>18.5</v>
      </c>
      <c r="M45" s="10">
        <f t="shared" si="7"/>
        <v>296</v>
      </c>
      <c r="N45" s="10"/>
      <c r="O45" s="10"/>
      <c r="P45" s="10"/>
      <c r="Q45" s="10"/>
      <c r="R45" s="10" t="s">
        <v>59</v>
      </c>
    </row>
    <row r="46" spans="1:18">
      <c r="A46" s="10">
        <v>6</v>
      </c>
      <c r="B46" s="10" t="s">
        <v>124</v>
      </c>
      <c r="C46" s="14" t="s">
        <v>125</v>
      </c>
      <c r="D46" s="10"/>
      <c r="E46" s="14"/>
      <c r="F46" s="10" t="s">
        <v>47</v>
      </c>
      <c r="G46" s="10" t="s">
        <v>45</v>
      </c>
      <c r="H46" s="10" t="s">
        <v>46</v>
      </c>
      <c r="I46" s="10"/>
      <c r="J46" s="10">
        <v>2</v>
      </c>
      <c r="K46" s="10">
        <f t="shared" si="6"/>
        <v>2</v>
      </c>
      <c r="L46" s="10">
        <v>22.5</v>
      </c>
      <c r="M46" s="10">
        <f t="shared" si="7"/>
        <v>45</v>
      </c>
      <c r="N46" s="10"/>
      <c r="O46" s="10"/>
      <c r="P46" s="10"/>
      <c r="Q46" s="10"/>
      <c r="R46" s="10" t="s">
        <v>59</v>
      </c>
    </row>
    <row r="47" spans="1:18">
      <c r="A47" s="10">
        <v>7</v>
      </c>
      <c r="B47" s="10" t="s">
        <v>126</v>
      </c>
      <c r="C47" s="14" t="s">
        <v>53</v>
      </c>
      <c r="D47" s="10"/>
      <c r="E47" s="14"/>
      <c r="F47" s="10" t="s">
        <v>47</v>
      </c>
      <c r="G47" s="10" t="s">
        <v>45</v>
      </c>
      <c r="H47" s="10" t="s">
        <v>46</v>
      </c>
      <c r="I47" s="10">
        <v>7</v>
      </c>
      <c r="J47" s="10"/>
      <c r="K47" s="10">
        <f t="shared" si="6"/>
        <v>7</v>
      </c>
      <c r="L47" s="10">
        <v>18.5</v>
      </c>
      <c r="M47" s="10">
        <f t="shared" si="7"/>
        <v>129.5</v>
      </c>
      <c r="N47" s="10"/>
      <c r="O47" s="10"/>
      <c r="P47" s="10"/>
      <c r="Q47" s="10"/>
      <c r="R47" s="10" t="s">
        <v>49</v>
      </c>
    </row>
    <row r="48" spans="1:18" ht="14.25" customHeight="1">
      <c r="A48" s="10">
        <v>8</v>
      </c>
      <c r="B48" s="10" t="s">
        <v>127</v>
      </c>
      <c r="C48" s="14" t="s">
        <v>54</v>
      </c>
      <c r="D48" s="10" t="s">
        <v>55</v>
      </c>
      <c r="E48" s="14" t="s">
        <v>55</v>
      </c>
      <c r="F48" s="10" t="s">
        <v>56</v>
      </c>
      <c r="G48" s="10" t="s">
        <v>45</v>
      </c>
      <c r="H48" s="10" t="s">
        <v>46</v>
      </c>
      <c r="I48" s="10"/>
      <c r="J48" s="10">
        <v>8</v>
      </c>
      <c r="K48" s="10">
        <f t="shared" si="6"/>
        <v>8</v>
      </c>
      <c r="L48" s="10">
        <v>18.5</v>
      </c>
      <c r="M48" s="10">
        <f t="shared" si="7"/>
        <v>148</v>
      </c>
      <c r="N48" s="10"/>
      <c r="O48" s="10"/>
      <c r="P48" s="10"/>
      <c r="Q48" s="10"/>
      <c r="R48" s="10" t="s">
        <v>59</v>
      </c>
    </row>
    <row r="49" spans="1:18" ht="14.25" customHeight="1">
      <c r="A49" s="10">
        <v>9</v>
      </c>
      <c r="B49" s="10" t="s">
        <v>128</v>
      </c>
      <c r="C49" s="14" t="s">
        <v>54</v>
      </c>
      <c r="D49" s="10" t="s">
        <v>55</v>
      </c>
      <c r="E49" s="14" t="s">
        <v>55</v>
      </c>
      <c r="F49" s="10" t="s">
        <v>56</v>
      </c>
      <c r="G49" s="10" t="s">
        <v>45</v>
      </c>
      <c r="H49" s="10" t="s">
        <v>46</v>
      </c>
      <c r="I49" s="10">
        <v>2</v>
      </c>
      <c r="J49" s="10"/>
      <c r="K49" s="10">
        <f t="shared" si="6"/>
        <v>2</v>
      </c>
      <c r="L49" s="10">
        <v>18.5</v>
      </c>
      <c r="M49" s="10">
        <f t="shared" si="7"/>
        <v>37</v>
      </c>
      <c r="N49" s="10"/>
      <c r="O49" s="10"/>
      <c r="P49" s="10"/>
      <c r="Q49" s="10"/>
      <c r="R49" s="10" t="s">
        <v>49</v>
      </c>
    </row>
    <row r="50" spans="1:18">
      <c r="A50" s="10">
        <v>10</v>
      </c>
      <c r="B50" s="10" t="s">
        <v>129</v>
      </c>
      <c r="C50" s="14" t="s">
        <v>61</v>
      </c>
      <c r="D50" s="10" t="s">
        <v>62</v>
      </c>
      <c r="E50" s="14" t="s">
        <v>63</v>
      </c>
      <c r="F50" s="10" t="s">
        <v>64</v>
      </c>
      <c r="G50" s="10" t="s">
        <v>45</v>
      </c>
      <c r="H50" s="10" t="s">
        <v>46</v>
      </c>
      <c r="I50" s="10"/>
      <c r="J50" s="10">
        <v>6</v>
      </c>
      <c r="K50" s="10">
        <f t="shared" si="6"/>
        <v>6</v>
      </c>
      <c r="L50" s="10">
        <v>20</v>
      </c>
      <c r="M50" s="10">
        <f t="shared" si="7"/>
        <v>120</v>
      </c>
      <c r="N50" s="10"/>
      <c r="O50" s="10"/>
      <c r="P50" s="10"/>
      <c r="Q50" s="10"/>
      <c r="R50" s="10" t="s">
        <v>59</v>
      </c>
    </row>
    <row r="51" spans="1:18">
      <c r="A51" s="10">
        <v>11</v>
      </c>
      <c r="B51" s="10" t="s">
        <v>130</v>
      </c>
      <c r="C51" s="14" t="s">
        <v>61</v>
      </c>
      <c r="D51" s="10" t="s">
        <v>58</v>
      </c>
      <c r="E51" s="14" t="s">
        <v>58</v>
      </c>
      <c r="F51" s="10" t="s">
        <v>56</v>
      </c>
      <c r="G51" s="10" t="s">
        <v>45</v>
      </c>
      <c r="H51" s="10" t="s">
        <v>46</v>
      </c>
      <c r="I51" s="10">
        <v>2</v>
      </c>
      <c r="J51" s="10"/>
      <c r="K51" s="10">
        <f t="shared" si="6"/>
        <v>2</v>
      </c>
      <c r="L51" s="10">
        <v>22</v>
      </c>
      <c r="M51" s="10">
        <f t="shared" si="7"/>
        <v>44</v>
      </c>
      <c r="N51" s="10"/>
      <c r="O51" s="10"/>
      <c r="P51" s="10"/>
      <c r="Q51" s="10"/>
      <c r="R51" s="10" t="s">
        <v>49</v>
      </c>
    </row>
    <row r="52" spans="1:18">
      <c r="A52" s="10">
        <v>12</v>
      </c>
      <c r="B52" s="10" t="s">
        <v>131</v>
      </c>
      <c r="C52" s="14" t="s">
        <v>132</v>
      </c>
      <c r="D52" s="10" t="s">
        <v>222</v>
      </c>
      <c r="E52" s="14" t="s">
        <v>223</v>
      </c>
      <c r="F52" s="10" t="s">
        <v>133</v>
      </c>
      <c r="G52" s="10" t="s">
        <v>45</v>
      </c>
      <c r="H52" s="10" t="s">
        <v>46</v>
      </c>
      <c r="I52" s="10"/>
      <c r="J52" s="10">
        <v>6</v>
      </c>
      <c r="K52" s="10">
        <f t="shared" si="6"/>
        <v>6</v>
      </c>
      <c r="L52" s="10">
        <v>37</v>
      </c>
      <c r="M52" s="10">
        <f t="shared" si="7"/>
        <v>222</v>
      </c>
      <c r="N52" s="10"/>
      <c r="O52" s="10"/>
      <c r="P52" s="10"/>
      <c r="Q52" s="10"/>
      <c r="R52" s="10" t="s">
        <v>59</v>
      </c>
    </row>
    <row r="53" spans="1:18">
      <c r="A53" s="10">
        <v>13</v>
      </c>
      <c r="B53" s="10" t="s">
        <v>135</v>
      </c>
      <c r="C53" s="14" t="s">
        <v>134</v>
      </c>
      <c r="D53" s="10"/>
      <c r="E53" s="14" t="s">
        <v>233</v>
      </c>
      <c r="F53" s="10" t="s">
        <v>133</v>
      </c>
      <c r="G53" s="10" t="s">
        <v>45</v>
      </c>
      <c r="H53" s="10" t="s">
        <v>46</v>
      </c>
      <c r="I53" s="10"/>
      <c r="J53" s="10">
        <v>2</v>
      </c>
      <c r="K53" s="10">
        <f t="shared" si="6"/>
        <v>2</v>
      </c>
      <c r="L53" s="10">
        <v>38</v>
      </c>
      <c r="M53" s="10">
        <f t="shared" si="7"/>
        <v>76</v>
      </c>
      <c r="N53" s="10"/>
      <c r="O53" s="10"/>
      <c r="P53" s="10"/>
      <c r="Q53" s="10"/>
      <c r="R53" s="10" t="s">
        <v>59</v>
      </c>
    </row>
    <row r="54" spans="1:18">
      <c r="A54" s="10">
        <v>14</v>
      </c>
      <c r="B54" s="10" t="s">
        <v>136</v>
      </c>
      <c r="C54" s="14" t="s">
        <v>137</v>
      </c>
      <c r="D54" s="10" t="s">
        <v>224</v>
      </c>
      <c r="E54" s="14" t="s">
        <v>225</v>
      </c>
      <c r="F54" s="10" t="s">
        <v>133</v>
      </c>
      <c r="G54" s="10" t="s">
        <v>45</v>
      </c>
      <c r="H54" s="10" t="s">
        <v>46</v>
      </c>
      <c r="I54" s="10"/>
      <c r="J54" s="10">
        <v>4</v>
      </c>
      <c r="K54" s="10">
        <f t="shared" si="6"/>
        <v>4</v>
      </c>
      <c r="L54" s="10">
        <v>52</v>
      </c>
      <c r="M54" s="10">
        <f t="shared" si="7"/>
        <v>208</v>
      </c>
      <c r="N54" s="10"/>
      <c r="O54" s="10"/>
      <c r="P54" s="10"/>
      <c r="Q54" s="10"/>
      <c r="R54" s="10" t="s">
        <v>59</v>
      </c>
    </row>
    <row r="55" spans="1:18">
      <c r="A55" s="10">
        <v>15</v>
      </c>
      <c r="B55" s="10" t="s">
        <v>138</v>
      </c>
      <c r="C55" s="14" t="s">
        <v>244</v>
      </c>
      <c r="D55" s="10" t="s">
        <v>245</v>
      </c>
      <c r="E55" s="14"/>
      <c r="F55" s="10" t="s">
        <v>133</v>
      </c>
      <c r="G55" s="10" t="s">
        <v>45</v>
      </c>
      <c r="H55" s="10" t="s">
        <v>46</v>
      </c>
      <c r="I55" s="10"/>
      <c r="J55" s="10">
        <v>4</v>
      </c>
      <c r="K55" s="10">
        <f t="shared" si="6"/>
        <v>4</v>
      </c>
      <c r="L55" s="10">
        <v>38</v>
      </c>
      <c r="M55" s="10">
        <f t="shared" si="7"/>
        <v>152</v>
      </c>
      <c r="N55" s="10"/>
      <c r="O55" s="10"/>
      <c r="P55" s="10"/>
      <c r="Q55" s="10"/>
      <c r="R55" s="10" t="s">
        <v>59</v>
      </c>
    </row>
    <row r="56" spans="1:18">
      <c r="A56" s="10">
        <v>16</v>
      </c>
      <c r="B56" s="10" t="s">
        <v>140</v>
      </c>
      <c r="C56" s="14" t="s">
        <v>139</v>
      </c>
      <c r="D56" s="10" t="s">
        <v>246</v>
      </c>
      <c r="E56" s="14"/>
      <c r="F56" s="10" t="s">
        <v>133</v>
      </c>
      <c r="G56" s="10" t="s">
        <v>45</v>
      </c>
      <c r="H56" s="10" t="s">
        <v>46</v>
      </c>
      <c r="I56" s="10"/>
      <c r="J56" s="10">
        <v>2</v>
      </c>
      <c r="K56" s="10">
        <f t="shared" si="6"/>
        <v>2</v>
      </c>
      <c r="L56" s="10">
        <v>42</v>
      </c>
      <c r="M56" s="10">
        <f t="shared" si="7"/>
        <v>84</v>
      </c>
      <c r="N56" s="10"/>
      <c r="O56" s="10"/>
      <c r="P56" s="10"/>
      <c r="Q56" s="10"/>
      <c r="R56" s="10" t="s">
        <v>59</v>
      </c>
    </row>
    <row r="57" spans="1:18">
      <c r="A57" s="10">
        <v>17</v>
      </c>
      <c r="B57" s="10" t="s">
        <v>141</v>
      </c>
      <c r="C57" s="14" t="s">
        <v>139</v>
      </c>
      <c r="D57" s="10" t="s">
        <v>247</v>
      </c>
      <c r="E57" s="14"/>
      <c r="F57" s="10" t="s">
        <v>133</v>
      </c>
      <c r="G57" s="10" t="s">
        <v>45</v>
      </c>
      <c r="H57" s="10" t="s">
        <v>46</v>
      </c>
      <c r="I57" s="10"/>
      <c r="J57" s="10">
        <v>2</v>
      </c>
      <c r="K57" s="10">
        <f t="shared" si="6"/>
        <v>2</v>
      </c>
      <c r="L57" s="10">
        <v>48</v>
      </c>
      <c r="M57" s="10">
        <f t="shared" si="7"/>
        <v>96</v>
      </c>
      <c r="N57" s="10"/>
      <c r="O57" s="10"/>
      <c r="P57" s="10"/>
      <c r="Q57" s="10"/>
      <c r="R57" s="10" t="s">
        <v>59</v>
      </c>
    </row>
    <row r="58" spans="1:18">
      <c r="A58" s="10">
        <v>18</v>
      </c>
      <c r="B58" s="10" t="s">
        <v>103</v>
      </c>
      <c r="C58" s="14" t="s">
        <v>145</v>
      </c>
      <c r="D58" s="10" t="s">
        <v>146</v>
      </c>
      <c r="E58" s="14" t="s">
        <v>229</v>
      </c>
      <c r="F58" s="10" t="s">
        <v>148</v>
      </c>
      <c r="G58" s="10" t="s">
        <v>45</v>
      </c>
      <c r="H58" s="10" t="s">
        <v>46</v>
      </c>
      <c r="I58" s="10"/>
      <c r="J58" s="10">
        <v>4</v>
      </c>
      <c r="K58" s="10">
        <f t="shared" si="6"/>
        <v>4</v>
      </c>
      <c r="L58" s="10">
        <v>30</v>
      </c>
      <c r="M58" s="10">
        <f t="shared" si="7"/>
        <v>120</v>
      </c>
      <c r="N58" s="10"/>
      <c r="O58" s="10"/>
      <c r="P58" s="10"/>
      <c r="Q58" s="10"/>
      <c r="R58" s="10" t="s">
        <v>59</v>
      </c>
    </row>
    <row r="59" spans="1:18">
      <c r="A59" s="10">
        <v>19</v>
      </c>
      <c r="B59" s="10" t="s">
        <v>104</v>
      </c>
      <c r="C59" s="14" t="s">
        <v>145</v>
      </c>
      <c r="D59" s="10" t="s">
        <v>147</v>
      </c>
      <c r="E59" s="14" t="s">
        <v>228</v>
      </c>
      <c r="F59" s="10" t="s">
        <v>149</v>
      </c>
      <c r="G59" s="10" t="s">
        <v>45</v>
      </c>
      <c r="H59" s="10" t="s">
        <v>46</v>
      </c>
      <c r="I59" s="10"/>
      <c r="J59" s="10">
        <v>4</v>
      </c>
      <c r="K59" s="10">
        <f t="shared" si="6"/>
        <v>4</v>
      </c>
      <c r="L59" s="10">
        <v>35</v>
      </c>
      <c r="M59" s="10">
        <f t="shared" si="7"/>
        <v>140</v>
      </c>
      <c r="N59" s="10"/>
      <c r="O59" s="10"/>
      <c r="P59" s="10"/>
      <c r="Q59" s="10"/>
      <c r="R59" s="10" t="s">
        <v>59</v>
      </c>
    </row>
    <row r="60" spans="1:18">
      <c r="A60" s="10">
        <v>20</v>
      </c>
      <c r="B60" s="10" t="s">
        <v>105</v>
      </c>
      <c r="C60" s="14" t="s">
        <v>150</v>
      </c>
      <c r="D60" s="10" t="s">
        <v>151</v>
      </c>
      <c r="E60" s="14" t="s">
        <v>151</v>
      </c>
      <c r="F60" s="10" t="s">
        <v>152</v>
      </c>
      <c r="G60" s="10" t="s">
        <v>45</v>
      </c>
      <c r="H60" s="10" t="s">
        <v>46</v>
      </c>
      <c r="I60" s="10"/>
      <c r="J60" s="10">
        <v>6</v>
      </c>
      <c r="K60" s="10">
        <f t="shared" si="6"/>
        <v>6</v>
      </c>
      <c r="L60" s="10">
        <v>75</v>
      </c>
      <c r="M60" s="10">
        <f t="shared" si="7"/>
        <v>450</v>
      </c>
      <c r="N60" s="10"/>
      <c r="O60" s="10"/>
      <c r="P60" s="10"/>
      <c r="Q60" s="10"/>
      <c r="R60" s="10" t="s">
        <v>59</v>
      </c>
    </row>
    <row r="61" spans="1:18">
      <c r="A61" s="10">
        <v>21</v>
      </c>
      <c r="B61" s="10" t="s">
        <v>106</v>
      </c>
      <c r="C61" s="14" t="s">
        <v>150</v>
      </c>
      <c r="D61" s="10" t="s">
        <v>227</v>
      </c>
      <c r="E61" s="14" t="s">
        <v>227</v>
      </c>
      <c r="F61" s="10" t="s">
        <v>70</v>
      </c>
      <c r="G61" s="10" t="s">
        <v>45</v>
      </c>
      <c r="H61" s="10" t="s">
        <v>46</v>
      </c>
      <c r="I61" s="10"/>
      <c r="J61" s="10">
        <v>2</v>
      </c>
      <c r="K61" s="10">
        <f t="shared" si="6"/>
        <v>2</v>
      </c>
      <c r="L61" s="10">
        <v>110</v>
      </c>
      <c r="M61" s="10">
        <f t="shared" si="7"/>
        <v>220</v>
      </c>
      <c r="N61" s="10"/>
      <c r="O61" s="10"/>
      <c r="P61" s="10"/>
      <c r="Q61" s="10"/>
      <c r="R61" s="10" t="s">
        <v>59</v>
      </c>
    </row>
    <row r="62" spans="1:18" ht="13.5" customHeight="1">
      <c r="A62" s="10">
        <v>22</v>
      </c>
      <c r="B62" s="10" t="s">
        <v>107</v>
      </c>
      <c r="C62" s="14" t="s">
        <v>248</v>
      </c>
      <c r="D62" s="10" t="s">
        <v>153</v>
      </c>
      <c r="E62" s="14" t="s">
        <v>230</v>
      </c>
      <c r="F62" s="10" t="s">
        <v>154</v>
      </c>
      <c r="G62" s="10" t="s">
        <v>45</v>
      </c>
      <c r="H62" s="10" t="s">
        <v>46</v>
      </c>
      <c r="I62" s="10">
        <v>2</v>
      </c>
      <c r="J62" s="10"/>
      <c r="K62" s="10">
        <f t="shared" si="6"/>
        <v>2</v>
      </c>
      <c r="L62" s="10">
        <v>135</v>
      </c>
      <c r="M62" s="10">
        <f t="shared" si="7"/>
        <v>270</v>
      </c>
      <c r="N62" s="10"/>
      <c r="O62" s="10"/>
      <c r="P62" s="10"/>
      <c r="Q62" s="10"/>
      <c r="R62" s="10" t="s">
        <v>219</v>
      </c>
    </row>
    <row r="63" spans="1:18">
      <c r="A63" s="10">
        <v>23</v>
      </c>
      <c r="B63" s="10" t="s">
        <v>108</v>
      </c>
      <c r="C63" s="14" t="s">
        <v>155</v>
      </c>
      <c r="D63" s="10" t="s">
        <v>156</v>
      </c>
      <c r="E63" s="14" t="s">
        <v>156</v>
      </c>
      <c r="F63" s="10" t="s">
        <v>157</v>
      </c>
      <c r="G63" s="10" t="s">
        <v>45</v>
      </c>
      <c r="H63" s="10" t="s">
        <v>46</v>
      </c>
      <c r="I63" s="10"/>
      <c r="J63" s="10">
        <v>2</v>
      </c>
      <c r="K63" s="10">
        <f t="shared" si="6"/>
        <v>2</v>
      </c>
      <c r="L63" s="10">
        <v>5</v>
      </c>
      <c r="M63" s="10">
        <f t="shared" si="7"/>
        <v>10</v>
      </c>
      <c r="N63" s="10"/>
      <c r="O63" s="10"/>
      <c r="P63" s="10"/>
      <c r="Q63" s="10"/>
      <c r="R63" s="10" t="s">
        <v>60</v>
      </c>
    </row>
    <row r="64" spans="1:18">
      <c r="A64" s="10">
        <v>24</v>
      </c>
      <c r="B64" s="10" t="s">
        <v>159</v>
      </c>
      <c r="C64" s="14" t="s">
        <v>155</v>
      </c>
      <c r="D64" s="10" t="s">
        <v>158</v>
      </c>
      <c r="E64" s="14" t="s">
        <v>158</v>
      </c>
      <c r="F64" s="10" t="s">
        <v>157</v>
      </c>
      <c r="G64" s="10" t="s">
        <v>45</v>
      </c>
      <c r="H64" s="10" t="s">
        <v>46</v>
      </c>
      <c r="I64" s="10"/>
      <c r="J64" s="10">
        <v>2</v>
      </c>
      <c r="K64" s="10">
        <f t="shared" si="6"/>
        <v>2</v>
      </c>
      <c r="L64" s="10">
        <v>18</v>
      </c>
      <c r="M64" s="10">
        <f t="shared" si="7"/>
        <v>36</v>
      </c>
      <c r="N64" s="10"/>
      <c r="O64" s="10"/>
      <c r="P64" s="10"/>
      <c r="Q64" s="10"/>
      <c r="R64" s="10" t="s">
        <v>60</v>
      </c>
    </row>
    <row r="65" spans="1:21">
      <c r="A65" s="10">
        <v>25</v>
      </c>
      <c r="B65" s="10" t="s">
        <v>160</v>
      </c>
      <c r="C65" s="14" t="s">
        <v>251</v>
      </c>
      <c r="D65" s="10" t="s">
        <v>161</v>
      </c>
      <c r="E65" s="14" t="s">
        <v>231</v>
      </c>
      <c r="F65" s="10" t="s">
        <v>157</v>
      </c>
      <c r="G65" s="10" t="s">
        <v>45</v>
      </c>
      <c r="H65" s="10" t="s">
        <v>46</v>
      </c>
      <c r="I65" s="10"/>
      <c r="J65" s="10">
        <v>2</v>
      </c>
      <c r="K65" s="10">
        <f t="shared" si="6"/>
        <v>2</v>
      </c>
      <c r="L65" s="10">
        <v>7.5</v>
      </c>
      <c r="M65" s="10">
        <f t="shared" si="7"/>
        <v>15</v>
      </c>
      <c r="N65" s="10"/>
      <c r="O65" s="10"/>
      <c r="P65" s="10"/>
      <c r="Q65" s="10"/>
      <c r="R65" s="10" t="s">
        <v>60</v>
      </c>
    </row>
    <row r="66" spans="1:21">
      <c r="A66" s="10">
        <v>26</v>
      </c>
      <c r="B66" s="10" t="s">
        <v>162</v>
      </c>
      <c r="C66" s="14" t="s">
        <v>252</v>
      </c>
      <c r="D66" s="10" t="s">
        <v>163</v>
      </c>
      <c r="E66" s="14" t="s">
        <v>232</v>
      </c>
      <c r="F66" s="10" t="s">
        <v>157</v>
      </c>
      <c r="G66" s="10" t="s">
        <v>45</v>
      </c>
      <c r="H66" s="10" t="s">
        <v>46</v>
      </c>
      <c r="I66" s="10"/>
      <c r="J66" s="10">
        <v>2</v>
      </c>
      <c r="K66" s="10">
        <f t="shared" si="6"/>
        <v>2</v>
      </c>
      <c r="L66" s="10">
        <v>20</v>
      </c>
      <c r="M66" s="10">
        <f t="shared" si="7"/>
        <v>40</v>
      </c>
      <c r="N66" s="10"/>
      <c r="O66" s="10"/>
      <c r="P66" s="10"/>
      <c r="Q66" s="10"/>
      <c r="R66" s="10" t="s">
        <v>60</v>
      </c>
    </row>
    <row r="67" spans="1:21" ht="16.5">
      <c r="A67" s="10">
        <v>27</v>
      </c>
      <c r="B67" s="10" t="s">
        <v>165</v>
      </c>
      <c r="C67" s="14" t="s">
        <v>164</v>
      </c>
      <c r="D67" s="10" t="s">
        <v>250</v>
      </c>
      <c r="E67" s="14"/>
      <c r="F67" s="10" t="s">
        <v>166</v>
      </c>
      <c r="G67" s="10" t="s">
        <v>45</v>
      </c>
      <c r="H67" s="10" t="s">
        <v>46</v>
      </c>
      <c r="I67" s="10"/>
      <c r="J67" s="10">
        <v>2</v>
      </c>
      <c r="K67" s="10">
        <f t="shared" si="6"/>
        <v>2</v>
      </c>
      <c r="L67" s="10">
        <v>55</v>
      </c>
      <c r="M67" s="10">
        <f t="shared" si="7"/>
        <v>110</v>
      </c>
      <c r="N67" s="10"/>
      <c r="O67" s="10"/>
      <c r="P67" s="10"/>
      <c r="Q67" s="10"/>
      <c r="R67" s="10" t="s">
        <v>60</v>
      </c>
      <c r="U67" s="8" t="s">
        <v>36</v>
      </c>
    </row>
    <row r="68" spans="1:21" ht="28.5">
      <c r="A68" s="10">
        <v>28</v>
      </c>
      <c r="B68" s="10"/>
      <c r="C68" s="14" t="s">
        <v>94</v>
      </c>
      <c r="D68" s="10"/>
      <c r="E68" s="14" t="s">
        <v>117</v>
      </c>
      <c r="F68" s="10"/>
      <c r="G68" s="10" t="s">
        <v>45</v>
      </c>
      <c r="H68" s="10" t="s">
        <v>46</v>
      </c>
      <c r="I68" s="10"/>
      <c r="J68" s="10">
        <v>2</v>
      </c>
      <c r="K68" s="10">
        <f t="shared" ref="K68:K74" si="8">SUM(I68:J68)</f>
        <v>2</v>
      </c>
      <c r="L68" s="10">
        <v>27</v>
      </c>
      <c r="M68" s="10">
        <f t="shared" si="7"/>
        <v>54</v>
      </c>
      <c r="N68" s="10"/>
      <c r="O68" s="10">
        <v>75</v>
      </c>
      <c r="P68" s="10">
        <f t="shared" ref="P68:P87" si="9">O68*J68</f>
        <v>150</v>
      </c>
      <c r="Q68" s="10" t="s">
        <v>194</v>
      </c>
      <c r="R68" s="10" t="s">
        <v>144</v>
      </c>
    </row>
    <row r="69" spans="1:21">
      <c r="A69" s="10">
        <v>29</v>
      </c>
      <c r="B69" s="10"/>
      <c r="C69" s="14" t="s">
        <v>94</v>
      </c>
      <c r="D69" s="10"/>
      <c r="E69" s="14" t="s">
        <v>118</v>
      </c>
      <c r="F69" s="10"/>
      <c r="G69" s="10" t="s">
        <v>45</v>
      </c>
      <c r="H69" s="10" t="s">
        <v>46</v>
      </c>
      <c r="I69" s="10"/>
      <c r="J69" s="10">
        <v>2</v>
      </c>
      <c r="K69" s="10">
        <f t="shared" si="8"/>
        <v>2</v>
      </c>
      <c r="L69" s="10">
        <v>14</v>
      </c>
      <c r="M69" s="10">
        <f t="shared" si="7"/>
        <v>28</v>
      </c>
      <c r="N69" s="10"/>
      <c r="O69" s="10">
        <v>35</v>
      </c>
      <c r="P69" s="10">
        <f t="shared" si="9"/>
        <v>70</v>
      </c>
      <c r="Q69" s="10"/>
      <c r="R69" s="10" t="s">
        <v>144</v>
      </c>
    </row>
    <row r="70" spans="1:21">
      <c r="A70" s="10">
        <v>30</v>
      </c>
      <c r="B70" s="10"/>
      <c r="C70" s="14" t="s">
        <v>94</v>
      </c>
      <c r="D70" s="10"/>
      <c r="E70" s="14" t="s">
        <v>119</v>
      </c>
      <c r="F70" s="10"/>
      <c r="G70" s="10" t="s">
        <v>45</v>
      </c>
      <c r="H70" s="10" t="s">
        <v>46</v>
      </c>
      <c r="I70" s="10"/>
      <c r="J70" s="10">
        <v>2</v>
      </c>
      <c r="K70" s="10">
        <f t="shared" si="8"/>
        <v>2</v>
      </c>
      <c r="L70" s="10">
        <v>12</v>
      </c>
      <c r="M70" s="10">
        <f t="shared" si="7"/>
        <v>24</v>
      </c>
      <c r="N70" s="10"/>
      <c r="O70" s="10">
        <v>20</v>
      </c>
      <c r="P70" s="10">
        <f t="shared" si="9"/>
        <v>40</v>
      </c>
      <c r="Q70" s="10"/>
      <c r="R70" s="10" t="s">
        <v>144</v>
      </c>
    </row>
    <row r="71" spans="1:21" ht="28.5">
      <c r="A71" s="10">
        <v>31</v>
      </c>
      <c r="B71" s="10"/>
      <c r="C71" s="14" t="s">
        <v>94</v>
      </c>
      <c r="D71" s="10"/>
      <c r="E71" s="14" t="s">
        <v>175</v>
      </c>
      <c r="F71" s="10"/>
      <c r="G71" s="10" t="s">
        <v>45</v>
      </c>
      <c r="H71" s="10" t="s">
        <v>46</v>
      </c>
      <c r="I71" s="10"/>
      <c r="J71" s="10">
        <v>2</v>
      </c>
      <c r="K71" s="10">
        <f t="shared" si="8"/>
        <v>2</v>
      </c>
      <c r="L71" s="10">
        <v>37</v>
      </c>
      <c r="M71" s="10">
        <f t="shared" si="7"/>
        <v>74</v>
      </c>
      <c r="N71" s="10"/>
      <c r="O71" s="10">
        <v>100</v>
      </c>
      <c r="P71" s="10">
        <f>O71*J71</f>
        <v>200</v>
      </c>
      <c r="Q71" s="10" t="s">
        <v>194</v>
      </c>
      <c r="R71" s="10" t="s">
        <v>144</v>
      </c>
    </row>
    <row r="72" spans="1:21" ht="28.5">
      <c r="A72" s="10">
        <v>32</v>
      </c>
      <c r="B72" s="10"/>
      <c r="C72" s="14" t="s">
        <v>94</v>
      </c>
      <c r="D72" s="10"/>
      <c r="E72" s="14" t="s">
        <v>176</v>
      </c>
      <c r="F72" s="10"/>
      <c r="G72" s="10" t="s">
        <v>45</v>
      </c>
      <c r="H72" s="10" t="s">
        <v>46</v>
      </c>
      <c r="I72" s="10"/>
      <c r="J72" s="10">
        <v>2</v>
      </c>
      <c r="K72" s="10">
        <f t="shared" si="8"/>
        <v>2</v>
      </c>
      <c r="L72" s="10">
        <v>27</v>
      </c>
      <c r="M72" s="10">
        <f t="shared" si="7"/>
        <v>54</v>
      </c>
      <c r="N72" s="10"/>
      <c r="O72" s="10">
        <v>75</v>
      </c>
      <c r="P72" s="10">
        <f>O72*J72</f>
        <v>150</v>
      </c>
      <c r="Q72" s="10" t="s">
        <v>194</v>
      </c>
      <c r="R72" s="10" t="s">
        <v>144</v>
      </c>
    </row>
    <row r="73" spans="1:21">
      <c r="A73" s="10">
        <v>33</v>
      </c>
      <c r="B73" s="10"/>
      <c r="C73" s="14" t="s">
        <v>94</v>
      </c>
      <c r="D73" s="10"/>
      <c r="E73" s="14" t="s">
        <v>177</v>
      </c>
      <c r="F73" s="10"/>
      <c r="G73" s="10" t="s">
        <v>45</v>
      </c>
      <c r="H73" s="10" t="s">
        <v>46</v>
      </c>
      <c r="I73" s="10"/>
      <c r="J73" s="10">
        <v>2</v>
      </c>
      <c r="K73" s="10">
        <f t="shared" si="8"/>
        <v>2</v>
      </c>
      <c r="L73" s="10">
        <v>14</v>
      </c>
      <c r="M73" s="10">
        <f t="shared" si="7"/>
        <v>28</v>
      </c>
      <c r="N73" s="10"/>
      <c r="O73" s="10">
        <v>35</v>
      </c>
      <c r="P73" s="10">
        <f>O73*J73</f>
        <v>70</v>
      </c>
      <c r="Q73" s="10"/>
      <c r="R73" s="10" t="s">
        <v>144</v>
      </c>
    </row>
    <row r="74" spans="1:21">
      <c r="A74" s="10">
        <v>34</v>
      </c>
      <c r="B74" s="10"/>
      <c r="C74" s="14" t="s">
        <v>142</v>
      </c>
      <c r="D74" s="10"/>
      <c r="E74" s="14" t="s">
        <v>143</v>
      </c>
      <c r="F74" s="10"/>
      <c r="G74" s="10" t="s">
        <v>45</v>
      </c>
      <c r="H74" s="10" t="s">
        <v>46</v>
      </c>
      <c r="I74" s="10"/>
      <c r="J74" s="10">
        <v>3</v>
      </c>
      <c r="K74" s="10">
        <f t="shared" si="8"/>
        <v>3</v>
      </c>
      <c r="L74" s="10">
        <v>10</v>
      </c>
      <c r="M74" s="10">
        <f t="shared" si="7"/>
        <v>30</v>
      </c>
      <c r="N74" s="10"/>
      <c r="O74" s="10">
        <v>15</v>
      </c>
      <c r="P74" s="10">
        <f t="shared" si="9"/>
        <v>45</v>
      </c>
      <c r="Q74" s="10"/>
      <c r="R74" s="10" t="s">
        <v>144</v>
      </c>
    </row>
    <row r="75" spans="1:21" s="13" customFormat="1">
      <c r="A75" s="11"/>
      <c r="B75" s="11"/>
      <c r="C75" s="12" t="s">
        <v>178</v>
      </c>
      <c r="D75" s="11"/>
      <c r="E75" s="12"/>
      <c r="F75" s="11"/>
      <c r="G75" s="11"/>
      <c r="H75" s="11"/>
      <c r="I75" s="11">
        <f>SUM(I41:I74)</f>
        <v>21</v>
      </c>
      <c r="J75" s="11">
        <f>SUM(J41:J74)</f>
        <v>103</v>
      </c>
      <c r="K75" s="11">
        <f>SUM(K41:K74)</f>
        <v>124</v>
      </c>
      <c r="L75" s="11"/>
      <c r="M75" s="11">
        <f>SUM(M41:M74)</f>
        <v>3589.3</v>
      </c>
      <c r="N75" s="11"/>
      <c r="O75" s="11"/>
      <c r="P75" s="11">
        <f>SUM(P41:P74)</f>
        <v>725</v>
      </c>
      <c r="Q75" s="11"/>
      <c r="R75" s="11"/>
    </row>
    <row r="76" spans="1:21" s="13" customFormat="1">
      <c r="A76" s="11"/>
      <c r="B76" s="11"/>
      <c r="C76" s="12"/>
      <c r="D76" s="11"/>
      <c r="E76" s="12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spans="1:21" s="13" customFormat="1">
      <c r="A77" s="11" t="s">
        <v>193</v>
      </c>
      <c r="B77" s="11"/>
      <c r="C77" s="12" t="s">
        <v>102</v>
      </c>
      <c r="D77" s="11"/>
      <c r="E77" s="12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spans="1:21">
      <c r="A78" s="10">
        <v>1</v>
      </c>
      <c r="B78" s="10" t="s">
        <v>199</v>
      </c>
      <c r="C78" s="14" t="s">
        <v>242</v>
      </c>
      <c r="D78" s="10"/>
      <c r="E78" s="14" t="s">
        <v>237</v>
      </c>
      <c r="F78" s="10" t="s">
        <v>167</v>
      </c>
      <c r="G78" s="10" t="s">
        <v>241</v>
      </c>
      <c r="H78" s="10" t="s">
        <v>46</v>
      </c>
      <c r="I78" s="10"/>
      <c r="J78" s="10">
        <v>1</v>
      </c>
      <c r="K78" s="10">
        <f t="shared" ref="K78:K87" si="10">SUM(I78:J78)</f>
        <v>1</v>
      </c>
      <c r="L78" s="10">
        <v>125</v>
      </c>
      <c r="M78" s="10">
        <f t="shared" ref="M78:M87" si="11">L78*K78</f>
        <v>125</v>
      </c>
      <c r="N78" s="10"/>
      <c r="O78" s="10"/>
      <c r="P78" s="10"/>
      <c r="Q78" s="10"/>
      <c r="R78" s="10" t="s">
        <v>60</v>
      </c>
    </row>
    <row r="79" spans="1:21">
      <c r="A79" s="10">
        <v>2</v>
      </c>
      <c r="B79" s="10" t="s">
        <v>200</v>
      </c>
      <c r="C79" s="14" t="s">
        <v>243</v>
      </c>
      <c r="D79" s="10"/>
      <c r="E79" s="14" t="s">
        <v>234</v>
      </c>
      <c r="F79" s="10" t="s">
        <v>235</v>
      </c>
      <c r="G79" s="10" t="s">
        <v>241</v>
      </c>
      <c r="H79" s="10" t="s">
        <v>46</v>
      </c>
      <c r="I79" s="10"/>
      <c r="J79" s="10">
        <v>1</v>
      </c>
      <c r="K79" s="10">
        <f t="shared" si="10"/>
        <v>1</v>
      </c>
      <c r="L79" s="10">
        <v>230</v>
      </c>
      <c r="M79" s="10">
        <f t="shared" si="11"/>
        <v>230</v>
      </c>
      <c r="N79" s="10"/>
      <c r="O79" s="10"/>
      <c r="P79" s="10"/>
      <c r="Q79" s="10"/>
      <c r="R79" s="10" t="s">
        <v>60</v>
      </c>
    </row>
    <row r="80" spans="1:21">
      <c r="A80" s="10">
        <v>3</v>
      </c>
      <c r="B80" s="10" t="s">
        <v>201</v>
      </c>
      <c r="C80" s="14" t="s">
        <v>243</v>
      </c>
      <c r="D80" s="10"/>
      <c r="E80" s="14" t="s">
        <v>205</v>
      </c>
      <c r="F80" s="10" t="s">
        <v>236</v>
      </c>
      <c r="G80" s="10" t="s">
        <v>241</v>
      </c>
      <c r="H80" s="10" t="s">
        <v>46</v>
      </c>
      <c r="I80" s="10"/>
      <c r="J80" s="10">
        <v>1</v>
      </c>
      <c r="K80" s="10">
        <f t="shared" si="10"/>
        <v>1</v>
      </c>
      <c r="L80" s="10">
        <v>560</v>
      </c>
      <c r="M80" s="10">
        <f t="shared" si="11"/>
        <v>560</v>
      </c>
      <c r="N80" s="10"/>
      <c r="O80" s="10"/>
      <c r="P80" s="10"/>
      <c r="Q80" s="10"/>
      <c r="R80" s="10" t="s">
        <v>60</v>
      </c>
    </row>
    <row r="81" spans="1:18">
      <c r="A81" s="10">
        <v>4</v>
      </c>
      <c r="B81" s="10" t="s">
        <v>202</v>
      </c>
      <c r="C81" s="14" t="s">
        <v>240</v>
      </c>
      <c r="D81" s="10"/>
      <c r="E81" s="14" t="s">
        <v>168</v>
      </c>
      <c r="F81" s="10" t="s">
        <v>170</v>
      </c>
      <c r="G81" s="10" t="s">
        <v>45</v>
      </c>
      <c r="H81" s="10" t="s">
        <v>46</v>
      </c>
      <c r="I81" s="10">
        <v>1</v>
      </c>
      <c r="J81" s="10"/>
      <c r="K81" s="10">
        <f t="shared" si="10"/>
        <v>1</v>
      </c>
      <c r="L81" s="10">
        <v>110</v>
      </c>
      <c r="M81" s="10">
        <f t="shared" si="11"/>
        <v>110</v>
      </c>
      <c r="N81" s="10"/>
      <c r="O81" s="10"/>
      <c r="P81" s="10"/>
      <c r="Q81" s="10"/>
      <c r="R81" s="10" t="s">
        <v>219</v>
      </c>
    </row>
    <row r="82" spans="1:18">
      <c r="A82" s="10">
        <v>5</v>
      </c>
      <c r="B82" s="10" t="s">
        <v>203</v>
      </c>
      <c r="C82" s="14" t="s">
        <v>169</v>
      </c>
      <c r="D82" s="10"/>
      <c r="E82" s="14" t="s">
        <v>239</v>
      </c>
      <c r="F82" s="10" t="s">
        <v>170</v>
      </c>
      <c r="G82" s="10" t="s">
        <v>45</v>
      </c>
      <c r="H82" s="10" t="s">
        <v>46</v>
      </c>
      <c r="I82" s="10">
        <v>2</v>
      </c>
      <c r="J82" s="10"/>
      <c r="K82" s="10">
        <f t="shared" si="10"/>
        <v>2</v>
      </c>
      <c r="L82" s="10">
        <v>180</v>
      </c>
      <c r="M82" s="10">
        <f t="shared" si="11"/>
        <v>360</v>
      </c>
      <c r="N82" s="10"/>
      <c r="O82" s="10"/>
      <c r="P82" s="10"/>
      <c r="Q82" s="10"/>
      <c r="R82" s="10" t="s">
        <v>219</v>
      </c>
    </row>
    <row r="83" spans="1:18">
      <c r="A83" s="10">
        <v>6</v>
      </c>
      <c r="B83" s="10" t="s">
        <v>204</v>
      </c>
      <c r="C83" s="14" t="s">
        <v>169</v>
      </c>
      <c r="D83" s="10"/>
      <c r="E83" s="14" t="s">
        <v>238</v>
      </c>
      <c r="F83" s="10" t="s">
        <v>170</v>
      </c>
      <c r="G83" s="10" t="s">
        <v>45</v>
      </c>
      <c r="H83" s="10" t="s">
        <v>46</v>
      </c>
      <c r="I83" s="10"/>
      <c r="J83" s="10">
        <v>1</v>
      </c>
      <c r="K83" s="10">
        <f t="shared" si="10"/>
        <v>1</v>
      </c>
      <c r="L83" s="10">
        <v>180</v>
      </c>
      <c r="M83" s="10">
        <f t="shared" si="11"/>
        <v>180</v>
      </c>
      <c r="N83" s="10"/>
      <c r="O83" s="10"/>
      <c r="P83" s="10"/>
      <c r="Q83" s="10"/>
      <c r="R83" s="10" t="s">
        <v>60</v>
      </c>
    </row>
    <row r="84" spans="1:18" ht="28.5">
      <c r="A84" s="10">
        <v>7</v>
      </c>
      <c r="B84" s="10"/>
      <c r="C84" s="14" t="s">
        <v>94</v>
      </c>
      <c r="D84" s="10"/>
      <c r="E84" s="14" t="s">
        <v>172</v>
      </c>
      <c r="F84" s="10"/>
      <c r="G84" s="10" t="s">
        <v>45</v>
      </c>
      <c r="H84" s="10" t="s">
        <v>46</v>
      </c>
      <c r="I84" s="10"/>
      <c r="J84" s="10">
        <v>2</v>
      </c>
      <c r="K84" s="10">
        <f t="shared" si="10"/>
        <v>2</v>
      </c>
      <c r="L84" s="10">
        <v>176</v>
      </c>
      <c r="M84" s="10">
        <f t="shared" si="11"/>
        <v>352</v>
      </c>
      <c r="N84" s="10"/>
      <c r="O84" s="10">
        <v>420</v>
      </c>
      <c r="P84" s="10">
        <f t="shared" si="9"/>
        <v>840</v>
      </c>
      <c r="Q84" s="10" t="s">
        <v>194</v>
      </c>
      <c r="R84" s="10" t="s">
        <v>144</v>
      </c>
    </row>
    <row r="85" spans="1:18" ht="28.5">
      <c r="A85" s="10">
        <v>8</v>
      </c>
      <c r="B85" s="10"/>
      <c r="C85" s="14" t="s">
        <v>94</v>
      </c>
      <c r="D85" s="10"/>
      <c r="E85" s="14" t="s">
        <v>173</v>
      </c>
      <c r="F85" s="10"/>
      <c r="G85" s="10" t="s">
        <v>45</v>
      </c>
      <c r="H85" s="10" t="s">
        <v>46</v>
      </c>
      <c r="I85" s="10"/>
      <c r="J85" s="10">
        <v>2</v>
      </c>
      <c r="K85" s="10">
        <f t="shared" si="10"/>
        <v>2</v>
      </c>
      <c r="L85" s="10">
        <v>52.5</v>
      </c>
      <c r="M85" s="10">
        <f t="shared" si="11"/>
        <v>105</v>
      </c>
      <c r="N85" s="10"/>
      <c r="O85" s="10">
        <v>200</v>
      </c>
      <c r="P85" s="10">
        <f t="shared" si="9"/>
        <v>400</v>
      </c>
      <c r="Q85" s="10" t="s">
        <v>194</v>
      </c>
      <c r="R85" s="10" t="s">
        <v>144</v>
      </c>
    </row>
    <row r="86" spans="1:18" ht="28.5">
      <c r="A86" s="10">
        <v>9</v>
      </c>
      <c r="B86" s="10"/>
      <c r="C86" s="14" t="s">
        <v>94</v>
      </c>
      <c r="D86" s="10"/>
      <c r="E86" s="14" t="s">
        <v>174</v>
      </c>
      <c r="F86" s="10"/>
      <c r="G86" s="10" t="s">
        <v>45</v>
      </c>
      <c r="H86" s="10" t="s">
        <v>46</v>
      </c>
      <c r="I86" s="10"/>
      <c r="J86" s="10">
        <v>3</v>
      </c>
      <c r="K86" s="10">
        <f t="shared" si="10"/>
        <v>3</v>
      </c>
      <c r="L86" s="10">
        <v>37</v>
      </c>
      <c r="M86" s="10">
        <f t="shared" si="11"/>
        <v>111</v>
      </c>
      <c r="N86" s="10"/>
      <c r="O86" s="10">
        <v>100</v>
      </c>
      <c r="P86" s="10">
        <f t="shared" si="9"/>
        <v>300</v>
      </c>
      <c r="Q86" s="10" t="s">
        <v>194</v>
      </c>
      <c r="R86" s="10" t="s">
        <v>144</v>
      </c>
    </row>
    <row r="87" spans="1:18">
      <c r="A87" s="10">
        <v>10</v>
      </c>
      <c r="B87" s="10"/>
      <c r="C87" s="14" t="s">
        <v>142</v>
      </c>
      <c r="D87" s="10"/>
      <c r="E87" s="14" t="s">
        <v>171</v>
      </c>
      <c r="F87" s="10"/>
      <c r="G87" s="10" t="s">
        <v>45</v>
      </c>
      <c r="H87" s="10" t="s">
        <v>46</v>
      </c>
      <c r="I87" s="10"/>
      <c r="J87" s="10">
        <v>3</v>
      </c>
      <c r="K87" s="10">
        <f t="shared" si="10"/>
        <v>3</v>
      </c>
      <c r="L87" s="10">
        <v>10</v>
      </c>
      <c r="M87" s="10">
        <f t="shared" si="11"/>
        <v>30</v>
      </c>
      <c r="N87" s="10"/>
      <c r="O87" s="10">
        <v>45</v>
      </c>
      <c r="P87" s="10">
        <f t="shared" si="9"/>
        <v>135</v>
      </c>
      <c r="Q87" s="10" t="s">
        <v>195</v>
      </c>
      <c r="R87" s="10" t="s">
        <v>144</v>
      </c>
    </row>
    <row r="88" spans="1:18" s="13" customFormat="1">
      <c r="A88" s="11"/>
      <c r="B88" s="11"/>
      <c r="C88" s="12" t="s">
        <v>178</v>
      </c>
      <c r="D88" s="11"/>
      <c r="E88" s="12"/>
      <c r="F88" s="11"/>
      <c r="G88" s="11"/>
      <c r="H88" s="11"/>
      <c r="I88" s="11">
        <f>SUM(I78:I87)</f>
        <v>3</v>
      </c>
      <c r="J88" s="11">
        <f>SUM(J78:J87)</f>
        <v>14</v>
      </c>
      <c r="K88" s="11">
        <f t="shared" ref="K88:P88" si="12">SUM(K78:K87)</f>
        <v>17</v>
      </c>
      <c r="L88" s="11"/>
      <c r="M88" s="11">
        <f t="shared" si="12"/>
        <v>2163</v>
      </c>
      <c r="N88" s="11"/>
      <c r="O88" s="11"/>
      <c r="P88" s="11">
        <f t="shared" si="12"/>
        <v>1675</v>
      </c>
      <c r="Q88" s="11"/>
      <c r="R88" s="11"/>
    </row>
    <row r="89" spans="1:18">
      <c r="A89" s="10"/>
      <c r="B89" s="10"/>
      <c r="C89" s="14"/>
      <c r="D89" s="10"/>
      <c r="E89" s="14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s="13" customFormat="1">
      <c r="A90" s="11"/>
      <c r="B90" s="11"/>
      <c r="C90" s="12" t="s">
        <v>35</v>
      </c>
      <c r="D90" s="11"/>
      <c r="E90" s="12"/>
      <c r="F90" s="11"/>
      <c r="G90" s="11"/>
      <c r="H90" s="11"/>
      <c r="I90" s="11">
        <f>I88+I75+I28+I38</f>
        <v>28</v>
      </c>
      <c r="J90" s="11">
        <f>J88+J75+J28+J38</f>
        <v>152</v>
      </c>
      <c r="K90" s="11">
        <f>K88+K75+K28+K38</f>
        <v>180</v>
      </c>
      <c r="L90" s="11"/>
      <c r="M90" s="11">
        <f>M88+M75+M28+M38</f>
        <v>9194.2999999999993</v>
      </c>
      <c r="N90" s="11"/>
      <c r="O90" s="11"/>
      <c r="P90" s="11">
        <f>P88+P75+P28+P38</f>
        <v>2660</v>
      </c>
      <c r="Q90" s="11"/>
      <c r="R90" s="11"/>
    </row>
    <row r="91" spans="1:18">
      <c r="A91" s="10"/>
      <c r="B91" s="10"/>
      <c r="C91" s="14"/>
      <c r="D91" s="10"/>
      <c r="E91" s="14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>
      <c r="A92" s="10"/>
      <c r="B92" s="10"/>
      <c r="C92" s="14" t="s">
        <v>19</v>
      </c>
      <c r="D92" s="10"/>
      <c r="E92" s="14" t="s">
        <v>25</v>
      </c>
      <c r="F92" s="10"/>
      <c r="G92" s="10"/>
      <c r="H92" s="10" t="s">
        <v>31</v>
      </c>
      <c r="I92" s="10"/>
      <c r="J92" s="10"/>
      <c r="K92" s="10"/>
      <c r="L92" s="10" t="s">
        <v>20</v>
      </c>
      <c r="M92" s="10"/>
      <c r="N92" s="10"/>
      <c r="O92" s="10" t="s">
        <v>21</v>
      </c>
      <c r="P92" s="10">
        <v>2016.7</v>
      </c>
      <c r="Q92" s="10"/>
      <c r="R92" s="10"/>
    </row>
    <row r="100" spans="4:12" ht="15" thickBot="1"/>
    <row r="101" spans="4:12" ht="15" thickBot="1">
      <c r="D101" s="8">
        <v>2800</v>
      </c>
    </row>
    <row r="102" spans="4:12" ht="15" thickBot="1">
      <c r="D102" s="8">
        <v>4500</v>
      </c>
    </row>
    <row r="103" spans="4:12" ht="15" thickBot="1">
      <c r="D103" s="8">
        <v>800</v>
      </c>
    </row>
    <row r="104" spans="4:12" ht="15" thickBot="1">
      <c r="D104" s="8">
        <v>1200</v>
      </c>
    </row>
    <row r="105" spans="4:12" ht="15" thickBot="1">
      <c r="D105" s="8">
        <v>2808</v>
      </c>
      <c r="F105" s="8">
        <v>866</v>
      </c>
    </row>
    <row r="106" spans="4:12" ht="15" thickBot="1">
      <c r="F106" s="8">
        <v>300</v>
      </c>
    </row>
    <row r="107" spans="4:12" ht="15" thickBot="1">
      <c r="F107" s="8">
        <v>756</v>
      </c>
    </row>
    <row r="108" spans="4:12" ht="15" thickBot="1">
      <c r="F108" s="8">
        <v>300</v>
      </c>
      <c r="L108" s="8">
        <v>5322</v>
      </c>
    </row>
    <row r="109" spans="4:12" ht="15" thickBot="1">
      <c r="F109" s="8">
        <v>200</v>
      </c>
      <c r="L109" s="8">
        <v>12692</v>
      </c>
    </row>
    <row r="110" spans="4:12" ht="15" thickBot="1">
      <c r="F110" s="8">
        <v>380</v>
      </c>
      <c r="L110" s="8">
        <v>12108</v>
      </c>
    </row>
    <row r="111" spans="4:12" ht="15" thickBot="1">
      <c r="F111" s="8">
        <v>1160</v>
      </c>
      <c r="L111" s="8">
        <v>1187</v>
      </c>
    </row>
    <row r="112" spans="4:12" ht="15" thickBot="1">
      <c r="L112" s="8">
        <v>11535</v>
      </c>
    </row>
    <row r="113" ht="15" thickBot="1"/>
  </sheetData>
  <mergeCells count="23">
    <mergeCell ref="U6:U7"/>
    <mergeCell ref="A3:R3"/>
    <mergeCell ref="A5:B5"/>
    <mergeCell ref="C5:D5"/>
    <mergeCell ref="G5:H5"/>
    <mergeCell ref="I5:J5"/>
    <mergeCell ref="L5:M5"/>
    <mergeCell ref="N6:N7"/>
    <mergeCell ref="O6:P6"/>
    <mergeCell ref="S6:S7"/>
    <mergeCell ref="T6:T7"/>
    <mergeCell ref="R6:R7"/>
    <mergeCell ref="B6:B7"/>
    <mergeCell ref="C6:C7"/>
    <mergeCell ref="D6:D7"/>
    <mergeCell ref="E6:E7"/>
    <mergeCell ref="A6:A7"/>
    <mergeCell ref="F6:F7"/>
    <mergeCell ref="Q6:Q7"/>
    <mergeCell ref="H6:H7"/>
    <mergeCell ref="I6:K6"/>
    <mergeCell ref="L6:M6"/>
    <mergeCell ref="G6:G7"/>
  </mergeCells>
  <phoneticPr fontId="22" type="noConversion"/>
  <pageMargins left="0.70866141732283472" right="0.70866141732283472" top="0.74803149606299213" bottom="0.74803149606299213" header="0.31496062992125984" footer="0.31496062992125984"/>
  <pageSetup paperSize="8" scale="94" fitToHeight="0" orientation="landscape" r:id="rId1"/>
  <headerFooter>
    <oddFooter>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5:N31"/>
  <sheetViews>
    <sheetView topLeftCell="A10" workbookViewId="0">
      <selection activeCell="N19" sqref="N19:N22"/>
    </sheetView>
  </sheetViews>
  <sheetFormatPr defaultRowHeight="14.25"/>
  <sheetData>
    <row r="15" spans="5:5" ht="15" thickBot="1"/>
    <row r="16" spans="5:5" ht="16.5" thickBot="1">
      <c r="E16" s="1">
        <v>1260</v>
      </c>
    </row>
    <row r="17" spans="5:14" ht="16.5" thickBot="1">
      <c r="E17" s="2">
        <v>450</v>
      </c>
    </row>
    <row r="18" spans="5:14" ht="16.5" thickBot="1">
      <c r="E18" s="2">
        <v>450</v>
      </c>
    </row>
    <row r="19" spans="5:14" ht="16.5" thickBot="1">
      <c r="E19" s="2">
        <v>908</v>
      </c>
      <c r="K19" s="3">
        <v>7.43</v>
      </c>
      <c r="L19" s="4">
        <v>8</v>
      </c>
      <c r="N19" s="7">
        <f>K19/L19</f>
        <v>0.92874999999999996</v>
      </c>
    </row>
    <row r="20" spans="5:14" ht="16.5" thickBot="1">
      <c r="E20" s="2">
        <v>936</v>
      </c>
      <c r="K20" s="5">
        <v>5.87</v>
      </c>
      <c r="L20" s="6">
        <v>6</v>
      </c>
      <c r="N20" s="7">
        <f t="shared" ref="N20:N22" si="0">K20/L20</f>
        <v>0.97833333333333339</v>
      </c>
    </row>
    <row r="21" spans="5:14" ht="16.5" thickBot="1">
      <c r="E21" s="2">
        <v>520</v>
      </c>
      <c r="K21" s="5">
        <v>22.54</v>
      </c>
      <c r="L21" s="6">
        <v>23</v>
      </c>
      <c r="N21" s="7">
        <f t="shared" si="0"/>
        <v>0.98</v>
      </c>
    </row>
    <row r="22" spans="5:14" ht="16.5" thickBot="1">
      <c r="E22" s="2">
        <v>516</v>
      </c>
      <c r="K22" s="5">
        <v>3.13</v>
      </c>
      <c r="L22" s="6">
        <v>4</v>
      </c>
      <c r="N22" s="7">
        <f t="shared" si="0"/>
        <v>0.78249999999999997</v>
      </c>
    </row>
    <row r="23" spans="5:14" ht="16.5" thickBot="1">
      <c r="E23" s="2">
        <v>180</v>
      </c>
    </row>
    <row r="24" spans="5:14" ht="16.5" thickBot="1">
      <c r="E24" s="2">
        <v>180</v>
      </c>
    </row>
    <row r="25" spans="5:14" ht="16.5" thickBot="1">
      <c r="E25" s="2">
        <v>432</v>
      </c>
    </row>
    <row r="26" spans="5:14" ht="16.5" thickBot="1">
      <c r="E26" s="2">
        <v>710</v>
      </c>
    </row>
    <row r="27" spans="5:14" ht="16.5" thickBot="1">
      <c r="E27" s="2">
        <v>300</v>
      </c>
    </row>
    <row r="28" spans="5:14" ht="16.5" thickBot="1">
      <c r="E28" s="2">
        <v>750</v>
      </c>
    </row>
    <row r="29" spans="5:14" ht="16.5" thickBot="1">
      <c r="E29" s="2">
        <v>500</v>
      </c>
    </row>
    <row r="30" spans="5:14" ht="16.5" thickBot="1">
      <c r="E30" s="2">
        <v>2800</v>
      </c>
    </row>
    <row r="31" spans="5:14" ht="16.5" thickBot="1">
      <c r="E31" s="2">
        <v>2800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XX</vt:lpstr>
      <vt:lpstr>Sheet1</vt:lpstr>
      <vt:lpstr>XX!Print_Area</vt:lpstr>
      <vt:lpstr>XX!Print_Titles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2016-07-12T02:16:44Z</cp:lastPrinted>
  <dcterms:created xsi:type="dcterms:W3CDTF">1996-12-17T01:32:42Z</dcterms:created>
  <dcterms:modified xsi:type="dcterms:W3CDTF">2016-07-27T01:49:19Z</dcterms:modified>
</cp:coreProperties>
</file>