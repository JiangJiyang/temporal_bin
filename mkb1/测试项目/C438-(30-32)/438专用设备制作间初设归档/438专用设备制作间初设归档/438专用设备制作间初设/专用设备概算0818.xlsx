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tabRatio="909"/>
  </bookViews>
  <sheets>
    <sheet name="总概算表" sheetId="1" r:id="rId1"/>
    <sheet name="汇总表" sheetId="36" r:id="rId2"/>
    <sheet name="室内" sheetId="2" r:id="rId3"/>
    <sheet name="室外" sheetId="3" r:id="rId4"/>
    <sheet name="厂外" sheetId="4" state="hidden" r:id="rId5"/>
    <sheet name="其他" sheetId="5" r:id="rId6"/>
    <sheet name="设备取费" sheetId="6" r:id="rId7"/>
    <sheet name="工艺设备" sheetId="70" r:id="rId8"/>
    <sheet name="土费" sheetId="65" r:id="rId9"/>
    <sheet name="土措" sheetId="33" state="hidden" r:id="rId10"/>
    <sheet name="土" sheetId="66" r:id="rId11"/>
    <sheet name="价差" sheetId="67" r:id="rId12"/>
    <sheet name="措施" sheetId="68" r:id="rId13"/>
    <sheet name="水费" sheetId="50" r:id="rId14"/>
    <sheet name="水" sheetId="52" r:id="rId15"/>
    <sheet name="水设" sheetId="53" r:id="rId16"/>
    <sheet name="暖费" sheetId="54" r:id="rId17"/>
    <sheet name="暖" sheetId="55" r:id="rId18"/>
    <sheet name="暖设" sheetId="56" r:id="rId19"/>
    <sheet name="电费" sheetId="59" r:id="rId20"/>
    <sheet name="电" sheetId="60" r:id="rId21"/>
    <sheet name="电设" sheetId="57" r:id="rId22"/>
    <sheet name="动费" sheetId="61" r:id="rId23"/>
    <sheet name="动" sheetId="62" r:id="rId24"/>
    <sheet name="动设" sheetId="58" r:id="rId25"/>
    <sheet name="室外水费" sheetId="63" r:id="rId26"/>
    <sheet name="室外水" sheetId="64" r:id="rId27"/>
    <sheet name="室外电费" sheetId="71" r:id="rId28"/>
    <sheet name="室外电" sheetId="72" r:id="rId29"/>
  </sheets>
  <externalReferences>
    <externalReference r:id="rId30"/>
  </externalReferences>
  <definedNames>
    <definedName name="_xlnm.Print_Area" localSheetId="0">总概算表!$A$1:$M$32</definedName>
  </definedNames>
  <calcPr calcId="144525"/>
</workbook>
</file>

<file path=xl/calcChain.xml><?xml version="1.0" encoding="utf-8"?>
<calcChain xmlns="http://schemas.openxmlformats.org/spreadsheetml/2006/main">
  <c r="C42" i="1" l="1"/>
  <c r="J22" i="1" l="1"/>
  <c r="J8" i="1"/>
  <c r="J7" i="1" s="1"/>
  <c r="O7" i="1" l="1"/>
  <c r="G16" i="1" l="1"/>
  <c r="K16" i="1" s="1"/>
  <c r="E6" i="3"/>
  <c r="H6" i="3"/>
  <c r="H8" i="3"/>
  <c r="H9" i="3"/>
  <c r="H10" i="3"/>
  <c r="H7" i="3"/>
  <c r="E10" i="3"/>
  <c r="J26" i="1" l="1"/>
  <c r="O25" i="1"/>
  <c r="B13" i="5"/>
  <c r="B12" i="5"/>
  <c r="L24" i="70"/>
  <c r="L22" i="70"/>
  <c r="L20" i="70"/>
  <c r="L19" i="70"/>
  <c r="L18" i="70"/>
  <c r="L17" i="70"/>
  <c r="L16" i="70"/>
  <c r="L11" i="70"/>
  <c r="L7" i="70"/>
  <c r="J20" i="1"/>
  <c r="J19" i="1"/>
  <c r="D10" i="36"/>
  <c r="I9" i="1"/>
  <c r="I8" i="1" s="1"/>
  <c r="I7" i="1" s="1"/>
  <c r="I6" i="1" s="1"/>
  <c r="H9" i="1"/>
  <c r="J6" i="2"/>
  <c r="I6" i="2"/>
  <c r="K9" i="2"/>
  <c r="J9" i="2"/>
  <c r="I9" i="2"/>
  <c r="B14" i="1"/>
  <c r="B13" i="1"/>
  <c r="E9" i="3"/>
  <c r="G14" i="1" s="1"/>
  <c r="K14" i="1" s="1"/>
  <c r="E8" i="3"/>
  <c r="G13" i="1" s="1"/>
  <c r="D6" i="36"/>
  <c r="P7" i="6"/>
  <c r="L16" i="6"/>
  <c r="L17" i="6"/>
  <c r="L19" i="6"/>
  <c r="L20" i="6"/>
  <c r="L21" i="6"/>
  <c r="L22" i="6"/>
  <c r="L24" i="6"/>
  <c r="L25" i="6"/>
  <c r="L26" i="6"/>
  <c r="L27" i="6"/>
  <c r="L28" i="6"/>
  <c r="L29" i="6"/>
  <c r="L30" i="6"/>
  <c r="L15" i="6"/>
  <c r="D16" i="6"/>
  <c r="K16" i="6" s="1"/>
  <c r="O16" i="6" s="1"/>
  <c r="P16" i="6" s="1"/>
  <c r="D17" i="6"/>
  <c r="D18" i="6"/>
  <c r="D19" i="6"/>
  <c r="K19" i="6" s="1"/>
  <c r="O19" i="6" s="1"/>
  <c r="P19" i="6" s="1"/>
  <c r="D20" i="6"/>
  <c r="K20" i="6" s="1"/>
  <c r="O20" i="6" s="1"/>
  <c r="P20" i="6" s="1"/>
  <c r="D21" i="6"/>
  <c r="D22" i="6"/>
  <c r="D23" i="6"/>
  <c r="D24" i="6"/>
  <c r="K24" i="6" s="1"/>
  <c r="O24" i="6" s="1"/>
  <c r="P24" i="6" s="1"/>
  <c r="D25" i="6"/>
  <c r="D26" i="6"/>
  <c r="D27" i="6"/>
  <c r="K27" i="6" s="1"/>
  <c r="O27" i="6" s="1"/>
  <c r="P27" i="6" s="1"/>
  <c r="D28" i="6"/>
  <c r="K28" i="6" s="1"/>
  <c r="O28" i="6" s="1"/>
  <c r="P28" i="6" s="1"/>
  <c r="D29" i="6"/>
  <c r="D30" i="6"/>
  <c r="D15" i="6"/>
  <c r="C16" i="6"/>
  <c r="C17" i="6"/>
  <c r="C19" i="6"/>
  <c r="C20" i="6"/>
  <c r="C21" i="6"/>
  <c r="C22" i="6"/>
  <c r="C24" i="6"/>
  <c r="C25" i="6"/>
  <c r="C26" i="6"/>
  <c r="C27" i="6"/>
  <c r="C28" i="6"/>
  <c r="C29" i="6"/>
  <c r="C30" i="6"/>
  <c r="C15" i="6"/>
  <c r="K26" i="6"/>
  <c r="O26" i="6" s="1"/>
  <c r="P26" i="6" s="1"/>
  <c r="K30" i="6"/>
  <c r="K15" i="6"/>
  <c r="E7" i="3"/>
  <c r="D9" i="36"/>
  <c r="C9" i="36"/>
  <c r="D8" i="36"/>
  <c r="C8" i="36"/>
  <c r="D7" i="36"/>
  <c r="C7" i="36"/>
  <c r="C6" i="36"/>
  <c r="C5" i="36"/>
  <c r="C10" i="36" s="1"/>
  <c r="H18" i="2"/>
  <c r="G18" i="2"/>
  <c r="F18" i="2"/>
  <c r="E18" i="2"/>
  <c r="H17" i="2"/>
  <c r="G17" i="2"/>
  <c r="F17" i="2"/>
  <c r="E17" i="2"/>
  <c r="H16" i="2"/>
  <c r="H15" i="2"/>
  <c r="G16" i="2"/>
  <c r="F16" i="2"/>
  <c r="E16" i="2"/>
  <c r="G15" i="2"/>
  <c r="F15" i="2"/>
  <c r="E15" i="2"/>
  <c r="E14" i="2"/>
  <c r="K17" i="6"/>
  <c r="O17" i="6" s="1"/>
  <c r="P17" i="6" s="1"/>
  <c r="K21" i="6"/>
  <c r="O21" i="6" s="1"/>
  <c r="P21" i="6" s="1"/>
  <c r="K22" i="6"/>
  <c r="O22" i="6" s="1"/>
  <c r="P22" i="6" s="1"/>
  <c r="K25" i="6"/>
  <c r="O25" i="6" s="1"/>
  <c r="P25" i="6" s="1"/>
  <c r="K29" i="6"/>
  <c r="O29" i="6" s="1"/>
  <c r="P29" i="6" s="1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14" i="6"/>
  <c r="F23" i="70"/>
  <c r="H22" i="70"/>
  <c r="H21" i="70"/>
  <c r="H20" i="70"/>
  <c r="H19" i="70"/>
  <c r="H18" i="70"/>
  <c r="H17" i="70"/>
  <c r="H16" i="70"/>
  <c r="H14" i="70"/>
  <c r="H13" i="70"/>
  <c r="H12" i="70"/>
  <c r="H11" i="70"/>
  <c r="H9" i="70"/>
  <c r="H23" i="70" s="1"/>
  <c r="H8" i="70"/>
  <c r="H7" i="70"/>
  <c r="H10" i="1" l="1"/>
  <c r="H8" i="1"/>
  <c r="H7" i="1" s="1"/>
  <c r="H6" i="1" s="1"/>
  <c r="K13" i="1"/>
  <c r="I10" i="1"/>
  <c r="C41" i="1" s="1"/>
  <c r="D41" i="1" s="1"/>
  <c r="O30" i="6"/>
  <c r="P30" i="6" s="1"/>
  <c r="K7" i="6"/>
  <c r="H75" i="56"/>
  <c r="I33" i="56"/>
  <c r="I37" i="56"/>
  <c r="I39" i="56"/>
  <c r="H32" i="56"/>
  <c r="I32" i="56" s="1"/>
  <c r="H33" i="56"/>
  <c r="H34" i="56"/>
  <c r="I34" i="56" s="1"/>
  <c r="H35" i="56"/>
  <c r="I35" i="56" s="1"/>
  <c r="H36" i="56"/>
  <c r="I36" i="56" s="1"/>
  <c r="H37" i="56"/>
  <c r="H38" i="56"/>
  <c r="I38" i="56" s="1"/>
  <c r="H39" i="56"/>
  <c r="H40" i="56"/>
  <c r="I40" i="56" s="1"/>
  <c r="H41" i="56"/>
  <c r="I41" i="56" s="1"/>
  <c r="H42" i="56"/>
  <c r="I42" i="56" s="1"/>
  <c r="F75" i="56"/>
  <c r="H24" i="56"/>
  <c r="I24" i="56" s="1"/>
  <c r="H25" i="56"/>
  <c r="I25" i="56" s="1"/>
  <c r="H26" i="56"/>
  <c r="I26" i="56" s="1"/>
  <c r="H27" i="56"/>
  <c r="I27" i="56" s="1"/>
  <c r="H15" i="56"/>
  <c r="I15" i="56" s="1"/>
  <c r="H16" i="56"/>
  <c r="I16" i="56" s="1"/>
  <c r="G6" i="58"/>
  <c r="H6" i="58" s="1"/>
  <c r="E58" i="58"/>
  <c r="G16" i="58"/>
  <c r="H16" i="58" s="1"/>
  <c r="G15" i="58"/>
  <c r="H15" i="58" s="1"/>
  <c r="G14" i="58"/>
  <c r="H14" i="58" s="1"/>
  <c r="G13" i="58"/>
  <c r="H13" i="58" s="1"/>
  <c r="G12" i="58"/>
  <c r="H12" i="58" s="1"/>
  <c r="G11" i="58"/>
  <c r="H11" i="58" s="1"/>
  <c r="G10" i="58"/>
  <c r="H10" i="58" s="1"/>
  <c r="G9" i="58"/>
  <c r="H9" i="58" s="1"/>
  <c r="G8" i="58"/>
  <c r="H8" i="58" s="1"/>
  <c r="G7" i="58"/>
  <c r="C40" i="1" l="1"/>
  <c r="D40" i="1" s="1"/>
  <c r="O15" i="6"/>
  <c r="L7" i="6"/>
  <c r="G58" i="58"/>
  <c r="H7" i="58"/>
  <c r="H58" i="58" s="1"/>
  <c r="P15" i="6" l="1"/>
  <c r="O7" i="6"/>
  <c r="I17" i="57"/>
  <c r="H58" i="57"/>
  <c r="F58" i="57"/>
  <c r="H17" i="57"/>
  <c r="I16" i="57"/>
  <c r="H16" i="57"/>
  <c r="H15" i="57"/>
  <c r="I15" i="57" s="1"/>
  <c r="I14" i="57"/>
  <c r="H14" i="57"/>
  <c r="H13" i="57"/>
  <c r="I13" i="57" s="1"/>
  <c r="I12" i="57"/>
  <c r="H12" i="57"/>
  <c r="H11" i="57"/>
  <c r="I11" i="57" s="1"/>
  <c r="I10" i="57"/>
  <c r="H10" i="57"/>
  <c r="H9" i="57"/>
  <c r="I9" i="57" s="1"/>
  <c r="I8" i="57"/>
  <c r="H8" i="57"/>
  <c r="H7" i="57"/>
  <c r="I7" i="57" s="1"/>
  <c r="I6" i="57"/>
  <c r="H6" i="57"/>
  <c r="H6" i="56"/>
  <c r="I6" i="56" s="1"/>
  <c r="H43" i="56"/>
  <c r="I43" i="56" s="1"/>
  <c r="H31" i="56"/>
  <c r="I31" i="56" s="1"/>
  <c r="H30" i="56"/>
  <c r="I30" i="56" s="1"/>
  <c r="H29" i="56"/>
  <c r="I29" i="56" s="1"/>
  <c r="H28" i="56"/>
  <c r="I28" i="56" s="1"/>
  <c r="H23" i="56"/>
  <c r="I23" i="56" s="1"/>
  <c r="H22" i="56"/>
  <c r="I22" i="56" s="1"/>
  <c r="H21" i="56"/>
  <c r="I21" i="56" s="1"/>
  <c r="H20" i="56"/>
  <c r="I20" i="56" s="1"/>
  <c r="H19" i="56"/>
  <c r="I19" i="56" s="1"/>
  <c r="H18" i="56"/>
  <c r="I18" i="56" s="1"/>
  <c r="H17" i="56"/>
  <c r="I17" i="56" s="1"/>
  <c r="H14" i="56"/>
  <c r="I14" i="56" s="1"/>
  <c r="H13" i="56"/>
  <c r="I13" i="56" s="1"/>
  <c r="H12" i="56"/>
  <c r="I12" i="56" s="1"/>
  <c r="H11" i="56"/>
  <c r="I11" i="56" s="1"/>
  <c r="H10" i="56"/>
  <c r="I10" i="56" s="1"/>
  <c r="H9" i="56"/>
  <c r="I9" i="56" s="1"/>
  <c r="H8" i="56"/>
  <c r="I8" i="56" s="1"/>
  <c r="H7" i="56"/>
  <c r="A3" i="56"/>
  <c r="I58" i="57" l="1"/>
  <c r="I7" i="56"/>
  <c r="I75" i="56" s="1"/>
  <c r="H58" i="53"/>
  <c r="G58" i="53"/>
  <c r="E58" i="53"/>
  <c r="H7" i="53"/>
  <c r="H6" i="53"/>
  <c r="G7" i="53"/>
  <c r="G6" i="53"/>
  <c r="A2" i="36" l="1"/>
  <c r="F9" i="36" l="1"/>
  <c r="K18" i="2"/>
  <c r="E9" i="36"/>
  <c r="B15" i="5" l="1"/>
  <c r="E8" i="5"/>
  <c r="E14" i="5" s="1"/>
  <c r="K20" i="1"/>
  <c r="F8" i="5" s="1"/>
  <c r="B8" i="5"/>
  <c r="B9" i="5"/>
  <c r="B10" i="5"/>
  <c r="B11" i="5"/>
  <c r="B14" i="5"/>
  <c r="B16" i="5"/>
  <c r="B7" i="5"/>
  <c r="C14" i="2"/>
  <c r="C6" i="2" s="1"/>
  <c r="B7" i="3"/>
  <c r="D9" i="1"/>
  <c r="A3" i="5"/>
  <c r="A3" i="3"/>
  <c r="A3" i="2"/>
  <c r="D10" i="1" l="1"/>
  <c r="D8" i="1"/>
  <c r="D7" i="1" s="1"/>
  <c r="D6" i="1" s="1"/>
  <c r="J24" i="1" s="1"/>
  <c r="H14" i="2"/>
  <c r="F6" i="2"/>
  <c r="F7" i="36"/>
  <c r="F5" i="36"/>
  <c r="K17" i="2"/>
  <c r="K26" i="1"/>
  <c r="F14" i="5" s="1"/>
  <c r="K27" i="1"/>
  <c r="F15" i="5" s="1"/>
  <c r="K28" i="1"/>
  <c r="F16" i="5" s="1"/>
  <c r="K19" i="1"/>
  <c r="F7" i="5" l="1"/>
  <c r="E12" i="5"/>
  <c r="K24" i="1"/>
  <c r="F12" i="5" s="1"/>
  <c r="E6" i="2"/>
  <c r="G15" i="1"/>
  <c r="G12" i="1" s="1"/>
  <c r="E7" i="36"/>
  <c r="E8" i="36"/>
  <c r="F8" i="36"/>
  <c r="F6" i="36"/>
  <c r="K15" i="2"/>
  <c r="E6" i="36"/>
  <c r="K14" i="2"/>
  <c r="K6" i="2" s="1"/>
  <c r="E5" i="36"/>
  <c r="K15" i="1" l="1"/>
  <c r="K12" i="1" s="1"/>
  <c r="F10" i="36"/>
  <c r="E10" i="36"/>
  <c r="K16" i="2" l="1"/>
  <c r="H6" i="2"/>
  <c r="G9" i="1" s="1"/>
  <c r="G8" i="1" s="1"/>
  <c r="G7" i="1" s="1"/>
  <c r="N21" i="1" l="1"/>
  <c r="G6" i="1"/>
  <c r="G10" i="1"/>
  <c r="K9" i="1"/>
  <c r="K10" i="1" l="1"/>
  <c r="E9" i="5" s="1"/>
  <c r="E10" i="5" s="1"/>
  <c r="K8" i="1"/>
  <c r="K7" i="1" s="1"/>
  <c r="J23" i="1"/>
  <c r="K23" i="1" s="1"/>
  <c r="F11" i="5" s="1"/>
  <c r="C39" i="1"/>
  <c r="D39" i="1" s="1"/>
  <c r="J21" i="1"/>
  <c r="N25" i="1"/>
  <c r="J25" i="1" s="1"/>
  <c r="K25" i="1" s="1"/>
  <c r="F13" i="5" s="1"/>
  <c r="N9" i="1"/>
  <c r="J18" i="1" l="1"/>
  <c r="J30" i="1" s="1"/>
  <c r="K22" i="1"/>
  <c r="F10" i="5" s="1"/>
  <c r="E11" i="5" s="1"/>
  <c r="K21" i="1"/>
  <c r="K18" i="1" s="1"/>
  <c r="F9" i="5" l="1"/>
  <c r="F6" i="5" s="1"/>
  <c r="J6" i="1"/>
  <c r="D42" i="1"/>
  <c r="K30" i="1" l="1"/>
  <c r="K6" i="1" s="1"/>
  <c r="F19" i="5" l="1"/>
  <c r="O6" i="1"/>
  <c r="C43" i="1"/>
  <c r="N29" i="1"/>
  <c r="C44" i="1" l="1"/>
  <c r="D43" i="1"/>
  <c r="D44" i="1" s="1"/>
  <c r="F5" i="5"/>
  <c r="D19" i="5"/>
</calcChain>
</file>

<file path=xl/sharedStrings.xml><?xml version="1.0" encoding="utf-8"?>
<sst xmlns="http://schemas.openxmlformats.org/spreadsheetml/2006/main" count="10123" uniqueCount="950">
  <si>
    <t>总概算表</t>
    <phoneticPr fontId="1" type="noConversion"/>
  </si>
  <si>
    <t>序号</t>
    <phoneticPr fontId="1" type="noConversion"/>
  </si>
  <si>
    <t>建筑面积或工程量</t>
    <phoneticPr fontId="1" type="noConversion"/>
  </si>
  <si>
    <t>新建</t>
    <phoneticPr fontId="1" type="noConversion"/>
  </si>
  <si>
    <t>改造</t>
    <phoneticPr fontId="1" type="noConversion"/>
  </si>
  <si>
    <t>单位</t>
    <phoneticPr fontId="1" type="noConversion"/>
  </si>
  <si>
    <t>投资概算（万元、万美元）</t>
    <phoneticPr fontId="1" type="noConversion"/>
  </si>
  <si>
    <t>建筑工程费</t>
    <phoneticPr fontId="1" type="noConversion"/>
  </si>
  <si>
    <t>工艺设备购置费</t>
    <phoneticPr fontId="1" type="noConversion"/>
  </si>
  <si>
    <t>工艺设备安装费</t>
    <phoneticPr fontId="1" type="noConversion"/>
  </si>
  <si>
    <t>其他费用</t>
    <phoneticPr fontId="1" type="noConversion"/>
  </si>
  <si>
    <t>合计</t>
    <phoneticPr fontId="1" type="noConversion"/>
  </si>
  <si>
    <t>含外汇</t>
    <phoneticPr fontId="1" type="noConversion"/>
  </si>
  <si>
    <t>备注</t>
    <phoneticPr fontId="1" type="noConversion"/>
  </si>
  <si>
    <t>表15.2-1</t>
    <phoneticPr fontId="1" type="noConversion"/>
  </si>
  <si>
    <t>工程项目或费用名称</t>
    <phoneticPr fontId="1" type="noConversion"/>
  </si>
  <si>
    <t>合计</t>
    <phoneticPr fontId="1" type="noConversion"/>
  </si>
  <si>
    <t>一</t>
    <phoneticPr fontId="1" type="noConversion"/>
  </si>
  <si>
    <t>工程费用</t>
    <phoneticPr fontId="1" type="noConversion"/>
  </si>
  <si>
    <t>（一）</t>
    <phoneticPr fontId="1" type="noConversion"/>
  </si>
  <si>
    <t>室内工程</t>
    <phoneticPr fontId="1" type="noConversion"/>
  </si>
  <si>
    <t>（二）</t>
    <phoneticPr fontId="1" type="noConversion"/>
  </si>
  <si>
    <t>室外工程</t>
    <phoneticPr fontId="1" type="noConversion"/>
  </si>
  <si>
    <t>二</t>
    <phoneticPr fontId="1" type="noConversion"/>
  </si>
  <si>
    <t>工程建设其他费用</t>
    <phoneticPr fontId="1" type="noConversion"/>
  </si>
  <si>
    <t>三</t>
    <phoneticPr fontId="1" type="noConversion"/>
  </si>
  <si>
    <t>基本预备费</t>
    <phoneticPr fontId="1" type="noConversion"/>
  </si>
  <si>
    <t>四</t>
    <phoneticPr fontId="1" type="noConversion"/>
  </si>
  <si>
    <t>建设期利息</t>
    <phoneticPr fontId="1" type="noConversion"/>
  </si>
  <si>
    <t>表15.2-2</t>
    <phoneticPr fontId="1" type="noConversion"/>
  </si>
  <si>
    <t>室内工程概算表</t>
    <phoneticPr fontId="1" type="noConversion"/>
  </si>
  <si>
    <t>序号</t>
    <phoneticPr fontId="1" type="noConversion"/>
  </si>
  <si>
    <t>工程名称</t>
    <phoneticPr fontId="1" type="noConversion"/>
  </si>
  <si>
    <t>新建</t>
    <phoneticPr fontId="1" type="noConversion"/>
  </si>
  <si>
    <t>建筑工程费（万元）</t>
    <phoneticPr fontId="1" type="noConversion"/>
  </si>
  <si>
    <t>土建及专业工程费</t>
    <phoneticPr fontId="1" type="noConversion"/>
  </si>
  <si>
    <t>建筑设备购置费</t>
    <phoneticPr fontId="1" type="noConversion"/>
  </si>
  <si>
    <t>建筑设备安装费</t>
    <phoneticPr fontId="1" type="noConversion"/>
  </si>
  <si>
    <t>小计</t>
    <phoneticPr fontId="1" type="noConversion"/>
  </si>
  <si>
    <t>工艺设备购置费（万元）</t>
    <phoneticPr fontId="1" type="noConversion"/>
  </si>
  <si>
    <t>工艺设备安装费（万元）</t>
    <phoneticPr fontId="1" type="noConversion"/>
  </si>
  <si>
    <t>合计 （万元）</t>
    <phoneticPr fontId="1" type="noConversion"/>
  </si>
  <si>
    <t xml:space="preserve"> 建筑面积      （平方米）</t>
    <phoneticPr fontId="1" type="noConversion"/>
  </si>
  <si>
    <t>一</t>
    <phoneticPr fontId="1" type="noConversion"/>
  </si>
  <si>
    <t>建（构）筑物或单元/系统</t>
    <phoneticPr fontId="1" type="noConversion"/>
  </si>
  <si>
    <t>（一）</t>
    <phoneticPr fontId="1" type="noConversion"/>
  </si>
  <si>
    <t>工艺设备</t>
    <phoneticPr fontId="1" type="noConversion"/>
  </si>
  <si>
    <t>国产新增设备</t>
    <phoneticPr fontId="1" type="noConversion"/>
  </si>
  <si>
    <t>进口新增设备</t>
    <phoneticPr fontId="1" type="noConversion"/>
  </si>
  <si>
    <t>改造设备</t>
    <phoneticPr fontId="1" type="noConversion"/>
  </si>
  <si>
    <t>工器具及生产家具</t>
    <phoneticPr fontId="1" type="noConversion"/>
  </si>
  <si>
    <t>建筑工程</t>
    <phoneticPr fontId="1" type="noConversion"/>
  </si>
  <si>
    <t>建筑</t>
    <phoneticPr fontId="1" type="noConversion"/>
  </si>
  <si>
    <t>给排水</t>
    <phoneticPr fontId="1" type="noConversion"/>
  </si>
  <si>
    <t>项目名称：</t>
  </si>
  <si>
    <t>表15.2-3</t>
    <phoneticPr fontId="1" type="noConversion"/>
  </si>
  <si>
    <t>室外工程概算表</t>
    <phoneticPr fontId="1" type="noConversion"/>
  </si>
  <si>
    <t>工程名称</t>
    <phoneticPr fontId="1" type="noConversion"/>
  </si>
  <si>
    <t>建筑设备购置费</t>
    <phoneticPr fontId="1" type="noConversion"/>
  </si>
  <si>
    <t>建筑设备安装费</t>
    <phoneticPr fontId="1" type="noConversion"/>
  </si>
  <si>
    <t>单位</t>
    <phoneticPr fontId="1" type="noConversion"/>
  </si>
  <si>
    <t>数量</t>
    <phoneticPr fontId="1" type="noConversion"/>
  </si>
  <si>
    <t>指标         （元/单位）</t>
    <phoneticPr fontId="1" type="noConversion"/>
  </si>
  <si>
    <t>备注</t>
    <phoneticPr fontId="1" type="noConversion"/>
  </si>
  <si>
    <t>厂外工程概算表</t>
    <phoneticPr fontId="1" type="noConversion"/>
  </si>
  <si>
    <t>表15.2-4</t>
    <phoneticPr fontId="1" type="noConversion"/>
  </si>
  <si>
    <t>其他费用概算表</t>
    <phoneticPr fontId="1" type="noConversion"/>
  </si>
  <si>
    <t>费用名称</t>
    <phoneticPr fontId="1" type="noConversion"/>
  </si>
  <si>
    <t>收费依据</t>
    <phoneticPr fontId="1" type="noConversion"/>
  </si>
  <si>
    <t>指标</t>
    <phoneticPr fontId="1" type="noConversion"/>
  </si>
  <si>
    <t>计算基数</t>
    <phoneticPr fontId="1" type="noConversion"/>
  </si>
  <si>
    <t>投资  （万元）</t>
    <phoneticPr fontId="1" type="noConversion"/>
  </si>
  <si>
    <t>一</t>
    <phoneticPr fontId="1" type="noConversion"/>
  </si>
  <si>
    <t>预备费</t>
    <phoneticPr fontId="1" type="noConversion"/>
  </si>
  <si>
    <t>基本预备费</t>
    <phoneticPr fontId="1" type="noConversion"/>
  </si>
  <si>
    <t>建设期利息</t>
    <phoneticPr fontId="1" type="noConversion"/>
  </si>
  <si>
    <t>表15.2-5</t>
  </si>
  <si>
    <t>表15.2-5</t>
    <phoneticPr fontId="1" type="noConversion"/>
  </si>
  <si>
    <t>工艺设备购置费及安装费计算表</t>
    <phoneticPr fontId="1" type="noConversion"/>
  </si>
  <si>
    <t>项目名称：</t>
    <phoneticPr fontId="1" type="noConversion"/>
  </si>
  <si>
    <t>单位：万元、万美元</t>
    <phoneticPr fontId="1" type="noConversion"/>
  </si>
  <si>
    <t>序号</t>
    <phoneticPr fontId="1" type="noConversion"/>
  </si>
  <si>
    <t>设备购置费单价</t>
    <phoneticPr fontId="1" type="noConversion"/>
  </si>
  <si>
    <t>设备原价</t>
    <phoneticPr fontId="1" type="noConversion"/>
  </si>
  <si>
    <t>人民币</t>
    <phoneticPr fontId="1" type="noConversion"/>
  </si>
  <si>
    <t>含美元CIF</t>
    <phoneticPr fontId="1" type="noConversion"/>
  </si>
  <si>
    <t>关税</t>
    <phoneticPr fontId="1" type="noConversion"/>
  </si>
  <si>
    <t>增值税</t>
    <phoneticPr fontId="1" type="noConversion"/>
  </si>
  <si>
    <t>银行费公司费</t>
    <phoneticPr fontId="1" type="noConversion"/>
  </si>
  <si>
    <t>商检费</t>
    <phoneticPr fontId="1" type="noConversion"/>
  </si>
  <si>
    <t>国内运杂费</t>
    <phoneticPr fontId="1" type="noConversion"/>
  </si>
  <si>
    <t>小计</t>
    <phoneticPr fontId="1" type="noConversion"/>
  </si>
  <si>
    <t>设备安装费</t>
    <phoneticPr fontId="1" type="noConversion"/>
  </si>
  <si>
    <t>设备购置费合计</t>
    <phoneticPr fontId="1" type="noConversion"/>
  </si>
  <si>
    <t>设备购置费及安装费合计</t>
    <phoneticPr fontId="1" type="noConversion"/>
  </si>
  <si>
    <t>设备名称</t>
    <phoneticPr fontId="1" type="noConversion"/>
  </si>
  <si>
    <t>数量台/套</t>
    <phoneticPr fontId="1" type="noConversion"/>
  </si>
  <si>
    <t>人民币合计</t>
    <phoneticPr fontId="1" type="noConversion"/>
  </si>
  <si>
    <t>含美元</t>
    <phoneticPr fontId="1" type="noConversion"/>
  </si>
  <si>
    <t>费率（%）</t>
    <phoneticPr fontId="1" type="noConversion"/>
  </si>
  <si>
    <t>投资</t>
    <phoneticPr fontId="1" type="noConversion"/>
  </si>
  <si>
    <t>合计</t>
    <phoneticPr fontId="1" type="noConversion"/>
  </si>
  <si>
    <t>国产新增设备</t>
    <phoneticPr fontId="1" type="noConversion"/>
  </si>
  <si>
    <t>进口新增设备</t>
    <phoneticPr fontId="1" type="noConversion"/>
  </si>
  <si>
    <t>改造设备</t>
    <phoneticPr fontId="1" type="noConversion"/>
  </si>
  <si>
    <t>工器具及生产家具</t>
    <phoneticPr fontId="1" type="noConversion"/>
  </si>
  <si>
    <t>一</t>
    <phoneticPr fontId="1" type="noConversion"/>
  </si>
  <si>
    <t>（一）</t>
    <phoneticPr fontId="1" type="noConversion"/>
  </si>
  <si>
    <t>新增设备</t>
    <phoneticPr fontId="1" type="noConversion"/>
  </si>
  <si>
    <t>建（构）筑物等</t>
    <phoneticPr fontId="1" type="noConversion"/>
  </si>
  <si>
    <t/>
  </si>
  <si>
    <t>第 1 页   共 1 页</t>
  </si>
  <si>
    <t>序号</t>
  </si>
  <si>
    <t>备注</t>
  </si>
  <si>
    <t>一</t>
  </si>
  <si>
    <t>人工费</t>
  </si>
  <si>
    <t>材料费</t>
  </si>
  <si>
    <t>机械费</t>
  </si>
  <si>
    <t>二</t>
  </si>
  <si>
    <t>2.1</t>
  </si>
  <si>
    <t>2.1.1</t>
  </si>
  <si>
    <t>2.2</t>
  </si>
  <si>
    <t>三</t>
  </si>
  <si>
    <t>规费</t>
  </si>
  <si>
    <t>企业管理费</t>
  </si>
  <si>
    <t>四</t>
  </si>
  <si>
    <t>利润</t>
  </si>
  <si>
    <t>五</t>
  </si>
  <si>
    <t>安全文明施工费</t>
  </si>
  <si>
    <t>六</t>
  </si>
  <si>
    <t>税金</t>
  </si>
  <si>
    <t>七</t>
  </si>
  <si>
    <t>工程造价</t>
  </si>
  <si>
    <t>单位</t>
  </si>
  <si>
    <t>数量</t>
  </si>
  <si>
    <t>合计</t>
  </si>
  <si>
    <t>100m3</t>
  </si>
  <si>
    <t>100m2</t>
  </si>
  <si>
    <t>小计</t>
  </si>
  <si>
    <t>桩基</t>
  </si>
  <si>
    <t>100m</t>
  </si>
  <si>
    <t>混凝土</t>
  </si>
  <si>
    <t>10m3</t>
  </si>
  <si>
    <t>t</t>
  </si>
  <si>
    <t>10m2</t>
  </si>
  <si>
    <t>砌块</t>
  </si>
  <si>
    <t>屋面</t>
  </si>
  <si>
    <t>楼地面</t>
  </si>
  <si>
    <t>墙面</t>
  </si>
  <si>
    <t>天棚</t>
  </si>
  <si>
    <t>门窗</t>
  </si>
  <si>
    <t>其他</t>
  </si>
  <si>
    <t>元</t>
  </si>
  <si>
    <t>套</t>
  </si>
  <si>
    <t>主材</t>
  </si>
  <si>
    <t>10m</t>
  </si>
  <si>
    <t>m</t>
  </si>
  <si>
    <t>个</t>
  </si>
  <si>
    <t>补充主材001@1</t>
  </si>
  <si>
    <t>闸阀 DN80</t>
  </si>
  <si>
    <t>瓷蹲式大便器</t>
  </si>
  <si>
    <t>挂式小便器</t>
  </si>
  <si>
    <t>台</t>
  </si>
  <si>
    <t>工程名称：给排水</t>
  </si>
  <si>
    <t>预算价</t>
  </si>
  <si>
    <t>强电</t>
  </si>
  <si>
    <t>10套</t>
  </si>
  <si>
    <t>补充主材001@2</t>
  </si>
  <si>
    <t>弱电</t>
  </si>
  <si>
    <t>只</t>
  </si>
  <si>
    <t>工程名称：室内电</t>
  </si>
  <si>
    <t>工程名称：暖通</t>
  </si>
  <si>
    <t>第 1 页   共 2 页</t>
  </si>
  <si>
    <t>天然气</t>
  </si>
  <si>
    <t>第 2 页   共 2 页</t>
  </si>
  <si>
    <t>工程名称：动力</t>
  </si>
  <si>
    <t>室内电</t>
    <phoneticPr fontId="1" type="noConversion"/>
  </si>
  <si>
    <t>暖通</t>
    <phoneticPr fontId="1" type="noConversion"/>
  </si>
  <si>
    <t>单位工程概算汇总表</t>
    <phoneticPr fontId="7" type="noConversion"/>
  </si>
  <si>
    <t>序号</t>
    <phoneticPr fontId="7" type="noConversion"/>
  </si>
  <si>
    <t>名称</t>
    <phoneticPr fontId="7" type="noConversion"/>
  </si>
  <si>
    <t>概算（万元）</t>
    <phoneticPr fontId="7" type="noConversion"/>
  </si>
  <si>
    <t>公用设备（万元）</t>
    <phoneticPr fontId="7" type="noConversion"/>
  </si>
  <si>
    <t>建筑工程</t>
    <phoneticPr fontId="7" type="noConversion"/>
  </si>
  <si>
    <t>给排水工程</t>
    <phoneticPr fontId="7" type="noConversion"/>
  </si>
  <si>
    <t>暖通工程</t>
    <phoneticPr fontId="7" type="noConversion"/>
  </si>
  <si>
    <t>电气工程</t>
    <phoneticPr fontId="7" type="noConversion"/>
  </si>
  <si>
    <t>小计</t>
    <phoneticPr fontId="7" type="noConversion"/>
  </si>
  <si>
    <t>m2</t>
    <phoneticPr fontId="1" type="noConversion"/>
  </si>
  <si>
    <t>小计</t>
    <phoneticPr fontId="1" type="noConversion"/>
  </si>
  <si>
    <t xml:space="preserve">建设单位管理费 </t>
  </si>
  <si>
    <t>前期工作费</t>
  </si>
  <si>
    <t>建设工程监理费</t>
  </si>
  <si>
    <t>工程设计费</t>
  </si>
  <si>
    <t>施工图审查费</t>
    <phoneticPr fontId="7" type="noConversion"/>
  </si>
  <si>
    <t>环境影响咨询费</t>
    <phoneticPr fontId="7" type="noConversion"/>
  </si>
  <si>
    <r>
      <rPr>
        <sz val="10"/>
        <rFont val="宋体"/>
        <family val="3"/>
        <charset val="134"/>
      </rPr>
      <t>计价格</t>
    </r>
    <r>
      <rPr>
        <sz val="10"/>
        <rFont val="Times New Roman"/>
        <family val="1"/>
      </rPr>
      <t>[1999]1283</t>
    </r>
    <r>
      <rPr>
        <sz val="10"/>
        <rFont val="宋体"/>
        <family val="3"/>
        <charset val="134"/>
      </rPr>
      <t>号文</t>
    </r>
    <phoneticPr fontId="7" type="noConversion"/>
  </si>
  <si>
    <t>计价格[2002]10号</t>
    <phoneticPr fontId="7" type="noConversion"/>
  </si>
  <si>
    <t>发改价格[2007]670号</t>
    <phoneticPr fontId="7" type="noConversion"/>
  </si>
  <si>
    <t>发改价格[2011]534号文</t>
    <phoneticPr fontId="7" type="noConversion"/>
  </si>
  <si>
    <r>
      <rPr>
        <sz val="10"/>
        <rFont val="宋体"/>
        <family val="3"/>
        <charset val="134"/>
      </rPr>
      <t>计价格</t>
    </r>
    <r>
      <rPr>
        <sz val="10"/>
        <rFont val="Times New Roman"/>
        <family val="1"/>
      </rPr>
      <t>[2002]125</t>
    </r>
    <r>
      <rPr>
        <sz val="10"/>
        <rFont val="宋体"/>
        <family val="3"/>
        <charset val="134"/>
      </rPr>
      <t>号文</t>
    </r>
    <phoneticPr fontId="7" type="noConversion"/>
  </si>
  <si>
    <t>地方有关规定</t>
    <phoneticPr fontId="7" type="noConversion"/>
  </si>
  <si>
    <t>插入法</t>
    <phoneticPr fontId="7" type="noConversion"/>
  </si>
  <si>
    <t>工程费名称</t>
  </si>
  <si>
    <r>
      <rPr>
        <sz val="10"/>
        <rFont val="宋体"/>
        <family val="3"/>
        <charset val="134"/>
      </rPr>
      <t>投资额</t>
    </r>
    <r>
      <rPr>
        <sz val="10"/>
        <rFont val="Times New Roman"/>
        <family val="1"/>
      </rPr>
      <t xml:space="preserve">            (</t>
    </r>
    <r>
      <rPr>
        <sz val="10"/>
        <rFont val="宋体"/>
        <family val="3"/>
        <charset val="134"/>
      </rPr>
      <t>万元</t>
    </r>
    <r>
      <rPr>
        <sz val="10"/>
        <rFont val="Times New Roman"/>
        <family val="1"/>
      </rPr>
      <t>)</t>
    </r>
    <phoneticPr fontId="7" type="noConversion"/>
  </si>
  <si>
    <t>占投资数（%）</t>
  </si>
  <si>
    <t>其中外汇（万美元）</t>
  </si>
  <si>
    <t>建筑工程费</t>
  </si>
  <si>
    <t>基本预备费</t>
  </si>
  <si>
    <t>合       计</t>
  </si>
  <si>
    <r>
      <rPr>
        <sz val="10"/>
        <rFont val="宋体"/>
        <family val="3"/>
        <charset val="134"/>
      </rPr>
      <t>财建</t>
    </r>
    <r>
      <rPr>
        <sz val="10"/>
        <rFont val="Times New Roman"/>
        <family val="1"/>
      </rPr>
      <t>[2002]394</t>
    </r>
    <r>
      <rPr>
        <sz val="10"/>
        <rFont val="宋体"/>
        <family val="3"/>
        <charset val="134"/>
      </rPr>
      <t>号</t>
    </r>
    <phoneticPr fontId="7" type="noConversion"/>
  </si>
  <si>
    <r>
      <t>单方造价（元/</t>
    </r>
    <r>
      <rPr>
        <sz val="12"/>
        <rFont val="宋体"/>
        <family val="3"/>
        <charset val="134"/>
      </rPr>
      <t>m2）</t>
    </r>
    <phoneticPr fontId="7" type="noConversion"/>
  </si>
  <si>
    <t>单方造价含设备（元/m2）</t>
    <phoneticPr fontId="7" type="noConversion"/>
  </si>
  <si>
    <t>第 1 页   共 7 页</t>
  </si>
  <si>
    <t>第 2 页   共 7 页</t>
  </si>
  <si>
    <t>第 3 页   共 7 页</t>
  </si>
  <si>
    <t>第 4 页   共 7 页</t>
  </si>
  <si>
    <t>第 5 页   共 7 页</t>
  </si>
  <si>
    <t>第 6 页   共 7 页</t>
  </si>
  <si>
    <t>第 7 页   共 7 页</t>
  </si>
  <si>
    <t>职业卫生评价费</t>
    <phoneticPr fontId="7" type="noConversion"/>
  </si>
  <si>
    <t>劳动安全评价费</t>
    <phoneticPr fontId="7" type="noConversion"/>
  </si>
  <si>
    <t>m2</t>
  </si>
  <si>
    <t>m3</t>
  </si>
  <si>
    <t>室内动力</t>
    <phoneticPr fontId="1" type="noConversion"/>
  </si>
  <si>
    <t>动力工程</t>
    <phoneticPr fontId="1" type="noConversion"/>
  </si>
  <si>
    <t>单位工程人材机价差表</t>
  </si>
  <si>
    <t>1000m3</t>
  </si>
  <si>
    <t>单位工程费用汇总表</t>
  </si>
  <si>
    <t>费用名称</t>
  </si>
  <si>
    <t>取费基数</t>
  </si>
  <si>
    <t>费率</t>
  </si>
  <si>
    <t>费用金额</t>
  </si>
  <si>
    <t>1</t>
  </si>
  <si>
    <t>安装工程</t>
  </si>
  <si>
    <t>分部分项工程费</t>
  </si>
  <si>
    <t>人工费+材料费+未计价材料费+施工机具使用费+设备费</t>
  </si>
  <si>
    <t>105</t>
  </si>
  <si>
    <t>2</t>
  </si>
  <si>
    <t>3</t>
  </si>
  <si>
    <t>未计价材料费</t>
  </si>
  <si>
    <t>主材费</t>
  </si>
  <si>
    <t>4</t>
  </si>
  <si>
    <t>施工机具使用费</t>
  </si>
  <si>
    <t>5</t>
  </si>
  <si>
    <t>设备费</t>
  </si>
  <si>
    <t>措施项目费</t>
  </si>
  <si>
    <t>单价措施项目费+总价措施项目费</t>
  </si>
  <si>
    <t>单价措施项目费</t>
  </si>
  <si>
    <t>人工费+材料费+施工机具使用费</t>
  </si>
  <si>
    <t>技术措施项目人工费</t>
  </si>
  <si>
    <t>2.1.2</t>
  </si>
  <si>
    <t>技术措施项目材料费</t>
  </si>
  <si>
    <t>2.1.3</t>
  </si>
  <si>
    <t>技术措施项目机械费</t>
  </si>
  <si>
    <t>总价措施项目费</t>
  </si>
  <si>
    <t>安全文明施工费+其它总价措施项目费</t>
  </si>
  <si>
    <t>2.2.1</t>
  </si>
  <si>
    <t>人工费+施工机具使用费+人工费+施工机具使用费</t>
  </si>
  <si>
    <t>9.05</t>
  </si>
  <si>
    <t>2.2.2</t>
  </si>
  <si>
    <t>其它总价措施项目费</t>
  </si>
  <si>
    <t>0.65</t>
  </si>
  <si>
    <t>总包服务费</t>
  </si>
  <si>
    <t>17.5</t>
  </si>
  <si>
    <t>14.91</t>
  </si>
  <si>
    <t>11.66</t>
  </si>
  <si>
    <t>索赔与现场签证</t>
  </si>
  <si>
    <t>八</t>
  </si>
  <si>
    <t>安全技术服务费</t>
  </si>
  <si>
    <t>分部分项工程费+措施项目费+总包服务费+企业管理费+利润+规费-设备费</t>
  </si>
  <si>
    <t>0.12</t>
  </si>
  <si>
    <t>九</t>
  </si>
  <si>
    <t>不含税工程造价</t>
  </si>
  <si>
    <t>分部分项工程费+措施项目费+总包服务费+企业管理费+利润+规费+索赔与现场签证+安全技术服务费</t>
  </si>
  <si>
    <t>十</t>
  </si>
  <si>
    <t>税前包干项目</t>
  </si>
  <si>
    <t>税前包干价</t>
  </si>
  <si>
    <t>十一</t>
  </si>
  <si>
    <t>不含税工程造价+税前包干价</t>
  </si>
  <si>
    <t>3.5411</t>
  </si>
  <si>
    <t>十二</t>
  </si>
  <si>
    <t>税后包干项目</t>
  </si>
  <si>
    <t>税后包干价</t>
  </si>
  <si>
    <t>十四</t>
  </si>
  <si>
    <t>含税工程造价</t>
  </si>
  <si>
    <t>不含税工程造价+税金+税前包干项目+税后包干项目</t>
  </si>
  <si>
    <t>专业造价总合计</t>
  </si>
  <si>
    <t xml:space="preserve">编制人: </t>
  </si>
  <si>
    <t xml:space="preserve">审核人: </t>
  </si>
  <si>
    <t>编制日期:</t>
  </si>
  <si>
    <t>单位工程直接费表</t>
  </si>
  <si>
    <t>定额编号</t>
  </si>
  <si>
    <t>子目名称</t>
  </si>
  <si>
    <t>工程量</t>
  </si>
  <si>
    <t>价值（元）</t>
  </si>
  <si>
    <t>其中（元）</t>
  </si>
  <si>
    <t>工日统计</t>
  </si>
  <si>
    <t>单价</t>
  </si>
  <si>
    <t>合价</t>
  </si>
  <si>
    <t>人工合价</t>
  </si>
  <si>
    <t>材料合价</t>
  </si>
  <si>
    <t>机械合价</t>
  </si>
  <si>
    <t>主材合价</t>
  </si>
  <si>
    <t>设备合价</t>
  </si>
  <si>
    <t>给排水</t>
  </si>
  <si>
    <t>C10-644</t>
  </si>
  <si>
    <t>闸阀 DN50</t>
  </si>
  <si>
    <t>C10-646</t>
  </si>
  <si>
    <t>C10-647</t>
  </si>
  <si>
    <t>闸阀 DN100</t>
  </si>
  <si>
    <t>止回阀 DN50</t>
  </si>
  <si>
    <t>止回阀 DN80</t>
  </si>
  <si>
    <t>止回阀 DN100</t>
  </si>
  <si>
    <t>自动排气阀 DN50</t>
  </si>
  <si>
    <t>自动排气阀 DN80</t>
  </si>
  <si>
    <t>自动排气阀 DN100</t>
  </si>
  <si>
    <t>截止阀 DN50</t>
  </si>
  <si>
    <t>C10-643</t>
  </si>
  <si>
    <t>截止阀 DN40</t>
  </si>
  <si>
    <t>C10-642</t>
  </si>
  <si>
    <t>截止阀 DN32</t>
  </si>
  <si>
    <t>C10-638</t>
  </si>
  <si>
    <t>截止阀 DN25</t>
  </si>
  <si>
    <t>C10-971</t>
  </si>
  <si>
    <t>大便器安装 蹲式 普通阀冲洗</t>
  </si>
  <si>
    <t>C10-980</t>
  </si>
  <si>
    <t>小便器安装 挂斗式 普通式</t>
  </si>
  <si>
    <t>C10-1006</t>
  </si>
  <si>
    <t>水龙头 DN20</t>
  </si>
  <si>
    <t>10个</t>
  </si>
  <si>
    <t>C10-1009</t>
  </si>
  <si>
    <t>圆地漏 De50</t>
  </si>
  <si>
    <t>C10-1010</t>
  </si>
  <si>
    <t>圆地漏 De75</t>
  </si>
  <si>
    <t>C10-1012</t>
  </si>
  <si>
    <t>圆地漏 De110</t>
  </si>
  <si>
    <t>C10-1016</t>
  </si>
  <si>
    <t>清扫口 De75</t>
  </si>
  <si>
    <t>87型雨水斗 De110</t>
  </si>
  <si>
    <t>雨水</t>
  </si>
  <si>
    <t>虹吸雨水斗 De75</t>
  </si>
  <si>
    <t>C10-1011</t>
  </si>
  <si>
    <t>虹吸雨水斗 De90</t>
  </si>
  <si>
    <t>虹吸雨水斗 De110</t>
  </si>
  <si>
    <t>虹吸雨水斗 De125</t>
  </si>
  <si>
    <t>C10-386</t>
  </si>
  <si>
    <t>波纹管 De160</t>
  </si>
  <si>
    <t>C10-387</t>
  </si>
  <si>
    <t>波纹管 De200</t>
  </si>
  <si>
    <t>波纹管 De250</t>
  </si>
  <si>
    <t>消火栓</t>
  </si>
  <si>
    <t>C9-107</t>
  </si>
  <si>
    <t>手提式磷酸铵盐干粉灭火器 MFT/ABC4</t>
  </si>
  <si>
    <t>C9-84</t>
  </si>
  <si>
    <t>室内消火栓</t>
  </si>
  <si>
    <t>组合消防箱</t>
  </si>
  <si>
    <t>C9-103</t>
  </si>
  <si>
    <t>室外地上式消防水泵接合器 SQS100-A</t>
  </si>
  <si>
    <t>蝶阀 DN100</t>
  </si>
  <si>
    <t>C10-649</t>
  </si>
  <si>
    <t>蝶阀 DN150</t>
  </si>
  <si>
    <t>C10-133</t>
  </si>
  <si>
    <t>波纹管 DN100</t>
  </si>
  <si>
    <t>C10-134</t>
  </si>
  <si>
    <t>波纹管 DN150</t>
  </si>
  <si>
    <t>室内</t>
  </si>
  <si>
    <t>C10-424</t>
  </si>
  <si>
    <t>衬塑复合钢管 DN20</t>
  </si>
  <si>
    <t>C10-425</t>
  </si>
  <si>
    <t>衬塑复合钢管 DN25</t>
  </si>
  <si>
    <t>C10-426</t>
  </si>
  <si>
    <t>衬塑复合钢管 DN32</t>
  </si>
  <si>
    <t>C10-427</t>
  </si>
  <si>
    <t>衬塑复合钢管 DN40</t>
  </si>
  <si>
    <t>C10-428</t>
  </si>
  <si>
    <t>衬塑复合钢管 DN50</t>
  </si>
  <si>
    <t>C10-429</t>
  </si>
  <si>
    <t>衬塑复合钢管 DN65</t>
  </si>
  <si>
    <t>C10-430</t>
  </si>
  <si>
    <t>衬塑复合钢管 DN80</t>
  </si>
  <si>
    <t>C10-431</t>
  </si>
  <si>
    <t>衬塑复合钢管 DN100</t>
  </si>
  <si>
    <t>C10-361</t>
  </si>
  <si>
    <t>排水PVC-U管 De110</t>
  </si>
  <si>
    <t>C10-244</t>
  </si>
  <si>
    <t>排水铸铁管 De110</t>
  </si>
  <si>
    <t>C12-53</t>
  </si>
  <si>
    <t>管道刷油 红丹防锈漆 第一遍</t>
  </si>
  <si>
    <t>C10-190</t>
  </si>
  <si>
    <t>镀锌钢管 DN65</t>
  </si>
  <si>
    <t xml:space="preserve">管道刷油 红丹防锈漆 </t>
  </si>
  <si>
    <t>第一遍</t>
  </si>
  <si>
    <t>C10-192</t>
  </si>
  <si>
    <t>镀锌钢管 DN100</t>
  </si>
  <si>
    <t>C10-194</t>
  </si>
  <si>
    <t>镀锌钢管 DN150</t>
  </si>
  <si>
    <t>C10-360</t>
  </si>
  <si>
    <t>HDPE高密度聚乙烯管 De75</t>
  </si>
  <si>
    <t>HDPE高密度聚乙烯管 De90</t>
  </si>
  <si>
    <t>HDPE高密度聚乙烯管 De110</t>
  </si>
  <si>
    <t>C10-362</t>
  </si>
  <si>
    <t>HDPE高密度聚乙烯管 De125</t>
  </si>
  <si>
    <t>HDPE高密度聚乙烯管 De160</t>
  </si>
  <si>
    <t>C10-363</t>
  </si>
  <si>
    <t>HDPE高密度聚乙烯管 De200</t>
  </si>
  <si>
    <t>C10-364</t>
  </si>
  <si>
    <t>HDPE高密度聚乙烯管 De250</t>
  </si>
  <si>
    <t>C10-365</t>
  </si>
  <si>
    <t>HDPE高密度聚乙烯管 De315</t>
  </si>
  <si>
    <t>附表1-6</t>
  </si>
  <si>
    <t>新增主要公用设备表</t>
  </si>
  <si>
    <t>单位：万元</t>
  </si>
  <si>
    <t>设备名称</t>
  </si>
  <si>
    <t>型号规格</t>
  </si>
  <si>
    <t>安装费</t>
  </si>
  <si>
    <t>落地式电热水器</t>
  </si>
  <si>
    <t>DAY-T814,容积50L，功率9KW。</t>
  </si>
  <si>
    <t>虹吸雨水排水系统</t>
  </si>
  <si>
    <t>屋面面积约31200平方米、28个管道系统</t>
  </si>
  <si>
    <t>通风天窗 MCW1ZD-6050n</t>
  </si>
  <si>
    <t>C7-28</t>
  </si>
  <si>
    <t>卫生间通风器 BLD-400</t>
  </si>
  <si>
    <t>卫生间通风器 BLD-600</t>
  </si>
  <si>
    <t>新增主要公用设备表</t>
    <phoneticPr fontId="7" type="noConversion"/>
  </si>
  <si>
    <r>
      <rPr>
        <sz val="11"/>
        <rFont val="宋体"/>
        <family val="3"/>
        <charset val="134"/>
      </rPr>
      <t>总图编号</t>
    </r>
  </si>
  <si>
    <t>安装费</t>
    <phoneticPr fontId="7" type="noConversion"/>
  </si>
  <si>
    <t>备注</t>
    <phoneticPr fontId="7" type="noConversion"/>
  </si>
  <si>
    <t>离心式冷水机组</t>
    <phoneticPr fontId="1" type="noConversion"/>
  </si>
  <si>
    <t>LC600A 制冷量：2110kW</t>
    <phoneticPr fontId="1" type="noConversion"/>
  </si>
  <si>
    <t>台</t>
    <phoneticPr fontId="1" type="noConversion"/>
  </si>
  <si>
    <t>冷冻水泵（立式离心泵）</t>
    <phoneticPr fontId="1" type="noConversion"/>
  </si>
  <si>
    <t>SLZD200-315(I)A 流量：:374m3/h 扬程：28mH2O 功率:45kW</t>
    <phoneticPr fontId="1" type="noConversion"/>
  </si>
  <si>
    <t>冷却水泵（立式离心泵）</t>
    <phoneticPr fontId="1" type="noConversion"/>
  </si>
  <si>
    <t>SLZD250-315A 流量：500m3/h 扬程：28mH2O 功率:55kW</t>
    <phoneticPr fontId="1" type="noConversion"/>
  </si>
  <si>
    <t>台</t>
    <phoneticPr fontId="1" type="noConversion"/>
  </si>
  <si>
    <t>方形逆流冷却塔</t>
    <phoneticPr fontId="1" type="noConversion"/>
  </si>
  <si>
    <t>KFT500 冷却水量:500m3/h 扬程：5.3mH2O</t>
    <phoneticPr fontId="1" type="noConversion"/>
  </si>
  <si>
    <t>全自动软水器</t>
    <phoneticPr fontId="1" type="noConversion"/>
  </si>
  <si>
    <t>TRB-400 产水量：4~5m3/h</t>
    <phoneticPr fontId="1" type="noConversion"/>
  </si>
  <si>
    <t>软化水箱</t>
    <phoneticPr fontId="1" type="noConversion"/>
  </si>
  <si>
    <t>公称容积：2.0m3</t>
    <phoneticPr fontId="1" type="noConversion"/>
  </si>
  <si>
    <t>只</t>
    <phoneticPr fontId="1" type="noConversion"/>
  </si>
  <si>
    <t>补水定压机组</t>
    <phoneticPr fontId="1" type="noConversion"/>
  </si>
  <si>
    <t>XQG-15/1.0-1000L</t>
    <phoneticPr fontId="1" type="noConversion"/>
  </si>
  <si>
    <t>补水定压罐</t>
  </si>
  <si>
    <t>总容积：1.36m3</t>
    <phoneticPr fontId="1" type="noConversion"/>
  </si>
  <si>
    <t>补水泵</t>
    <phoneticPr fontId="1" type="noConversion"/>
  </si>
  <si>
    <t>SLZD40-200 流量:2.2m3/h 扬程：12.8mH20</t>
    <phoneticPr fontId="1" type="noConversion"/>
  </si>
  <si>
    <t>全自动全效水处理器</t>
    <phoneticPr fontId="1" type="noConversion"/>
  </si>
  <si>
    <t>流量：870m3/h 功率：0.7kw</t>
    <phoneticPr fontId="1" type="noConversion"/>
  </si>
  <si>
    <t>高大空间侧装制冷机组</t>
  </si>
  <si>
    <t>AirTS-SK-II</t>
    <phoneticPr fontId="1" type="noConversion"/>
  </si>
  <si>
    <t>不锈钢屋顶风机</t>
    <phoneticPr fontId="1" type="noConversion"/>
  </si>
  <si>
    <t>AF-R500 风量：6350m3/h</t>
    <phoneticPr fontId="1" type="noConversion"/>
  </si>
  <si>
    <t>壁挂式分体空调</t>
    <phoneticPr fontId="1" type="noConversion"/>
  </si>
  <si>
    <t>FTXP35JV2CW Q冷=3.5kw</t>
    <phoneticPr fontId="1" type="noConversion"/>
  </si>
  <si>
    <t>FTXG50JV2C Q冷=5.0kw</t>
    <phoneticPr fontId="1" type="noConversion"/>
  </si>
  <si>
    <t>柜式分体空调</t>
    <phoneticPr fontId="1" type="noConversion"/>
  </si>
  <si>
    <t>FVXG50JV2CW Q冷=5.0kw</t>
    <phoneticPr fontId="1" type="noConversion"/>
  </si>
  <si>
    <t>FVXG50JV2CW Q冷=7.2kw</t>
    <phoneticPr fontId="1" type="noConversion"/>
  </si>
  <si>
    <t>FVY125EQBV2C Q冷=12.0kw</t>
    <phoneticPr fontId="1" type="noConversion"/>
  </si>
  <si>
    <t>吊顶式空气处理机组</t>
    <phoneticPr fontId="1" type="noConversion"/>
  </si>
  <si>
    <t>LPCQ003 Q冷=33.3kw 风量:2000m3/h</t>
    <phoneticPr fontId="1" type="noConversion"/>
  </si>
  <si>
    <t>风道式空气净化装置</t>
    <phoneticPr fontId="1" type="noConversion"/>
  </si>
  <si>
    <r>
      <t xml:space="preserve">AN-S-FD-2500 </t>
    </r>
    <r>
      <rPr>
        <sz val="11"/>
        <rFont val="宋体"/>
        <family val="3"/>
        <charset val="134"/>
      </rPr>
      <t>风量</t>
    </r>
    <r>
      <rPr>
        <sz val="11"/>
        <rFont val="Times New Roman"/>
        <family val="1"/>
      </rPr>
      <t xml:space="preserve">:1500~2500m3/h </t>
    </r>
    <r>
      <rPr>
        <sz val="11"/>
        <rFont val="宋体"/>
        <family val="3"/>
        <charset val="134"/>
      </rPr>
      <t>功率</t>
    </r>
    <r>
      <rPr>
        <sz val="11"/>
        <rFont val="Times New Roman"/>
        <family val="1"/>
      </rPr>
      <t>:20W</t>
    </r>
    <phoneticPr fontId="1" type="noConversion"/>
  </si>
  <si>
    <r>
      <rPr>
        <sz val="11"/>
        <rFont val="宋体"/>
        <family val="3"/>
        <charset val="134"/>
      </rPr>
      <t>流量</t>
    </r>
    <r>
      <rPr>
        <sz val="11"/>
        <rFont val="Times New Roman"/>
        <family val="1"/>
      </rPr>
      <t>:870m3/h</t>
    </r>
    <phoneticPr fontId="1" type="noConversion"/>
  </si>
  <si>
    <t>恒温恒湿机</t>
    <phoneticPr fontId="1" type="noConversion"/>
  </si>
  <si>
    <r>
      <t>HFD13W Q</t>
    </r>
    <r>
      <rPr>
        <sz val="11"/>
        <rFont val="宋体"/>
        <family val="3"/>
        <charset val="134"/>
      </rPr>
      <t>冷</t>
    </r>
    <r>
      <rPr>
        <sz val="11"/>
        <rFont val="Times New Roman"/>
        <family val="1"/>
      </rPr>
      <t>=12.6kw</t>
    </r>
    <phoneticPr fontId="1" type="noConversion"/>
  </si>
  <si>
    <t>合计</t>
    <phoneticPr fontId="1" type="noConversion"/>
  </si>
  <si>
    <t>安装费</t>
    <phoneticPr fontId="7" type="noConversion"/>
  </si>
  <si>
    <t>备注</t>
    <phoneticPr fontId="7" type="noConversion"/>
  </si>
  <si>
    <t>干式变压器</t>
    <phoneticPr fontId="1" type="noConversion"/>
  </si>
  <si>
    <t>SCB11-10/0.4 2000kVA</t>
    <phoneticPr fontId="1" type="noConversion"/>
  </si>
  <si>
    <t>台</t>
    <phoneticPr fontId="1" type="noConversion"/>
  </si>
  <si>
    <t>SCB11-10/0.4 1600kVA</t>
    <phoneticPr fontId="1" type="noConversion"/>
  </si>
  <si>
    <t>干式变压器</t>
    <phoneticPr fontId="1" type="noConversion"/>
  </si>
  <si>
    <t>SCB11-10/0.4 1000kVA</t>
    <phoneticPr fontId="1" type="noConversion"/>
  </si>
  <si>
    <t>台</t>
    <phoneticPr fontId="1" type="noConversion"/>
  </si>
  <si>
    <t>高压开关柜</t>
    <phoneticPr fontId="1" type="noConversion"/>
  </si>
  <si>
    <t>KYN28A-12</t>
    <phoneticPr fontId="1" type="noConversion"/>
  </si>
  <si>
    <t>高压环网柜</t>
    <phoneticPr fontId="1" type="noConversion"/>
  </si>
  <si>
    <t>SV1-C-12</t>
    <phoneticPr fontId="1" type="noConversion"/>
  </si>
  <si>
    <t>低压配电柜</t>
    <phoneticPr fontId="1" type="noConversion"/>
  </si>
  <si>
    <t>GCS型</t>
    <phoneticPr fontId="1" type="noConversion"/>
  </si>
  <si>
    <t>照明配电箱</t>
    <phoneticPr fontId="1" type="noConversion"/>
  </si>
  <si>
    <t xml:space="preserve">XRM301 </t>
    <phoneticPr fontId="1" type="noConversion"/>
  </si>
  <si>
    <t>照明控制箱</t>
    <phoneticPr fontId="1" type="noConversion"/>
  </si>
  <si>
    <t>台</t>
    <phoneticPr fontId="1" type="noConversion"/>
  </si>
  <si>
    <t>事故照明配电箱</t>
    <phoneticPr fontId="1" type="noConversion"/>
  </si>
  <si>
    <t>双电源自动切换箱</t>
    <phoneticPr fontId="1" type="noConversion"/>
  </si>
  <si>
    <t>动力配电柜</t>
    <phoneticPr fontId="1" type="noConversion"/>
  </si>
  <si>
    <t>XL52</t>
    <phoneticPr fontId="1" type="noConversion"/>
  </si>
  <si>
    <t>动力配电箱</t>
    <phoneticPr fontId="1" type="noConversion"/>
  </si>
  <si>
    <t>XL53</t>
    <phoneticPr fontId="1" type="noConversion"/>
  </si>
  <si>
    <t>合计</t>
    <phoneticPr fontId="1" type="noConversion"/>
  </si>
  <si>
    <t>新增主要公用设备表</t>
    <phoneticPr fontId="7" type="noConversion"/>
  </si>
  <si>
    <t>安装费</t>
    <phoneticPr fontId="7" type="noConversion"/>
  </si>
  <si>
    <t>备注</t>
    <phoneticPr fontId="7" type="noConversion"/>
  </si>
  <si>
    <t>压缩空气配气器</t>
    <phoneticPr fontId="1" type="noConversion"/>
  </si>
  <si>
    <t>4接头φ168X6</t>
    <phoneticPr fontId="1" type="noConversion"/>
  </si>
  <si>
    <t>套</t>
    <phoneticPr fontId="1" type="noConversion"/>
  </si>
  <si>
    <t>氩气配气器</t>
    <phoneticPr fontId="1" type="noConversion"/>
  </si>
  <si>
    <t>4接头φ60X4</t>
    <phoneticPr fontId="1" type="noConversion"/>
  </si>
  <si>
    <t>个</t>
    <phoneticPr fontId="1" type="noConversion"/>
  </si>
  <si>
    <t>氮气配气器</t>
    <phoneticPr fontId="1" type="noConversion"/>
  </si>
  <si>
    <t>二氧化碳配气器</t>
    <phoneticPr fontId="1" type="noConversion"/>
  </si>
  <si>
    <t>4接头φ89X4</t>
    <phoneticPr fontId="1" type="noConversion"/>
  </si>
  <si>
    <t>8接头φ89X4</t>
    <phoneticPr fontId="1" type="noConversion"/>
  </si>
  <si>
    <t>氧气配气器</t>
    <phoneticPr fontId="1" type="noConversion"/>
  </si>
  <si>
    <t>天然气配气器</t>
    <phoneticPr fontId="1" type="noConversion"/>
  </si>
  <si>
    <t>4接头φ114X4.5</t>
    <phoneticPr fontId="1" type="noConversion"/>
  </si>
  <si>
    <t>8接头φ114X4.5</t>
    <phoneticPr fontId="1" type="noConversion"/>
  </si>
  <si>
    <t>LD1000系列冷冻式干燥器（风冷）</t>
    <phoneticPr fontId="1" type="noConversion"/>
  </si>
  <si>
    <t>处理量：105m3/min；功率：25kw</t>
    <phoneticPr fontId="1" type="noConversion"/>
  </si>
  <si>
    <t>压缩空气除油净化器</t>
    <phoneticPr fontId="1" type="noConversion"/>
  </si>
  <si>
    <t>J100 处理量：100m3/min</t>
    <phoneticPr fontId="1" type="noConversion"/>
  </si>
  <si>
    <t>合计</t>
    <phoneticPr fontId="1" type="noConversion"/>
  </si>
  <si>
    <t>%%CXL=800X3400</t>
  </si>
  <si>
    <t>%%CXL=800X3400</t>
    <phoneticPr fontId="1" type="noConversion"/>
  </si>
  <si>
    <t>集水器</t>
    <phoneticPr fontId="1" type="noConversion"/>
  </si>
  <si>
    <t>分水器</t>
    <phoneticPr fontId="1" type="noConversion"/>
  </si>
  <si>
    <t>个</t>
    <phoneticPr fontId="1" type="noConversion"/>
  </si>
  <si>
    <t>壁式轴流风机</t>
  </si>
  <si>
    <t>BXAF-S450</t>
  </si>
  <si>
    <t>BXAF-S450</t>
    <phoneticPr fontId="1" type="noConversion"/>
  </si>
  <si>
    <t>XAF-S280</t>
    <phoneticPr fontId="1" type="noConversion"/>
  </si>
  <si>
    <t>防爆离心风机</t>
  </si>
  <si>
    <t>B4-68No.8C</t>
  </si>
  <si>
    <t>油雾过滤器</t>
  </si>
  <si>
    <t>RJWSO25-3/3</t>
  </si>
  <si>
    <t>送风机</t>
  </si>
  <si>
    <t>B-FG450</t>
  </si>
  <si>
    <t>一体式除尘器</t>
  </si>
  <si>
    <t>RJLT3-2(K)</t>
  </si>
  <si>
    <t>B4-68No.4A</t>
  </si>
  <si>
    <t>离心风机</t>
  </si>
  <si>
    <t>4-68No.6.3C</t>
  </si>
  <si>
    <t>滤筒式除尘器</t>
  </si>
  <si>
    <t>RJLT04-24</t>
  </si>
  <si>
    <t>旋风除尘器</t>
  </si>
  <si>
    <t>远程射流风机</t>
  </si>
  <si>
    <t>RJSL-15</t>
  </si>
  <si>
    <t>除尘工作站</t>
  </si>
  <si>
    <t>RJGZZ6-1</t>
  </si>
  <si>
    <t>XAF-S560</t>
    <phoneticPr fontId="1" type="noConversion"/>
  </si>
  <si>
    <t>103</t>
  </si>
  <si>
    <t>C4-1440</t>
  </si>
  <si>
    <t>LED工矿灯 JR-GK003-K400 400W</t>
  </si>
  <si>
    <t xml:space="preserve">LED工矿灯 JR-GK003-K400 400W   </t>
  </si>
  <si>
    <t>LED工矿灯 JR-GK003-K250 250W</t>
  </si>
  <si>
    <t xml:space="preserve">LED工矿灯 JR-GK003-K250 250W  </t>
  </si>
  <si>
    <t>LED工矿灯 JR-GK005-P50 50W</t>
  </si>
  <si>
    <t>LED工矿灯 JR-GK005-P80 80W</t>
  </si>
  <si>
    <t>C4-1676</t>
  </si>
  <si>
    <t>T5型单管荧光灯 （1X35W）</t>
  </si>
  <si>
    <t>C4-1690</t>
  </si>
  <si>
    <t>T5型三管格栅荧光灯 （3X35W）</t>
  </si>
  <si>
    <t>C4-1689</t>
  </si>
  <si>
    <t xml:space="preserve">T5型双管格栅荧光灯 </t>
  </si>
  <si>
    <t>（2X35W）</t>
  </si>
  <si>
    <t>T5型双管格栅荧光灯 （2X35W）</t>
  </si>
  <si>
    <t>T5型单管荧光灯配控照型灯具 （1X35W）</t>
  </si>
  <si>
    <t>T5型单管荧光灯配控照型灯具 （1X35W,自带180min蓄电池）</t>
  </si>
  <si>
    <t>T5型双管荧光灯配控照型灯具 （2X35W,自带180min蓄电池）</t>
  </si>
  <si>
    <t>C4-1412</t>
  </si>
  <si>
    <t>节能吸顶灯 25W</t>
  </si>
  <si>
    <t>C4-1432</t>
  </si>
  <si>
    <t>双头应急灯</t>
  </si>
  <si>
    <t>C4-1622</t>
  </si>
  <si>
    <t>疏散指示灯（自带蓄电池）</t>
  </si>
  <si>
    <t>出口指示灯</t>
  </si>
  <si>
    <t>防水防潮灯 （1X18W节能灯）</t>
  </si>
  <si>
    <t>C4-416</t>
  </si>
  <si>
    <t>二三孔组合插座           250V 10A</t>
  </si>
  <si>
    <t>C4-1405</t>
  </si>
  <si>
    <t>空调隔离开关箱</t>
  </si>
  <si>
    <t xml:space="preserve">空调隔离开关箱 </t>
  </si>
  <si>
    <t>空调三孔插座            250V 16A</t>
  </si>
  <si>
    <t>单相两三孔安全型组合插座（烘手器）250V 16A</t>
  </si>
  <si>
    <t>C4-382</t>
  </si>
  <si>
    <t>单联暗装翘板开关 250V,10A</t>
  </si>
  <si>
    <t xml:space="preserve">单联暗装翘板开关 </t>
  </si>
  <si>
    <t>250V,10A</t>
  </si>
  <si>
    <t>C4-383</t>
  </si>
  <si>
    <t>双联暗装翘板开关 250V,10A</t>
  </si>
  <si>
    <t>C4-384</t>
  </si>
  <si>
    <t>三联暗装翘板开关 250V,10A</t>
  </si>
  <si>
    <t>事故风机暗装翘板开关         （带指示标志） 250V,10A</t>
  </si>
  <si>
    <t>C4-187</t>
  </si>
  <si>
    <t>全浇筑多功能母线槽（三相五线）HTKC-3BF 3150A</t>
  </si>
  <si>
    <t>C4-186</t>
  </si>
  <si>
    <t>全浇筑多功能母线槽（三相五线）HTKC-3BF 1600A</t>
  </si>
  <si>
    <t>C4-185</t>
  </si>
  <si>
    <t>全浇筑多功能母线槽（三相五线）HTKC-3BF 1250A</t>
  </si>
  <si>
    <t>全浇筑多功能母线槽（</t>
  </si>
  <si>
    <t>三相五线）HTKC-3BF 1250A</t>
  </si>
  <si>
    <t>全浇筑多功能母线槽（三相五线）HTKC-3BF 1000A</t>
  </si>
  <si>
    <t>C4-184</t>
  </si>
  <si>
    <t>全浇筑多功能母线槽（三相五线）HTKC-3BF 800A</t>
  </si>
  <si>
    <t>全浇筑多功能母线槽（三相五线）HTKC-3BF 630A</t>
  </si>
  <si>
    <t>C4-1237</t>
  </si>
  <si>
    <t>电缆桥架 500x150</t>
  </si>
  <si>
    <t>电缆桥架 400x150</t>
  </si>
  <si>
    <t>电缆桥架 300x150</t>
  </si>
  <si>
    <t>C4-1236</t>
  </si>
  <si>
    <t>电缆桥架 200x100</t>
  </si>
  <si>
    <t>C4-722</t>
  </si>
  <si>
    <t>电缆 YJV-1KV-3X185+2X95</t>
  </si>
  <si>
    <t>C4-721</t>
  </si>
  <si>
    <t>电缆 YJV-1KV-3X95+2X50</t>
  </si>
  <si>
    <t>电缆 YJV-1KV-3X70+2X35</t>
  </si>
  <si>
    <t>C4-720</t>
  </si>
  <si>
    <t>电缆 YJV-1KV-3X35+2X16</t>
  </si>
  <si>
    <t>电缆 YJV-1KV-5X16</t>
  </si>
  <si>
    <t>电缆 YJV-1KV-5X10</t>
  </si>
  <si>
    <t>C4-458</t>
  </si>
  <si>
    <t>塑铜导线 BV-3X2.5</t>
  </si>
  <si>
    <t>C4-459</t>
  </si>
  <si>
    <t>塑铜导线 BV-3X4</t>
  </si>
  <si>
    <t>C10-185</t>
  </si>
  <si>
    <t>焊接钢管 SC20</t>
  </si>
  <si>
    <t>C10-184</t>
  </si>
  <si>
    <t>焊接钢管 SC15</t>
  </si>
  <si>
    <t>C10-189</t>
  </si>
  <si>
    <t>焊接钢管 SC50</t>
  </si>
  <si>
    <t>焊接钢管 SC100</t>
  </si>
  <si>
    <t>热镀锌扁钢 40x4</t>
  </si>
  <si>
    <t>圆钢 %%C10</t>
  </si>
  <si>
    <t>C5-89</t>
  </si>
  <si>
    <t>语音数据双插孔插座</t>
  </si>
  <si>
    <t>桥架 100x70</t>
  </si>
  <si>
    <t>C5-129</t>
  </si>
  <si>
    <t>六类非屏蔽双绞线</t>
  </si>
  <si>
    <t>第 1 页   共 6 页</t>
  </si>
  <si>
    <t>压缩空气管道</t>
  </si>
  <si>
    <t>C8-11</t>
  </si>
  <si>
    <t>无缝钢管 %%C219X6</t>
  </si>
  <si>
    <t>无缝钢管 133X5</t>
  </si>
  <si>
    <t>C8-10</t>
  </si>
  <si>
    <t>无缝钢管 108X4</t>
  </si>
  <si>
    <t>C8-9</t>
  </si>
  <si>
    <t>无缝钢管 %%C89X4</t>
  </si>
  <si>
    <t>C8-1422</t>
  </si>
  <si>
    <t>截止阀   J41H-16C  DN200  PN1.6</t>
  </si>
  <si>
    <t>C8-1420</t>
  </si>
  <si>
    <t>截止阀   J41H-16C  DN125  PN1.6</t>
  </si>
  <si>
    <t>C6-78</t>
  </si>
  <si>
    <t>DY型数字式涡旋流量计  DN150</t>
  </si>
  <si>
    <t>DY型数字式涡旋流量计  DN80</t>
  </si>
  <si>
    <t xml:space="preserve">DY型数字式涡旋流量计  </t>
  </si>
  <si>
    <t>第 2 页   共 6 页</t>
  </si>
  <si>
    <t>DN80</t>
  </si>
  <si>
    <t>氩气</t>
  </si>
  <si>
    <t>C8-8</t>
  </si>
  <si>
    <t>无缝钢管 %%C76X4</t>
  </si>
  <si>
    <t>C8-7</t>
  </si>
  <si>
    <t>无缝钢管 %%C60X4</t>
  </si>
  <si>
    <t>C8-6</t>
  </si>
  <si>
    <t>无缝钢管 %%C48X3</t>
  </si>
  <si>
    <t>C8-1418</t>
  </si>
  <si>
    <t>截止阀    J41H-16C  DN80  PN1.6MPa</t>
  </si>
  <si>
    <t>氮气</t>
  </si>
  <si>
    <t>第 3 页   共 6 页</t>
  </si>
  <si>
    <t>二氧化碳</t>
  </si>
  <si>
    <t>C8-1417</t>
  </si>
  <si>
    <t>截止阀    J41H-16C  DN65  PN1.6MPa</t>
  </si>
  <si>
    <t>C8-1416</t>
  </si>
  <si>
    <t>截止阀    J41H-16C  DN50  PN1.6MPa</t>
  </si>
  <si>
    <t>DY型数字式涡旋流量计  DN50</t>
  </si>
  <si>
    <t>DY型数字式涡旋流量计  DN40</t>
  </si>
  <si>
    <t>氧气</t>
  </si>
  <si>
    <t>第 4 页   共 6 页</t>
  </si>
  <si>
    <t>C8-116</t>
  </si>
  <si>
    <t>不锈钢管 %%C76X4</t>
  </si>
  <si>
    <t>第 5 页   共 6 页</t>
  </si>
  <si>
    <t>C8-114</t>
  </si>
  <si>
    <t>不锈钢管 %%C48X3</t>
  </si>
  <si>
    <t>快速切断阀   Z41H-16C型  DN65  PN1.6MPa</t>
  </si>
  <si>
    <t>C8-1415</t>
  </si>
  <si>
    <t>燃气阻火器    FPB型  DN40</t>
  </si>
  <si>
    <t xml:space="preserve">燃气阻火器    FPB型  </t>
  </si>
  <si>
    <t>第 6 页   共 6 页</t>
  </si>
  <si>
    <t>DN40</t>
  </si>
  <si>
    <t>C6-72</t>
  </si>
  <si>
    <t>涡旋流量计 DN150</t>
  </si>
  <si>
    <t>涡街流量计 DN50</t>
  </si>
  <si>
    <t>工程名称：室外水</t>
  </si>
  <si>
    <t>C10-231</t>
  </si>
  <si>
    <t>球墨铸铁给水管 DN100</t>
  </si>
  <si>
    <t>C10-232</t>
  </si>
  <si>
    <t>球墨铸铁给水管 DN150</t>
  </si>
  <si>
    <t>C10-233</t>
  </si>
  <si>
    <t>球墨铸铁给水管 DN200</t>
  </si>
  <si>
    <t>UPVC双壁波纹排水管 De200</t>
  </si>
  <si>
    <t>UPVC双壁波纹排水管 De300</t>
  </si>
  <si>
    <t>UPVC双壁波纹排水管 De500</t>
  </si>
  <si>
    <t xml:space="preserve">UPVC双壁波纹排水管 </t>
  </si>
  <si>
    <t>De800</t>
  </si>
  <si>
    <t>UPVC双壁波纹排水管 De800</t>
  </si>
  <si>
    <t>补充主材001@6</t>
  </si>
  <si>
    <t>室外水表井 DN100</t>
  </si>
  <si>
    <t>座</t>
  </si>
  <si>
    <t>室外水表井 DN80</t>
  </si>
  <si>
    <t>钢筋混凝土化粪池 G8-25SQ，容积25m3</t>
  </si>
  <si>
    <t>补充主材001@3</t>
  </si>
  <si>
    <t>砖砌排水检查井 700</t>
  </si>
  <si>
    <t>补充主材001@4</t>
  </si>
  <si>
    <t>钢筋混凝土矩形检查井 2200×1300mm</t>
  </si>
  <si>
    <t>补充主材001@5</t>
  </si>
  <si>
    <t>砖砌给水阀门井 800，井径D1200</t>
  </si>
  <si>
    <t>C9-92</t>
  </si>
  <si>
    <t>室外地上式消火栓 SSF100/65-1.0</t>
  </si>
  <si>
    <t>砖砌雨水口 铸铁井圈及篦子</t>
  </si>
  <si>
    <t>工程名称：土建</t>
  </si>
  <si>
    <t>第 1 页   共 3 页</t>
  </si>
  <si>
    <t>土石方工程</t>
  </si>
  <si>
    <t>人工费+材料费+未计价材料费+施工机具使用费</t>
  </si>
  <si>
    <t>安全文明合计+其它总价措施项目费</t>
  </si>
  <si>
    <t>安全文明合计</t>
  </si>
  <si>
    <t>安全文明施工费+扬尘污染防治增加费</t>
  </si>
  <si>
    <t>2.2.1.1</t>
  </si>
  <si>
    <t>3.46</t>
  </si>
  <si>
    <t>2.2.1.2</t>
  </si>
  <si>
    <t>扬尘污染防治增加费</t>
  </si>
  <si>
    <t>1.68</t>
  </si>
  <si>
    <t>7.6</t>
  </si>
  <si>
    <t>4.96</t>
  </si>
  <si>
    <t>6.11</t>
  </si>
  <si>
    <t>分部分项工程费+措施项目费+总包服务费+企业管理费+利润+规费</t>
  </si>
  <si>
    <t>十三</t>
  </si>
  <si>
    <t>建筑工程12层以下</t>
  </si>
  <si>
    <t>第 2 页   共 3 页</t>
  </si>
  <si>
    <t>13.28</t>
  </si>
  <si>
    <t>23.84</t>
  </si>
  <si>
    <t>18.17</t>
  </si>
  <si>
    <t>24.72</t>
  </si>
  <si>
    <t>装饰工程</t>
  </si>
  <si>
    <t>第 3 页   共 3 页</t>
  </si>
  <si>
    <t>5.81</t>
  </si>
  <si>
    <t>0.84</t>
  </si>
  <si>
    <t>13.47</t>
  </si>
  <si>
    <t>15.8</t>
  </si>
  <si>
    <t>10.95</t>
  </si>
  <si>
    <t>土石方</t>
  </si>
  <si>
    <t>G1-85</t>
  </si>
  <si>
    <t>正铲挖掘机 装车 (斗容量0.6m3) 一、二类土</t>
  </si>
  <si>
    <t>G1-227</t>
  </si>
  <si>
    <t>人工装、机动翻斗车运土 运距200m内</t>
  </si>
  <si>
    <t>G1-282</t>
  </si>
  <si>
    <t>填土夯实 平地</t>
  </si>
  <si>
    <t>G1-283</t>
  </si>
  <si>
    <t>平整场地</t>
  </si>
  <si>
    <t>G3-159</t>
  </si>
  <si>
    <t>沉管灌注混凝土桩 锤击式</t>
  </si>
  <si>
    <t>A2-443</t>
  </si>
  <si>
    <t>现浇构件圆钢筋(mm以内) φ12</t>
  </si>
  <si>
    <t>A2-74</t>
  </si>
  <si>
    <t>独立式桩承台 C20商品混凝土</t>
  </si>
  <si>
    <t>A2-80</t>
  </si>
  <si>
    <t>矩形柱 C20商品混凝土</t>
  </si>
  <si>
    <t>A2-85</t>
  </si>
  <si>
    <t>基础梁 C20商品混凝土</t>
  </si>
  <si>
    <t>A2-86</t>
  </si>
  <si>
    <t>单梁、连续梁悬臂梁 C20商品混凝土</t>
  </si>
  <si>
    <t>A2-101</t>
  </si>
  <si>
    <t>有梁板 C20商品混凝土</t>
  </si>
  <si>
    <t>A2-113</t>
  </si>
  <si>
    <t>整体楼梯 C20商品混凝土</t>
  </si>
  <si>
    <t>钢结构</t>
  </si>
  <si>
    <t>A4-51</t>
  </si>
  <si>
    <t>钢屋架拼装 每榀构件重量(t) 10以外 履带吊</t>
  </si>
  <si>
    <t>A4-3</t>
  </si>
  <si>
    <t>钢柱安装 每根构件重量(t以内) 4.0 履带吊</t>
  </si>
  <si>
    <t>A4-14</t>
  </si>
  <si>
    <t>钢梁安装 每根构件重量(t以内) 4.0 履带吊</t>
  </si>
  <si>
    <t>A4-106</t>
  </si>
  <si>
    <t>A4-118</t>
  </si>
  <si>
    <t>钢墙架安装 每根构件重量(t) 1.0以内 履带吊</t>
  </si>
  <si>
    <t>A4-25</t>
  </si>
  <si>
    <t>钢吊车梁安装在钢柱上 每根构件重量(t以内) 3.0 履带吊</t>
  </si>
  <si>
    <t>A4-90</t>
  </si>
  <si>
    <t>A5-32</t>
  </si>
  <si>
    <t>压型钢板楼板</t>
  </si>
  <si>
    <t>A4-122</t>
  </si>
  <si>
    <t>钢平台安装 钢板</t>
  </si>
  <si>
    <t>A11-7</t>
  </si>
  <si>
    <t>金属结构构件 运距(1km以内) 一类构件</t>
  </si>
  <si>
    <t>10t</t>
  </si>
  <si>
    <t>A11-8</t>
  </si>
  <si>
    <t>金属结构构件 运距(1km以内) 二类构件</t>
  </si>
  <si>
    <t>A11-9</t>
  </si>
  <si>
    <t>金属结构构件 运距(1km以内) 三类构件</t>
  </si>
  <si>
    <t>A1-45</t>
  </si>
  <si>
    <t>加气混凝土砌块墙 600*300*100 混合砂浆M5</t>
  </si>
  <si>
    <t>A1-39</t>
  </si>
  <si>
    <t>蒸压灰砂砖</t>
  </si>
  <si>
    <t>A5-22</t>
  </si>
  <si>
    <t>A6-2</t>
  </si>
  <si>
    <t>屋面保温 沥青玻璃棉毡</t>
  </si>
  <si>
    <t>A6-20</t>
  </si>
  <si>
    <t>屋面现浇特种混凝土隔热层 加气混凝土 每增减10mm</t>
  </si>
  <si>
    <t>A6-43</t>
  </si>
  <si>
    <t>屋面保温 聚苯乙烯泡沫板(mm) 50</t>
  </si>
  <si>
    <t>A5-36</t>
  </si>
  <si>
    <t>高聚物改性沥青防水卷材屋面 满铺</t>
  </si>
  <si>
    <t>A13-30</t>
  </si>
  <si>
    <t>混凝土 楼地面 厚度20mm</t>
  </si>
  <si>
    <t>A13-104</t>
  </si>
  <si>
    <t>陶瓷地砖 楼地面 周长(mm以内) 2000 水泥砂浆</t>
  </si>
  <si>
    <t>A13-103</t>
  </si>
  <si>
    <t>陶瓷地砖 楼地面 周长(mm以内) 1600 水泥砂浆</t>
  </si>
  <si>
    <t>玻化砖 楼地面 周长(mm以内) 1600 水泥砂浆</t>
  </si>
  <si>
    <t>A14-149</t>
  </si>
  <si>
    <t>陶瓷锦砖 水泥砂浆粘贴 墙面</t>
  </si>
  <si>
    <t>A18-270</t>
  </si>
  <si>
    <t>抹灰面乳胶漆 两遍 刮腻子两遍</t>
  </si>
  <si>
    <t>A16-39</t>
  </si>
  <si>
    <t>天棚装配式U型轻钢龙骨 不上人型 面层规格(mm) 300*300 平面</t>
  </si>
  <si>
    <t>A16-110</t>
  </si>
  <si>
    <t>矿棉板天棚面层 搁放在龙骨上</t>
  </si>
  <si>
    <t>A17-58</t>
  </si>
  <si>
    <t>钢制门安装 平开门</t>
  </si>
  <si>
    <t>A17-34</t>
  </si>
  <si>
    <t>铝合金门安装 平开门推拉门</t>
  </si>
  <si>
    <t>A17-1</t>
  </si>
  <si>
    <t>带纱木门 单扇带亮 框扇安装</t>
  </si>
  <si>
    <t>A17-70</t>
  </si>
  <si>
    <t>钢防盗门 安装</t>
  </si>
  <si>
    <t>A17-84</t>
  </si>
  <si>
    <t>钢制防火门 成品安装</t>
  </si>
  <si>
    <t>A17-49</t>
  </si>
  <si>
    <t>铝合金卷闸门 安装</t>
  </si>
  <si>
    <t>A17-102</t>
  </si>
  <si>
    <t>全钢板大门 推拉式 门扇安装</t>
  </si>
  <si>
    <t>A17-43</t>
  </si>
  <si>
    <t>隔热断桥铝塑复合门窗安装 推拉窗</t>
  </si>
  <si>
    <t>A17-37</t>
  </si>
  <si>
    <t>铝合金窗安装 推拉窗</t>
  </si>
  <si>
    <t>A17-38</t>
  </si>
  <si>
    <t>铝合金窗安装 固定窗</t>
  </si>
  <si>
    <t>A2-123</t>
  </si>
  <si>
    <t>混凝土散水面层一次抹光60mm 商品混凝土</t>
  </si>
  <si>
    <t>措施项目分项汇总表</t>
  </si>
  <si>
    <t>措施项目名称</t>
  </si>
  <si>
    <t>排水降水</t>
  </si>
  <si>
    <t>项</t>
  </si>
  <si>
    <t>混凝土、钢筋混凝土模板及支撑</t>
  </si>
  <si>
    <t>脚手架</t>
  </si>
  <si>
    <t>垂直运输费</t>
  </si>
  <si>
    <t>大型机械设备进出场及安拆费</t>
  </si>
  <si>
    <t>已完工程及设备保护费</t>
  </si>
  <si>
    <t>地上、地下设施、建筑物临时保护设施费</t>
  </si>
  <si>
    <t>材料名称</t>
  </si>
  <si>
    <t>材料规格</t>
  </si>
  <si>
    <t>材料量</t>
  </si>
  <si>
    <t>市场价</t>
  </si>
  <si>
    <t>价 差</t>
  </si>
  <si>
    <t>价差合计</t>
  </si>
  <si>
    <t>商品混凝土C15</t>
  </si>
  <si>
    <t>碎石20</t>
  </si>
  <si>
    <t>商品混凝土C20</t>
  </si>
  <si>
    <t>钢防盗门</t>
  </si>
  <si>
    <t>推拉全钢板大门(成品)</t>
  </si>
  <si>
    <t>成品钢质防火门</t>
  </si>
  <si>
    <t>铝合金卷闸门</t>
  </si>
  <si>
    <t>铝合金固定窗</t>
  </si>
  <si>
    <t>铝合金推拉窗</t>
  </si>
  <si>
    <t>隔热断桥铝塑复合推拉窗</t>
  </si>
  <si>
    <t>钢制大门</t>
  </si>
  <si>
    <t>陶瓷地砖</t>
  </si>
  <si>
    <t>400*400</t>
  </si>
  <si>
    <t>陶瓷锦砖</t>
  </si>
  <si>
    <t>钢支撑(成品)</t>
  </si>
  <si>
    <t>钢檩条(成品)</t>
  </si>
  <si>
    <t>合    计</t>
  </si>
  <si>
    <t>附表2-2</t>
    <phoneticPr fontId="7" type="noConversion"/>
  </si>
  <si>
    <t>新增（改造）主要工艺设备表</t>
    <phoneticPr fontId="7" type="noConversion"/>
  </si>
  <si>
    <t>主要技术（性能）指标或规格要求</t>
  </si>
  <si>
    <t>国别</t>
    <phoneticPr fontId="7" type="noConversion"/>
  </si>
  <si>
    <t>单位
(台/套)</t>
    <phoneticPr fontId="7" type="noConversion"/>
  </si>
  <si>
    <t>设备购置费(万元、万美元)</t>
    <phoneticPr fontId="7" type="noConversion"/>
  </si>
  <si>
    <t>招标情况</t>
    <phoneticPr fontId="7" type="noConversion"/>
  </si>
  <si>
    <t>含外汇</t>
    <phoneticPr fontId="7" type="noConversion"/>
  </si>
  <si>
    <t>一</t>
    <phoneticPr fontId="7" type="noConversion"/>
  </si>
  <si>
    <t>钛合金产品制造区</t>
    <phoneticPr fontId="7" type="noConversion"/>
  </si>
  <si>
    <r>
      <rPr>
        <sz val="11"/>
        <rFont val="宋体"/>
        <family val="3"/>
        <charset val="134"/>
      </rPr>
      <t>桥式起重机</t>
    </r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</si>
  <si>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20t/5t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</si>
  <si>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rPr>
        <sz val="11"/>
        <rFont val="宋体"/>
        <family val="3"/>
        <charset val="134"/>
      </rPr>
      <t>国产</t>
    </r>
  </si>
  <si>
    <r>
      <rPr>
        <sz val="11"/>
        <rFont val="宋体"/>
        <family val="3"/>
        <charset val="134"/>
      </rPr>
      <t>台</t>
    </r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</si>
  <si>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10t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</si>
  <si>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</si>
  <si>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t>二</t>
    <phoneticPr fontId="7" type="noConversion"/>
  </si>
  <si>
    <t>轻型设备制造区</t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</si>
  <si>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20t/5t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</si>
  <si>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rPr>
        <sz val="11"/>
        <rFont val="宋体"/>
        <family val="3"/>
        <charset val="134"/>
      </rPr>
      <t>低压电动平板车</t>
    </r>
  </si>
  <si>
    <t>20t</t>
  </si>
  <si>
    <r>
      <rPr>
        <sz val="11"/>
        <rFont val="宋体"/>
        <family val="3"/>
        <charset val="134"/>
      </rPr>
      <t>国产</t>
    </r>
    <phoneticPr fontId="7" type="noConversion"/>
  </si>
  <si>
    <t>三</t>
    <phoneticPr fontId="7" type="noConversion"/>
  </si>
  <si>
    <t>重型设备制造区</t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</si>
  <si>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100t/20t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S=31m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H=25m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</si>
  <si>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50t/10t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S=29.6m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H=18m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</si>
  <si>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32t/5t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S=29.6m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H=18m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</si>
  <si>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32t/5t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S=22.5m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</si>
  <si>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20t/5t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S=22.5m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</si>
  <si>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10t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S=22.5m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</si>
  <si>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t>50t</t>
    <phoneticPr fontId="7" type="noConversion"/>
  </si>
  <si>
    <r>
      <rPr>
        <b/>
        <sz val="11"/>
        <rFont val="宋体"/>
        <family val="3"/>
        <charset val="134"/>
      </rPr>
      <t>合计</t>
    </r>
    <phoneticPr fontId="7" type="noConversion"/>
  </si>
  <si>
    <t>道路</t>
    <phoneticPr fontId="1" type="noConversion"/>
  </si>
  <si>
    <t>绿化</t>
    <phoneticPr fontId="1" type="noConversion"/>
  </si>
  <si>
    <t>m2</t>
    <phoneticPr fontId="1" type="noConversion"/>
  </si>
  <si>
    <t>招标代理费</t>
    <phoneticPr fontId="7" type="noConversion"/>
  </si>
  <si>
    <t>地勘费</t>
    <phoneticPr fontId="7" type="noConversion"/>
  </si>
  <si>
    <r>
      <t>15</t>
    </r>
    <r>
      <rPr>
        <sz val="10"/>
        <rFont val="宋体"/>
        <family val="3"/>
        <charset val="134"/>
      </rPr>
      <t>元</t>
    </r>
    <r>
      <rPr>
        <sz val="10"/>
        <rFont val="TechnicLite"/>
        <charset val="2"/>
      </rPr>
      <t>/m2</t>
    </r>
    <phoneticPr fontId="1" type="noConversion"/>
  </si>
  <si>
    <t>A2-79</t>
  </si>
  <si>
    <t>设备基础 块体体积(m3) 5以外 C20商品混凝土</t>
  </si>
  <si>
    <t>A2-75换</t>
  </si>
  <si>
    <t>基础垫层 C15商品混凝土</t>
  </si>
  <si>
    <t>A13-10</t>
  </si>
  <si>
    <t>砾(碎)石垫层 干铺</t>
  </si>
  <si>
    <t>钢檩条 每根构件重量(t</t>
  </si>
  <si>
    <t>以内) 0.3 履带吊</t>
  </si>
  <si>
    <t>单式柱间支撑 每根构件重量(t以内) 0.3 履带吊</t>
  </si>
  <si>
    <t>A13-53</t>
  </si>
  <si>
    <t>2016年8月16日</t>
  </si>
  <si>
    <t>A4-126</t>
  </si>
  <si>
    <t>钢楼梯安装 踏步式</t>
  </si>
  <si>
    <t>彩钢夹心板屋面 板</t>
  </si>
  <si>
    <t>厚(mm) 50</t>
  </si>
  <si>
    <t>金属骨料 楼地面</t>
  </si>
  <si>
    <t>钢平台(成品)</t>
  </si>
  <si>
    <t>钢楼梯踏步式(成品)</t>
  </si>
  <si>
    <t>圆钢φ12</t>
  </si>
  <si>
    <t>彩钢夹芯板50</t>
  </si>
  <si>
    <t>金属骨料</t>
  </si>
  <si>
    <t>kg</t>
  </si>
  <si>
    <t>聚苯乙烯泡沫板δ50</t>
  </si>
  <si>
    <t>工程名称：室外电</t>
  </si>
  <si>
    <t>铜芯电力电缆 YJV-8.7/10kV-3x185</t>
  </si>
  <si>
    <t>室外电</t>
    <phoneticPr fontId="1" type="noConversion"/>
  </si>
  <si>
    <t>项目名称：双柳基地专用设备制造车间建设项目</t>
    <phoneticPr fontId="1" type="noConversion"/>
  </si>
  <si>
    <t>专用设备制造车间</t>
    <phoneticPr fontId="1" type="noConversion"/>
  </si>
  <si>
    <t>设备工程费</t>
  </si>
  <si>
    <t>安装工程费</t>
  </si>
  <si>
    <t>其他费用</t>
  </si>
  <si>
    <t>（13000）</t>
  </si>
  <si>
    <t>（2300）</t>
  </si>
  <si>
    <t>室外给排水管网</t>
    <phoneticPr fontId="1" type="noConversion"/>
  </si>
  <si>
    <t>室外电力管网</t>
    <phoneticPr fontId="7" type="noConversion"/>
  </si>
  <si>
    <r>
      <t>建筑面积（m</t>
    </r>
    <r>
      <rPr>
        <vertAlign val="superscript"/>
        <sz val="12"/>
        <rFont val="宋体"/>
        <family val="3"/>
        <charset val="134"/>
      </rPr>
      <t>2</t>
    </r>
    <r>
      <rPr>
        <sz val="12"/>
        <rFont val="宋体"/>
        <family val="3"/>
        <charset val="134"/>
      </rPr>
      <t>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</si>
</sst>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0.0_ "/>
    <numFmt numFmtId="177" formatCode="0.00_ "/>
    <numFmt numFmtId="178" formatCode="0.0"/>
    <numFmt numFmtId="179" formatCode="0.0_);[Red]\(0.0\)"/>
    <numFmt numFmtId="180" formatCode="0.0%"/>
    <numFmt numFmtId="181" formatCode="0_);[Red]\(0\)"/>
    <numFmt numFmtId="182" formatCode="0.000_);[Red]\(0.000\)"/>
    <numFmt numFmtId="183" formatCode="0.00_);[Red]\(0.00\)"/>
    <numFmt numFmtId="184" formatCode="0_ "/>
    <numFmt numFmtId="185" formatCode="#,##0.0_);[Red]\(#,##0.0\)"/>
  </numFmts>
  <fonts count="3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8"/>
      <color theme="1"/>
      <name val="宋体"/>
      <family val="2"/>
      <scheme val="minor"/>
    </font>
    <font>
      <sz val="18"/>
      <color theme="1"/>
      <name val="宋体"/>
      <family val="3"/>
      <charset val="134"/>
      <scheme val="minor"/>
    </font>
    <font>
      <sz val="9"/>
      <color indexed="8"/>
      <name val="宋体"/>
      <family val="2"/>
      <charset val="134"/>
    </font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vertAlign val="superscript"/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sz val="10"/>
      <name val="TechnicLite"/>
      <charset val="2"/>
    </font>
    <font>
      <b/>
      <sz val="10"/>
      <name val="Times New Roman"/>
      <family val="1"/>
    </font>
    <font>
      <b/>
      <sz val="24"/>
      <color indexed="0"/>
      <name val="宋体"/>
      <family val="2"/>
      <charset val="134"/>
    </font>
    <font>
      <sz val="10"/>
      <color indexed="0"/>
      <name val="宋体"/>
      <family val="2"/>
      <charset val="134"/>
    </font>
    <font>
      <sz val="11"/>
      <color indexed="0"/>
      <name val="宋体"/>
      <family val="2"/>
      <charset val="134"/>
    </font>
    <font>
      <b/>
      <sz val="10"/>
      <color indexed="0"/>
      <name val="宋体"/>
      <family val="2"/>
      <charset val="134"/>
    </font>
    <font>
      <sz val="16"/>
      <name val="黑体"/>
      <family val="3"/>
      <charset val="134"/>
    </font>
    <font>
      <b/>
      <sz val="16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name val="Times New Roman"/>
      <family val="3"/>
      <charset val="134"/>
    </font>
    <font>
      <sz val="14"/>
      <name val="黑体"/>
      <family val="3"/>
      <charset val="134"/>
    </font>
    <font>
      <b/>
      <sz val="18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name val="Times New Roman"/>
      <family val="1"/>
    </font>
    <font>
      <sz val="12"/>
      <color theme="1"/>
      <name val="宋体"/>
      <family val="2"/>
      <scheme val="minor"/>
    </font>
    <font>
      <sz val="12"/>
      <name val="宋体"/>
      <family val="2"/>
      <scheme val="minor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4" fillId="0" borderId="0"/>
    <xf numFmtId="9" fontId="5" fillId="0" borderId="0" applyFont="0" applyFill="0" applyBorder="0" applyAlignment="0" applyProtection="0">
      <alignment vertical="center"/>
    </xf>
    <xf numFmtId="0" fontId="11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</cellStyleXfs>
  <cellXfs count="39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0" fillId="0" borderId="1" xfId="0" applyBorder="1"/>
    <xf numFmtId="0" fontId="0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177" fontId="8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76" fontId="10" fillId="0" borderId="1" xfId="0" applyNumberFormat="1" applyFont="1" applyFill="1" applyBorder="1" applyAlignment="1">
      <alignment horizont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9" fontId="12" fillId="0" borderId="18" xfId="3" applyNumberFormat="1" applyFont="1" applyBorder="1" applyAlignment="1">
      <alignment horizontal="center" vertical="center" wrapText="1"/>
    </xf>
    <xf numFmtId="179" fontId="12" fillId="0" borderId="1" xfId="3" applyNumberFormat="1" applyFont="1" applyBorder="1" applyAlignment="1">
      <alignment horizontal="center" vertical="center" wrapText="1"/>
    </xf>
    <xf numFmtId="0" fontId="13" fillId="0" borderId="1" xfId="4" applyFont="1" applyFill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/>
    </xf>
    <xf numFmtId="10" fontId="12" fillId="0" borderId="1" xfId="3" applyNumberFormat="1" applyFont="1" applyBorder="1" applyAlignment="1">
      <alignment horizontal="center" vertical="center" wrapText="1"/>
    </xf>
    <xf numFmtId="9" fontId="14" fillId="0" borderId="1" xfId="3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/>
    <xf numFmtId="9" fontId="0" fillId="0" borderId="1" xfId="0" applyNumberFormat="1" applyBorder="1" applyAlignment="1">
      <alignment horizontal="center" vertical="center"/>
    </xf>
    <xf numFmtId="0" fontId="12" fillId="0" borderId="1" xfId="5" applyFont="1" applyFill="1" applyBorder="1" applyAlignment="1">
      <alignment horizontal="center" vertical="center"/>
    </xf>
    <xf numFmtId="179" fontId="12" fillId="0" borderId="1" xfId="5" applyNumberFormat="1" applyFont="1" applyFill="1" applyBorder="1" applyAlignment="1">
      <alignment horizontal="center" vertical="center" wrapText="1"/>
    </xf>
    <xf numFmtId="179" fontId="12" fillId="0" borderId="1" xfId="5" applyNumberFormat="1" applyFont="1" applyFill="1" applyBorder="1" applyAlignment="1">
      <alignment horizontal="center" vertical="center"/>
    </xf>
    <xf numFmtId="180" fontId="12" fillId="0" borderId="1" xfId="2" applyNumberFormat="1" applyFont="1" applyFill="1" applyBorder="1" applyAlignment="1">
      <alignment horizontal="center" vertical="center"/>
    </xf>
    <xf numFmtId="178" fontId="12" fillId="0" borderId="1" xfId="5" applyNumberFormat="1" applyFont="1" applyFill="1" applyBorder="1" applyAlignment="1">
      <alignment horizontal="center" vertical="center"/>
    </xf>
    <xf numFmtId="9" fontId="15" fillId="0" borderId="1" xfId="2" applyFont="1" applyFill="1" applyBorder="1" applyAlignment="1">
      <alignment horizontal="center" vertical="center"/>
    </xf>
    <xf numFmtId="178" fontId="15" fillId="0" borderId="1" xfId="5" applyNumberFormat="1" applyFont="1" applyFill="1" applyBorder="1" applyAlignment="1">
      <alignment horizontal="center" vertical="center"/>
    </xf>
    <xf numFmtId="0" fontId="15" fillId="0" borderId="1" xfId="5" applyFont="1" applyFill="1" applyBorder="1" applyAlignment="1">
      <alignment horizontal="center" vertical="center" wrapText="1"/>
    </xf>
    <xf numFmtId="179" fontId="15" fillId="0" borderId="1" xfId="5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7" fillId="2" borderId="16" xfId="1" applyFont="1" applyFill="1" applyBorder="1" applyAlignment="1">
      <alignment horizontal="right" vertical="center" wrapText="1"/>
    </xf>
    <xf numFmtId="0" fontId="17" fillId="2" borderId="17" xfId="1" applyFont="1" applyFill="1" applyBorder="1" applyAlignment="1">
      <alignment horizontal="right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left" vertical="center" wrapText="1"/>
    </xf>
    <xf numFmtId="0" fontId="17" fillId="2" borderId="14" xfId="1" applyFont="1" applyFill="1" applyBorder="1" applyAlignment="1">
      <alignment horizontal="left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7" fillId="2" borderId="16" xfId="1" applyFont="1" applyFill="1" applyBorder="1" applyAlignment="1">
      <alignment horizontal="right" vertical="center" wrapText="1"/>
    </xf>
    <xf numFmtId="0" fontId="17" fillId="2" borderId="17" xfId="1" applyFont="1" applyFill="1" applyBorder="1" applyAlignment="1">
      <alignment horizontal="right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19" fillId="2" borderId="13" xfId="1" applyFont="1" applyFill="1" applyBorder="1" applyAlignment="1">
      <alignment horizontal="center" vertical="center" wrapText="1"/>
    </xf>
    <xf numFmtId="49" fontId="20" fillId="3" borderId="0" xfId="6" applyNumberFormat="1" applyFont="1" applyFill="1" applyAlignment="1" applyProtection="1">
      <alignment horizontal="left" vertical="center"/>
      <protection hidden="1"/>
    </xf>
    <xf numFmtId="0" fontId="20" fillId="3" borderId="0" xfId="7" applyFont="1" applyFill="1" applyAlignment="1">
      <alignment vertical="center" wrapText="1"/>
    </xf>
    <xf numFmtId="0" fontId="20" fillId="3" borderId="0" xfId="7" applyFont="1" applyFill="1" applyAlignment="1">
      <alignment horizontal="center" vertical="center" wrapText="1"/>
    </xf>
    <xf numFmtId="181" fontId="20" fillId="3" borderId="0" xfId="7" applyNumberFormat="1" applyFont="1" applyFill="1" applyAlignment="1">
      <alignment horizontal="center" vertical="center"/>
    </xf>
    <xf numFmtId="176" fontId="20" fillId="3" borderId="0" xfId="7" applyNumberFormat="1" applyFont="1" applyFill="1" applyBorder="1" applyAlignment="1">
      <alignment horizontal="center" vertical="center"/>
    </xf>
    <xf numFmtId="182" fontId="20" fillId="3" borderId="0" xfId="7" applyNumberFormat="1" applyFont="1" applyFill="1" applyAlignment="1">
      <alignment horizontal="right" vertical="center"/>
    </xf>
    <xf numFmtId="177" fontId="20" fillId="3" borderId="0" xfId="7" applyNumberFormat="1" applyFont="1" applyFill="1" applyAlignment="1">
      <alignment horizontal="center" vertical="center"/>
    </xf>
    <xf numFmtId="0" fontId="20" fillId="3" borderId="0" xfId="7" applyFont="1" applyFill="1" applyAlignment="1">
      <alignment horizontal="center" vertical="center"/>
    </xf>
    <xf numFmtId="0" fontId="20" fillId="3" borderId="0" xfId="8" applyFont="1" applyFill="1" applyBorder="1" applyAlignment="1">
      <alignment vertical="center"/>
    </xf>
    <xf numFmtId="0" fontId="13" fillId="3" borderId="0" xfId="8" applyFont="1" applyFill="1" applyBorder="1" applyAlignment="1">
      <alignment vertical="center"/>
    </xf>
    <xf numFmtId="182" fontId="13" fillId="3" borderId="19" xfId="7" applyNumberFormat="1" applyFont="1" applyFill="1" applyBorder="1" applyAlignment="1">
      <alignment horizontal="right" vertical="center"/>
    </xf>
    <xf numFmtId="177" fontId="13" fillId="3" borderId="19" xfId="7" applyNumberFormat="1" applyFont="1" applyFill="1" applyBorder="1" applyAlignment="1">
      <alignment horizontal="right" vertical="center"/>
    </xf>
    <xf numFmtId="183" fontId="13" fillId="3" borderId="19" xfId="7" applyNumberFormat="1" applyFont="1" applyFill="1" applyBorder="1" applyAlignment="1">
      <alignment horizontal="right" vertical="center"/>
    </xf>
    <xf numFmtId="0" fontId="22" fillId="3" borderId="0" xfId="8" applyFont="1" applyFill="1" applyBorder="1" applyAlignment="1">
      <alignment vertical="center"/>
    </xf>
    <xf numFmtId="0" fontId="24" fillId="0" borderId="1" xfId="10" applyFont="1" applyFill="1" applyBorder="1" applyAlignment="1">
      <alignment horizontal="center" vertical="center" wrapText="1"/>
    </xf>
    <xf numFmtId="9" fontId="22" fillId="0" borderId="1" xfId="11" applyFont="1" applyBorder="1" applyAlignment="1">
      <alignment horizontal="left" vertical="center" wrapText="1"/>
    </xf>
    <xf numFmtId="176" fontId="23" fillId="0" borderId="2" xfId="12" applyNumberFormat="1" applyFont="1" applyBorder="1" applyAlignment="1">
      <alignment horizontal="center" vertical="center" wrapText="1"/>
    </xf>
    <xf numFmtId="176" fontId="23" fillId="0" borderId="1" xfId="12" applyNumberFormat="1" applyFont="1" applyBorder="1" applyAlignment="1">
      <alignment horizontal="center" vertical="center" wrapText="1"/>
    </xf>
    <xf numFmtId="182" fontId="23" fillId="0" borderId="3" xfId="12" applyNumberFormat="1" applyFont="1" applyBorder="1" applyAlignment="1">
      <alignment horizontal="center" vertical="center" wrapText="1"/>
    </xf>
    <xf numFmtId="177" fontId="23" fillId="0" borderId="1" xfId="12" applyNumberFormat="1" applyFont="1" applyBorder="1" applyAlignment="1">
      <alignment horizontal="center" vertical="center" wrapText="1"/>
    </xf>
    <xf numFmtId="0" fontId="22" fillId="0" borderId="1" xfId="7" applyFont="1" applyFill="1" applyBorder="1" applyAlignment="1">
      <alignment horizontal="center" vertical="center" wrapText="1"/>
    </xf>
    <xf numFmtId="0" fontId="22" fillId="3" borderId="1" xfId="10" applyFont="1" applyFill="1" applyBorder="1" applyAlignment="1">
      <alignment vertical="center"/>
    </xf>
    <xf numFmtId="0" fontId="22" fillId="3" borderId="0" xfId="10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4" fillId="0" borderId="1" xfId="1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176" fontId="22" fillId="0" borderId="2" xfId="12" applyNumberFormat="1" applyFont="1" applyBorder="1" applyAlignment="1">
      <alignment horizontal="center" vertical="center" wrapText="1"/>
    </xf>
    <xf numFmtId="0" fontId="23" fillId="0" borderId="1" xfId="7" applyFont="1" applyFill="1" applyBorder="1" applyAlignment="1">
      <alignment horizontal="left" vertical="center" wrapText="1"/>
    </xf>
    <xf numFmtId="0" fontId="22" fillId="3" borderId="1" xfId="10" applyFont="1" applyFill="1" applyBorder="1" applyAlignment="1">
      <alignment horizontal="left" vertical="center"/>
    </xf>
    <xf numFmtId="0" fontId="22" fillId="3" borderId="0" xfId="1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justify" vertical="center"/>
    </xf>
    <xf numFmtId="0" fontId="25" fillId="0" borderId="1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2" fillId="0" borderId="7" xfId="0" applyFont="1" applyBorder="1" applyAlignment="1">
      <alignment horizontal="center" vertical="center"/>
    </xf>
    <xf numFmtId="0" fontId="23" fillId="0" borderId="1" xfId="12" applyFont="1" applyBorder="1" applyAlignment="1">
      <alignment horizontal="center" vertical="center" wrapText="1"/>
    </xf>
    <xf numFmtId="2" fontId="23" fillId="0" borderId="1" xfId="7" applyNumberFormat="1" applyFont="1" applyFill="1" applyBorder="1" applyAlignment="1">
      <alignment horizontal="center" vertical="center" wrapText="1"/>
    </xf>
    <xf numFmtId="0" fontId="25" fillId="0" borderId="1" xfId="12" applyFont="1" applyBorder="1" applyAlignment="1">
      <alignment horizontal="left" vertical="center" wrapText="1"/>
    </xf>
    <xf numFmtId="0" fontId="23" fillId="0" borderId="1" xfId="0" applyFont="1" applyBorder="1" applyAlignment="1">
      <alignment horizontal="justify" vertical="center" wrapText="1"/>
    </xf>
    <xf numFmtId="0" fontId="23" fillId="0" borderId="1" xfId="7" applyFont="1" applyFill="1" applyBorder="1" applyAlignment="1">
      <alignment horizontal="center" vertical="center" wrapText="1"/>
    </xf>
    <xf numFmtId="0" fontId="23" fillId="0" borderId="1" xfId="12" applyFont="1" applyBorder="1" applyAlignment="1">
      <alignment horizontal="left" vertical="center" wrapText="1"/>
    </xf>
    <xf numFmtId="0" fontId="22" fillId="0" borderId="1" xfId="0" applyFont="1" applyBorder="1" applyAlignment="1">
      <alignment horizontal="justify" vertical="center" wrapText="1"/>
    </xf>
    <xf numFmtId="0" fontId="22" fillId="0" borderId="2" xfId="0" applyFont="1" applyBorder="1" applyAlignment="1">
      <alignment horizontal="center" vertical="center" wrapText="1"/>
    </xf>
    <xf numFmtId="176" fontId="23" fillId="0" borderId="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3" xfId="0" applyFont="1" applyBorder="1" applyAlignment="1">
      <alignment horizontal="justify" vertical="center" wrapText="1"/>
    </xf>
    <xf numFmtId="176" fontId="23" fillId="0" borderId="7" xfId="12" applyNumberFormat="1" applyFont="1" applyBorder="1" applyAlignment="1">
      <alignment horizontal="center" vertical="center" wrapText="1"/>
    </xf>
    <xf numFmtId="0" fontId="22" fillId="3" borderId="1" xfId="10" applyFont="1" applyFill="1" applyBorder="1">
      <alignment vertical="center"/>
    </xf>
    <xf numFmtId="0" fontId="22" fillId="3" borderId="0" xfId="10" applyFont="1" applyFill="1" applyBorder="1">
      <alignment vertical="center"/>
    </xf>
    <xf numFmtId="0" fontId="23" fillId="0" borderId="1" xfId="0" applyFont="1" applyBorder="1" applyAlignment="1">
      <alignment vertical="center"/>
    </xf>
    <xf numFmtId="0" fontId="22" fillId="3" borderId="1" xfId="10" applyFont="1" applyFill="1" applyBorder="1" applyAlignment="1">
      <alignment horizontal="center" vertical="center"/>
    </xf>
    <xf numFmtId="0" fontId="22" fillId="3" borderId="1" xfId="10" applyFont="1" applyFill="1" applyBorder="1" applyAlignment="1">
      <alignment horizontal="center" vertical="center" wrapText="1"/>
    </xf>
    <xf numFmtId="0" fontId="22" fillId="3" borderId="2" xfId="10" applyFont="1" applyFill="1" applyBorder="1" applyAlignment="1">
      <alignment horizontal="center" vertical="center"/>
    </xf>
    <xf numFmtId="176" fontId="22" fillId="3" borderId="1" xfId="10" applyNumberFormat="1" applyFont="1" applyFill="1" applyBorder="1" applyAlignment="1">
      <alignment horizontal="center" vertical="center"/>
    </xf>
    <xf numFmtId="176" fontId="23" fillId="0" borderId="3" xfId="12" applyNumberFormat="1" applyFont="1" applyBorder="1" applyAlignment="1">
      <alignment horizontal="center" vertical="center" wrapText="1"/>
    </xf>
    <xf numFmtId="0" fontId="22" fillId="0" borderId="1" xfId="7" applyFont="1" applyBorder="1" applyAlignment="1">
      <alignment horizontal="left" vertical="center" wrapText="1"/>
    </xf>
    <xf numFmtId="0" fontId="0" fillId="0" borderId="0" xfId="0" applyFont="1"/>
    <xf numFmtId="0" fontId="18" fillId="2" borderId="13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left" vertical="center" wrapText="1"/>
    </xf>
    <xf numFmtId="0" fontId="17" fillId="2" borderId="13" xfId="0" applyFont="1" applyFill="1" applyBorder="1" applyAlignment="1">
      <alignment horizontal="right" vertical="center" wrapText="1"/>
    </xf>
    <xf numFmtId="0" fontId="17" fillId="2" borderId="16" xfId="0" applyFont="1" applyFill="1" applyBorder="1" applyAlignment="1">
      <alignment horizontal="right" vertical="center" wrapText="1"/>
    </xf>
    <xf numFmtId="0" fontId="17" fillId="2" borderId="14" xfId="0" applyFont="1" applyFill="1" applyBorder="1" applyAlignment="1">
      <alignment horizontal="right" vertical="center" wrapText="1"/>
    </xf>
    <xf numFmtId="0" fontId="17" fillId="2" borderId="17" xfId="0" applyFont="1" applyFill="1" applyBorder="1" applyAlignment="1">
      <alignment horizontal="right" vertical="center" wrapText="1"/>
    </xf>
    <xf numFmtId="49" fontId="20" fillId="3" borderId="0" xfId="6" applyNumberFormat="1" applyFont="1" applyFill="1" applyAlignment="1" applyProtection="1">
      <alignment horizontal="center" vertical="center"/>
      <protection hidden="1"/>
    </xf>
    <xf numFmtId="184" fontId="20" fillId="3" borderId="0" xfId="7" applyNumberFormat="1" applyFont="1" applyFill="1" applyBorder="1" applyAlignment="1">
      <alignment horizontal="center" vertical="center"/>
    </xf>
    <xf numFmtId="176" fontId="20" fillId="3" borderId="0" xfId="7" applyNumberFormat="1" applyFont="1" applyFill="1" applyAlignment="1">
      <alignment horizontal="center" vertical="center"/>
    </xf>
    <xf numFmtId="0" fontId="20" fillId="3" borderId="0" xfId="8" applyFont="1" applyFill="1" applyAlignment="1">
      <alignment vertical="center"/>
    </xf>
    <xf numFmtId="0" fontId="13" fillId="3" borderId="0" xfId="8" applyFont="1" applyFill="1" applyAlignment="1">
      <alignment vertical="center"/>
    </xf>
    <xf numFmtId="176" fontId="13" fillId="3" borderId="19" xfId="7" applyNumberFormat="1" applyFont="1" applyFill="1" applyBorder="1" applyAlignment="1">
      <alignment horizontal="right" vertical="center"/>
    </xf>
    <xf numFmtId="0" fontId="22" fillId="3" borderId="0" xfId="8" applyFont="1" applyFill="1" applyAlignment="1">
      <alignment vertical="center"/>
    </xf>
    <xf numFmtId="184" fontId="23" fillId="0" borderId="1" xfId="12" applyNumberFormat="1" applyFont="1" applyBorder="1" applyAlignment="1">
      <alignment horizontal="center" vertical="center" wrapText="1"/>
    </xf>
    <xf numFmtId="176" fontId="22" fillId="0" borderId="1" xfId="7" applyNumberFormat="1" applyFont="1" applyFill="1" applyBorder="1" applyAlignment="1">
      <alignment horizontal="center" vertical="center" wrapText="1"/>
    </xf>
    <xf numFmtId="0" fontId="22" fillId="3" borderId="0" xfId="10" applyFont="1" applyFill="1" applyAlignment="1">
      <alignment vertical="center"/>
    </xf>
    <xf numFmtId="0" fontId="22" fillId="3" borderId="0" xfId="10" applyFont="1" applyFill="1" applyAlignment="1">
      <alignment horizontal="left" vertical="center"/>
    </xf>
    <xf numFmtId="184" fontId="23" fillId="0" borderId="1" xfId="0" applyNumberFormat="1" applyFont="1" applyBorder="1" applyAlignment="1">
      <alignment horizontal="center" vertical="center"/>
    </xf>
    <xf numFmtId="176" fontId="22" fillId="0" borderId="20" xfId="12" applyNumberFormat="1" applyFont="1" applyBorder="1" applyAlignment="1">
      <alignment horizontal="center" vertical="center" wrapText="1"/>
    </xf>
    <xf numFmtId="184" fontId="23" fillId="0" borderId="6" xfId="12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6" xfId="0" applyFont="1" applyBorder="1" applyAlignment="1">
      <alignment horizontal="left" vertical="center" wrapText="1"/>
    </xf>
    <xf numFmtId="0" fontId="24" fillId="0" borderId="2" xfId="10" applyFont="1" applyFill="1" applyBorder="1" applyAlignment="1">
      <alignment horizontal="center" vertical="center" wrapText="1"/>
    </xf>
    <xf numFmtId="0" fontId="22" fillId="0" borderId="1" xfId="12" applyFont="1" applyBorder="1" applyAlignment="1">
      <alignment horizontal="left" vertical="center" wrapText="1"/>
    </xf>
    <xf numFmtId="0" fontId="26" fillId="0" borderId="1" xfId="12" applyFont="1" applyBorder="1" applyAlignment="1">
      <alignment horizontal="left" vertical="center" wrapText="1"/>
    </xf>
    <xf numFmtId="176" fontId="23" fillId="0" borderId="1" xfId="7" applyNumberFormat="1" applyFont="1" applyFill="1" applyBorder="1" applyAlignment="1">
      <alignment horizontal="center" vertical="center" wrapText="1"/>
    </xf>
    <xf numFmtId="184" fontId="23" fillId="0" borderId="1" xfId="0" applyNumberFormat="1" applyFont="1" applyBorder="1" applyAlignment="1">
      <alignment horizontal="center" vertical="center" wrapText="1"/>
    </xf>
    <xf numFmtId="0" fontId="22" fillId="3" borderId="0" xfId="10" applyFont="1" applyFill="1">
      <alignment vertical="center"/>
    </xf>
    <xf numFmtId="184" fontId="22" fillId="3" borderId="1" xfId="10" applyNumberFormat="1" applyFont="1" applyFill="1" applyBorder="1" applyAlignment="1">
      <alignment horizontal="center" vertical="center"/>
    </xf>
    <xf numFmtId="0" fontId="13" fillId="3" borderId="0" xfId="10" applyFont="1" applyFill="1">
      <alignment vertical="center"/>
    </xf>
    <xf numFmtId="0" fontId="13" fillId="3" borderId="0" xfId="10" applyFont="1" applyFill="1" applyAlignment="1">
      <alignment horizontal="center" vertical="center"/>
    </xf>
    <xf numFmtId="0" fontId="13" fillId="3" borderId="0" xfId="10" applyFont="1" applyFill="1" applyAlignment="1">
      <alignment horizontal="center" vertical="center" wrapText="1"/>
    </xf>
    <xf numFmtId="184" fontId="13" fillId="3" borderId="0" xfId="10" applyNumberFormat="1" applyFont="1" applyFill="1" applyBorder="1" applyAlignment="1">
      <alignment horizontal="center" vertical="center"/>
    </xf>
    <xf numFmtId="176" fontId="13" fillId="3" borderId="0" xfId="10" applyNumberFormat="1" applyFont="1" applyFill="1" applyAlignment="1">
      <alignment horizontal="center" vertical="center"/>
    </xf>
    <xf numFmtId="176" fontId="13" fillId="3" borderId="0" xfId="10" applyNumberFormat="1" applyFont="1" applyFill="1">
      <alignment vertical="center"/>
    </xf>
    <xf numFmtId="0" fontId="13" fillId="3" borderId="0" xfId="10" applyFont="1" applyFill="1" applyBorder="1">
      <alignment vertical="center"/>
    </xf>
    <xf numFmtId="179" fontId="23" fillId="0" borderId="3" xfId="12" applyNumberFormat="1" applyFont="1" applyBorder="1" applyAlignment="1">
      <alignment horizontal="center" vertical="center" wrapText="1"/>
    </xf>
    <xf numFmtId="179" fontId="23" fillId="0" borderId="1" xfId="12" applyNumberFormat="1" applyFont="1" applyBorder="1" applyAlignment="1">
      <alignment horizontal="center" vertical="center" wrapText="1"/>
    </xf>
    <xf numFmtId="182" fontId="22" fillId="3" borderId="3" xfId="10" applyNumberFormat="1" applyFont="1" applyFill="1" applyBorder="1" applyAlignment="1">
      <alignment vertical="center"/>
    </xf>
    <xf numFmtId="182" fontId="13" fillId="3" borderId="0" xfId="10" applyNumberFormat="1" applyFont="1" applyFill="1" applyAlignment="1">
      <alignment vertical="center"/>
    </xf>
    <xf numFmtId="177" fontId="13" fillId="3" borderId="0" xfId="10" applyNumberFormat="1" applyFont="1" applyFill="1" applyAlignment="1">
      <alignment horizontal="center" vertical="center"/>
    </xf>
    <xf numFmtId="178" fontId="22" fillId="3" borderId="1" xfId="10" applyNumberFormat="1" applyFont="1" applyFill="1" applyBorder="1" applyAlignment="1">
      <alignment horizontal="center" vertical="center"/>
    </xf>
    <xf numFmtId="182" fontId="22" fillId="3" borderId="3" xfId="10" applyNumberFormat="1" applyFont="1" applyFill="1" applyBorder="1" applyAlignment="1">
      <alignment horizontal="center" vertical="center"/>
    </xf>
    <xf numFmtId="177" fontId="22" fillId="0" borderId="1" xfId="7" applyNumberFormat="1" applyFont="1" applyFill="1" applyBorder="1" applyAlignment="1">
      <alignment horizontal="center" vertical="center" wrapText="1"/>
    </xf>
    <xf numFmtId="177" fontId="20" fillId="3" borderId="0" xfId="7" applyNumberFormat="1" applyFont="1" applyFill="1" applyAlignment="1">
      <alignment horizontal="right" vertical="center"/>
    </xf>
    <xf numFmtId="177" fontId="23" fillId="0" borderId="3" xfId="12" applyNumberFormat="1" applyFont="1" applyBorder="1" applyAlignment="1">
      <alignment horizontal="center" vertical="center" wrapText="1"/>
    </xf>
    <xf numFmtId="177" fontId="23" fillId="0" borderId="18" xfId="12" applyNumberFormat="1" applyFont="1" applyBorder="1" applyAlignment="1">
      <alignment horizontal="center" vertical="center" wrapText="1"/>
    </xf>
    <xf numFmtId="177" fontId="22" fillId="3" borderId="3" xfId="10" applyNumberFormat="1" applyFont="1" applyFill="1" applyBorder="1" applyAlignment="1">
      <alignment vertical="center"/>
    </xf>
    <xf numFmtId="177" fontId="13" fillId="3" borderId="0" xfId="10" applyNumberFormat="1" applyFont="1" applyFill="1" applyAlignment="1">
      <alignment vertical="center"/>
    </xf>
    <xf numFmtId="2" fontId="22" fillId="0" borderId="1" xfId="7" applyNumberFormat="1" applyFont="1" applyFill="1" applyBorder="1" applyAlignment="1">
      <alignment horizontal="center" vertical="center" wrapText="1"/>
    </xf>
    <xf numFmtId="2" fontId="22" fillId="3" borderId="1" xfId="1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left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3" fillId="0" borderId="0" xfId="13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15" fillId="0" borderId="0" xfId="13" applyFont="1" applyFill="1" applyBorder="1" applyAlignment="1" applyProtection="1">
      <alignment horizontal="center" vertical="center" wrapText="1"/>
    </xf>
    <xf numFmtId="176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9" fontId="23" fillId="0" borderId="0" xfId="13" applyNumberFormat="1" applyFont="1" applyFill="1" applyBorder="1" applyAlignment="1" applyProtection="1">
      <alignment horizontal="center" vertical="center" wrapText="1"/>
    </xf>
    <xf numFmtId="0" fontId="23" fillId="0" borderId="0" xfId="13" applyFont="1" applyFill="1" applyBorder="1" applyAlignment="1" applyProtection="1">
      <alignment horizontal="left" vertical="center" wrapText="1"/>
    </xf>
    <xf numFmtId="181" fontId="23" fillId="0" borderId="0" xfId="13" applyNumberFormat="1" applyFont="1" applyFill="1" applyBorder="1" applyAlignment="1" applyProtection="1">
      <alignment horizontal="center" vertical="center" wrapText="1"/>
    </xf>
    <xf numFmtId="176" fontId="0" fillId="0" borderId="0" xfId="0" applyNumberFormat="1" applyAlignment="1">
      <alignment vertical="center"/>
    </xf>
    <xf numFmtId="185" fontId="23" fillId="0" borderId="1" xfId="13" applyNumberFormat="1" applyFont="1" applyFill="1" applyBorder="1" applyAlignment="1" applyProtection="1">
      <alignment horizontal="center" vertical="center" wrapText="1"/>
    </xf>
    <xf numFmtId="185" fontId="23" fillId="0" borderId="0" xfId="13" applyNumberFormat="1" applyFont="1" applyFill="1" applyBorder="1" applyAlignment="1" applyProtection="1">
      <alignment horizontal="center" vertical="center" wrapText="1"/>
    </xf>
    <xf numFmtId="177" fontId="0" fillId="0" borderId="0" xfId="0" applyNumberFormat="1"/>
    <xf numFmtId="176" fontId="0" fillId="0" borderId="0" xfId="0" applyNumberFormat="1" applyAlignment="1">
      <alignment horizontal="center" vertical="center"/>
    </xf>
    <xf numFmtId="0" fontId="18" fillId="2" borderId="9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7" fillId="2" borderId="16" xfId="1" applyFont="1" applyFill="1" applyBorder="1" applyAlignment="1">
      <alignment horizontal="right" vertical="center" wrapText="1"/>
    </xf>
    <xf numFmtId="0" fontId="17" fillId="2" borderId="17" xfId="1" applyFont="1" applyFill="1" applyBorder="1" applyAlignment="1">
      <alignment horizontal="right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left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7" fillId="2" borderId="16" xfId="1" applyFont="1" applyFill="1" applyBorder="1" applyAlignment="1">
      <alignment horizontal="right" vertical="center" wrapText="1"/>
    </xf>
    <xf numFmtId="0" fontId="17" fillId="2" borderId="17" xfId="1" applyFont="1" applyFill="1" applyBorder="1" applyAlignment="1">
      <alignment horizontal="right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7" fillId="2" borderId="16" xfId="1" applyFont="1" applyFill="1" applyBorder="1" applyAlignment="1">
      <alignment horizontal="right" vertical="center" wrapText="1"/>
    </xf>
    <xf numFmtId="0" fontId="17" fillId="2" borderId="17" xfId="1" applyFont="1" applyFill="1" applyBorder="1" applyAlignment="1">
      <alignment horizontal="right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left" vertical="center" wrapText="1"/>
    </xf>
    <xf numFmtId="0" fontId="17" fillId="2" borderId="14" xfId="1" applyFont="1" applyFill="1" applyBorder="1" applyAlignment="1">
      <alignment horizontal="left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7" fillId="2" borderId="16" xfId="1" applyFont="1" applyFill="1" applyBorder="1" applyAlignment="1">
      <alignment horizontal="right" vertical="center" wrapText="1"/>
    </xf>
    <xf numFmtId="0" fontId="17" fillId="2" borderId="17" xfId="1" applyFont="1" applyFill="1" applyBorder="1" applyAlignment="1">
      <alignment horizontal="right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19" fillId="2" borderId="13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7" fillId="2" borderId="16" xfId="1" applyFont="1" applyFill="1" applyBorder="1" applyAlignment="1">
      <alignment horizontal="center" vertical="center" wrapText="1"/>
    </xf>
    <xf numFmtId="0" fontId="17" fillId="2" borderId="17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left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7" fillId="2" borderId="16" xfId="1" applyFont="1" applyFill="1" applyBorder="1" applyAlignment="1">
      <alignment horizontal="right" vertical="center" wrapText="1"/>
    </xf>
    <xf numFmtId="0" fontId="17" fillId="2" borderId="17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center" vertical="center" wrapText="1"/>
    </xf>
    <xf numFmtId="179" fontId="31" fillId="0" borderId="1" xfId="0" applyNumberFormat="1" applyFont="1" applyBorder="1" applyAlignment="1">
      <alignment horizontal="center" vertical="center"/>
    </xf>
    <xf numFmtId="179" fontId="32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179" fontId="31" fillId="0" borderId="2" xfId="0" applyNumberFormat="1" applyFont="1" applyBorder="1" applyAlignment="1">
      <alignment horizontal="left" vertical="center"/>
    </xf>
    <xf numFmtId="179" fontId="31" fillId="0" borderId="3" xfId="0" applyNumberFormat="1" applyFont="1" applyBorder="1" applyAlignment="1">
      <alignment horizontal="left" vertical="center"/>
    </xf>
    <xf numFmtId="181" fontId="0" fillId="0" borderId="0" xfId="0" applyNumberFormat="1" applyAlignment="1">
      <alignment vertical="top"/>
    </xf>
    <xf numFmtId="181" fontId="0" fillId="0" borderId="0" xfId="0" applyNumberFormat="1" applyFont="1" applyBorder="1" applyAlignment="1">
      <alignment horizontal="left"/>
    </xf>
    <xf numFmtId="181" fontId="31" fillId="0" borderId="1" xfId="0" applyNumberFormat="1" applyFont="1" applyBorder="1" applyAlignment="1">
      <alignment horizontal="center" vertical="center"/>
    </xf>
    <xf numFmtId="181" fontId="12" fillId="0" borderId="1" xfId="5" applyNumberFormat="1" applyFont="1" applyFill="1" applyBorder="1" applyAlignment="1">
      <alignment horizontal="center" vertical="center"/>
    </xf>
    <xf numFmtId="181" fontId="15" fillId="0" borderId="1" xfId="5" applyNumberFormat="1" applyFont="1" applyFill="1" applyBorder="1" applyAlignment="1">
      <alignment horizontal="center" vertical="center"/>
    </xf>
    <xf numFmtId="181" fontId="0" fillId="0" borderId="0" xfId="0" applyNumberFormat="1"/>
    <xf numFmtId="0" fontId="2" fillId="0" borderId="0" xfId="0" applyFont="1" applyBorder="1" applyAlignment="1">
      <alignment horizontal="center"/>
    </xf>
    <xf numFmtId="179" fontId="31" fillId="0" borderId="1" xfId="0" applyNumberFormat="1" applyFont="1" applyBorder="1" applyAlignment="1">
      <alignment horizontal="left" vertical="center"/>
    </xf>
    <xf numFmtId="179" fontId="31" fillId="0" borderId="2" xfId="0" applyNumberFormat="1" applyFont="1" applyBorder="1" applyAlignment="1">
      <alignment horizontal="left" vertical="center"/>
    </xf>
    <xf numFmtId="179" fontId="31" fillId="0" borderId="3" xfId="0" applyNumberFormat="1" applyFont="1" applyBorder="1" applyAlignment="1">
      <alignment horizontal="left" vertical="center"/>
    </xf>
    <xf numFmtId="179" fontId="31" fillId="0" borderId="1" xfId="0" applyNumberFormat="1" applyFont="1" applyBorder="1" applyAlignment="1">
      <alignment horizontal="center" vertical="center"/>
    </xf>
    <xf numFmtId="179" fontId="31" fillId="0" borderId="2" xfId="0" applyNumberFormat="1" applyFont="1" applyBorder="1" applyAlignment="1">
      <alignment horizontal="center" vertical="center"/>
    </xf>
    <xf numFmtId="179" fontId="31" fillId="0" borderId="3" xfId="0" applyNumberFormat="1" applyFont="1" applyBorder="1" applyAlignment="1">
      <alignment horizontal="center" vertical="center"/>
    </xf>
    <xf numFmtId="179" fontId="11" fillId="0" borderId="2" xfId="3" applyNumberFormat="1" applyFont="1" applyBorder="1" applyAlignment="1">
      <alignment horizontal="left" vertical="center"/>
    </xf>
    <xf numFmtId="179" fontId="11" fillId="0" borderId="3" xfId="3" applyNumberFormat="1" applyFont="1" applyBorder="1" applyAlignment="1">
      <alignment horizontal="left" vertical="center"/>
    </xf>
    <xf numFmtId="179" fontId="0" fillId="0" borderId="1" xfId="0" applyNumberFormat="1" applyBorder="1" applyAlignment="1">
      <alignment horizontal="center" vertical="center"/>
    </xf>
    <xf numFmtId="181" fontId="31" fillId="0" borderId="1" xfId="0" applyNumberFormat="1" applyFont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2" fillId="0" borderId="19" xfId="0" applyFont="1" applyBorder="1" applyAlignment="1">
      <alignment vertical="center"/>
    </xf>
    <xf numFmtId="0" fontId="13" fillId="0" borderId="19" xfId="0" applyFont="1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16" fillId="2" borderId="0" xfId="1" applyFont="1" applyFill="1" applyAlignment="1">
      <alignment horizontal="center" vertical="center" wrapText="1"/>
    </xf>
    <xf numFmtId="0" fontId="17" fillId="2" borderId="0" xfId="1" applyFont="1" applyFill="1" applyAlignment="1">
      <alignment horizontal="left" vertical="center" wrapText="1"/>
    </xf>
    <xf numFmtId="0" fontId="17" fillId="2" borderId="0" xfId="1" applyFont="1" applyFill="1" applyAlignment="1">
      <alignment horizontal="right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left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17" fillId="2" borderId="14" xfId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wrapText="1"/>
    </xf>
    <xf numFmtId="0" fontId="17" fillId="2" borderId="0" xfId="1" applyFont="1" applyFill="1" applyAlignment="1">
      <alignment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8" fillId="2" borderId="10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16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22" fillId="3" borderId="1" xfId="7" applyFont="1" applyFill="1" applyBorder="1" applyAlignment="1">
      <alignment horizontal="center" vertical="center" wrapText="1"/>
    </xf>
    <xf numFmtId="0" fontId="22" fillId="3" borderId="4" xfId="8" applyFont="1" applyFill="1" applyBorder="1" applyAlignment="1">
      <alignment horizontal="center" vertical="center"/>
    </xf>
    <xf numFmtId="0" fontId="22" fillId="3" borderId="6" xfId="8" applyFont="1" applyFill="1" applyBorder="1" applyAlignment="1">
      <alignment horizontal="center" vertical="center"/>
    </xf>
    <xf numFmtId="181" fontId="21" fillId="3" borderId="0" xfId="7" applyNumberFormat="1" applyFont="1" applyFill="1" applyAlignment="1">
      <alignment horizontal="center" vertical="center"/>
    </xf>
    <xf numFmtId="0" fontId="13" fillId="3" borderId="19" xfId="7" applyFont="1" applyFill="1" applyBorder="1" applyAlignment="1">
      <alignment horizontal="left" vertical="center"/>
    </xf>
    <xf numFmtId="176" fontId="22" fillId="3" borderId="1" xfId="7" applyNumberFormat="1" applyFont="1" applyFill="1" applyBorder="1" applyAlignment="1">
      <alignment horizontal="center" vertical="center"/>
    </xf>
    <xf numFmtId="182" fontId="22" fillId="3" borderId="18" xfId="7" applyNumberFormat="1" applyFont="1" applyFill="1" applyBorder="1" applyAlignment="1">
      <alignment horizontal="center" vertical="center"/>
    </xf>
    <xf numFmtId="182" fontId="22" fillId="3" borderId="3" xfId="7" applyNumberFormat="1" applyFont="1" applyFill="1" applyBorder="1" applyAlignment="1">
      <alignment horizontal="center" vertical="center"/>
    </xf>
    <xf numFmtId="177" fontId="22" fillId="3" borderId="5" xfId="7" applyNumberFormat="1" applyFont="1" applyFill="1" applyBorder="1" applyAlignment="1">
      <alignment horizontal="center" vertical="center"/>
    </xf>
    <xf numFmtId="177" fontId="22" fillId="3" borderId="6" xfId="7" applyNumberFormat="1" applyFont="1" applyFill="1" applyBorder="1" applyAlignment="1">
      <alignment horizontal="center" vertical="center"/>
    </xf>
    <xf numFmtId="49" fontId="22" fillId="3" borderId="1" xfId="7" applyNumberFormat="1" applyFont="1" applyFill="1" applyBorder="1" applyAlignment="1">
      <alignment horizontal="center" vertical="center" wrapText="1"/>
    </xf>
    <xf numFmtId="181" fontId="22" fillId="3" borderId="19" xfId="7" applyNumberFormat="1" applyFont="1" applyFill="1" applyBorder="1" applyAlignment="1">
      <alignment horizontal="center" vertical="center" wrapText="1"/>
    </xf>
    <xf numFmtId="181" fontId="22" fillId="3" borderId="7" xfId="7" applyNumberFormat="1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right" vertical="center" wrapText="1"/>
    </xf>
    <xf numFmtId="0" fontId="17" fillId="2" borderId="13" xfId="0" applyFont="1" applyFill="1" applyBorder="1" applyAlignment="1">
      <alignment horizontal="left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vertical="center" wrapText="1"/>
    </xf>
    <xf numFmtId="0" fontId="17" fillId="2" borderId="13" xfId="0" applyFont="1" applyFill="1" applyBorder="1" applyAlignment="1">
      <alignment horizontal="right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right" vertical="center" wrapText="1"/>
    </xf>
    <xf numFmtId="0" fontId="16" fillId="2" borderId="0" xfId="0" applyFont="1" applyFill="1" applyAlignment="1">
      <alignment horizont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176" fontId="22" fillId="3" borderId="1" xfId="7" applyNumberFormat="1" applyFont="1" applyFill="1" applyBorder="1" applyAlignment="1">
      <alignment horizontal="center" vertical="center" wrapText="1"/>
    </xf>
    <xf numFmtId="0" fontId="23" fillId="0" borderId="4" xfId="9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184" fontId="22" fillId="3" borderId="1" xfId="7" applyNumberFormat="1" applyFont="1" applyFill="1" applyBorder="1" applyAlignment="1">
      <alignment horizontal="center" vertical="center"/>
    </xf>
    <xf numFmtId="177" fontId="22" fillId="3" borderId="18" xfId="7" applyNumberFormat="1" applyFont="1" applyFill="1" applyBorder="1" applyAlignment="1">
      <alignment horizontal="center" vertical="center"/>
    </xf>
    <xf numFmtId="177" fontId="22" fillId="3" borderId="3" xfId="7" applyNumberFormat="1" applyFont="1" applyFill="1" applyBorder="1" applyAlignment="1">
      <alignment horizontal="center" vertical="center"/>
    </xf>
    <xf numFmtId="176" fontId="22" fillId="3" borderId="5" xfId="7" applyNumberFormat="1" applyFont="1" applyFill="1" applyBorder="1" applyAlignment="1">
      <alignment horizontal="center" vertical="center"/>
    </xf>
    <xf numFmtId="176" fontId="22" fillId="3" borderId="6" xfId="7" applyNumberFormat="1" applyFont="1" applyFill="1" applyBorder="1" applyAlignment="1">
      <alignment horizontal="center" vertical="center"/>
    </xf>
  </cellXfs>
  <cellStyles count="14">
    <cellStyle name="_ET_STYLE_NoName_00_" xfId="13"/>
    <cellStyle name="百分比" xfId="2" builtinId="5"/>
    <cellStyle name="百分比 4 2" xfId="11"/>
    <cellStyle name="常规" xfId="0" builtinId="0"/>
    <cellStyle name="常规 10 2" xfId="10"/>
    <cellStyle name="常规 2" xfId="1"/>
    <cellStyle name="常规 9" xfId="5"/>
    <cellStyle name="常规_30%" xfId="6"/>
    <cellStyle name="常规_468概算" xfId="4"/>
    <cellStyle name="常规_船舶配套变配电控制系统项目设备表%2B招标表（20090111)" xfId="8"/>
    <cellStyle name="常规_工艺设备及公用设备表" xfId="12"/>
    <cellStyle name="常规_基础保障条件先期启动设备表v1.5" xfId="7"/>
    <cellStyle name="常规_投资估算表－导航" xfId="3"/>
    <cellStyle name="样式 1" xfId="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er%20Mao/Documents/&#24037;&#20316;/&#25237;&#36164;&#20272;&#31639;&#34920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投资估算"/>
      <sheetName val="室内"/>
      <sheetName val="室外"/>
      <sheetName val="其他费"/>
      <sheetName val="设备取费"/>
      <sheetName val="公用设备"/>
      <sheetName val="工艺设备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showGridLines="0" tabSelected="1" view="pageBreakPreview" zoomScaleNormal="100" zoomScaleSheetLayoutView="100" workbookViewId="0">
      <pane ySplit="5" topLeftCell="A12" activePane="bottomLeft" state="frozen"/>
      <selection pane="bottomLeft" activeCell="L14" sqref="L14"/>
    </sheetView>
  </sheetViews>
  <sheetFormatPr defaultRowHeight="13.5"/>
  <cols>
    <col min="1" max="1" width="11.625" style="289" customWidth="1"/>
    <col min="2" max="2" width="16.25" customWidth="1"/>
    <col min="3" max="3" width="9.25" customWidth="1"/>
    <col min="4" max="4" width="15.625" customWidth="1"/>
    <col min="5" max="5" width="10" customWidth="1"/>
    <col min="6" max="6" width="7.5" customWidth="1"/>
    <col min="7" max="7" width="15.75" customWidth="1"/>
    <col min="8" max="8" width="14.625" customWidth="1"/>
    <col min="9" max="9" width="17" customWidth="1"/>
    <col min="10" max="11" width="14" customWidth="1"/>
    <col min="12" max="12" width="10.5" customWidth="1"/>
    <col min="13" max="13" width="17.375" customWidth="1"/>
    <col min="14" max="14" width="15" bestFit="1" customWidth="1"/>
  </cols>
  <sheetData>
    <row r="1" spans="1:15" ht="18" customHeight="1">
      <c r="A1" s="284" t="s">
        <v>14</v>
      </c>
    </row>
    <row r="2" spans="1:15" ht="22.5">
      <c r="A2" s="290" t="s">
        <v>0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</row>
    <row r="3" spans="1:15" ht="22.5">
      <c r="A3" s="285" t="s">
        <v>940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7"/>
    </row>
    <row r="4" spans="1:15" ht="18" customHeight="1">
      <c r="A4" s="300" t="s">
        <v>1</v>
      </c>
      <c r="B4" s="294" t="s">
        <v>15</v>
      </c>
      <c r="C4" s="294"/>
      <c r="D4" s="294" t="s">
        <v>2</v>
      </c>
      <c r="E4" s="294"/>
      <c r="F4" s="294"/>
      <c r="G4" s="294" t="s">
        <v>6</v>
      </c>
      <c r="H4" s="294"/>
      <c r="I4" s="294"/>
      <c r="J4" s="294"/>
      <c r="K4" s="294"/>
      <c r="L4" s="294"/>
      <c r="M4" s="299" t="s">
        <v>13</v>
      </c>
    </row>
    <row r="5" spans="1:15" ht="18" customHeight="1">
      <c r="A5" s="300"/>
      <c r="B5" s="294"/>
      <c r="C5" s="294"/>
      <c r="D5" s="278" t="s">
        <v>3</v>
      </c>
      <c r="E5" s="278" t="s">
        <v>4</v>
      </c>
      <c r="F5" s="278" t="s">
        <v>5</v>
      </c>
      <c r="G5" s="278" t="s">
        <v>7</v>
      </c>
      <c r="H5" s="278" t="s">
        <v>8</v>
      </c>
      <c r="I5" s="278" t="s">
        <v>9</v>
      </c>
      <c r="J5" s="278" t="s">
        <v>10</v>
      </c>
      <c r="K5" s="278" t="s">
        <v>11</v>
      </c>
      <c r="L5" s="278" t="s">
        <v>12</v>
      </c>
      <c r="M5" s="299"/>
    </row>
    <row r="6" spans="1:15" ht="21.75" customHeight="1">
      <c r="A6" s="286"/>
      <c r="B6" s="291" t="s">
        <v>16</v>
      </c>
      <c r="C6" s="291"/>
      <c r="D6" s="278">
        <f>D7+D18+D30+D32</f>
        <v>42843.6</v>
      </c>
      <c r="E6" s="278"/>
      <c r="F6" s="278"/>
      <c r="G6" s="278">
        <f>G7+G18+G30+G32</f>
        <v>11588.681017999999</v>
      </c>
      <c r="H6" s="278">
        <f>H7+H18+H30+H32</f>
        <v>2660</v>
      </c>
      <c r="I6" s="278">
        <f>I7+I18+I30+I32</f>
        <v>266</v>
      </c>
      <c r="J6" s="278">
        <f>J7+J18+J30+J32</f>
        <v>1715.3407464336624</v>
      </c>
      <c r="K6" s="278">
        <f>K7+K18+K30+K32</f>
        <v>16230.021764433661</v>
      </c>
      <c r="L6" s="278"/>
      <c r="M6" s="281"/>
      <c r="N6">
        <v>16230</v>
      </c>
      <c r="O6" s="39">
        <f>K6-N6</f>
        <v>2.1764433660791838E-2</v>
      </c>
    </row>
    <row r="7" spans="1:15" ht="21.75" customHeight="1">
      <c r="A7" s="286" t="s">
        <v>17</v>
      </c>
      <c r="B7" s="292" t="s">
        <v>18</v>
      </c>
      <c r="C7" s="293"/>
      <c r="D7" s="278">
        <f>D8+D12</f>
        <v>42843.6</v>
      </c>
      <c r="E7" s="278"/>
      <c r="F7" s="278"/>
      <c r="G7" s="278">
        <f t="shared" ref="G7:K7" si="0">G8+G12</f>
        <v>11588.681017999999</v>
      </c>
      <c r="H7" s="278">
        <f t="shared" si="0"/>
        <v>2660</v>
      </c>
      <c r="I7" s="278">
        <f t="shared" si="0"/>
        <v>266</v>
      </c>
      <c r="J7" s="278">
        <f t="shared" si="0"/>
        <v>0</v>
      </c>
      <c r="K7" s="278">
        <f t="shared" si="0"/>
        <v>14514.681017999999</v>
      </c>
      <c r="L7" s="278"/>
      <c r="M7" s="281"/>
      <c r="O7">
        <f>16230-N6</f>
        <v>0</v>
      </c>
    </row>
    <row r="8" spans="1:15" ht="21.75" customHeight="1">
      <c r="A8" s="286" t="s">
        <v>19</v>
      </c>
      <c r="B8" s="292" t="s">
        <v>20</v>
      </c>
      <c r="C8" s="293"/>
      <c r="D8" s="278">
        <f>SUM(D9)</f>
        <v>42843.6</v>
      </c>
      <c r="E8" s="278"/>
      <c r="F8" s="278" t="s">
        <v>188</v>
      </c>
      <c r="G8" s="278">
        <f t="shared" ref="G8:K8" si="1">SUM(G9)</f>
        <v>11199.879613999999</v>
      </c>
      <c r="H8" s="278">
        <f t="shared" si="1"/>
        <v>2660</v>
      </c>
      <c r="I8" s="278">
        <f t="shared" si="1"/>
        <v>266</v>
      </c>
      <c r="J8" s="278">
        <f t="shared" si="1"/>
        <v>0</v>
      </c>
      <c r="K8" s="278">
        <f t="shared" si="1"/>
        <v>14125.879613999999</v>
      </c>
      <c r="L8" s="278"/>
      <c r="M8" s="281"/>
    </row>
    <row r="9" spans="1:15" ht="21.75" customHeight="1">
      <c r="A9" s="286">
        <v>1</v>
      </c>
      <c r="B9" s="292" t="s">
        <v>941</v>
      </c>
      <c r="C9" s="293"/>
      <c r="D9" s="278">
        <f>汇总表!C4</f>
        <v>42843.6</v>
      </c>
      <c r="E9" s="278"/>
      <c r="F9" s="278" t="s">
        <v>188</v>
      </c>
      <c r="G9" s="278">
        <f>室内!H6</f>
        <v>11199.879613999999</v>
      </c>
      <c r="H9" s="278">
        <f>设备取费!L7</f>
        <v>2660</v>
      </c>
      <c r="I9" s="278">
        <f>设备取费!O7</f>
        <v>266</v>
      </c>
      <c r="J9" s="278"/>
      <c r="K9" s="278">
        <f>SUM(G9:J9)</f>
        <v>14125.879613999999</v>
      </c>
      <c r="L9" s="278"/>
      <c r="M9" s="281"/>
      <c r="N9">
        <f>K9/D9</f>
        <v>0.32970804540234716</v>
      </c>
    </row>
    <row r="10" spans="1:15" ht="21.75" customHeight="1">
      <c r="A10" s="286"/>
      <c r="B10" s="292" t="s">
        <v>189</v>
      </c>
      <c r="C10" s="293"/>
      <c r="D10" s="278">
        <f>SUM(D9)</f>
        <v>42843.6</v>
      </c>
      <c r="E10" s="278"/>
      <c r="F10" s="278"/>
      <c r="G10" s="278">
        <f>SUM(G9)</f>
        <v>11199.879613999999</v>
      </c>
      <c r="H10" s="278">
        <f t="shared" ref="H10:I10" si="2">SUM(H9)</f>
        <v>2660</v>
      </c>
      <c r="I10" s="278">
        <f t="shared" si="2"/>
        <v>266</v>
      </c>
      <c r="J10" s="278"/>
      <c r="K10" s="278">
        <f>SUM(K9)</f>
        <v>14125.879613999999</v>
      </c>
      <c r="L10" s="278"/>
      <c r="M10" s="281"/>
    </row>
    <row r="11" spans="1:15" ht="21.75" customHeight="1">
      <c r="A11" s="286"/>
      <c r="B11" s="292"/>
      <c r="C11" s="293"/>
      <c r="D11" s="278"/>
      <c r="E11" s="278"/>
      <c r="F11" s="278"/>
      <c r="G11" s="278"/>
      <c r="H11" s="278"/>
      <c r="I11" s="278"/>
      <c r="J11" s="278"/>
      <c r="K11" s="278"/>
      <c r="L11" s="278"/>
      <c r="M11" s="281"/>
    </row>
    <row r="12" spans="1:15" ht="21.75" customHeight="1">
      <c r="A12" s="286" t="s">
        <v>21</v>
      </c>
      <c r="B12" s="292" t="s">
        <v>22</v>
      </c>
      <c r="C12" s="293"/>
      <c r="D12" s="278"/>
      <c r="E12" s="278"/>
      <c r="F12" s="278"/>
      <c r="G12" s="278">
        <f t="shared" ref="G12" si="3">SUM(G13:G16)</f>
        <v>388.80140399999999</v>
      </c>
      <c r="H12" s="278"/>
      <c r="I12" s="278"/>
      <c r="J12" s="278"/>
      <c r="K12" s="278">
        <f>SUM(K13:K16)</f>
        <v>388.80140399999999</v>
      </c>
      <c r="L12" s="278"/>
      <c r="M12" s="281"/>
    </row>
    <row r="13" spans="1:15" ht="21.75" customHeight="1">
      <c r="A13" s="286">
        <v>1</v>
      </c>
      <c r="B13" s="292" t="str">
        <f>室外!B8</f>
        <v>道路</v>
      </c>
      <c r="C13" s="293"/>
      <c r="D13" s="278" t="s">
        <v>945</v>
      </c>
      <c r="E13" s="278"/>
      <c r="F13" s="278" t="s">
        <v>188</v>
      </c>
      <c r="G13" s="278">
        <f>室外!E8</f>
        <v>234</v>
      </c>
      <c r="H13" s="278"/>
      <c r="I13" s="278"/>
      <c r="J13" s="278"/>
      <c r="K13" s="278">
        <f t="shared" ref="K13:K16" si="4">SUM(G13:J13)</f>
        <v>234</v>
      </c>
      <c r="L13" s="278"/>
      <c r="M13" s="281"/>
    </row>
    <row r="14" spans="1:15" ht="21.75" customHeight="1">
      <c r="A14" s="286">
        <v>2</v>
      </c>
      <c r="B14" s="292" t="str">
        <f>室外!B9</f>
        <v>绿化</v>
      </c>
      <c r="C14" s="293"/>
      <c r="D14" s="278" t="s">
        <v>946</v>
      </c>
      <c r="E14" s="278"/>
      <c r="F14" s="278" t="s">
        <v>188</v>
      </c>
      <c r="G14" s="278">
        <f>室外!E9</f>
        <v>18.399999999999999</v>
      </c>
      <c r="H14" s="278"/>
      <c r="I14" s="278"/>
      <c r="J14" s="278"/>
      <c r="K14" s="278">
        <f t="shared" si="4"/>
        <v>18.399999999999999</v>
      </c>
      <c r="L14" s="278"/>
      <c r="M14" s="281"/>
    </row>
    <row r="15" spans="1:15" ht="21.75" customHeight="1">
      <c r="A15" s="286">
        <v>3</v>
      </c>
      <c r="B15" s="292" t="s">
        <v>947</v>
      </c>
      <c r="C15" s="293"/>
      <c r="D15" s="278"/>
      <c r="E15" s="278"/>
      <c r="F15" s="278"/>
      <c r="G15" s="278">
        <f>室外!H7</f>
        <v>67.799588999999997</v>
      </c>
      <c r="H15" s="278"/>
      <c r="I15" s="278"/>
      <c r="J15" s="278"/>
      <c r="K15" s="278">
        <f>SUM(G15:J15)</f>
        <v>67.799588999999997</v>
      </c>
      <c r="L15" s="278"/>
      <c r="M15" s="281"/>
    </row>
    <row r="16" spans="1:15" ht="21.75" customHeight="1">
      <c r="A16" s="286">
        <v>4</v>
      </c>
      <c r="B16" s="292" t="s">
        <v>948</v>
      </c>
      <c r="C16" s="293"/>
      <c r="D16" s="278"/>
      <c r="E16" s="278"/>
      <c r="F16" s="278"/>
      <c r="G16" s="278">
        <f>室外!H10</f>
        <v>68.601815000000002</v>
      </c>
      <c r="H16" s="278"/>
      <c r="I16" s="278"/>
      <c r="J16" s="278"/>
      <c r="K16" s="278">
        <f t="shared" si="4"/>
        <v>68.601815000000002</v>
      </c>
      <c r="L16" s="278"/>
      <c r="M16" s="281"/>
    </row>
    <row r="17" spans="1:15" ht="21.75" customHeight="1">
      <c r="A17" s="286"/>
      <c r="B17" s="295"/>
      <c r="C17" s="296"/>
      <c r="D17" s="278"/>
      <c r="E17" s="278"/>
      <c r="F17" s="278"/>
      <c r="G17" s="278"/>
      <c r="H17" s="278"/>
      <c r="I17" s="278"/>
      <c r="J17" s="278"/>
      <c r="K17" s="278"/>
      <c r="L17" s="278"/>
      <c r="M17" s="281"/>
    </row>
    <row r="18" spans="1:15" ht="21.75" customHeight="1">
      <c r="A18" s="286" t="s">
        <v>23</v>
      </c>
      <c r="B18" s="292" t="s">
        <v>24</v>
      </c>
      <c r="C18" s="293"/>
      <c r="D18" s="278"/>
      <c r="E18" s="278"/>
      <c r="F18" s="278"/>
      <c r="G18" s="278"/>
      <c r="H18" s="278"/>
      <c r="I18" s="278"/>
      <c r="J18" s="278">
        <f>SUM(J19:J28)</f>
        <v>1088.8014478015984</v>
      </c>
      <c r="K18" s="278">
        <f>SUM(K19:K28)</f>
        <v>1088.8014478015984</v>
      </c>
      <c r="L18" s="278"/>
      <c r="M18" s="281"/>
    </row>
    <row r="19" spans="1:15" ht="21.75" customHeight="1">
      <c r="A19" s="286">
        <v>1</v>
      </c>
      <c r="B19" s="297" t="s">
        <v>190</v>
      </c>
      <c r="C19" s="298"/>
      <c r="D19" s="278"/>
      <c r="E19" s="278"/>
      <c r="F19" s="278"/>
      <c r="G19" s="278"/>
      <c r="H19" s="278"/>
      <c r="I19" s="278"/>
      <c r="J19" s="278">
        <f>113+(N6-10000)*0.8%</f>
        <v>162.84</v>
      </c>
      <c r="K19" s="278">
        <f>J19</f>
        <v>162.84</v>
      </c>
      <c r="L19" s="278"/>
      <c r="M19" s="281"/>
    </row>
    <row r="20" spans="1:15" ht="21.75" customHeight="1">
      <c r="A20" s="286">
        <v>2</v>
      </c>
      <c r="B20" s="297" t="s">
        <v>191</v>
      </c>
      <c r="C20" s="298"/>
      <c r="D20" s="278"/>
      <c r="E20" s="278"/>
      <c r="F20" s="278"/>
      <c r="G20" s="278"/>
      <c r="H20" s="278"/>
      <c r="I20" s="278"/>
      <c r="J20" s="278">
        <f>60+(N6-10000)*(139-60)/40000</f>
        <v>72.304249999999996</v>
      </c>
      <c r="K20" s="278">
        <f t="shared" ref="K20:K28" si="5">J20</f>
        <v>72.304249999999996</v>
      </c>
      <c r="L20" s="278"/>
      <c r="M20" s="281"/>
    </row>
    <row r="21" spans="1:15" ht="21.75" customHeight="1">
      <c r="A21" s="286">
        <v>3</v>
      </c>
      <c r="B21" s="297" t="s">
        <v>192</v>
      </c>
      <c r="C21" s="298"/>
      <c r="D21" s="279"/>
      <c r="E21" s="279"/>
      <c r="F21" s="279"/>
      <c r="G21" s="279"/>
      <c r="H21" s="279"/>
      <c r="I21" s="279"/>
      <c r="J21" s="279">
        <f>218.6+(N21-10000)*(393.4-218.6)/10000</f>
        <v>251.01982419463997</v>
      </c>
      <c r="K21" s="279">
        <f t="shared" si="5"/>
        <v>251.01982419463997</v>
      </c>
      <c r="L21" s="279"/>
      <c r="M21" s="281"/>
      <c r="N21" s="220">
        <f>G7+I7</f>
        <v>11854.681017999999</v>
      </c>
    </row>
    <row r="22" spans="1:15" ht="21.75" customHeight="1">
      <c r="A22" s="286">
        <v>4</v>
      </c>
      <c r="B22" s="297" t="s">
        <v>193</v>
      </c>
      <c r="C22" s="298"/>
      <c r="D22" s="279"/>
      <c r="E22" s="279"/>
      <c r="F22" s="279"/>
      <c r="G22" s="279"/>
      <c r="H22" s="279"/>
      <c r="I22" s="279"/>
      <c r="J22" s="279">
        <f>(304.8+(K7-10000)*262/10000)*0.35*1.15*1.25+(304.8+(N21-10000)*262/10000)*0.65</f>
        <v>442.56967858068879</v>
      </c>
      <c r="K22" s="279">
        <f t="shared" si="5"/>
        <v>442.56967858068879</v>
      </c>
      <c r="L22" s="279"/>
      <c r="M22" s="281"/>
    </row>
    <row r="23" spans="1:15" ht="21.75" customHeight="1">
      <c r="A23" s="286">
        <v>5</v>
      </c>
      <c r="B23" s="297" t="s">
        <v>194</v>
      </c>
      <c r="C23" s="298"/>
      <c r="D23" s="279"/>
      <c r="E23" s="279"/>
      <c r="F23" s="279"/>
      <c r="G23" s="279"/>
      <c r="H23" s="279"/>
      <c r="I23" s="279"/>
      <c r="J23" s="279">
        <f>J22*5%</f>
        <v>22.128483929034442</v>
      </c>
      <c r="K23" s="279">
        <f t="shared" si="5"/>
        <v>22.128483929034442</v>
      </c>
      <c r="L23" s="279"/>
      <c r="M23" s="281"/>
    </row>
    <row r="24" spans="1:15" ht="21.75" customHeight="1">
      <c r="A24" s="286">
        <v>6</v>
      </c>
      <c r="B24" s="297" t="s">
        <v>912</v>
      </c>
      <c r="C24" s="298"/>
      <c r="D24" s="279"/>
      <c r="E24" s="279"/>
      <c r="F24" s="279"/>
      <c r="G24" s="279"/>
      <c r="H24" s="279"/>
      <c r="I24" s="279"/>
      <c r="J24" s="279">
        <f>D6*15/10000</f>
        <v>64.2654</v>
      </c>
      <c r="K24" s="279">
        <f>J24</f>
        <v>64.2654</v>
      </c>
      <c r="L24" s="279"/>
      <c r="M24" s="281"/>
    </row>
    <row r="25" spans="1:15" ht="21.75" customHeight="1">
      <c r="A25" s="286">
        <v>7</v>
      </c>
      <c r="B25" s="297" t="s">
        <v>911</v>
      </c>
      <c r="C25" s="298"/>
      <c r="D25" s="279"/>
      <c r="E25" s="279"/>
      <c r="F25" s="279"/>
      <c r="G25" s="279"/>
      <c r="H25" s="279"/>
      <c r="I25" s="279"/>
      <c r="J25" s="279">
        <f>1.5+4.4+4+(O25-1000)*0.5%+1+2.8+2.75+14+10+(N25-10000)*0.05%</f>
        <v>48.002340509</v>
      </c>
      <c r="K25" s="279">
        <f>J25</f>
        <v>48.002340509</v>
      </c>
      <c r="L25" s="279"/>
      <c r="M25" s="281"/>
      <c r="N25" s="220">
        <f>N21</f>
        <v>11854.681017999999</v>
      </c>
      <c r="O25">
        <f>工艺设备!L24</f>
        <v>2325</v>
      </c>
    </row>
    <row r="26" spans="1:15" ht="21.75" customHeight="1">
      <c r="A26" s="286">
        <v>8</v>
      </c>
      <c r="B26" s="297" t="s">
        <v>195</v>
      </c>
      <c r="C26" s="298"/>
      <c r="D26" s="279"/>
      <c r="E26" s="279"/>
      <c r="F26" s="279"/>
      <c r="G26" s="279"/>
      <c r="H26" s="279"/>
      <c r="I26" s="279"/>
      <c r="J26" s="279">
        <f>7.5+(N6-3000)*10.5/17000</f>
        <v>15.671470588235294</v>
      </c>
      <c r="K26" s="279">
        <f t="shared" si="5"/>
        <v>15.671470588235294</v>
      </c>
      <c r="L26" s="279"/>
      <c r="M26" s="281"/>
    </row>
    <row r="27" spans="1:15" ht="21.75" customHeight="1">
      <c r="A27" s="286">
        <v>9</v>
      </c>
      <c r="B27" s="297" t="s">
        <v>220</v>
      </c>
      <c r="C27" s="298"/>
      <c r="D27" s="279"/>
      <c r="E27" s="279"/>
      <c r="F27" s="279"/>
      <c r="G27" s="279"/>
      <c r="H27" s="279"/>
      <c r="I27" s="279"/>
      <c r="J27" s="279">
        <v>5</v>
      </c>
      <c r="K27" s="279">
        <f t="shared" si="5"/>
        <v>5</v>
      </c>
      <c r="L27" s="279"/>
      <c r="M27" s="281"/>
    </row>
    <row r="28" spans="1:15" ht="21.75" customHeight="1">
      <c r="A28" s="286">
        <v>10</v>
      </c>
      <c r="B28" s="297" t="s">
        <v>221</v>
      </c>
      <c r="C28" s="298"/>
      <c r="D28" s="279"/>
      <c r="E28" s="279"/>
      <c r="F28" s="279"/>
      <c r="G28" s="279"/>
      <c r="H28" s="279"/>
      <c r="I28" s="279"/>
      <c r="J28" s="279">
        <v>5</v>
      </c>
      <c r="K28" s="279">
        <f t="shared" si="5"/>
        <v>5</v>
      </c>
      <c r="L28" s="279"/>
      <c r="M28" s="281"/>
    </row>
    <row r="29" spans="1:15" ht="21.75" customHeight="1">
      <c r="A29" s="286"/>
      <c r="B29" s="295"/>
      <c r="C29" s="296"/>
      <c r="D29" s="278"/>
      <c r="E29" s="278"/>
      <c r="F29" s="278"/>
      <c r="G29" s="278"/>
      <c r="H29" s="278"/>
      <c r="I29" s="278"/>
      <c r="J29" s="278"/>
      <c r="K29" s="278"/>
      <c r="L29" s="278"/>
      <c r="M29" s="281"/>
      <c r="N29" t="e">
        <f>J30/#REF!</f>
        <v>#REF!</v>
      </c>
    </row>
    <row r="30" spans="1:15" ht="21.75" customHeight="1">
      <c r="A30" s="286" t="s">
        <v>25</v>
      </c>
      <c r="B30" s="292" t="s">
        <v>26</v>
      </c>
      <c r="C30" s="293"/>
      <c r="D30" s="278"/>
      <c r="E30" s="278"/>
      <c r="F30" s="278"/>
      <c r="G30" s="278"/>
      <c r="H30" s="278"/>
      <c r="I30" s="278"/>
      <c r="J30" s="278">
        <f>(J18+K7)*4%+2.4</f>
        <v>626.53929863206383</v>
      </c>
      <c r="K30" s="278">
        <f>J30</f>
        <v>626.53929863206383</v>
      </c>
      <c r="L30" s="278"/>
      <c r="M30" s="281"/>
    </row>
    <row r="31" spans="1:15" ht="21.75" customHeight="1">
      <c r="A31" s="286"/>
      <c r="B31" s="282"/>
      <c r="C31" s="283"/>
      <c r="D31" s="278"/>
      <c r="E31" s="278"/>
      <c r="F31" s="278"/>
      <c r="G31" s="278"/>
      <c r="H31" s="278"/>
      <c r="I31" s="278"/>
      <c r="J31" s="278"/>
      <c r="K31" s="278"/>
      <c r="L31" s="278"/>
      <c r="M31" s="281"/>
    </row>
    <row r="32" spans="1:15" ht="21.75" customHeight="1">
      <c r="A32" s="286" t="s">
        <v>27</v>
      </c>
      <c r="B32" s="292" t="s">
        <v>28</v>
      </c>
      <c r="C32" s="293"/>
      <c r="D32" s="278"/>
      <c r="E32" s="278"/>
      <c r="F32" s="278"/>
      <c r="G32" s="278"/>
      <c r="H32" s="278"/>
      <c r="I32" s="278"/>
      <c r="J32" s="278"/>
      <c r="K32" s="278"/>
      <c r="L32" s="278"/>
      <c r="M32" s="281"/>
    </row>
    <row r="38" spans="1:6" ht="38.25">
      <c r="A38" s="287" t="s">
        <v>112</v>
      </c>
      <c r="B38" s="41" t="s">
        <v>203</v>
      </c>
      <c r="C38" s="42" t="s">
        <v>204</v>
      </c>
      <c r="D38" s="42" t="s">
        <v>205</v>
      </c>
      <c r="E38" s="42"/>
      <c r="F38" s="42" t="s">
        <v>206</v>
      </c>
    </row>
    <row r="39" spans="1:6" ht="14.25">
      <c r="A39" s="287">
        <v>1</v>
      </c>
      <c r="B39" s="280" t="s">
        <v>207</v>
      </c>
      <c r="C39" s="43">
        <f>G6</f>
        <v>11588.681017999999</v>
      </c>
      <c r="D39" s="44">
        <f>C39/16230</f>
        <v>0.71402840529882927</v>
      </c>
      <c r="E39" s="44"/>
      <c r="F39" s="41"/>
    </row>
    <row r="40" spans="1:6" ht="14.25">
      <c r="A40" s="287">
        <v>2</v>
      </c>
      <c r="B40" s="280" t="s">
        <v>942</v>
      </c>
      <c r="C40" s="43">
        <f>H6</f>
        <v>2660</v>
      </c>
      <c r="D40" s="44">
        <f t="shared" ref="D40:D43" si="6">C40/16230</f>
        <v>0.16389402341343193</v>
      </c>
      <c r="E40" s="44"/>
      <c r="F40" s="41"/>
    </row>
    <row r="41" spans="1:6" ht="14.25">
      <c r="A41" s="287">
        <v>3</v>
      </c>
      <c r="B41" s="280" t="s">
        <v>943</v>
      </c>
      <c r="C41" s="43">
        <f>I6</f>
        <v>266</v>
      </c>
      <c r="D41" s="44">
        <f t="shared" si="6"/>
        <v>1.6389402341343191E-2</v>
      </c>
      <c r="E41" s="44"/>
      <c r="F41" s="41"/>
    </row>
    <row r="42" spans="1:6" ht="14.25">
      <c r="A42" s="287">
        <v>4</v>
      </c>
      <c r="B42" s="280" t="s">
        <v>944</v>
      </c>
      <c r="C42" s="43">
        <f>J18</f>
        <v>1088.8014478015984</v>
      </c>
      <c r="D42" s="44">
        <f t="shared" si="6"/>
        <v>6.7085733074651779E-2</v>
      </c>
      <c r="E42" s="44"/>
      <c r="F42" s="45"/>
    </row>
    <row r="43" spans="1:6" ht="14.25">
      <c r="A43" s="287">
        <v>5</v>
      </c>
      <c r="B43" s="280" t="s">
        <v>208</v>
      </c>
      <c r="C43" s="43">
        <f>K30</f>
        <v>626.53929863206383</v>
      </c>
      <c r="D43" s="44">
        <f t="shared" si="6"/>
        <v>3.8603776871969427E-2</v>
      </c>
      <c r="E43" s="44"/>
      <c r="F43" s="45"/>
    </row>
    <row r="44" spans="1:6">
      <c r="A44" s="288"/>
      <c r="B44" s="48" t="s">
        <v>209</v>
      </c>
      <c r="C44" s="49">
        <f>SUM(C39:C43)</f>
        <v>16230.021764433661</v>
      </c>
      <c r="D44" s="46">
        <f>SUM(D39:D43)</f>
        <v>1.0000013410002258</v>
      </c>
      <c r="E44" s="46"/>
      <c r="F44" s="47"/>
    </row>
  </sheetData>
  <mergeCells count="32">
    <mergeCell ref="B14:C14"/>
    <mergeCell ref="M4:M5"/>
    <mergeCell ref="A4:A5"/>
    <mergeCell ref="B4:C5"/>
    <mergeCell ref="B30:C30"/>
    <mergeCell ref="B13:C13"/>
    <mergeCell ref="B10:C10"/>
    <mergeCell ref="B11:C11"/>
    <mergeCell ref="B12:C12"/>
    <mergeCell ref="B15:C15"/>
    <mergeCell ref="B27:C27"/>
    <mergeCell ref="B25:C25"/>
    <mergeCell ref="B16:C16"/>
    <mergeCell ref="B32:C32"/>
    <mergeCell ref="B17:C17"/>
    <mergeCell ref="B18:C18"/>
    <mergeCell ref="B29:C29"/>
    <mergeCell ref="B28:C28"/>
    <mergeCell ref="B19:C19"/>
    <mergeCell ref="B20:C20"/>
    <mergeCell ref="B21:C21"/>
    <mergeCell ref="B22:C22"/>
    <mergeCell ref="B23:C23"/>
    <mergeCell ref="B26:C26"/>
    <mergeCell ref="B24:C24"/>
    <mergeCell ref="A2:L2"/>
    <mergeCell ref="B6:C6"/>
    <mergeCell ref="B7:C7"/>
    <mergeCell ref="B8:C8"/>
    <mergeCell ref="B9:C9"/>
    <mergeCell ref="D4:F4"/>
    <mergeCell ref="G4:L4"/>
  </mergeCells>
  <phoneticPr fontId="7" type="noConversion"/>
  <pageMargins left="0.7" right="0.7" top="0.75" bottom="0.75" header="0.3" footer="0.3"/>
  <pageSetup paperSize="9" scale="59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view="pageBreakPreview" zoomScaleNormal="100" zoomScaleSheetLayoutView="100" workbookViewId="0">
      <selection activeCell="E21" sqref="E21"/>
    </sheetView>
  </sheetViews>
  <sheetFormatPr defaultRowHeight="13.5"/>
  <cols>
    <col min="2" max="2" width="16.125" customWidth="1"/>
    <col min="3" max="3" width="13.625" customWidth="1"/>
    <col min="4" max="4" width="15.75" customWidth="1"/>
    <col min="5" max="5" width="17.625" customWidth="1"/>
    <col min="6" max="6" width="22.125" customWidth="1"/>
  </cols>
  <sheetData>
    <row r="1" spans="1:6" ht="18.75">
      <c r="A1" s="301" t="s">
        <v>178</v>
      </c>
      <c r="B1" s="301"/>
      <c r="C1" s="301"/>
      <c r="D1" s="301"/>
      <c r="E1" s="301"/>
      <c r="F1" s="301"/>
    </row>
    <row r="2" spans="1:6">
      <c r="A2" s="18" t="str">
        <f>总概算表!A3</f>
        <v>项目名称：双柳基地专用设备制造车间建设项目</v>
      </c>
      <c r="B2" s="19"/>
      <c r="C2" s="20"/>
      <c r="D2" s="20"/>
      <c r="E2" s="19"/>
    </row>
    <row r="3" spans="1:6" ht="28.5">
      <c r="A3" s="21" t="s">
        <v>179</v>
      </c>
      <c r="B3" s="21" t="s">
        <v>180</v>
      </c>
      <c r="C3" s="22" t="s">
        <v>181</v>
      </c>
      <c r="D3" s="23" t="s">
        <v>182</v>
      </c>
      <c r="E3" s="22" t="s">
        <v>211</v>
      </c>
      <c r="F3" s="23" t="s">
        <v>212</v>
      </c>
    </row>
    <row r="4" spans="1:6" ht="16.5">
      <c r="A4" s="21"/>
      <c r="B4" s="24" t="s">
        <v>949</v>
      </c>
      <c r="C4" s="25">
        <v>42843.6</v>
      </c>
      <c r="D4" s="24"/>
      <c r="E4" s="26"/>
      <c r="F4" s="26"/>
    </row>
    <row r="5" spans="1:6" ht="14.25">
      <c r="A5" s="21">
        <v>1</v>
      </c>
      <c r="B5" s="24" t="s">
        <v>183</v>
      </c>
      <c r="C5" s="25">
        <f>土费!G96/10000</f>
        <v>9464.2851219999993</v>
      </c>
      <c r="D5" s="25"/>
      <c r="E5" s="25">
        <f>C5/C4*10000</f>
        <v>2209.0312490080196</v>
      </c>
      <c r="F5" s="25">
        <f>C5/C4*10000</f>
        <v>2209.0312490080196</v>
      </c>
    </row>
    <row r="6" spans="1:6" ht="14.25">
      <c r="A6" s="21">
        <v>2</v>
      </c>
      <c r="B6" s="24" t="s">
        <v>184</v>
      </c>
      <c r="C6" s="25">
        <f>水费!G31/10000+水设!H58</f>
        <v>180.63773700000002</v>
      </c>
      <c r="D6" s="25">
        <f>水设!G58</f>
        <v>2.8</v>
      </c>
      <c r="E6" s="25">
        <f>C6/C4*10000</f>
        <v>42.162128532616308</v>
      </c>
      <c r="F6" s="25">
        <f>(C6+D6)/C4*10000</f>
        <v>42.81566838454286</v>
      </c>
    </row>
    <row r="7" spans="1:6">
      <c r="A7" s="21">
        <v>3</v>
      </c>
      <c r="B7" s="21" t="s">
        <v>185</v>
      </c>
      <c r="C7" s="25">
        <f>暖费!G31/10000+暖设!I75</f>
        <v>35.972461999999993</v>
      </c>
      <c r="D7" s="25">
        <f>暖设!H75</f>
        <v>338.00500000000011</v>
      </c>
      <c r="E7" s="25">
        <f>C7/C4*10000</f>
        <v>8.3962276746118434</v>
      </c>
      <c r="F7" s="25">
        <f>(C7+D7)/C4*10000</f>
        <v>87.288991121194329</v>
      </c>
    </row>
    <row r="8" spans="1:6" ht="14.25">
      <c r="A8" s="21">
        <v>4</v>
      </c>
      <c r="B8" s="24" t="s">
        <v>186</v>
      </c>
      <c r="C8" s="25">
        <f>电费!G31/10000+电设!I58</f>
        <v>452.63208799999995</v>
      </c>
      <c r="D8" s="25">
        <f>电设!H58</f>
        <v>575.29999999999995</v>
      </c>
      <c r="E8" s="25">
        <f>C8/C4*10000</f>
        <v>105.64753848882913</v>
      </c>
      <c r="F8" s="25">
        <f>(C8+D8)/C4*10000</f>
        <v>239.92663735073617</v>
      </c>
    </row>
    <row r="9" spans="1:6">
      <c r="A9" s="21">
        <v>5</v>
      </c>
      <c r="B9" s="21" t="s">
        <v>225</v>
      </c>
      <c r="C9" s="25">
        <f>动费!G31/10000+动设!H58</f>
        <v>66.681205000000006</v>
      </c>
      <c r="D9" s="25">
        <f>动设!G58</f>
        <v>83.566000000000003</v>
      </c>
      <c r="E9" s="25">
        <f>C9/C4*10000</f>
        <v>15.563866014994073</v>
      </c>
      <c r="F9" s="25">
        <f>(C9+D9)/C4*10000</f>
        <v>35.06876289574172</v>
      </c>
    </row>
    <row r="10" spans="1:6" ht="14.25">
      <c r="A10" s="27"/>
      <c r="B10" s="27" t="s">
        <v>187</v>
      </c>
      <c r="C10" s="28">
        <f>SUM(C5:C9)</f>
        <v>10200.208613999999</v>
      </c>
      <c r="D10" s="28">
        <f>SUM(D5:D9)</f>
        <v>999.67100000000005</v>
      </c>
      <c r="E10" s="28">
        <f>SUM(E5:E9)</f>
        <v>2380.8010097190709</v>
      </c>
      <c r="F10" s="28">
        <f>SUM(F5:F9)</f>
        <v>2614.1313087602343</v>
      </c>
    </row>
  </sheetData>
  <mergeCells count="1">
    <mergeCell ref="A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40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showGridLines="0" view="pageBreakPreview" zoomScale="85" zoomScaleNormal="100" zoomScaleSheetLayoutView="85" workbookViewId="0">
      <selection activeCell="H6" sqref="H6"/>
    </sheetView>
  </sheetViews>
  <sheetFormatPr defaultRowHeight="13.5"/>
  <cols>
    <col min="1" max="12" width="17.5" customWidth="1"/>
  </cols>
  <sheetData>
    <row r="1" spans="1:12" ht="18" customHeight="1">
      <c r="A1" s="11" t="s">
        <v>29</v>
      </c>
    </row>
    <row r="2" spans="1:12" ht="22.5">
      <c r="A2" s="290" t="s">
        <v>30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</row>
    <row r="3" spans="1:12" ht="22.5">
      <c r="A3" s="6" t="str">
        <f>总概算表!A3</f>
        <v>项目名称：双柳基地专用设备制造车间建设项目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25.5" customHeight="1">
      <c r="A4" s="304" t="s">
        <v>31</v>
      </c>
      <c r="B4" s="304" t="s">
        <v>32</v>
      </c>
      <c r="C4" s="303" t="s">
        <v>42</v>
      </c>
      <c r="D4" s="303"/>
      <c r="E4" s="304" t="s">
        <v>34</v>
      </c>
      <c r="F4" s="304"/>
      <c r="G4" s="304"/>
      <c r="H4" s="304"/>
      <c r="I4" s="303" t="s">
        <v>39</v>
      </c>
      <c r="J4" s="303" t="s">
        <v>40</v>
      </c>
      <c r="K4" s="303" t="s">
        <v>41</v>
      </c>
      <c r="L4" s="303" t="s">
        <v>13</v>
      </c>
    </row>
    <row r="5" spans="1:12">
      <c r="A5" s="304"/>
      <c r="B5" s="304"/>
      <c r="C5" s="1" t="s">
        <v>33</v>
      </c>
      <c r="D5" s="1" t="s">
        <v>4</v>
      </c>
      <c r="E5" s="2" t="s">
        <v>35</v>
      </c>
      <c r="F5" s="2" t="s">
        <v>36</v>
      </c>
      <c r="G5" s="2" t="s">
        <v>37</v>
      </c>
      <c r="H5" s="2" t="s">
        <v>38</v>
      </c>
      <c r="I5" s="303"/>
      <c r="J5" s="303"/>
      <c r="K5" s="303"/>
      <c r="L5" s="303"/>
    </row>
    <row r="6" spans="1:12" ht="21.75" customHeight="1">
      <c r="A6" s="1"/>
      <c r="B6" s="1" t="s">
        <v>11</v>
      </c>
      <c r="C6" s="29">
        <f t="shared" ref="C6:F6" si="0">SUM(C7:C18)</f>
        <v>42843.6</v>
      </c>
      <c r="D6" s="29"/>
      <c r="E6" s="29">
        <f>SUM(E7:E18)</f>
        <v>10100.241513999999</v>
      </c>
      <c r="F6" s="29">
        <f t="shared" si="0"/>
        <v>999.67100000000005</v>
      </c>
      <c r="G6" s="29"/>
      <c r="H6" s="29">
        <f>SUM(H7:H18)</f>
        <v>11199.879613999999</v>
      </c>
      <c r="I6" s="29">
        <f>SUM(I9:I11)</f>
        <v>2660</v>
      </c>
      <c r="J6" s="29">
        <f>SUM(J9:J11)</f>
        <v>266</v>
      </c>
      <c r="K6" s="29">
        <f>SUM(K7:K18)</f>
        <v>14125.879613999999</v>
      </c>
      <c r="L6" s="15"/>
    </row>
    <row r="7" spans="1:12" ht="34.5" customHeight="1">
      <c r="A7" s="1" t="s">
        <v>43</v>
      </c>
      <c r="B7" s="51" t="s">
        <v>44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1.75" customHeight="1">
      <c r="A8" s="1" t="s">
        <v>45</v>
      </c>
      <c r="B8" s="1" t="s">
        <v>46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.75" customHeight="1">
      <c r="A9" s="1">
        <v>1</v>
      </c>
      <c r="B9" s="1" t="s">
        <v>47</v>
      </c>
      <c r="C9" s="1"/>
      <c r="D9" s="1"/>
      <c r="E9" s="1"/>
      <c r="F9" s="1"/>
      <c r="G9" s="1"/>
      <c r="H9" s="1"/>
      <c r="I9" s="1">
        <f>设备取费!L7</f>
        <v>2660</v>
      </c>
      <c r="J9" s="1">
        <f>设备取费!O7</f>
        <v>266</v>
      </c>
      <c r="K9" s="1">
        <f>SUM(I9:J9)</f>
        <v>2926</v>
      </c>
      <c r="L9" s="1"/>
    </row>
    <row r="10" spans="1:12" ht="21.75" customHeight="1">
      <c r="A10" s="1">
        <v>2</v>
      </c>
      <c r="B10" s="1" t="s">
        <v>48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.75" customHeight="1">
      <c r="A11" s="1">
        <v>3</v>
      </c>
      <c r="B11" s="1" t="s">
        <v>49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33" customHeight="1">
      <c r="A12" s="1">
        <v>4</v>
      </c>
      <c r="B12" s="52" t="s">
        <v>50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.75" customHeight="1">
      <c r="A13" s="1" t="s">
        <v>21</v>
      </c>
      <c r="B13" s="1" t="s">
        <v>51</v>
      </c>
      <c r="C13" s="17"/>
      <c r="D13" s="17"/>
      <c r="E13" s="17"/>
      <c r="F13" s="17"/>
      <c r="G13" s="17"/>
      <c r="H13" s="17"/>
      <c r="I13" s="17"/>
      <c r="J13" s="17"/>
      <c r="L13" s="1"/>
    </row>
    <row r="14" spans="1:12" ht="21.75" customHeight="1">
      <c r="A14" s="1">
        <v>1</v>
      </c>
      <c r="B14" s="1" t="s">
        <v>52</v>
      </c>
      <c r="C14" s="1">
        <f>汇总表!C4</f>
        <v>42843.6</v>
      </c>
      <c r="D14" s="1"/>
      <c r="E14" s="29">
        <f>土费!G96/10000</f>
        <v>9464.2851219999993</v>
      </c>
      <c r="F14" s="29"/>
      <c r="G14" s="29"/>
      <c r="H14" s="29">
        <f>SUM(E14:G14)</f>
        <v>9464.2851219999993</v>
      </c>
      <c r="I14" s="29"/>
      <c r="J14" s="29"/>
      <c r="K14" s="29">
        <f>SUM(H14,I14,J14)</f>
        <v>9464.2851219999993</v>
      </c>
      <c r="L14" s="1"/>
    </row>
    <row r="15" spans="1:12" ht="21.75" customHeight="1">
      <c r="A15" s="1">
        <v>2</v>
      </c>
      <c r="B15" s="1" t="s">
        <v>53</v>
      </c>
      <c r="C15" s="1"/>
      <c r="D15" s="1"/>
      <c r="E15" s="29">
        <f>水费!G31/10000</f>
        <v>180.35773700000001</v>
      </c>
      <c r="F15" s="29">
        <f>水设!G58</f>
        <v>2.8</v>
      </c>
      <c r="G15" s="29">
        <f>水设!H58</f>
        <v>0.28000000000000003</v>
      </c>
      <c r="H15" s="29">
        <f>SUM(E15:G15)</f>
        <v>183.43773700000003</v>
      </c>
      <c r="I15" s="29"/>
      <c r="J15" s="29"/>
      <c r="K15" s="29">
        <f t="shared" ref="K15:K16" si="1">SUM(H15,I15,J15)</f>
        <v>183.43773700000003</v>
      </c>
      <c r="L15" s="1"/>
    </row>
    <row r="16" spans="1:12" ht="21.75" customHeight="1">
      <c r="A16" s="15">
        <v>3</v>
      </c>
      <c r="B16" s="1" t="s">
        <v>177</v>
      </c>
      <c r="C16" s="1"/>
      <c r="D16" s="1"/>
      <c r="E16" s="29">
        <f>暖费!G31/10000</f>
        <v>2.1719619999999997</v>
      </c>
      <c r="F16" s="29">
        <f>暖设!H75</f>
        <v>338.00500000000011</v>
      </c>
      <c r="G16" s="29">
        <f>暖设!I75</f>
        <v>33.800499999999992</v>
      </c>
      <c r="H16" s="29">
        <f t="shared" ref="H16" si="2">SUM(E16:G16)</f>
        <v>373.97746200000012</v>
      </c>
      <c r="I16" s="29"/>
      <c r="J16" s="29"/>
      <c r="K16" s="29">
        <f t="shared" si="1"/>
        <v>373.97746200000012</v>
      </c>
      <c r="L16" s="1"/>
    </row>
    <row r="17" spans="1:12" ht="21.75" customHeight="1">
      <c r="A17" s="50">
        <v>4</v>
      </c>
      <c r="B17" s="1" t="s">
        <v>176</v>
      </c>
      <c r="C17" s="1"/>
      <c r="D17" s="1"/>
      <c r="E17" s="29">
        <f>电费!G31/10000</f>
        <v>395.10208799999998</v>
      </c>
      <c r="F17" s="29">
        <f>电设!H58</f>
        <v>575.29999999999995</v>
      </c>
      <c r="G17" s="29">
        <f>电设!I58</f>
        <v>57.53</v>
      </c>
      <c r="H17" s="29">
        <f>SUM(E17:G17)</f>
        <v>1027.932088</v>
      </c>
      <c r="I17" s="29"/>
      <c r="J17" s="29"/>
      <c r="K17" s="29">
        <f>SUM(H17,I17,J17)</f>
        <v>1027.932088</v>
      </c>
      <c r="L17" s="1"/>
    </row>
    <row r="18" spans="1:12" ht="21.75" customHeight="1">
      <c r="A18" s="1">
        <v>5</v>
      </c>
      <c r="B18" s="53" t="s">
        <v>224</v>
      </c>
      <c r="C18" s="1"/>
      <c r="D18" s="1"/>
      <c r="E18" s="29">
        <f>动费!G31/10000</f>
        <v>58.324605000000005</v>
      </c>
      <c r="F18" s="29">
        <f>动设!G58</f>
        <v>83.566000000000003</v>
      </c>
      <c r="G18" s="29">
        <f>动设!H58</f>
        <v>8.3566000000000003</v>
      </c>
      <c r="H18" s="29">
        <f>SUM(E18:G18)</f>
        <v>150.24720500000001</v>
      </c>
      <c r="I18" s="29"/>
      <c r="J18" s="29"/>
      <c r="K18" s="29">
        <f>SUM(H18,I18,J18)</f>
        <v>150.24720500000001</v>
      </c>
      <c r="L18" s="1"/>
    </row>
    <row r="19" spans="1:12" ht="21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1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1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mergeCells count="9">
    <mergeCell ref="A2:L2"/>
    <mergeCell ref="I4:I5"/>
    <mergeCell ref="J4:J5"/>
    <mergeCell ref="K4:K5"/>
    <mergeCell ref="L4:L5"/>
    <mergeCell ref="A4:A5"/>
    <mergeCell ref="B4:B5"/>
    <mergeCell ref="C4:D4"/>
    <mergeCell ref="E4:H4"/>
  </mergeCells>
  <phoneticPr fontId="1" type="noConversion"/>
  <pageMargins left="0.7" right="0.7" top="0.75" bottom="0.75" header="0.3" footer="0.3"/>
  <pageSetup paperSize="9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view="pageBreakPreview" zoomScale="70" zoomScaleNormal="100" zoomScaleSheetLayoutView="70" workbookViewId="0">
      <selection activeCell="E7" sqref="E7"/>
    </sheetView>
  </sheetViews>
  <sheetFormatPr defaultRowHeight="13.5"/>
  <cols>
    <col min="1" max="10" width="30.625" customWidth="1"/>
  </cols>
  <sheetData>
    <row r="1" spans="1:10" ht="18" customHeight="1">
      <c r="A1" s="11" t="s">
        <v>55</v>
      </c>
    </row>
    <row r="2" spans="1:10" ht="18" customHeight="1">
      <c r="A2" s="8"/>
      <c r="B2" s="8"/>
      <c r="C2" s="8"/>
      <c r="D2" s="8"/>
      <c r="E2" s="8" t="s">
        <v>56</v>
      </c>
      <c r="F2" s="9"/>
      <c r="G2" s="9"/>
      <c r="H2" s="9"/>
      <c r="I2" s="9"/>
      <c r="J2" s="9"/>
    </row>
    <row r="3" spans="1:10" ht="18" customHeight="1">
      <c r="A3" s="10" t="str">
        <f>总概算表!A3</f>
        <v>项目名称：双柳基地专用设备制造车间建设项目</v>
      </c>
    </row>
    <row r="4" spans="1:10" ht="18" customHeight="1">
      <c r="A4" s="304" t="s">
        <v>31</v>
      </c>
      <c r="B4" s="304" t="s">
        <v>57</v>
      </c>
      <c r="C4" s="304" t="s">
        <v>60</v>
      </c>
      <c r="D4" s="304" t="s">
        <v>61</v>
      </c>
      <c r="E4" s="304" t="s">
        <v>34</v>
      </c>
      <c r="F4" s="304"/>
      <c r="G4" s="304"/>
      <c r="H4" s="304"/>
      <c r="I4" s="303" t="s">
        <v>62</v>
      </c>
      <c r="J4" s="304" t="s">
        <v>63</v>
      </c>
    </row>
    <row r="5" spans="1:10" ht="18" customHeight="1">
      <c r="A5" s="304"/>
      <c r="B5" s="304"/>
      <c r="C5" s="304"/>
      <c r="D5" s="304"/>
      <c r="E5" s="1" t="s">
        <v>35</v>
      </c>
      <c r="F5" s="1" t="s">
        <v>58</v>
      </c>
      <c r="G5" s="1" t="s">
        <v>59</v>
      </c>
      <c r="H5" s="1" t="s">
        <v>11</v>
      </c>
      <c r="I5" s="303"/>
      <c r="J5" s="304"/>
    </row>
    <row r="6" spans="1:10" ht="52.5" customHeight="1">
      <c r="A6" s="1"/>
      <c r="B6" s="1" t="s">
        <v>11</v>
      </c>
      <c r="C6" s="1"/>
      <c r="D6" s="15"/>
      <c r="E6" s="29">
        <f>SUM(E7:E10)</f>
        <v>388.80140399999993</v>
      </c>
      <c r="F6" s="29"/>
      <c r="G6" s="29"/>
      <c r="H6" s="29">
        <f>SUM(H7:H10)</f>
        <v>388.80140399999993</v>
      </c>
      <c r="I6" s="1"/>
      <c r="J6" s="1"/>
    </row>
    <row r="7" spans="1:10" ht="52.5" customHeight="1">
      <c r="A7" s="1">
        <v>1</v>
      </c>
      <c r="B7" s="1" t="str">
        <f>总概算表!B15</f>
        <v>室外给排水管网</v>
      </c>
      <c r="C7" s="1"/>
      <c r="D7" s="1"/>
      <c r="E7" s="29">
        <f>室外水费!G31/10000</f>
        <v>67.799588999999997</v>
      </c>
      <c r="F7" s="1"/>
      <c r="G7" s="17"/>
      <c r="H7" s="29">
        <f>SUM(E7:G7)</f>
        <v>67.799588999999997</v>
      </c>
      <c r="I7" s="1"/>
      <c r="J7" s="1"/>
    </row>
    <row r="8" spans="1:10" ht="52.5" customHeight="1">
      <c r="A8" s="1">
        <v>2</v>
      </c>
      <c r="B8" s="1" t="s">
        <v>908</v>
      </c>
      <c r="C8" s="1" t="s">
        <v>910</v>
      </c>
      <c r="D8" s="1">
        <v>13000</v>
      </c>
      <c r="E8" s="1">
        <f>I8*D8/10000</f>
        <v>234</v>
      </c>
      <c r="F8" s="1"/>
      <c r="G8" s="1"/>
      <c r="H8" s="29">
        <f t="shared" ref="H8:H10" si="0">SUM(E8:G8)</f>
        <v>234</v>
      </c>
      <c r="I8" s="1">
        <v>180</v>
      </c>
      <c r="J8" s="1"/>
    </row>
    <row r="9" spans="1:10" ht="52.5" customHeight="1">
      <c r="A9" s="1">
        <v>3</v>
      </c>
      <c r="B9" s="1" t="s">
        <v>909</v>
      </c>
      <c r="C9" s="54" t="s">
        <v>910</v>
      </c>
      <c r="D9" s="1">
        <v>2300</v>
      </c>
      <c r="E9" s="54">
        <f>I9*D9/10000</f>
        <v>18.399999999999999</v>
      </c>
      <c r="F9" s="1"/>
      <c r="G9" s="1"/>
      <c r="H9" s="29">
        <f t="shared" si="0"/>
        <v>18.399999999999999</v>
      </c>
      <c r="I9" s="1">
        <v>80</v>
      </c>
      <c r="J9" s="1"/>
    </row>
    <row r="10" spans="1:10" ht="52.5" customHeight="1">
      <c r="A10" s="1">
        <v>4</v>
      </c>
      <c r="B10" s="1" t="s">
        <v>939</v>
      </c>
      <c r="C10" s="1"/>
      <c r="D10" s="1"/>
      <c r="E10" s="29">
        <f>室外电费!G31/10000</f>
        <v>68.601815000000002</v>
      </c>
      <c r="F10" s="1"/>
      <c r="G10" s="1"/>
      <c r="H10" s="29">
        <f t="shared" si="0"/>
        <v>68.601815000000002</v>
      </c>
      <c r="I10" s="1"/>
      <c r="J10" s="1"/>
    </row>
    <row r="11" spans="1:10" ht="52.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52.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52.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52.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52.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9" spans="2:2">
      <c r="B19" s="10"/>
    </row>
  </sheetData>
  <mergeCells count="7">
    <mergeCell ref="J4:J5"/>
    <mergeCell ref="A4:A5"/>
    <mergeCell ref="B4:B5"/>
    <mergeCell ref="C4:C5"/>
    <mergeCell ref="D4:D5"/>
    <mergeCell ref="E4:H4"/>
    <mergeCell ref="I4:I5"/>
  </mergeCells>
  <phoneticPr fontId="1" type="noConversion"/>
  <pageMargins left="0.7" right="0.7" top="0.75" bottom="0.75" header="0.3" footer="0.3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showGridLines="0" workbookViewId="0">
      <selection activeCell="D27" sqref="D27"/>
    </sheetView>
  </sheetViews>
  <sheetFormatPr defaultRowHeight="13.5"/>
  <cols>
    <col min="2" max="2" width="17.875" customWidth="1"/>
    <col min="5" max="5" width="15.75" customWidth="1"/>
    <col min="6" max="6" width="13.625" customWidth="1"/>
    <col min="7" max="7" width="14" customWidth="1"/>
    <col min="9" max="9" width="11" customWidth="1"/>
  </cols>
  <sheetData>
    <row r="1" spans="1:10" ht="18" customHeight="1">
      <c r="A1" s="12" t="s">
        <v>65</v>
      </c>
    </row>
    <row r="2" spans="1:10" ht="18" customHeight="1">
      <c r="A2" s="8"/>
      <c r="B2" s="8"/>
      <c r="C2" s="8"/>
      <c r="D2" s="8"/>
      <c r="E2" s="8" t="s">
        <v>64</v>
      </c>
      <c r="F2" s="9"/>
      <c r="G2" s="9"/>
      <c r="H2" s="9"/>
      <c r="I2" s="9"/>
      <c r="J2" s="9"/>
    </row>
    <row r="3" spans="1:10" ht="18" customHeight="1">
      <c r="A3" s="10" t="s">
        <v>54</v>
      </c>
    </row>
    <row r="4" spans="1:10" ht="18" customHeight="1">
      <c r="A4" s="304" t="s">
        <v>31</v>
      </c>
      <c r="B4" s="304" t="s">
        <v>57</v>
      </c>
      <c r="C4" s="304" t="s">
        <v>60</v>
      </c>
      <c r="D4" s="304" t="s">
        <v>61</v>
      </c>
      <c r="E4" s="304" t="s">
        <v>34</v>
      </c>
      <c r="F4" s="304"/>
      <c r="G4" s="304"/>
      <c r="H4" s="304"/>
      <c r="I4" s="303" t="s">
        <v>62</v>
      </c>
      <c r="J4" s="304" t="s">
        <v>63</v>
      </c>
    </row>
    <row r="5" spans="1:10" ht="18" customHeight="1">
      <c r="A5" s="304"/>
      <c r="B5" s="304"/>
      <c r="C5" s="304"/>
      <c r="D5" s="304"/>
      <c r="E5" s="1" t="s">
        <v>35</v>
      </c>
      <c r="F5" s="1" t="s">
        <v>58</v>
      </c>
      <c r="G5" s="1" t="s">
        <v>59</v>
      </c>
      <c r="H5" s="1" t="s">
        <v>11</v>
      </c>
      <c r="I5" s="303"/>
      <c r="J5" s="304"/>
    </row>
    <row r="6" spans="1:10" ht="18" customHeight="1">
      <c r="A6" s="1"/>
      <c r="B6" s="1" t="s">
        <v>11</v>
      </c>
      <c r="C6" s="1"/>
      <c r="D6" s="1"/>
      <c r="E6" s="1"/>
      <c r="F6" s="1"/>
      <c r="G6" s="1"/>
      <c r="H6" s="1"/>
      <c r="I6" s="1"/>
      <c r="J6" s="1"/>
    </row>
    <row r="7" spans="1:10" ht="18" customHeight="1">
      <c r="A7" s="1">
        <v>1</v>
      </c>
      <c r="B7" s="1"/>
      <c r="C7" s="1"/>
      <c r="D7" s="1"/>
      <c r="E7" s="1"/>
      <c r="F7" s="1"/>
      <c r="G7" s="1"/>
      <c r="H7" s="1"/>
      <c r="I7" s="1"/>
      <c r="J7" s="1"/>
    </row>
    <row r="8" spans="1:10" ht="18" customHeight="1">
      <c r="A8" s="1">
        <v>2</v>
      </c>
      <c r="B8" s="1"/>
      <c r="C8" s="1"/>
      <c r="D8" s="1"/>
      <c r="E8" s="1"/>
      <c r="F8" s="1"/>
      <c r="G8" s="1"/>
      <c r="H8" s="1"/>
      <c r="I8" s="1"/>
      <c r="J8" s="1"/>
    </row>
    <row r="9" spans="1:10" ht="18" customHeight="1">
      <c r="A9" s="1">
        <v>3</v>
      </c>
      <c r="B9" s="1"/>
      <c r="C9" s="1"/>
      <c r="D9" s="1"/>
      <c r="E9" s="1"/>
      <c r="F9" s="1"/>
      <c r="G9" s="1"/>
      <c r="H9" s="1"/>
      <c r="I9" s="1"/>
      <c r="J9" s="1"/>
    </row>
    <row r="10" spans="1: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7">
    <mergeCell ref="J4:J5"/>
    <mergeCell ref="A4:A5"/>
    <mergeCell ref="B4:B5"/>
    <mergeCell ref="C4:C5"/>
    <mergeCell ref="D4:D5"/>
    <mergeCell ref="E4:H4"/>
    <mergeCell ref="I4:I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view="pageBreakPreview" zoomScaleNormal="100" zoomScaleSheetLayoutView="100" workbookViewId="0">
      <selection activeCell="F7" sqref="F7"/>
    </sheetView>
  </sheetViews>
  <sheetFormatPr defaultRowHeight="13.5"/>
  <cols>
    <col min="1" max="7" width="22.125" customWidth="1"/>
  </cols>
  <sheetData>
    <row r="1" spans="1:7" ht="18" customHeight="1">
      <c r="A1" s="11" t="s">
        <v>77</v>
      </c>
    </row>
    <row r="2" spans="1:7" ht="18" customHeight="1">
      <c r="A2" s="305" t="s">
        <v>66</v>
      </c>
      <c r="B2" s="305"/>
      <c r="C2" s="305"/>
      <c r="D2" s="305"/>
      <c r="E2" s="305"/>
      <c r="F2" s="305"/>
      <c r="G2" s="305"/>
    </row>
    <row r="3" spans="1:7" ht="18" customHeight="1">
      <c r="A3" t="str">
        <f>总概算表!A3</f>
        <v>项目名称：双柳基地专用设备制造车间建设项目</v>
      </c>
    </row>
    <row r="4" spans="1:7">
      <c r="A4" s="1" t="s">
        <v>31</v>
      </c>
      <c r="B4" s="1" t="s">
        <v>67</v>
      </c>
      <c r="C4" s="1" t="s">
        <v>68</v>
      </c>
      <c r="D4" s="1" t="s">
        <v>69</v>
      </c>
      <c r="E4" s="1" t="s">
        <v>70</v>
      </c>
      <c r="F4" s="2" t="s">
        <v>71</v>
      </c>
      <c r="G4" s="1" t="s">
        <v>13</v>
      </c>
    </row>
    <row r="5" spans="1:7" ht="21.75" customHeight="1">
      <c r="A5" s="1"/>
      <c r="B5" s="1" t="s">
        <v>11</v>
      </c>
      <c r="C5" s="1"/>
      <c r="D5" s="1"/>
      <c r="E5" s="1"/>
      <c r="F5" s="38">
        <f>SUM(F7:F16,F19)</f>
        <v>1715.3407464336624</v>
      </c>
      <c r="G5" s="1"/>
    </row>
    <row r="6" spans="1:7" ht="21.75" customHeight="1">
      <c r="A6" s="1" t="s">
        <v>72</v>
      </c>
      <c r="B6" s="1" t="s">
        <v>24</v>
      </c>
      <c r="C6" s="1"/>
      <c r="D6" s="1"/>
      <c r="E6" s="1"/>
      <c r="F6" s="38">
        <f>SUM(F7:F16)</f>
        <v>1088.8014478015984</v>
      </c>
      <c r="G6" s="1"/>
    </row>
    <row r="7" spans="1:7" ht="21.75" customHeight="1">
      <c r="A7" s="15">
        <v>1</v>
      </c>
      <c r="B7" s="30" t="str">
        <f>总概算表!B19</f>
        <v xml:space="preserve">建设单位管理费 </v>
      </c>
      <c r="C7" s="31" t="s">
        <v>210</v>
      </c>
      <c r="D7" s="15"/>
      <c r="E7" s="38"/>
      <c r="F7" s="38">
        <f>总概算表!K19</f>
        <v>162.84</v>
      </c>
      <c r="G7" s="15"/>
    </row>
    <row r="8" spans="1:7" ht="21.75" customHeight="1">
      <c r="A8" s="15">
        <v>2</v>
      </c>
      <c r="B8" s="30" t="str">
        <f>总概算表!B20</f>
        <v>前期工作费</v>
      </c>
      <c r="C8" s="32" t="s">
        <v>196</v>
      </c>
      <c r="D8" s="32" t="s">
        <v>202</v>
      </c>
      <c r="E8" s="38">
        <f>总概算表!N6</f>
        <v>16230</v>
      </c>
      <c r="F8" s="38">
        <f>总概算表!K20</f>
        <v>72.304249999999996</v>
      </c>
      <c r="G8" s="15"/>
    </row>
    <row r="9" spans="1:7" ht="21.75" customHeight="1">
      <c r="A9" s="53">
        <v>3</v>
      </c>
      <c r="B9" s="30" t="str">
        <f>总概算表!B21</f>
        <v>建设工程监理费</v>
      </c>
      <c r="C9" s="32" t="s">
        <v>198</v>
      </c>
      <c r="D9" s="36"/>
      <c r="E9" s="38" t="e">
        <f>总概算表!#REF!</f>
        <v>#REF!</v>
      </c>
      <c r="F9" s="38">
        <f>总概算表!K21</f>
        <v>251.01982419463997</v>
      </c>
      <c r="G9" s="15"/>
    </row>
    <row r="10" spans="1:7" ht="21.75" customHeight="1">
      <c r="A10" s="53">
        <v>4</v>
      </c>
      <c r="B10" s="30" t="str">
        <f>总概算表!B22</f>
        <v>工程设计费</v>
      </c>
      <c r="C10" s="32" t="s">
        <v>197</v>
      </c>
      <c r="D10" s="32" t="s">
        <v>202</v>
      </c>
      <c r="E10" s="38" t="e">
        <f>E9</f>
        <v>#REF!</v>
      </c>
      <c r="F10" s="38">
        <f>总概算表!K22</f>
        <v>442.56967858068879</v>
      </c>
      <c r="G10" s="15"/>
    </row>
    <row r="11" spans="1:7" ht="21.75" customHeight="1">
      <c r="A11" s="53">
        <v>5</v>
      </c>
      <c r="B11" s="30" t="str">
        <f>总概算表!B23</f>
        <v>施工图审查费</v>
      </c>
      <c r="C11" s="33" t="s">
        <v>199</v>
      </c>
      <c r="D11" s="37">
        <v>0.05</v>
      </c>
      <c r="E11" s="38">
        <f>F10</f>
        <v>442.56967858068879</v>
      </c>
      <c r="F11" s="38">
        <f>总概算表!K23</f>
        <v>22.128483929034442</v>
      </c>
      <c r="G11" s="15"/>
    </row>
    <row r="12" spans="1:7" ht="21.75" customHeight="1">
      <c r="A12" s="54">
        <v>6</v>
      </c>
      <c r="B12" s="30" t="str">
        <f>总概算表!B24</f>
        <v>地勘费</v>
      </c>
      <c r="C12" s="33"/>
      <c r="D12" s="37" t="s">
        <v>913</v>
      </c>
      <c r="E12" s="38" t="e">
        <f>总概算表!#REF!</f>
        <v>#REF!</v>
      </c>
      <c r="F12" s="38">
        <f>总概算表!K24</f>
        <v>64.2654</v>
      </c>
      <c r="G12" s="54"/>
    </row>
    <row r="13" spans="1:7" ht="21.75" customHeight="1">
      <c r="A13" s="54">
        <v>7</v>
      </c>
      <c r="B13" s="30" t="str">
        <f>总概算表!B25</f>
        <v>招标代理费</v>
      </c>
      <c r="C13" s="33"/>
      <c r="D13" s="32"/>
      <c r="E13" s="38"/>
      <c r="F13" s="38">
        <f>总概算表!K25</f>
        <v>48.002340509</v>
      </c>
      <c r="G13" s="54"/>
    </row>
    <row r="14" spans="1:7" ht="21.75" customHeight="1">
      <c r="A14" s="54">
        <v>8</v>
      </c>
      <c r="B14" s="30" t="str">
        <f>总概算表!B26</f>
        <v>环境影响咨询费</v>
      </c>
      <c r="C14" s="34" t="s">
        <v>200</v>
      </c>
      <c r="D14" s="32" t="s">
        <v>202</v>
      </c>
      <c r="E14" s="38">
        <f>E8</f>
        <v>16230</v>
      </c>
      <c r="F14" s="38">
        <f>总概算表!K26</f>
        <v>15.671470588235294</v>
      </c>
      <c r="G14" s="15"/>
    </row>
    <row r="15" spans="1:7" ht="21.75" customHeight="1">
      <c r="A15" s="54">
        <v>9</v>
      </c>
      <c r="B15" s="30" t="str">
        <f>总概算表!B27</f>
        <v>职业卫生评价费</v>
      </c>
      <c r="C15" s="35" t="s">
        <v>201</v>
      </c>
      <c r="D15" s="32"/>
      <c r="E15" s="38"/>
      <c r="F15" s="38">
        <f>总概算表!K27</f>
        <v>5</v>
      </c>
      <c r="G15" s="15"/>
    </row>
    <row r="16" spans="1:7" ht="21.75" customHeight="1">
      <c r="A16" s="54">
        <v>10</v>
      </c>
      <c r="B16" s="30" t="str">
        <f>总概算表!B28</f>
        <v>劳动安全评价费</v>
      </c>
      <c r="C16" s="35" t="s">
        <v>201</v>
      </c>
      <c r="D16" s="32"/>
      <c r="E16" s="38"/>
      <c r="F16" s="38">
        <f>总概算表!K28</f>
        <v>5</v>
      </c>
      <c r="G16" s="1"/>
    </row>
    <row r="17" spans="1:7" ht="21.75" customHeight="1">
      <c r="A17" s="1"/>
      <c r="B17" s="1"/>
      <c r="C17" s="1"/>
      <c r="D17" s="1"/>
      <c r="E17" s="38"/>
      <c r="F17" s="38"/>
      <c r="G17" s="1"/>
    </row>
    <row r="18" spans="1:7" ht="21.75" customHeight="1">
      <c r="A18" s="1" t="s">
        <v>23</v>
      </c>
      <c r="B18" s="1" t="s">
        <v>73</v>
      </c>
      <c r="C18" s="1"/>
      <c r="D18" s="1"/>
      <c r="E18" s="38"/>
      <c r="F18" s="38"/>
      <c r="G18" s="1"/>
    </row>
    <row r="19" spans="1:7" ht="21.75" customHeight="1">
      <c r="A19" s="1">
        <v>1</v>
      </c>
      <c r="B19" s="1" t="s">
        <v>74</v>
      </c>
      <c r="C19" s="1"/>
      <c r="D19" s="40" t="e">
        <f>F19/(总概算表!#REF!+总概算表!#REF!)</f>
        <v>#REF!</v>
      </c>
      <c r="E19" s="38"/>
      <c r="F19" s="38">
        <f>总概算表!K30</f>
        <v>626.53929863206383</v>
      </c>
      <c r="G19" s="1"/>
    </row>
    <row r="20" spans="1:7" ht="21.75" customHeight="1">
      <c r="A20" s="15"/>
      <c r="B20" s="15"/>
      <c r="C20" s="15"/>
      <c r="D20" s="15"/>
      <c r="E20" s="38"/>
      <c r="F20" s="38"/>
      <c r="G20" s="15"/>
    </row>
    <row r="21" spans="1:7" ht="21.75" customHeight="1">
      <c r="A21" s="1" t="s">
        <v>25</v>
      </c>
      <c r="B21" s="1" t="s">
        <v>75</v>
      </c>
      <c r="C21" s="1"/>
      <c r="D21" s="1"/>
      <c r="E21" s="38"/>
      <c r="F21" s="38"/>
      <c r="G21" s="1"/>
    </row>
    <row r="22" spans="1:7" ht="21.75" customHeight="1">
      <c r="A22" s="1"/>
      <c r="B22" s="1"/>
      <c r="C22" s="1"/>
      <c r="D22" s="1"/>
      <c r="E22" s="38"/>
      <c r="F22" s="38"/>
      <c r="G22" s="1"/>
    </row>
    <row r="23" spans="1:7" ht="21.75" customHeight="1">
      <c r="A23" s="1"/>
      <c r="B23" s="1"/>
      <c r="C23" s="1"/>
      <c r="D23" s="1"/>
      <c r="E23" s="38"/>
      <c r="F23" s="38"/>
      <c r="G23" s="1"/>
    </row>
    <row r="24" spans="1:7" ht="21.75" customHeight="1">
      <c r="A24" s="1"/>
      <c r="B24" s="1"/>
      <c r="C24" s="1"/>
      <c r="D24" s="1"/>
      <c r="E24" s="38"/>
      <c r="F24" s="38"/>
      <c r="G24" s="1"/>
    </row>
    <row r="25" spans="1:7" ht="21.75" customHeight="1">
      <c r="A25" s="1"/>
      <c r="B25" s="1"/>
      <c r="C25" s="1"/>
      <c r="D25" s="1"/>
      <c r="E25" s="38"/>
      <c r="F25" s="38"/>
      <c r="G25" s="1"/>
    </row>
    <row r="26" spans="1:7" ht="21.75" customHeight="1">
      <c r="A26" s="1"/>
      <c r="B26" s="1"/>
      <c r="C26" s="1"/>
      <c r="D26" s="1"/>
      <c r="E26" s="38"/>
      <c r="F26" s="38"/>
      <c r="G26" s="1"/>
    </row>
    <row r="27" spans="1:7" ht="18" customHeight="1">
      <c r="E27" s="39"/>
      <c r="F27" s="39"/>
    </row>
    <row r="28" spans="1:7" ht="18" customHeight="1">
      <c r="E28" s="39"/>
      <c r="F28" s="39"/>
    </row>
    <row r="29" spans="1:7" ht="18" customHeight="1"/>
    <row r="30" spans="1:7" ht="18" customHeight="1"/>
    <row r="31" spans="1:7" ht="18" customHeight="1"/>
    <row r="32" spans="1:7" ht="18" customHeight="1"/>
  </sheetData>
  <mergeCells count="1">
    <mergeCell ref="A2:G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showGridLines="0" workbookViewId="0">
      <selection activeCell="P8" sqref="P8"/>
    </sheetView>
  </sheetViews>
  <sheetFormatPr defaultRowHeight="13.5"/>
  <cols>
    <col min="2" max="2" width="20.375" customWidth="1"/>
    <col min="3" max="3" width="6" customWidth="1"/>
    <col min="5" max="5" width="10.625" customWidth="1"/>
    <col min="10" max="10" width="10.875" customWidth="1"/>
    <col min="12" max="12" width="7.75" customWidth="1"/>
    <col min="14" max="14" width="10.75" customWidth="1"/>
  </cols>
  <sheetData>
    <row r="1" spans="1:16" ht="18" customHeight="1">
      <c r="A1" s="11" t="s">
        <v>76</v>
      </c>
    </row>
    <row r="2" spans="1:16" ht="18" customHeight="1">
      <c r="E2" s="14" t="s">
        <v>78</v>
      </c>
    </row>
    <row r="3" spans="1:16" ht="18" customHeight="1">
      <c r="A3" s="13" t="s">
        <v>79</v>
      </c>
      <c r="O3" t="s">
        <v>80</v>
      </c>
    </row>
    <row r="4" spans="1:16" ht="18" customHeight="1">
      <c r="A4" s="311" t="s">
        <v>81</v>
      </c>
      <c r="B4" s="311" t="s">
        <v>95</v>
      </c>
      <c r="C4" s="306" t="s">
        <v>96</v>
      </c>
      <c r="D4" s="309" t="s">
        <v>82</v>
      </c>
      <c r="E4" s="314"/>
      <c r="F4" s="314"/>
      <c r="G4" s="314"/>
      <c r="H4" s="314"/>
      <c r="I4" s="314"/>
      <c r="J4" s="314"/>
      <c r="K4" s="310"/>
      <c r="L4" s="309" t="s">
        <v>93</v>
      </c>
      <c r="M4" s="310"/>
      <c r="N4" s="309" t="s">
        <v>92</v>
      </c>
      <c r="O4" s="310"/>
      <c r="P4" s="306" t="s">
        <v>94</v>
      </c>
    </row>
    <row r="5" spans="1:16" ht="18" customHeight="1">
      <c r="A5" s="312"/>
      <c r="B5" s="312"/>
      <c r="C5" s="307"/>
      <c r="D5" s="309" t="s">
        <v>83</v>
      </c>
      <c r="E5" s="314"/>
      <c r="F5" s="314"/>
      <c r="G5" s="314"/>
      <c r="H5" s="314"/>
      <c r="I5" s="310"/>
      <c r="J5" s="311" t="s">
        <v>90</v>
      </c>
      <c r="K5" s="311" t="s">
        <v>91</v>
      </c>
      <c r="L5" s="306" t="s">
        <v>97</v>
      </c>
      <c r="M5" s="306" t="s">
        <v>98</v>
      </c>
      <c r="N5" s="306" t="s">
        <v>99</v>
      </c>
      <c r="O5" s="306" t="s">
        <v>100</v>
      </c>
      <c r="P5" s="307"/>
    </row>
    <row r="6" spans="1:16" ht="28.5" customHeight="1">
      <c r="A6" s="313"/>
      <c r="B6" s="313"/>
      <c r="C6" s="308"/>
      <c r="D6" s="5" t="s">
        <v>84</v>
      </c>
      <c r="E6" s="5" t="s">
        <v>85</v>
      </c>
      <c r="F6" s="5" t="s">
        <v>86</v>
      </c>
      <c r="G6" s="5" t="s">
        <v>87</v>
      </c>
      <c r="H6" s="2" t="s">
        <v>88</v>
      </c>
      <c r="I6" s="5" t="s">
        <v>89</v>
      </c>
      <c r="J6" s="313"/>
      <c r="K6" s="313"/>
      <c r="L6" s="308"/>
      <c r="M6" s="308"/>
      <c r="N6" s="308"/>
      <c r="O6" s="308"/>
      <c r="P6" s="308"/>
    </row>
    <row r="7" spans="1:16" ht="18" customHeight="1">
      <c r="A7" s="5"/>
      <c r="B7" s="5" t="s">
        <v>101</v>
      </c>
      <c r="C7" s="5"/>
      <c r="D7" s="5"/>
      <c r="E7" s="5"/>
      <c r="F7" s="5"/>
      <c r="G7" s="5"/>
      <c r="H7" s="5"/>
      <c r="I7" s="5"/>
      <c r="J7" s="5"/>
      <c r="K7" s="5">
        <f>SUM(K15:K30)</f>
        <v>1250</v>
      </c>
      <c r="L7" s="54">
        <f>SUM(L15:L30)</f>
        <v>2660</v>
      </c>
      <c r="M7" s="5"/>
      <c r="N7" s="5"/>
      <c r="O7" s="5">
        <f>SUM(O15:O30)</f>
        <v>266</v>
      </c>
      <c r="P7" s="54">
        <f>SUM(P15:P30)</f>
        <v>2926</v>
      </c>
    </row>
    <row r="8" spans="1:16" ht="18" customHeight="1">
      <c r="A8" s="5"/>
      <c r="B8" s="5" t="s">
        <v>102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8" customHeight="1">
      <c r="A9" s="5"/>
      <c r="B9" s="5" t="s">
        <v>103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8" customHeight="1">
      <c r="A10" s="5"/>
      <c r="B10" s="5" t="s">
        <v>104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8" customHeight="1">
      <c r="A11" s="5"/>
      <c r="B11" s="5" t="s">
        <v>105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8" customHeight="1">
      <c r="A12" s="5" t="s">
        <v>106</v>
      </c>
      <c r="B12" s="5" t="s">
        <v>109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8" customHeight="1">
      <c r="A13" s="5" t="s">
        <v>107</v>
      </c>
      <c r="B13" s="5" t="s">
        <v>108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8" customHeight="1">
      <c r="A14" s="5" t="str">
        <f>工艺设备!A6</f>
        <v>一</v>
      </c>
      <c r="B14" s="5" t="str">
        <f>工艺设备!B6</f>
        <v>钛合金产品制造区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8" customHeight="1">
      <c r="A15" s="54">
        <f>工艺设备!A7</f>
        <v>1</v>
      </c>
      <c r="B15" s="54" t="str">
        <f>工艺设备!B7</f>
        <v>桥式起重机</v>
      </c>
      <c r="C15" s="5">
        <f>工艺设备!F7</f>
        <v>2</v>
      </c>
      <c r="D15" s="5">
        <f>工艺设备!G7</f>
        <v>75</v>
      </c>
      <c r="E15" s="5"/>
      <c r="F15" s="5"/>
      <c r="G15" s="5"/>
      <c r="H15" s="5"/>
      <c r="I15" s="5"/>
      <c r="J15" s="5"/>
      <c r="K15" s="5">
        <f>SUM(D15,F15:J15)</f>
        <v>75</v>
      </c>
      <c r="L15" s="5">
        <f>K15*C15</f>
        <v>150</v>
      </c>
      <c r="M15" s="5"/>
      <c r="N15" s="40">
        <v>0.1</v>
      </c>
      <c r="O15" s="5">
        <f>N15*L15</f>
        <v>15</v>
      </c>
      <c r="P15" s="5">
        <f>O15+L15</f>
        <v>165</v>
      </c>
    </row>
    <row r="16" spans="1:16" ht="18" customHeight="1">
      <c r="A16" s="54">
        <f>工艺设备!A8</f>
        <v>2</v>
      </c>
      <c r="B16" s="54" t="str">
        <f>工艺设备!B8</f>
        <v>桥式起重机</v>
      </c>
      <c r="C16" s="54">
        <f>工艺设备!F8</f>
        <v>2</v>
      </c>
      <c r="D16" s="54">
        <f>工艺设备!G8</f>
        <v>35</v>
      </c>
      <c r="E16" s="5"/>
      <c r="F16" s="5"/>
      <c r="G16" s="5"/>
      <c r="H16" s="5"/>
      <c r="I16" s="5"/>
      <c r="J16" s="5"/>
      <c r="K16" s="54">
        <f t="shared" ref="K16:K30" si="0">SUM(D16,F16:J16)</f>
        <v>35</v>
      </c>
      <c r="L16" s="54">
        <f t="shared" ref="L16:L30" si="1">K16*C16</f>
        <v>70</v>
      </c>
      <c r="M16" s="5"/>
      <c r="N16" s="40">
        <v>0.1</v>
      </c>
      <c r="O16" s="54">
        <f t="shared" ref="O16:O30" si="2">N16*L16</f>
        <v>7</v>
      </c>
      <c r="P16" s="54">
        <f t="shared" ref="P16:P22" si="3">O16+L16</f>
        <v>77</v>
      </c>
    </row>
    <row r="17" spans="1:16" ht="18" customHeight="1">
      <c r="A17" s="54">
        <f>工艺设备!A9</f>
        <v>3</v>
      </c>
      <c r="B17" s="54" t="str">
        <f>工艺设备!B9</f>
        <v>桥式起重机</v>
      </c>
      <c r="C17" s="54">
        <f>工艺设备!F9</f>
        <v>2</v>
      </c>
      <c r="D17" s="54">
        <f>工艺设备!G9</f>
        <v>20</v>
      </c>
      <c r="E17" s="5"/>
      <c r="F17" s="5"/>
      <c r="G17" s="5"/>
      <c r="H17" s="5"/>
      <c r="I17" s="5"/>
      <c r="J17" s="5"/>
      <c r="K17" s="54">
        <f t="shared" si="0"/>
        <v>20</v>
      </c>
      <c r="L17" s="54">
        <f t="shared" si="1"/>
        <v>40</v>
      </c>
      <c r="M17" s="5"/>
      <c r="N17" s="40">
        <v>0.1</v>
      </c>
      <c r="O17" s="54">
        <f t="shared" si="2"/>
        <v>4</v>
      </c>
      <c r="P17" s="54">
        <f t="shared" si="3"/>
        <v>44</v>
      </c>
    </row>
    <row r="18" spans="1:16" ht="18" customHeight="1">
      <c r="A18" s="54" t="str">
        <f>工艺设备!A10</f>
        <v>二</v>
      </c>
      <c r="B18" s="54" t="str">
        <f>工艺设备!B10</f>
        <v>轻型设备制造区</v>
      </c>
      <c r="C18" s="54"/>
      <c r="D18" s="54">
        <f>工艺设备!G10</f>
        <v>0</v>
      </c>
      <c r="E18" s="5"/>
      <c r="F18" s="5"/>
      <c r="G18" s="5"/>
      <c r="H18" s="5"/>
      <c r="I18" s="5"/>
      <c r="J18" s="5"/>
      <c r="K18" s="54"/>
      <c r="L18" s="54"/>
      <c r="M18" s="5"/>
      <c r="N18" s="40"/>
      <c r="O18" s="54"/>
      <c r="P18" s="5"/>
    </row>
    <row r="19" spans="1:16" ht="18" customHeight="1">
      <c r="A19" s="54">
        <f>工艺设备!A11</f>
        <v>1</v>
      </c>
      <c r="B19" s="54" t="str">
        <f>工艺设备!B11</f>
        <v>桥式起重机</v>
      </c>
      <c r="C19" s="54">
        <f>工艺设备!F11</f>
        <v>2</v>
      </c>
      <c r="D19" s="54">
        <f>工艺设备!G11</f>
        <v>75</v>
      </c>
      <c r="E19" s="5"/>
      <c r="F19" s="5"/>
      <c r="G19" s="5"/>
      <c r="H19" s="5"/>
      <c r="I19" s="5"/>
      <c r="J19" s="5"/>
      <c r="K19" s="54">
        <f t="shared" si="0"/>
        <v>75</v>
      </c>
      <c r="L19" s="54">
        <f t="shared" si="1"/>
        <v>150</v>
      </c>
      <c r="M19" s="5"/>
      <c r="N19" s="40">
        <v>0.1</v>
      </c>
      <c r="O19" s="54">
        <f t="shared" si="2"/>
        <v>15</v>
      </c>
      <c r="P19" s="54">
        <f t="shared" si="3"/>
        <v>165</v>
      </c>
    </row>
    <row r="20" spans="1:16" ht="18" customHeight="1">
      <c r="A20" s="54">
        <f>工艺设备!A12</f>
        <v>2</v>
      </c>
      <c r="B20" s="54" t="str">
        <f>工艺设备!B12</f>
        <v>桥式起重机</v>
      </c>
      <c r="C20" s="54">
        <f>工艺设备!F12</f>
        <v>2</v>
      </c>
      <c r="D20" s="54">
        <f>工艺设备!G12</f>
        <v>35</v>
      </c>
      <c r="E20" s="5"/>
      <c r="F20" s="5"/>
      <c r="G20" s="5"/>
      <c r="H20" s="5"/>
      <c r="I20" s="5"/>
      <c r="J20" s="5"/>
      <c r="K20" s="54">
        <f t="shared" si="0"/>
        <v>35</v>
      </c>
      <c r="L20" s="54">
        <f t="shared" si="1"/>
        <v>70</v>
      </c>
      <c r="M20" s="5"/>
      <c r="N20" s="40">
        <v>0.1</v>
      </c>
      <c r="O20" s="54">
        <f t="shared" si="2"/>
        <v>7</v>
      </c>
      <c r="P20" s="54">
        <f t="shared" si="3"/>
        <v>77</v>
      </c>
    </row>
    <row r="21" spans="1:16" ht="18" customHeight="1">
      <c r="A21" s="54">
        <f>工艺设备!A13</f>
        <v>3</v>
      </c>
      <c r="B21" s="54" t="str">
        <f>工艺设备!B13</f>
        <v>桥式起重机</v>
      </c>
      <c r="C21" s="54">
        <f>工艺设备!F13</f>
        <v>2</v>
      </c>
      <c r="D21" s="54">
        <f>工艺设备!G13</f>
        <v>20</v>
      </c>
      <c r="E21" s="5"/>
      <c r="F21" s="5"/>
      <c r="G21" s="5"/>
      <c r="H21" s="5"/>
      <c r="I21" s="5"/>
      <c r="J21" s="5"/>
      <c r="K21" s="54">
        <f t="shared" si="0"/>
        <v>20</v>
      </c>
      <c r="L21" s="54">
        <f t="shared" si="1"/>
        <v>40</v>
      </c>
      <c r="M21" s="5"/>
      <c r="N21" s="40">
        <v>0.1</v>
      </c>
      <c r="O21" s="54">
        <f t="shared" si="2"/>
        <v>4</v>
      </c>
      <c r="P21" s="54">
        <f t="shared" si="3"/>
        <v>44</v>
      </c>
    </row>
    <row r="22" spans="1:16" ht="18" customHeight="1">
      <c r="A22" s="54">
        <f>工艺设备!A14</f>
        <v>4</v>
      </c>
      <c r="B22" s="54" t="str">
        <f>工艺设备!B14</f>
        <v>低压电动平板车</v>
      </c>
      <c r="C22" s="54">
        <f>工艺设备!F14</f>
        <v>3</v>
      </c>
      <c r="D22" s="54">
        <f>工艺设备!G14</f>
        <v>15</v>
      </c>
      <c r="E22" s="5"/>
      <c r="F22" s="5"/>
      <c r="G22" s="5"/>
      <c r="H22" s="5"/>
      <c r="I22" s="5"/>
      <c r="J22" s="5"/>
      <c r="K22" s="54">
        <f t="shared" si="0"/>
        <v>15</v>
      </c>
      <c r="L22" s="54">
        <f t="shared" si="1"/>
        <v>45</v>
      </c>
      <c r="M22" s="5"/>
      <c r="N22" s="40">
        <v>0.1</v>
      </c>
      <c r="O22" s="54">
        <f t="shared" si="2"/>
        <v>4.5</v>
      </c>
      <c r="P22" s="54">
        <f t="shared" si="3"/>
        <v>49.5</v>
      </c>
    </row>
    <row r="23" spans="1:16" ht="18" customHeight="1">
      <c r="A23" s="54" t="str">
        <f>工艺设备!A15</f>
        <v>三</v>
      </c>
      <c r="B23" s="54" t="str">
        <f>工艺设备!B15</f>
        <v>重型设备制造区</v>
      </c>
      <c r="C23" s="54"/>
      <c r="D23" s="54">
        <f>工艺设备!G15</f>
        <v>0</v>
      </c>
      <c r="E23" s="5"/>
      <c r="F23" s="5"/>
      <c r="G23" s="5"/>
      <c r="H23" s="5"/>
      <c r="I23" s="5"/>
      <c r="J23" s="5"/>
      <c r="K23" s="54"/>
      <c r="L23" s="54"/>
      <c r="M23" s="5"/>
      <c r="N23" s="40"/>
      <c r="O23" s="54"/>
      <c r="P23" s="5"/>
    </row>
    <row r="24" spans="1:16" ht="18" customHeight="1">
      <c r="A24" s="54">
        <f>工艺设备!A16</f>
        <v>1</v>
      </c>
      <c r="B24" s="54" t="str">
        <f>工艺设备!B16</f>
        <v>桥式起重机</v>
      </c>
      <c r="C24" s="54">
        <f>工艺设备!F16</f>
        <v>2</v>
      </c>
      <c r="D24" s="54">
        <f>工艺设备!G16</f>
        <v>420</v>
      </c>
      <c r="E24" s="54"/>
      <c r="F24" s="54"/>
      <c r="G24" s="54"/>
      <c r="H24" s="54"/>
      <c r="I24" s="54"/>
      <c r="J24" s="54"/>
      <c r="K24" s="54">
        <f t="shared" si="0"/>
        <v>420</v>
      </c>
      <c r="L24" s="54">
        <f t="shared" si="1"/>
        <v>840</v>
      </c>
      <c r="M24" s="54"/>
      <c r="N24" s="40">
        <v>0.1</v>
      </c>
      <c r="O24" s="54">
        <f t="shared" si="2"/>
        <v>84</v>
      </c>
      <c r="P24" s="54">
        <f>O24+L24</f>
        <v>924</v>
      </c>
    </row>
    <row r="25" spans="1:16" ht="18" customHeight="1">
      <c r="A25" s="54">
        <f>工艺设备!A17</f>
        <v>2</v>
      </c>
      <c r="B25" s="54" t="str">
        <f>工艺设备!B17</f>
        <v>桥式起重机</v>
      </c>
      <c r="C25" s="54">
        <f>工艺设备!F17</f>
        <v>2</v>
      </c>
      <c r="D25" s="54">
        <f>工艺设备!G17</f>
        <v>200</v>
      </c>
      <c r="E25" s="17"/>
      <c r="F25" s="17"/>
      <c r="G25" s="17"/>
      <c r="H25" s="17"/>
      <c r="I25" s="17"/>
      <c r="J25" s="17"/>
      <c r="K25" s="54">
        <f t="shared" si="0"/>
        <v>200</v>
      </c>
      <c r="L25" s="54">
        <f t="shared" si="1"/>
        <v>400</v>
      </c>
      <c r="M25" s="17"/>
      <c r="N25" s="40">
        <v>0.1</v>
      </c>
      <c r="O25" s="54">
        <f t="shared" si="2"/>
        <v>40</v>
      </c>
      <c r="P25" s="54">
        <f t="shared" ref="P25:P30" si="4">O25+L25</f>
        <v>440</v>
      </c>
    </row>
    <row r="26" spans="1:16" ht="18" customHeight="1">
      <c r="A26" s="54">
        <f>工艺设备!A18</f>
        <v>3</v>
      </c>
      <c r="B26" s="54" t="str">
        <f>工艺设备!B18</f>
        <v>桥式起重机</v>
      </c>
      <c r="C26" s="54">
        <f>工艺设备!F18</f>
        <v>3</v>
      </c>
      <c r="D26" s="54">
        <f>工艺设备!G18</f>
        <v>100</v>
      </c>
      <c r="E26" s="17"/>
      <c r="F26" s="17"/>
      <c r="G26" s="17"/>
      <c r="H26" s="17"/>
      <c r="I26" s="17"/>
      <c r="J26" s="17"/>
      <c r="K26" s="54">
        <f t="shared" si="0"/>
        <v>100</v>
      </c>
      <c r="L26" s="54">
        <f t="shared" si="1"/>
        <v>300</v>
      </c>
      <c r="M26" s="17"/>
      <c r="N26" s="40">
        <v>0.1</v>
      </c>
      <c r="O26" s="54">
        <f t="shared" si="2"/>
        <v>30</v>
      </c>
      <c r="P26" s="54">
        <f t="shared" si="4"/>
        <v>330</v>
      </c>
    </row>
    <row r="27" spans="1:16" ht="18" customHeight="1">
      <c r="A27" s="54">
        <f>工艺设备!A19</f>
        <v>4</v>
      </c>
      <c r="B27" s="54" t="str">
        <f>工艺设备!B19</f>
        <v>桥式起重机</v>
      </c>
      <c r="C27" s="54">
        <f>工艺设备!F19</f>
        <v>2</v>
      </c>
      <c r="D27" s="54">
        <f>工艺设备!G19</f>
        <v>100</v>
      </c>
      <c r="E27" s="17"/>
      <c r="F27" s="17"/>
      <c r="G27" s="17"/>
      <c r="H27" s="17"/>
      <c r="I27" s="17"/>
      <c r="J27" s="17"/>
      <c r="K27" s="54">
        <f t="shared" si="0"/>
        <v>100</v>
      </c>
      <c r="L27" s="54">
        <f t="shared" si="1"/>
        <v>200</v>
      </c>
      <c r="M27" s="17"/>
      <c r="N27" s="40">
        <v>0.1</v>
      </c>
      <c r="O27" s="54">
        <f t="shared" si="2"/>
        <v>20</v>
      </c>
      <c r="P27" s="54">
        <f t="shared" si="4"/>
        <v>220</v>
      </c>
    </row>
    <row r="28" spans="1:16" ht="18" customHeight="1">
      <c r="A28" s="54">
        <f>工艺设备!A20</f>
        <v>5</v>
      </c>
      <c r="B28" s="54" t="str">
        <f>工艺设备!B20</f>
        <v>桥式起重机</v>
      </c>
      <c r="C28" s="54">
        <f>工艺设备!F20</f>
        <v>2</v>
      </c>
      <c r="D28" s="54">
        <f>工艺设备!G20</f>
        <v>75</v>
      </c>
      <c r="E28" s="17"/>
      <c r="F28" s="17"/>
      <c r="G28" s="17"/>
      <c r="H28" s="17"/>
      <c r="I28" s="17"/>
      <c r="J28" s="17"/>
      <c r="K28" s="54">
        <f t="shared" si="0"/>
        <v>75</v>
      </c>
      <c r="L28" s="54">
        <f t="shared" si="1"/>
        <v>150</v>
      </c>
      <c r="M28" s="17"/>
      <c r="N28" s="40">
        <v>0.1</v>
      </c>
      <c r="O28" s="54">
        <f t="shared" si="2"/>
        <v>15</v>
      </c>
      <c r="P28" s="54">
        <f t="shared" si="4"/>
        <v>165</v>
      </c>
    </row>
    <row r="29" spans="1:16" ht="18" customHeight="1">
      <c r="A29" s="54">
        <f>工艺设备!A21</f>
        <v>6</v>
      </c>
      <c r="B29" s="54" t="str">
        <f>工艺设备!B21</f>
        <v>桥式起重机</v>
      </c>
      <c r="C29" s="54">
        <f>工艺设备!F21</f>
        <v>2</v>
      </c>
      <c r="D29" s="54">
        <f>工艺设备!G21</f>
        <v>35</v>
      </c>
      <c r="E29" s="17"/>
      <c r="F29" s="17"/>
      <c r="G29" s="17"/>
      <c r="H29" s="17"/>
      <c r="I29" s="17"/>
      <c r="J29" s="17"/>
      <c r="K29" s="54">
        <f t="shared" si="0"/>
        <v>35</v>
      </c>
      <c r="L29" s="54">
        <f t="shared" si="1"/>
        <v>70</v>
      </c>
      <c r="M29" s="17"/>
      <c r="N29" s="40">
        <v>0.1</v>
      </c>
      <c r="O29" s="54">
        <f t="shared" si="2"/>
        <v>7</v>
      </c>
      <c r="P29" s="54">
        <f t="shared" si="4"/>
        <v>77</v>
      </c>
    </row>
    <row r="30" spans="1:16" ht="18" customHeight="1">
      <c r="A30" s="54">
        <f>工艺设备!A22</f>
        <v>7</v>
      </c>
      <c r="B30" s="54" t="str">
        <f>工艺设备!B22</f>
        <v>低压电动平板车</v>
      </c>
      <c r="C30" s="54">
        <f>工艺设备!F22</f>
        <v>3</v>
      </c>
      <c r="D30" s="54">
        <f>工艺设备!G22</f>
        <v>45</v>
      </c>
      <c r="E30" s="17"/>
      <c r="F30" s="17"/>
      <c r="G30" s="17"/>
      <c r="H30" s="17"/>
      <c r="I30" s="17"/>
      <c r="J30" s="17"/>
      <c r="K30" s="54">
        <f t="shared" si="0"/>
        <v>45</v>
      </c>
      <c r="L30" s="54">
        <f t="shared" si="1"/>
        <v>135</v>
      </c>
      <c r="M30" s="17"/>
      <c r="N30" s="40">
        <v>0.1</v>
      </c>
      <c r="O30" s="54">
        <f t="shared" si="2"/>
        <v>13.5</v>
      </c>
      <c r="P30" s="54">
        <f t="shared" si="4"/>
        <v>148.5</v>
      </c>
    </row>
    <row r="31" spans="1:16" ht="18" customHeight="1">
      <c r="A31" s="54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ht="18" customHeight="1">
      <c r="A32" s="54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ht="18" customHeight="1">
      <c r="A33" s="54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</sheetData>
  <mergeCells count="14">
    <mergeCell ref="A4:A6"/>
    <mergeCell ref="B4:B6"/>
    <mergeCell ref="C4:C6"/>
    <mergeCell ref="D4:K4"/>
    <mergeCell ref="D5:I5"/>
    <mergeCell ref="J5:J6"/>
    <mergeCell ref="K5:K6"/>
    <mergeCell ref="P4:P6"/>
    <mergeCell ref="L5:L6"/>
    <mergeCell ref="L4:M4"/>
    <mergeCell ref="M5:M6"/>
    <mergeCell ref="N5:N6"/>
    <mergeCell ref="O5:O6"/>
    <mergeCell ref="N4:O4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G21" sqref="G21"/>
    </sheetView>
  </sheetViews>
  <sheetFormatPr defaultRowHeight="15"/>
  <cols>
    <col min="1" max="1" width="7" style="214" customWidth="1"/>
    <col min="2" max="2" width="24.875" style="215" customWidth="1"/>
    <col min="3" max="3" width="39.375" style="215" customWidth="1"/>
    <col min="4" max="4" width="7.625" style="198" customWidth="1"/>
    <col min="5" max="5" width="8.625" style="198" customWidth="1"/>
    <col min="6" max="6" width="7.125" style="216" customWidth="1"/>
    <col min="7" max="7" width="8.5" style="217" customWidth="1"/>
    <col min="8" max="8" width="10.875" style="217" customWidth="1"/>
    <col min="9" max="9" width="6.625" style="219" customWidth="1"/>
    <col min="10" max="10" width="8.25" style="219" customWidth="1"/>
    <col min="11" max="11" width="7.5" style="198" customWidth="1"/>
    <col min="12" max="12" width="7.75" style="198" customWidth="1"/>
    <col min="13" max="13" width="12.25" style="198" bestFit="1" customWidth="1"/>
    <col min="14" max="14" width="12.75" style="198" bestFit="1" customWidth="1"/>
    <col min="15" max="15" width="9" style="198"/>
    <col min="16" max="16" width="11.125" style="198" bestFit="1" customWidth="1"/>
    <col min="17" max="16384" width="9" style="198"/>
  </cols>
  <sheetData>
    <row r="1" spans="1:12" ht="18.75">
      <c r="A1" s="326" t="s">
        <v>876</v>
      </c>
      <c r="B1" s="326"/>
      <c r="C1" s="326"/>
      <c r="D1" s="326"/>
      <c r="E1" s="326"/>
      <c r="F1" s="326"/>
      <c r="G1" s="326"/>
      <c r="H1" s="326"/>
      <c r="I1" s="326"/>
      <c r="J1" s="197"/>
    </row>
    <row r="2" spans="1:12" ht="18.75">
      <c r="A2" s="327" t="s">
        <v>877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</row>
    <row r="3" spans="1:12">
      <c r="A3" s="329"/>
      <c r="B3" s="329"/>
      <c r="C3" s="329"/>
      <c r="D3" s="199"/>
      <c r="E3" s="199"/>
      <c r="F3" s="330"/>
      <c r="G3" s="331"/>
      <c r="H3" s="331"/>
      <c r="I3" s="331"/>
      <c r="J3" s="331"/>
      <c r="K3" s="331"/>
    </row>
    <row r="4" spans="1:12" s="200" customFormat="1" ht="13.5">
      <c r="A4" s="320" t="s">
        <v>112</v>
      </c>
      <c r="B4" s="321" t="s">
        <v>413</v>
      </c>
      <c r="C4" s="318" t="s">
        <v>878</v>
      </c>
      <c r="D4" s="323" t="s">
        <v>879</v>
      </c>
      <c r="E4" s="325" t="s">
        <v>880</v>
      </c>
      <c r="F4" s="320" t="s">
        <v>134</v>
      </c>
      <c r="G4" s="315" t="s">
        <v>881</v>
      </c>
      <c r="H4" s="316"/>
      <c r="I4" s="317"/>
      <c r="J4" s="318" t="s">
        <v>882</v>
      </c>
      <c r="K4" s="320" t="s">
        <v>113</v>
      </c>
    </row>
    <row r="5" spans="1:12" s="200" customFormat="1" ht="13.5">
      <c r="A5" s="320"/>
      <c r="B5" s="322"/>
      <c r="C5" s="319"/>
      <c r="D5" s="324"/>
      <c r="E5" s="320"/>
      <c r="F5" s="320"/>
      <c r="G5" s="201" t="s">
        <v>298</v>
      </c>
      <c r="H5" s="201" t="s">
        <v>135</v>
      </c>
      <c r="I5" s="202" t="s">
        <v>883</v>
      </c>
      <c r="J5" s="319"/>
      <c r="K5" s="320"/>
    </row>
    <row r="6" spans="1:12" s="200" customFormat="1" ht="14.25">
      <c r="A6" s="202" t="s">
        <v>884</v>
      </c>
      <c r="B6" s="203" t="s">
        <v>885</v>
      </c>
      <c r="C6" s="204"/>
      <c r="D6" s="205"/>
      <c r="E6" s="202"/>
      <c r="F6" s="202"/>
      <c r="G6" s="201"/>
      <c r="H6" s="201"/>
      <c r="I6" s="202"/>
      <c r="J6" s="204"/>
      <c r="K6" s="202"/>
    </row>
    <row r="7" spans="1:12" s="208" customFormat="1">
      <c r="A7" s="206">
        <v>1</v>
      </c>
      <c r="B7" s="207" t="s">
        <v>886</v>
      </c>
      <c r="C7" s="207" t="s">
        <v>887</v>
      </c>
      <c r="D7" s="206" t="s">
        <v>888</v>
      </c>
      <c r="E7" s="206" t="s">
        <v>889</v>
      </c>
      <c r="F7" s="206">
        <v>2</v>
      </c>
      <c r="G7" s="108">
        <v>75</v>
      </c>
      <c r="H7" s="108">
        <f t="shared" ref="H7:H9" si="0">G7*F7</f>
        <v>150</v>
      </c>
      <c r="I7" s="206"/>
      <c r="J7" s="206"/>
      <c r="K7" s="206"/>
      <c r="L7" s="221">
        <f>H7</f>
        <v>150</v>
      </c>
    </row>
    <row r="8" spans="1:12" s="208" customFormat="1">
      <c r="A8" s="206">
        <v>2</v>
      </c>
      <c r="B8" s="207" t="s">
        <v>886</v>
      </c>
      <c r="C8" s="207" t="s">
        <v>890</v>
      </c>
      <c r="D8" s="206" t="s">
        <v>888</v>
      </c>
      <c r="E8" s="206" t="s">
        <v>889</v>
      </c>
      <c r="F8" s="206">
        <v>2</v>
      </c>
      <c r="G8" s="108">
        <v>35</v>
      </c>
      <c r="H8" s="108">
        <f t="shared" si="0"/>
        <v>70</v>
      </c>
      <c r="I8" s="206"/>
      <c r="J8" s="206"/>
      <c r="K8" s="206"/>
    </row>
    <row r="9" spans="1:12" s="208" customFormat="1">
      <c r="A9" s="206">
        <v>3</v>
      </c>
      <c r="B9" s="207" t="s">
        <v>886</v>
      </c>
      <c r="C9" s="207" t="s">
        <v>891</v>
      </c>
      <c r="D9" s="206" t="s">
        <v>888</v>
      </c>
      <c r="E9" s="206" t="s">
        <v>889</v>
      </c>
      <c r="F9" s="206">
        <v>2</v>
      </c>
      <c r="G9" s="108">
        <v>20</v>
      </c>
      <c r="H9" s="108">
        <f t="shared" si="0"/>
        <v>40</v>
      </c>
      <c r="I9" s="206"/>
      <c r="J9" s="206"/>
      <c r="K9" s="206"/>
    </row>
    <row r="10" spans="1:12" s="208" customFormat="1">
      <c r="A10" s="209" t="s">
        <v>892</v>
      </c>
      <c r="B10" s="210" t="s">
        <v>893</v>
      </c>
      <c r="C10" s="207"/>
      <c r="D10" s="206"/>
      <c r="E10" s="206"/>
      <c r="F10" s="206"/>
      <c r="G10" s="108"/>
      <c r="H10" s="108"/>
      <c r="I10" s="206"/>
      <c r="J10" s="206"/>
      <c r="K10" s="206"/>
    </row>
    <row r="11" spans="1:12" s="208" customFormat="1">
      <c r="A11" s="206">
        <v>1</v>
      </c>
      <c r="B11" s="207" t="s">
        <v>886</v>
      </c>
      <c r="C11" s="207" t="s">
        <v>894</v>
      </c>
      <c r="D11" s="206" t="s">
        <v>888</v>
      </c>
      <c r="E11" s="206" t="s">
        <v>889</v>
      </c>
      <c r="F11" s="206">
        <v>2</v>
      </c>
      <c r="G11" s="108">
        <v>75</v>
      </c>
      <c r="H11" s="108">
        <f t="shared" ref="H11:H13" si="1">G11*F11</f>
        <v>150</v>
      </c>
      <c r="I11" s="206"/>
      <c r="J11" s="206"/>
      <c r="K11" s="206"/>
      <c r="L11" s="221">
        <f>H11</f>
        <v>150</v>
      </c>
    </row>
    <row r="12" spans="1:12" s="208" customFormat="1">
      <c r="A12" s="206">
        <v>2</v>
      </c>
      <c r="B12" s="207" t="s">
        <v>886</v>
      </c>
      <c r="C12" s="207" t="s">
        <v>890</v>
      </c>
      <c r="D12" s="206" t="s">
        <v>888</v>
      </c>
      <c r="E12" s="206" t="s">
        <v>889</v>
      </c>
      <c r="F12" s="206">
        <v>2</v>
      </c>
      <c r="G12" s="108">
        <v>35</v>
      </c>
      <c r="H12" s="108">
        <f t="shared" si="1"/>
        <v>70</v>
      </c>
      <c r="I12" s="206"/>
      <c r="J12" s="206"/>
      <c r="K12" s="206"/>
    </row>
    <row r="13" spans="1:12" s="208" customFormat="1">
      <c r="A13" s="206">
        <v>3</v>
      </c>
      <c r="B13" s="207" t="s">
        <v>886</v>
      </c>
      <c r="C13" s="207" t="s">
        <v>891</v>
      </c>
      <c r="D13" s="206" t="s">
        <v>888</v>
      </c>
      <c r="E13" s="206" t="s">
        <v>889</v>
      </c>
      <c r="F13" s="206">
        <v>2</v>
      </c>
      <c r="G13" s="108">
        <v>20</v>
      </c>
      <c r="H13" s="108">
        <f t="shared" si="1"/>
        <v>40</v>
      </c>
      <c r="I13" s="206"/>
      <c r="J13" s="206"/>
      <c r="K13" s="206"/>
    </row>
    <row r="14" spans="1:12" s="208" customFormat="1">
      <c r="A14" s="206">
        <v>4</v>
      </c>
      <c r="B14" s="207" t="s">
        <v>895</v>
      </c>
      <c r="C14" s="207" t="s">
        <v>896</v>
      </c>
      <c r="D14" s="206" t="s">
        <v>897</v>
      </c>
      <c r="E14" s="206" t="s">
        <v>889</v>
      </c>
      <c r="F14" s="206">
        <v>3</v>
      </c>
      <c r="G14" s="108">
        <v>15</v>
      </c>
      <c r="H14" s="108">
        <f>F14*G14</f>
        <v>45</v>
      </c>
      <c r="I14" s="206"/>
      <c r="J14" s="206"/>
      <c r="K14" s="206"/>
    </row>
    <row r="15" spans="1:12" s="208" customFormat="1">
      <c r="A15" s="209" t="s">
        <v>898</v>
      </c>
      <c r="B15" s="210" t="s">
        <v>899</v>
      </c>
      <c r="C15" s="207"/>
      <c r="D15" s="206"/>
      <c r="E15" s="206"/>
      <c r="F15" s="206"/>
      <c r="G15" s="108"/>
      <c r="H15" s="108"/>
      <c r="I15" s="206"/>
      <c r="J15" s="206"/>
      <c r="K15" s="206"/>
    </row>
    <row r="16" spans="1:12" s="208" customFormat="1">
      <c r="A16" s="206">
        <v>1</v>
      </c>
      <c r="B16" s="207" t="s">
        <v>886</v>
      </c>
      <c r="C16" s="207" t="s">
        <v>900</v>
      </c>
      <c r="D16" s="206" t="s">
        <v>888</v>
      </c>
      <c r="E16" s="206" t="s">
        <v>889</v>
      </c>
      <c r="F16" s="206">
        <v>2</v>
      </c>
      <c r="G16" s="108">
        <v>420</v>
      </c>
      <c r="H16" s="108">
        <f t="shared" ref="H16:H22" si="2">G16*F16</f>
        <v>840</v>
      </c>
      <c r="I16" s="206"/>
      <c r="J16" s="206"/>
      <c r="K16" s="206"/>
      <c r="L16" s="221">
        <f>H16</f>
        <v>840</v>
      </c>
    </row>
    <row r="17" spans="1:12" s="208" customFormat="1">
      <c r="A17" s="206">
        <v>2</v>
      </c>
      <c r="B17" s="207" t="s">
        <v>886</v>
      </c>
      <c r="C17" s="207" t="s">
        <v>901</v>
      </c>
      <c r="D17" s="206" t="s">
        <v>888</v>
      </c>
      <c r="E17" s="206" t="s">
        <v>889</v>
      </c>
      <c r="F17" s="206">
        <v>2</v>
      </c>
      <c r="G17" s="108">
        <v>200</v>
      </c>
      <c r="H17" s="108">
        <f t="shared" si="2"/>
        <v>400</v>
      </c>
      <c r="I17" s="206"/>
      <c r="J17" s="206"/>
      <c r="K17" s="206"/>
      <c r="L17" s="221">
        <f>H17</f>
        <v>400</v>
      </c>
    </row>
    <row r="18" spans="1:12" s="208" customFormat="1">
      <c r="A18" s="206">
        <v>3</v>
      </c>
      <c r="B18" s="207" t="s">
        <v>886</v>
      </c>
      <c r="C18" s="207" t="s">
        <v>902</v>
      </c>
      <c r="D18" s="206" t="s">
        <v>888</v>
      </c>
      <c r="E18" s="206" t="s">
        <v>889</v>
      </c>
      <c r="F18" s="206">
        <v>3</v>
      </c>
      <c r="G18" s="108">
        <v>100</v>
      </c>
      <c r="H18" s="108">
        <f t="shared" si="2"/>
        <v>300</v>
      </c>
      <c r="I18" s="206"/>
      <c r="J18" s="206"/>
      <c r="K18" s="206"/>
      <c r="L18" s="221">
        <f>H18</f>
        <v>300</v>
      </c>
    </row>
    <row r="19" spans="1:12" s="208" customFormat="1">
      <c r="A19" s="206">
        <v>4</v>
      </c>
      <c r="B19" s="207" t="s">
        <v>886</v>
      </c>
      <c r="C19" s="207" t="s">
        <v>903</v>
      </c>
      <c r="D19" s="206" t="s">
        <v>888</v>
      </c>
      <c r="E19" s="206" t="s">
        <v>889</v>
      </c>
      <c r="F19" s="206">
        <v>2</v>
      </c>
      <c r="G19" s="108">
        <v>100</v>
      </c>
      <c r="H19" s="108">
        <f t="shared" si="2"/>
        <v>200</v>
      </c>
      <c r="I19" s="206"/>
      <c r="J19" s="206"/>
      <c r="K19" s="206"/>
      <c r="L19" s="221">
        <f>H19</f>
        <v>200</v>
      </c>
    </row>
    <row r="20" spans="1:12" s="208" customFormat="1">
      <c r="A20" s="206">
        <v>5</v>
      </c>
      <c r="B20" s="207" t="s">
        <v>886</v>
      </c>
      <c r="C20" s="207" t="s">
        <v>904</v>
      </c>
      <c r="D20" s="206" t="s">
        <v>888</v>
      </c>
      <c r="E20" s="206" t="s">
        <v>889</v>
      </c>
      <c r="F20" s="206">
        <v>2</v>
      </c>
      <c r="G20" s="108">
        <v>75</v>
      </c>
      <c r="H20" s="108">
        <f t="shared" si="2"/>
        <v>150</v>
      </c>
      <c r="I20" s="206"/>
      <c r="J20" s="206"/>
      <c r="K20" s="206"/>
      <c r="L20" s="221">
        <f>H20</f>
        <v>150</v>
      </c>
    </row>
    <row r="21" spans="1:12" s="208" customFormat="1">
      <c r="A21" s="206">
        <v>6</v>
      </c>
      <c r="B21" s="207" t="s">
        <v>886</v>
      </c>
      <c r="C21" s="207" t="s">
        <v>905</v>
      </c>
      <c r="D21" s="206" t="s">
        <v>888</v>
      </c>
      <c r="E21" s="206" t="s">
        <v>889</v>
      </c>
      <c r="F21" s="206">
        <v>2</v>
      </c>
      <c r="G21" s="108">
        <v>35</v>
      </c>
      <c r="H21" s="108">
        <f t="shared" si="2"/>
        <v>70</v>
      </c>
      <c r="I21" s="206"/>
      <c r="J21" s="206"/>
      <c r="K21" s="206"/>
    </row>
    <row r="22" spans="1:12" s="208" customFormat="1">
      <c r="A22" s="206">
        <v>7</v>
      </c>
      <c r="B22" s="207" t="s">
        <v>895</v>
      </c>
      <c r="C22" s="207" t="s">
        <v>906</v>
      </c>
      <c r="D22" s="206" t="s">
        <v>888</v>
      </c>
      <c r="E22" s="206" t="s">
        <v>889</v>
      </c>
      <c r="F22" s="206">
        <v>3</v>
      </c>
      <c r="G22" s="108">
        <v>45</v>
      </c>
      <c r="H22" s="108">
        <f t="shared" si="2"/>
        <v>135</v>
      </c>
      <c r="I22" s="206"/>
      <c r="J22" s="206"/>
      <c r="K22" s="206"/>
      <c r="L22" s="221">
        <f>H22</f>
        <v>135</v>
      </c>
    </row>
    <row r="23" spans="1:12" s="213" customFormat="1">
      <c r="A23" s="211"/>
      <c r="B23" s="212" t="s">
        <v>907</v>
      </c>
      <c r="C23" s="207"/>
      <c r="D23" s="211"/>
      <c r="E23" s="211"/>
      <c r="F23" s="211">
        <f>SUM(F7:F22)</f>
        <v>31</v>
      </c>
      <c r="G23" s="211"/>
      <c r="H23" s="211">
        <f>SUM(H7:H22)</f>
        <v>2660</v>
      </c>
      <c r="I23" s="211"/>
      <c r="J23" s="211"/>
      <c r="K23" s="211"/>
    </row>
    <row r="24" spans="1:12" s="208" customFormat="1">
      <c r="A24" s="206"/>
      <c r="B24" s="207"/>
      <c r="C24" s="207"/>
      <c r="D24" s="206"/>
      <c r="E24" s="206"/>
      <c r="F24" s="206"/>
      <c r="G24" s="108"/>
      <c r="H24" s="108"/>
      <c r="I24" s="206"/>
      <c r="J24" s="206"/>
      <c r="K24" s="206"/>
      <c r="L24" s="221">
        <f>SUM(L7:L23)</f>
        <v>2325</v>
      </c>
    </row>
    <row r="26" spans="1:12">
      <c r="I26" s="218"/>
    </row>
    <row r="30" spans="1:12">
      <c r="F30" s="216">
        <v>1979</v>
      </c>
    </row>
  </sheetData>
  <mergeCells count="15">
    <mergeCell ref="A1:C1"/>
    <mergeCell ref="D1:F1"/>
    <mergeCell ref="G1:I1"/>
    <mergeCell ref="A2:K2"/>
    <mergeCell ref="A3:C3"/>
    <mergeCell ref="F3:K3"/>
    <mergeCell ref="G4:I4"/>
    <mergeCell ref="J4:J5"/>
    <mergeCell ref="K4:K5"/>
    <mergeCell ref="A4:A5"/>
    <mergeCell ref="B4:B5"/>
    <mergeCell ref="C4:C5"/>
    <mergeCell ref="D4:D5"/>
    <mergeCell ref="E4:E5"/>
    <mergeCell ref="F4:F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selection sqref="A1:G105"/>
    </sheetView>
  </sheetViews>
  <sheetFormatPr defaultRowHeight="13.5"/>
  <cols>
    <col min="1" max="1" width="7.25" style="16" customWidth="1"/>
    <col min="2" max="2" width="19.5" style="16" customWidth="1"/>
    <col min="3" max="3" width="3" style="16" customWidth="1"/>
    <col min="4" max="4" width="28.375" style="16" customWidth="1"/>
    <col min="5" max="5" width="1.375" style="16" customWidth="1"/>
    <col min="6" max="6" width="8.875" style="16" customWidth="1"/>
    <col min="7" max="7" width="16.5" style="16" customWidth="1"/>
    <col min="8" max="256" width="8" style="16" customWidth="1"/>
    <col min="257" max="257" width="7.25" style="16" customWidth="1"/>
    <col min="258" max="258" width="19.5" style="16" customWidth="1"/>
    <col min="259" max="259" width="3" style="16" customWidth="1"/>
    <col min="260" max="260" width="28.375" style="16" customWidth="1"/>
    <col min="261" max="261" width="1.375" style="16" customWidth="1"/>
    <col min="262" max="262" width="8.875" style="16" customWidth="1"/>
    <col min="263" max="263" width="16.5" style="16" customWidth="1"/>
    <col min="264" max="512" width="8" style="16" customWidth="1"/>
    <col min="513" max="513" width="7.25" style="16" customWidth="1"/>
    <col min="514" max="514" width="19.5" style="16" customWidth="1"/>
    <col min="515" max="515" width="3" style="16" customWidth="1"/>
    <col min="516" max="516" width="28.375" style="16" customWidth="1"/>
    <col min="517" max="517" width="1.375" style="16" customWidth="1"/>
    <col min="518" max="518" width="8.875" style="16" customWidth="1"/>
    <col min="519" max="519" width="16.5" style="16" customWidth="1"/>
    <col min="520" max="768" width="8" style="16" customWidth="1"/>
    <col min="769" max="769" width="7.25" style="16" customWidth="1"/>
    <col min="770" max="770" width="19.5" style="16" customWidth="1"/>
    <col min="771" max="771" width="3" style="16" customWidth="1"/>
    <col min="772" max="772" width="28.375" style="16" customWidth="1"/>
    <col min="773" max="773" width="1.375" style="16" customWidth="1"/>
    <col min="774" max="774" width="8.875" style="16" customWidth="1"/>
    <col min="775" max="775" width="16.5" style="16" customWidth="1"/>
    <col min="776" max="1024" width="8" style="16" customWidth="1"/>
    <col min="1025" max="1025" width="7.25" style="16" customWidth="1"/>
    <col min="1026" max="1026" width="19.5" style="16" customWidth="1"/>
    <col min="1027" max="1027" width="3" style="16" customWidth="1"/>
    <col min="1028" max="1028" width="28.375" style="16" customWidth="1"/>
    <col min="1029" max="1029" width="1.375" style="16" customWidth="1"/>
    <col min="1030" max="1030" width="8.875" style="16" customWidth="1"/>
    <col min="1031" max="1031" width="16.5" style="16" customWidth="1"/>
    <col min="1032" max="1280" width="8" style="16" customWidth="1"/>
    <col min="1281" max="1281" width="7.25" style="16" customWidth="1"/>
    <col min="1282" max="1282" width="19.5" style="16" customWidth="1"/>
    <col min="1283" max="1283" width="3" style="16" customWidth="1"/>
    <col min="1284" max="1284" width="28.375" style="16" customWidth="1"/>
    <col min="1285" max="1285" width="1.375" style="16" customWidth="1"/>
    <col min="1286" max="1286" width="8.875" style="16" customWidth="1"/>
    <col min="1287" max="1287" width="16.5" style="16" customWidth="1"/>
    <col min="1288" max="1536" width="8" style="16" customWidth="1"/>
    <col min="1537" max="1537" width="7.25" style="16" customWidth="1"/>
    <col min="1538" max="1538" width="19.5" style="16" customWidth="1"/>
    <col min="1539" max="1539" width="3" style="16" customWidth="1"/>
    <col min="1540" max="1540" width="28.375" style="16" customWidth="1"/>
    <col min="1541" max="1541" width="1.375" style="16" customWidth="1"/>
    <col min="1542" max="1542" width="8.875" style="16" customWidth="1"/>
    <col min="1543" max="1543" width="16.5" style="16" customWidth="1"/>
    <col min="1544" max="1792" width="8" style="16" customWidth="1"/>
    <col min="1793" max="1793" width="7.25" style="16" customWidth="1"/>
    <col min="1794" max="1794" width="19.5" style="16" customWidth="1"/>
    <col min="1795" max="1795" width="3" style="16" customWidth="1"/>
    <col min="1796" max="1796" width="28.375" style="16" customWidth="1"/>
    <col min="1797" max="1797" width="1.375" style="16" customWidth="1"/>
    <col min="1798" max="1798" width="8.875" style="16" customWidth="1"/>
    <col min="1799" max="1799" width="16.5" style="16" customWidth="1"/>
    <col min="1800" max="2048" width="8" style="16" customWidth="1"/>
    <col min="2049" max="2049" width="7.25" style="16" customWidth="1"/>
    <col min="2050" max="2050" width="19.5" style="16" customWidth="1"/>
    <col min="2051" max="2051" width="3" style="16" customWidth="1"/>
    <col min="2052" max="2052" width="28.375" style="16" customWidth="1"/>
    <col min="2053" max="2053" width="1.375" style="16" customWidth="1"/>
    <col min="2054" max="2054" width="8.875" style="16" customWidth="1"/>
    <col min="2055" max="2055" width="16.5" style="16" customWidth="1"/>
    <col min="2056" max="2304" width="8" style="16" customWidth="1"/>
    <col min="2305" max="2305" width="7.25" style="16" customWidth="1"/>
    <col min="2306" max="2306" width="19.5" style="16" customWidth="1"/>
    <col min="2307" max="2307" width="3" style="16" customWidth="1"/>
    <col min="2308" max="2308" width="28.375" style="16" customWidth="1"/>
    <col min="2309" max="2309" width="1.375" style="16" customWidth="1"/>
    <col min="2310" max="2310" width="8.875" style="16" customWidth="1"/>
    <col min="2311" max="2311" width="16.5" style="16" customWidth="1"/>
    <col min="2312" max="2560" width="8" style="16" customWidth="1"/>
    <col min="2561" max="2561" width="7.25" style="16" customWidth="1"/>
    <col min="2562" max="2562" width="19.5" style="16" customWidth="1"/>
    <col min="2563" max="2563" width="3" style="16" customWidth="1"/>
    <col min="2564" max="2564" width="28.375" style="16" customWidth="1"/>
    <col min="2565" max="2565" width="1.375" style="16" customWidth="1"/>
    <col min="2566" max="2566" width="8.875" style="16" customWidth="1"/>
    <col min="2567" max="2567" width="16.5" style="16" customWidth="1"/>
    <col min="2568" max="2816" width="8" style="16" customWidth="1"/>
    <col min="2817" max="2817" width="7.25" style="16" customWidth="1"/>
    <col min="2818" max="2818" width="19.5" style="16" customWidth="1"/>
    <col min="2819" max="2819" width="3" style="16" customWidth="1"/>
    <col min="2820" max="2820" width="28.375" style="16" customWidth="1"/>
    <col min="2821" max="2821" width="1.375" style="16" customWidth="1"/>
    <col min="2822" max="2822" width="8.875" style="16" customWidth="1"/>
    <col min="2823" max="2823" width="16.5" style="16" customWidth="1"/>
    <col min="2824" max="3072" width="8" style="16" customWidth="1"/>
    <col min="3073" max="3073" width="7.25" style="16" customWidth="1"/>
    <col min="3074" max="3074" width="19.5" style="16" customWidth="1"/>
    <col min="3075" max="3075" width="3" style="16" customWidth="1"/>
    <col min="3076" max="3076" width="28.375" style="16" customWidth="1"/>
    <col min="3077" max="3077" width="1.375" style="16" customWidth="1"/>
    <col min="3078" max="3078" width="8.875" style="16" customWidth="1"/>
    <col min="3079" max="3079" width="16.5" style="16" customWidth="1"/>
    <col min="3080" max="3328" width="8" style="16" customWidth="1"/>
    <col min="3329" max="3329" width="7.25" style="16" customWidth="1"/>
    <col min="3330" max="3330" width="19.5" style="16" customWidth="1"/>
    <col min="3331" max="3331" width="3" style="16" customWidth="1"/>
    <col min="3332" max="3332" width="28.375" style="16" customWidth="1"/>
    <col min="3333" max="3333" width="1.375" style="16" customWidth="1"/>
    <col min="3334" max="3334" width="8.875" style="16" customWidth="1"/>
    <col min="3335" max="3335" width="16.5" style="16" customWidth="1"/>
    <col min="3336" max="3584" width="8" style="16" customWidth="1"/>
    <col min="3585" max="3585" width="7.25" style="16" customWidth="1"/>
    <col min="3586" max="3586" width="19.5" style="16" customWidth="1"/>
    <col min="3587" max="3587" width="3" style="16" customWidth="1"/>
    <col min="3588" max="3588" width="28.375" style="16" customWidth="1"/>
    <col min="3589" max="3589" width="1.375" style="16" customWidth="1"/>
    <col min="3590" max="3590" width="8.875" style="16" customWidth="1"/>
    <col min="3591" max="3591" width="16.5" style="16" customWidth="1"/>
    <col min="3592" max="3840" width="8" style="16" customWidth="1"/>
    <col min="3841" max="3841" width="7.25" style="16" customWidth="1"/>
    <col min="3842" max="3842" width="19.5" style="16" customWidth="1"/>
    <col min="3843" max="3843" width="3" style="16" customWidth="1"/>
    <col min="3844" max="3844" width="28.375" style="16" customWidth="1"/>
    <col min="3845" max="3845" width="1.375" style="16" customWidth="1"/>
    <col min="3846" max="3846" width="8.875" style="16" customWidth="1"/>
    <col min="3847" max="3847" width="16.5" style="16" customWidth="1"/>
    <col min="3848" max="4096" width="8" style="16" customWidth="1"/>
    <col min="4097" max="4097" width="7.25" style="16" customWidth="1"/>
    <col min="4098" max="4098" width="19.5" style="16" customWidth="1"/>
    <col min="4099" max="4099" width="3" style="16" customWidth="1"/>
    <col min="4100" max="4100" width="28.375" style="16" customWidth="1"/>
    <col min="4101" max="4101" width="1.375" style="16" customWidth="1"/>
    <col min="4102" max="4102" width="8.875" style="16" customWidth="1"/>
    <col min="4103" max="4103" width="16.5" style="16" customWidth="1"/>
    <col min="4104" max="4352" width="8" style="16" customWidth="1"/>
    <col min="4353" max="4353" width="7.25" style="16" customWidth="1"/>
    <col min="4354" max="4354" width="19.5" style="16" customWidth="1"/>
    <col min="4355" max="4355" width="3" style="16" customWidth="1"/>
    <col min="4356" max="4356" width="28.375" style="16" customWidth="1"/>
    <col min="4357" max="4357" width="1.375" style="16" customWidth="1"/>
    <col min="4358" max="4358" width="8.875" style="16" customWidth="1"/>
    <col min="4359" max="4359" width="16.5" style="16" customWidth="1"/>
    <col min="4360" max="4608" width="8" style="16" customWidth="1"/>
    <col min="4609" max="4609" width="7.25" style="16" customWidth="1"/>
    <col min="4610" max="4610" width="19.5" style="16" customWidth="1"/>
    <col min="4611" max="4611" width="3" style="16" customWidth="1"/>
    <col min="4612" max="4612" width="28.375" style="16" customWidth="1"/>
    <col min="4613" max="4613" width="1.375" style="16" customWidth="1"/>
    <col min="4614" max="4614" width="8.875" style="16" customWidth="1"/>
    <col min="4615" max="4615" width="16.5" style="16" customWidth="1"/>
    <col min="4616" max="4864" width="8" style="16" customWidth="1"/>
    <col min="4865" max="4865" width="7.25" style="16" customWidth="1"/>
    <col min="4866" max="4866" width="19.5" style="16" customWidth="1"/>
    <col min="4867" max="4867" width="3" style="16" customWidth="1"/>
    <col min="4868" max="4868" width="28.375" style="16" customWidth="1"/>
    <col min="4869" max="4869" width="1.375" style="16" customWidth="1"/>
    <col min="4870" max="4870" width="8.875" style="16" customWidth="1"/>
    <col min="4871" max="4871" width="16.5" style="16" customWidth="1"/>
    <col min="4872" max="5120" width="8" style="16" customWidth="1"/>
    <col min="5121" max="5121" width="7.25" style="16" customWidth="1"/>
    <col min="5122" max="5122" width="19.5" style="16" customWidth="1"/>
    <col min="5123" max="5123" width="3" style="16" customWidth="1"/>
    <col min="5124" max="5124" width="28.375" style="16" customWidth="1"/>
    <col min="5125" max="5125" width="1.375" style="16" customWidth="1"/>
    <col min="5126" max="5126" width="8.875" style="16" customWidth="1"/>
    <col min="5127" max="5127" width="16.5" style="16" customWidth="1"/>
    <col min="5128" max="5376" width="8" style="16" customWidth="1"/>
    <col min="5377" max="5377" width="7.25" style="16" customWidth="1"/>
    <col min="5378" max="5378" width="19.5" style="16" customWidth="1"/>
    <col min="5379" max="5379" width="3" style="16" customWidth="1"/>
    <col min="5380" max="5380" width="28.375" style="16" customWidth="1"/>
    <col min="5381" max="5381" width="1.375" style="16" customWidth="1"/>
    <col min="5382" max="5382" width="8.875" style="16" customWidth="1"/>
    <col min="5383" max="5383" width="16.5" style="16" customWidth="1"/>
    <col min="5384" max="5632" width="8" style="16" customWidth="1"/>
    <col min="5633" max="5633" width="7.25" style="16" customWidth="1"/>
    <col min="5634" max="5634" width="19.5" style="16" customWidth="1"/>
    <col min="5635" max="5635" width="3" style="16" customWidth="1"/>
    <col min="5636" max="5636" width="28.375" style="16" customWidth="1"/>
    <col min="5637" max="5637" width="1.375" style="16" customWidth="1"/>
    <col min="5638" max="5638" width="8.875" style="16" customWidth="1"/>
    <col min="5639" max="5639" width="16.5" style="16" customWidth="1"/>
    <col min="5640" max="5888" width="8" style="16" customWidth="1"/>
    <col min="5889" max="5889" width="7.25" style="16" customWidth="1"/>
    <col min="5890" max="5890" width="19.5" style="16" customWidth="1"/>
    <col min="5891" max="5891" width="3" style="16" customWidth="1"/>
    <col min="5892" max="5892" width="28.375" style="16" customWidth="1"/>
    <col min="5893" max="5893" width="1.375" style="16" customWidth="1"/>
    <col min="5894" max="5894" width="8.875" style="16" customWidth="1"/>
    <col min="5895" max="5895" width="16.5" style="16" customWidth="1"/>
    <col min="5896" max="6144" width="8" style="16" customWidth="1"/>
    <col min="6145" max="6145" width="7.25" style="16" customWidth="1"/>
    <col min="6146" max="6146" width="19.5" style="16" customWidth="1"/>
    <col min="6147" max="6147" width="3" style="16" customWidth="1"/>
    <col min="6148" max="6148" width="28.375" style="16" customWidth="1"/>
    <col min="6149" max="6149" width="1.375" style="16" customWidth="1"/>
    <col min="6150" max="6150" width="8.875" style="16" customWidth="1"/>
    <col min="6151" max="6151" width="16.5" style="16" customWidth="1"/>
    <col min="6152" max="6400" width="8" style="16" customWidth="1"/>
    <col min="6401" max="6401" width="7.25" style="16" customWidth="1"/>
    <col min="6402" max="6402" width="19.5" style="16" customWidth="1"/>
    <col min="6403" max="6403" width="3" style="16" customWidth="1"/>
    <col min="6404" max="6404" width="28.375" style="16" customWidth="1"/>
    <col min="6405" max="6405" width="1.375" style="16" customWidth="1"/>
    <col min="6406" max="6406" width="8.875" style="16" customWidth="1"/>
    <col min="6407" max="6407" width="16.5" style="16" customWidth="1"/>
    <col min="6408" max="6656" width="8" style="16" customWidth="1"/>
    <col min="6657" max="6657" width="7.25" style="16" customWidth="1"/>
    <col min="6658" max="6658" width="19.5" style="16" customWidth="1"/>
    <col min="6659" max="6659" width="3" style="16" customWidth="1"/>
    <col min="6660" max="6660" width="28.375" style="16" customWidth="1"/>
    <col min="6661" max="6661" width="1.375" style="16" customWidth="1"/>
    <col min="6662" max="6662" width="8.875" style="16" customWidth="1"/>
    <col min="6663" max="6663" width="16.5" style="16" customWidth="1"/>
    <col min="6664" max="6912" width="8" style="16" customWidth="1"/>
    <col min="6913" max="6913" width="7.25" style="16" customWidth="1"/>
    <col min="6914" max="6914" width="19.5" style="16" customWidth="1"/>
    <col min="6915" max="6915" width="3" style="16" customWidth="1"/>
    <col min="6916" max="6916" width="28.375" style="16" customWidth="1"/>
    <col min="6917" max="6917" width="1.375" style="16" customWidth="1"/>
    <col min="6918" max="6918" width="8.875" style="16" customWidth="1"/>
    <col min="6919" max="6919" width="16.5" style="16" customWidth="1"/>
    <col min="6920" max="7168" width="8" style="16" customWidth="1"/>
    <col min="7169" max="7169" width="7.25" style="16" customWidth="1"/>
    <col min="7170" max="7170" width="19.5" style="16" customWidth="1"/>
    <col min="7171" max="7171" width="3" style="16" customWidth="1"/>
    <col min="7172" max="7172" width="28.375" style="16" customWidth="1"/>
    <col min="7173" max="7173" width="1.375" style="16" customWidth="1"/>
    <col min="7174" max="7174" width="8.875" style="16" customWidth="1"/>
    <col min="7175" max="7175" width="16.5" style="16" customWidth="1"/>
    <col min="7176" max="7424" width="8" style="16" customWidth="1"/>
    <col min="7425" max="7425" width="7.25" style="16" customWidth="1"/>
    <col min="7426" max="7426" width="19.5" style="16" customWidth="1"/>
    <col min="7427" max="7427" width="3" style="16" customWidth="1"/>
    <col min="7428" max="7428" width="28.375" style="16" customWidth="1"/>
    <col min="7429" max="7429" width="1.375" style="16" customWidth="1"/>
    <col min="7430" max="7430" width="8.875" style="16" customWidth="1"/>
    <col min="7431" max="7431" width="16.5" style="16" customWidth="1"/>
    <col min="7432" max="7680" width="8" style="16" customWidth="1"/>
    <col min="7681" max="7681" width="7.25" style="16" customWidth="1"/>
    <col min="7682" max="7682" width="19.5" style="16" customWidth="1"/>
    <col min="7683" max="7683" width="3" style="16" customWidth="1"/>
    <col min="7684" max="7684" width="28.375" style="16" customWidth="1"/>
    <col min="7685" max="7685" width="1.375" style="16" customWidth="1"/>
    <col min="7686" max="7686" width="8.875" style="16" customWidth="1"/>
    <col min="7687" max="7687" width="16.5" style="16" customWidth="1"/>
    <col min="7688" max="7936" width="8" style="16" customWidth="1"/>
    <col min="7937" max="7937" width="7.25" style="16" customWidth="1"/>
    <col min="7938" max="7938" width="19.5" style="16" customWidth="1"/>
    <col min="7939" max="7939" width="3" style="16" customWidth="1"/>
    <col min="7940" max="7940" width="28.375" style="16" customWidth="1"/>
    <col min="7941" max="7941" width="1.375" style="16" customWidth="1"/>
    <col min="7942" max="7942" width="8.875" style="16" customWidth="1"/>
    <col min="7943" max="7943" width="16.5" style="16" customWidth="1"/>
    <col min="7944" max="8192" width="8" style="16" customWidth="1"/>
    <col min="8193" max="8193" width="7.25" style="16" customWidth="1"/>
    <col min="8194" max="8194" width="19.5" style="16" customWidth="1"/>
    <col min="8195" max="8195" width="3" style="16" customWidth="1"/>
    <col min="8196" max="8196" width="28.375" style="16" customWidth="1"/>
    <col min="8197" max="8197" width="1.375" style="16" customWidth="1"/>
    <col min="8198" max="8198" width="8.875" style="16" customWidth="1"/>
    <col min="8199" max="8199" width="16.5" style="16" customWidth="1"/>
    <col min="8200" max="8448" width="8" style="16" customWidth="1"/>
    <col min="8449" max="8449" width="7.25" style="16" customWidth="1"/>
    <col min="8450" max="8450" width="19.5" style="16" customWidth="1"/>
    <col min="8451" max="8451" width="3" style="16" customWidth="1"/>
    <col min="8452" max="8452" width="28.375" style="16" customWidth="1"/>
    <col min="8453" max="8453" width="1.375" style="16" customWidth="1"/>
    <col min="8454" max="8454" width="8.875" style="16" customWidth="1"/>
    <col min="8455" max="8455" width="16.5" style="16" customWidth="1"/>
    <col min="8456" max="8704" width="8" style="16" customWidth="1"/>
    <col min="8705" max="8705" width="7.25" style="16" customWidth="1"/>
    <col min="8706" max="8706" width="19.5" style="16" customWidth="1"/>
    <col min="8707" max="8707" width="3" style="16" customWidth="1"/>
    <col min="8708" max="8708" width="28.375" style="16" customWidth="1"/>
    <col min="8709" max="8709" width="1.375" style="16" customWidth="1"/>
    <col min="8710" max="8710" width="8.875" style="16" customWidth="1"/>
    <col min="8711" max="8711" width="16.5" style="16" customWidth="1"/>
    <col min="8712" max="8960" width="8" style="16" customWidth="1"/>
    <col min="8961" max="8961" width="7.25" style="16" customWidth="1"/>
    <col min="8962" max="8962" width="19.5" style="16" customWidth="1"/>
    <col min="8963" max="8963" width="3" style="16" customWidth="1"/>
    <col min="8964" max="8964" width="28.375" style="16" customWidth="1"/>
    <col min="8965" max="8965" width="1.375" style="16" customWidth="1"/>
    <col min="8966" max="8966" width="8.875" style="16" customWidth="1"/>
    <col min="8967" max="8967" width="16.5" style="16" customWidth="1"/>
    <col min="8968" max="9216" width="8" style="16" customWidth="1"/>
    <col min="9217" max="9217" width="7.25" style="16" customWidth="1"/>
    <col min="9218" max="9218" width="19.5" style="16" customWidth="1"/>
    <col min="9219" max="9219" width="3" style="16" customWidth="1"/>
    <col min="9220" max="9220" width="28.375" style="16" customWidth="1"/>
    <col min="9221" max="9221" width="1.375" style="16" customWidth="1"/>
    <col min="9222" max="9222" width="8.875" style="16" customWidth="1"/>
    <col min="9223" max="9223" width="16.5" style="16" customWidth="1"/>
    <col min="9224" max="9472" width="8" style="16" customWidth="1"/>
    <col min="9473" max="9473" width="7.25" style="16" customWidth="1"/>
    <col min="9474" max="9474" width="19.5" style="16" customWidth="1"/>
    <col min="9475" max="9475" width="3" style="16" customWidth="1"/>
    <col min="9476" max="9476" width="28.375" style="16" customWidth="1"/>
    <col min="9477" max="9477" width="1.375" style="16" customWidth="1"/>
    <col min="9478" max="9478" width="8.875" style="16" customWidth="1"/>
    <col min="9479" max="9479" width="16.5" style="16" customWidth="1"/>
    <col min="9480" max="9728" width="8" style="16" customWidth="1"/>
    <col min="9729" max="9729" width="7.25" style="16" customWidth="1"/>
    <col min="9730" max="9730" width="19.5" style="16" customWidth="1"/>
    <col min="9731" max="9731" width="3" style="16" customWidth="1"/>
    <col min="9732" max="9732" width="28.375" style="16" customWidth="1"/>
    <col min="9733" max="9733" width="1.375" style="16" customWidth="1"/>
    <col min="9734" max="9734" width="8.875" style="16" customWidth="1"/>
    <col min="9735" max="9735" width="16.5" style="16" customWidth="1"/>
    <col min="9736" max="9984" width="8" style="16" customWidth="1"/>
    <col min="9985" max="9985" width="7.25" style="16" customWidth="1"/>
    <col min="9986" max="9986" width="19.5" style="16" customWidth="1"/>
    <col min="9987" max="9987" width="3" style="16" customWidth="1"/>
    <col min="9988" max="9988" width="28.375" style="16" customWidth="1"/>
    <col min="9989" max="9989" width="1.375" style="16" customWidth="1"/>
    <col min="9990" max="9990" width="8.875" style="16" customWidth="1"/>
    <col min="9991" max="9991" width="16.5" style="16" customWidth="1"/>
    <col min="9992" max="10240" width="8" style="16" customWidth="1"/>
    <col min="10241" max="10241" width="7.25" style="16" customWidth="1"/>
    <col min="10242" max="10242" width="19.5" style="16" customWidth="1"/>
    <col min="10243" max="10243" width="3" style="16" customWidth="1"/>
    <col min="10244" max="10244" width="28.375" style="16" customWidth="1"/>
    <col min="10245" max="10245" width="1.375" style="16" customWidth="1"/>
    <col min="10246" max="10246" width="8.875" style="16" customWidth="1"/>
    <col min="10247" max="10247" width="16.5" style="16" customWidth="1"/>
    <col min="10248" max="10496" width="8" style="16" customWidth="1"/>
    <col min="10497" max="10497" width="7.25" style="16" customWidth="1"/>
    <col min="10498" max="10498" width="19.5" style="16" customWidth="1"/>
    <col min="10499" max="10499" width="3" style="16" customWidth="1"/>
    <col min="10500" max="10500" width="28.375" style="16" customWidth="1"/>
    <col min="10501" max="10501" width="1.375" style="16" customWidth="1"/>
    <col min="10502" max="10502" width="8.875" style="16" customWidth="1"/>
    <col min="10503" max="10503" width="16.5" style="16" customWidth="1"/>
    <col min="10504" max="10752" width="8" style="16" customWidth="1"/>
    <col min="10753" max="10753" width="7.25" style="16" customWidth="1"/>
    <col min="10754" max="10754" width="19.5" style="16" customWidth="1"/>
    <col min="10755" max="10755" width="3" style="16" customWidth="1"/>
    <col min="10756" max="10756" width="28.375" style="16" customWidth="1"/>
    <col min="10757" max="10757" width="1.375" style="16" customWidth="1"/>
    <col min="10758" max="10758" width="8.875" style="16" customWidth="1"/>
    <col min="10759" max="10759" width="16.5" style="16" customWidth="1"/>
    <col min="10760" max="11008" width="8" style="16" customWidth="1"/>
    <col min="11009" max="11009" width="7.25" style="16" customWidth="1"/>
    <col min="11010" max="11010" width="19.5" style="16" customWidth="1"/>
    <col min="11011" max="11011" width="3" style="16" customWidth="1"/>
    <col min="11012" max="11012" width="28.375" style="16" customWidth="1"/>
    <col min="11013" max="11013" width="1.375" style="16" customWidth="1"/>
    <col min="11014" max="11014" width="8.875" style="16" customWidth="1"/>
    <col min="11015" max="11015" width="16.5" style="16" customWidth="1"/>
    <col min="11016" max="11264" width="8" style="16" customWidth="1"/>
    <col min="11265" max="11265" width="7.25" style="16" customWidth="1"/>
    <col min="11266" max="11266" width="19.5" style="16" customWidth="1"/>
    <col min="11267" max="11267" width="3" style="16" customWidth="1"/>
    <col min="11268" max="11268" width="28.375" style="16" customWidth="1"/>
    <col min="11269" max="11269" width="1.375" style="16" customWidth="1"/>
    <col min="11270" max="11270" width="8.875" style="16" customWidth="1"/>
    <col min="11271" max="11271" width="16.5" style="16" customWidth="1"/>
    <col min="11272" max="11520" width="8" style="16" customWidth="1"/>
    <col min="11521" max="11521" width="7.25" style="16" customWidth="1"/>
    <col min="11522" max="11522" width="19.5" style="16" customWidth="1"/>
    <col min="11523" max="11523" width="3" style="16" customWidth="1"/>
    <col min="11524" max="11524" width="28.375" style="16" customWidth="1"/>
    <col min="11525" max="11525" width="1.375" style="16" customWidth="1"/>
    <col min="11526" max="11526" width="8.875" style="16" customWidth="1"/>
    <col min="11527" max="11527" width="16.5" style="16" customWidth="1"/>
    <col min="11528" max="11776" width="8" style="16" customWidth="1"/>
    <col min="11777" max="11777" width="7.25" style="16" customWidth="1"/>
    <col min="11778" max="11778" width="19.5" style="16" customWidth="1"/>
    <col min="11779" max="11779" width="3" style="16" customWidth="1"/>
    <col min="11780" max="11780" width="28.375" style="16" customWidth="1"/>
    <col min="11781" max="11781" width="1.375" style="16" customWidth="1"/>
    <col min="11782" max="11782" width="8.875" style="16" customWidth="1"/>
    <col min="11783" max="11783" width="16.5" style="16" customWidth="1"/>
    <col min="11784" max="12032" width="8" style="16" customWidth="1"/>
    <col min="12033" max="12033" width="7.25" style="16" customWidth="1"/>
    <col min="12034" max="12034" width="19.5" style="16" customWidth="1"/>
    <col min="12035" max="12035" width="3" style="16" customWidth="1"/>
    <col min="12036" max="12036" width="28.375" style="16" customWidth="1"/>
    <col min="12037" max="12037" width="1.375" style="16" customWidth="1"/>
    <col min="12038" max="12038" width="8.875" style="16" customWidth="1"/>
    <col min="12039" max="12039" width="16.5" style="16" customWidth="1"/>
    <col min="12040" max="12288" width="8" style="16" customWidth="1"/>
    <col min="12289" max="12289" width="7.25" style="16" customWidth="1"/>
    <col min="12290" max="12290" width="19.5" style="16" customWidth="1"/>
    <col min="12291" max="12291" width="3" style="16" customWidth="1"/>
    <col min="12292" max="12292" width="28.375" style="16" customWidth="1"/>
    <col min="12293" max="12293" width="1.375" style="16" customWidth="1"/>
    <col min="12294" max="12294" width="8.875" style="16" customWidth="1"/>
    <col min="12295" max="12295" width="16.5" style="16" customWidth="1"/>
    <col min="12296" max="12544" width="8" style="16" customWidth="1"/>
    <col min="12545" max="12545" width="7.25" style="16" customWidth="1"/>
    <col min="12546" max="12546" width="19.5" style="16" customWidth="1"/>
    <col min="12547" max="12547" width="3" style="16" customWidth="1"/>
    <col min="12548" max="12548" width="28.375" style="16" customWidth="1"/>
    <col min="12549" max="12549" width="1.375" style="16" customWidth="1"/>
    <col min="12550" max="12550" width="8.875" style="16" customWidth="1"/>
    <col min="12551" max="12551" width="16.5" style="16" customWidth="1"/>
    <col min="12552" max="12800" width="8" style="16" customWidth="1"/>
    <col min="12801" max="12801" width="7.25" style="16" customWidth="1"/>
    <col min="12802" max="12802" width="19.5" style="16" customWidth="1"/>
    <col min="12803" max="12803" width="3" style="16" customWidth="1"/>
    <col min="12804" max="12804" width="28.375" style="16" customWidth="1"/>
    <col min="12805" max="12805" width="1.375" style="16" customWidth="1"/>
    <col min="12806" max="12806" width="8.875" style="16" customWidth="1"/>
    <col min="12807" max="12807" width="16.5" style="16" customWidth="1"/>
    <col min="12808" max="13056" width="8" style="16" customWidth="1"/>
    <col min="13057" max="13057" width="7.25" style="16" customWidth="1"/>
    <col min="13058" max="13058" width="19.5" style="16" customWidth="1"/>
    <col min="13059" max="13059" width="3" style="16" customWidth="1"/>
    <col min="13060" max="13060" width="28.375" style="16" customWidth="1"/>
    <col min="13061" max="13061" width="1.375" style="16" customWidth="1"/>
    <col min="13062" max="13062" width="8.875" style="16" customWidth="1"/>
    <col min="13063" max="13063" width="16.5" style="16" customWidth="1"/>
    <col min="13064" max="13312" width="8" style="16" customWidth="1"/>
    <col min="13313" max="13313" width="7.25" style="16" customWidth="1"/>
    <col min="13314" max="13314" width="19.5" style="16" customWidth="1"/>
    <col min="13315" max="13315" width="3" style="16" customWidth="1"/>
    <col min="13316" max="13316" width="28.375" style="16" customWidth="1"/>
    <col min="13317" max="13317" width="1.375" style="16" customWidth="1"/>
    <col min="13318" max="13318" width="8.875" style="16" customWidth="1"/>
    <col min="13319" max="13319" width="16.5" style="16" customWidth="1"/>
    <col min="13320" max="13568" width="8" style="16" customWidth="1"/>
    <col min="13569" max="13569" width="7.25" style="16" customWidth="1"/>
    <col min="13570" max="13570" width="19.5" style="16" customWidth="1"/>
    <col min="13571" max="13571" width="3" style="16" customWidth="1"/>
    <col min="13572" max="13572" width="28.375" style="16" customWidth="1"/>
    <col min="13573" max="13573" width="1.375" style="16" customWidth="1"/>
    <col min="13574" max="13574" width="8.875" style="16" customWidth="1"/>
    <col min="13575" max="13575" width="16.5" style="16" customWidth="1"/>
    <col min="13576" max="13824" width="8" style="16" customWidth="1"/>
    <col min="13825" max="13825" width="7.25" style="16" customWidth="1"/>
    <col min="13826" max="13826" width="19.5" style="16" customWidth="1"/>
    <col min="13827" max="13827" width="3" style="16" customWidth="1"/>
    <col min="13828" max="13828" width="28.375" style="16" customWidth="1"/>
    <col min="13829" max="13829" width="1.375" style="16" customWidth="1"/>
    <col min="13830" max="13830" width="8.875" style="16" customWidth="1"/>
    <col min="13831" max="13831" width="16.5" style="16" customWidth="1"/>
    <col min="13832" max="14080" width="8" style="16" customWidth="1"/>
    <col min="14081" max="14081" width="7.25" style="16" customWidth="1"/>
    <col min="14082" max="14082" width="19.5" style="16" customWidth="1"/>
    <col min="14083" max="14083" width="3" style="16" customWidth="1"/>
    <col min="14084" max="14084" width="28.375" style="16" customWidth="1"/>
    <col min="14085" max="14085" width="1.375" style="16" customWidth="1"/>
    <col min="14086" max="14086" width="8.875" style="16" customWidth="1"/>
    <col min="14087" max="14087" width="16.5" style="16" customWidth="1"/>
    <col min="14088" max="14336" width="8" style="16" customWidth="1"/>
    <col min="14337" max="14337" width="7.25" style="16" customWidth="1"/>
    <col min="14338" max="14338" width="19.5" style="16" customWidth="1"/>
    <col min="14339" max="14339" width="3" style="16" customWidth="1"/>
    <col min="14340" max="14340" width="28.375" style="16" customWidth="1"/>
    <col min="14341" max="14341" width="1.375" style="16" customWidth="1"/>
    <col min="14342" max="14342" width="8.875" style="16" customWidth="1"/>
    <col min="14343" max="14343" width="16.5" style="16" customWidth="1"/>
    <col min="14344" max="14592" width="8" style="16" customWidth="1"/>
    <col min="14593" max="14593" width="7.25" style="16" customWidth="1"/>
    <col min="14594" max="14594" width="19.5" style="16" customWidth="1"/>
    <col min="14595" max="14595" width="3" style="16" customWidth="1"/>
    <col min="14596" max="14596" width="28.375" style="16" customWidth="1"/>
    <col min="14597" max="14597" width="1.375" style="16" customWidth="1"/>
    <col min="14598" max="14598" width="8.875" style="16" customWidth="1"/>
    <col min="14599" max="14599" width="16.5" style="16" customWidth="1"/>
    <col min="14600" max="14848" width="8" style="16" customWidth="1"/>
    <col min="14849" max="14849" width="7.25" style="16" customWidth="1"/>
    <col min="14850" max="14850" width="19.5" style="16" customWidth="1"/>
    <col min="14851" max="14851" width="3" style="16" customWidth="1"/>
    <col min="14852" max="14852" width="28.375" style="16" customWidth="1"/>
    <col min="14853" max="14853" width="1.375" style="16" customWidth="1"/>
    <col min="14854" max="14854" width="8.875" style="16" customWidth="1"/>
    <col min="14855" max="14855" width="16.5" style="16" customWidth="1"/>
    <col min="14856" max="15104" width="8" style="16" customWidth="1"/>
    <col min="15105" max="15105" width="7.25" style="16" customWidth="1"/>
    <col min="15106" max="15106" width="19.5" style="16" customWidth="1"/>
    <col min="15107" max="15107" width="3" style="16" customWidth="1"/>
    <col min="15108" max="15108" width="28.375" style="16" customWidth="1"/>
    <col min="15109" max="15109" width="1.375" style="16" customWidth="1"/>
    <col min="15110" max="15110" width="8.875" style="16" customWidth="1"/>
    <col min="15111" max="15111" width="16.5" style="16" customWidth="1"/>
    <col min="15112" max="15360" width="8" style="16" customWidth="1"/>
    <col min="15361" max="15361" width="7.25" style="16" customWidth="1"/>
    <col min="15362" max="15362" width="19.5" style="16" customWidth="1"/>
    <col min="15363" max="15363" width="3" style="16" customWidth="1"/>
    <col min="15364" max="15364" width="28.375" style="16" customWidth="1"/>
    <col min="15365" max="15365" width="1.375" style="16" customWidth="1"/>
    <col min="15366" max="15366" width="8.875" style="16" customWidth="1"/>
    <col min="15367" max="15367" width="16.5" style="16" customWidth="1"/>
    <col min="15368" max="15616" width="8" style="16" customWidth="1"/>
    <col min="15617" max="15617" width="7.25" style="16" customWidth="1"/>
    <col min="15618" max="15618" width="19.5" style="16" customWidth="1"/>
    <col min="15619" max="15619" width="3" style="16" customWidth="1"/>
    <col min="15620" max="15620" width="28.375" style="16" customWidth="1"/>
    <col min="15621" max="15621" width="1.375" style="16" customWidth="1"/>
    <col min="15622" max="15622" width="8.875" style="16" customWidth="1"/>
    <col min="15623" max="15623" width="16.5" style="16" customWidth="1"/>
    <col min="15624" max="15872" width="8" style="16" customWidth="1"/>
    <col min="15873" max="15873" width="7.25" style="16" customWidth="1"/>
    <col min="15874" max="15874" width="19.5" style="16" customWidth="1"/>
    <col min="15875" max="15875" width="3" style="16" customWidth="1"/>
    <col min="15876" max="15876" width="28.375" style="16" customWidth="1"/>
    <col min="15877" max="15877" width="1.375" style="16" customWidth="1"/>
    <col min="15878" max="15878" width="8.875" style="16" customWidth="1"/>
    <col min="15879" max="15879" width="16.5" style="16" customWidth="1"/>
    <col min="15880" max="16128" width="8" style="16" customWidth="1"/>
    <col min="16129" max="16129" width="7.25" style="16" customWidth="1"/>
    <col min="16130" max="16130" width="19.5" style="16" customWidth="1"/>
    <col min="16131" max="16131" width="3" style="16" customWidth="1"/>
    <col min="16132" max="16132" width="28.375" style="16" customWidth="1"/>
    <col min="16133" max="16133" width="1.375" style="16" customWidth="1"/>
    <col min="16134" max="16134" width="8.875" style="16" customWidth="1"/>
    <col min="16135" max="16135" width="16.5" style="16" customWidth="1"/>
    <col min="16136" max="16384" width="8" style="16" customWidth="1"/>
  </cols>
  <sheetData>
    <row r="1" spans="1:7" ht="35.25" customHeight="1">
      <c r="A1" s="332" t="s">
        <v>228</v>
      </c>
      <c r="B1" s="332" t="s">
        <v>110</v>
      </c>
      <c r="C1" s="332" t="s">
        <v>110</v>
      </c>
      <c r="D1" s="332" t="s">
        <v>110</v>
      </c>
      <c r="E1" s="332" t="s">
        <v>110</v>
      </c>
      <c r="F1" s="332" t="s">
        <v>110</v>
      </c>
      <c r="G1" s="332" t="s">
        <v>110</v>
      </c>
    </row>
    <row r="2" spans="1:7" ht="29.25" customHeight="1" thickBot="1">
      <c r="A2" s="333" t="s">
        <v>714</v>
      </c>
      <c r="B2" s="333" t="s">
        <v>110</v>
      </c>
      <c r="C2" s="333" t="s">
        <v>110</v>
      </c>
      <c r="D2" s="333" t="s">
        <v>110</v>
      </c>
      <c r="E2" s="334" t="s">
        <v>715</v>
      </c>
      <c r="F2" s="334" t="s">
        <v>110</v>
      </c>
      <c r="G2" s="334" t="s">
        <v>110</v>
      </c>
    </row>
    <row r="3" spans="1:7" ht="18" customHeight="1">
      <c r="A3" s="239" t="s">
        <v>112</v>
      </c>
      <c r="B3" s="335" t="s">
        <v>229</v>
      </c>
      <c r="C3" s="335" t="s">
        <v>110</v>
      </c>
      <c r="D3" s="335" t="s">
        <v>230</v>
      </c>
      <c r="E3" s="335" t="s">
        <v>110</v>
      </c>
      <c r="F3" s="242" t="s">
        <v>231</v>
      </c>
      <c r="G3" s="245" t="s">
        <v>232</v>
      </c>
    </row>
    <row r="4" spans="1:7" ht="16.5" customHeight="1">
      <c r="A4" s="240" t="s">
        <v>233</v>
      </c>
      <c r="B4" s="336" t="s">
        <v>716</v>
      </c>
      <c r="C4" s="336" t="s">
        <v>110</v>
      </c>
      <c r="D4" s="336" t="s">
        <v>716</v>
      </c>
      <c r="E4" s="336" t="s">
        <v>110</v>
      </c>
      <c r="F4" s="243" t="s">
        <v>110</v>
      </c>
      <c r="G4" s="246">
        <v>344064.09</v>
      </c>
    </row>
    <row r="5" spans="1:7" ht="29.25" customHeight="1">
      <c r="A5" s="240" t="s">
        <v>114</v>
      </c>
      <c r="B5" s="336" t="s">
        <v>235</v>
      </c>
      <c r="C5" s="336" t="s">
        <v>110</v>
      </c>
      <c r="D5" s="336" t="s">
        <v>717</v>
      </c>
      <c r="E5" s="336" t="s">
        <v>110</v>
      </c>
      <c r="F5" s="243" t="s">
        <v>546</v>
      </c>
      <c r="G5" s="246">
        <v>268206.34999999998</v>
      </c>
    </row>
    <row r="6" spans="1:7" ht="16.5" customHeight="1">
      <c r="A6" s="240" t="s">
        <v>233</v>
      </c>
      <c r="B6" s="336" t="s">
        <v>115</v>
      </c>
      <c r="C6" s="336" t="s">
        <v>110</v>
      </c>
      <c r="D6" s="336" t="s">
        <v>115</v>
      </c>
      <c r="E6" s="336" t="s">
        <v>110</v>
      </c>
      <c r="F6" s="243" t="s">
        <v>110</v>
      </c>
      <c r="G6" s="246">
        <v>166272.04999999999</v>
      </c>
    </row>
    <row r="7" spans="1:7" ht="16.5" customHeight="1">
      <c r="A7" s="240" t="s">
        <v>238</v>
      </c>
      <c r="B7" s="336" t="s">
        <v>116</v>
      </c>
      <c r="C7" s="336" t="s">
        <v>110</v>
      </c>
      <c r="D7" s="336" t="s">
        <v>116</v>
      </c>
      <c r="E7" s="336" t="s">
        <v>110</v>
      </c>
      <c r="F7" s="243" t="s">
        <v>110</v>
      </c>
      <c r="G7" s="246" t="s">
        <v>110</v>
      </c>
    </row>
    <row r="8" spans="1:7" ht="16.5" customHeight="1">
      <c r="A8" s="240" t="s">
        <v>239</v>
      </c>
      <c r="B8" s="336" t="s">
        <v>240</v>
      </c>
      <c r="C8" s="336" t="s">
        <v>110</v>
      </c>
      <c r="D8" s="336" t="s">
        <v>241</v>
      </c>
      <c r="E8" s="336" t="s">
        <v>110</v>
      </c>
      <c r="F8" s="243" t="s">
        <v>110</v>
      </c>
      <c r="G8" s="246" t="s">
        <v>110</v>
      </c>
    </row>
    <row r="9" spans="1:7" ht="16.5" customHeight="1">
      <c r="A9" s="240" t="s">
        <v>242</v>
      </c>
      <c r="B9" s="336" t="s">
        <v>243</v>
      </c>
      <c r="C9" s="336" t="s">
        <v>110</v>
      </c>
      <c r="D9" s="336" t="s">
        <v>117</v>
      </c>
      <c r="E9" s="336" t="s">
        <v>110</v>
      </c>
      <c r="F9" s="243" t="s">
        <v>110</v>
      </c>
      <c r="G9" s="246">
        <v>94122.46</v>
      </c>
    </row>
    <row r="10" spans="1:7" ht="16.5" customHeight="1">
      <c r="A10" s="240" t="s">
        <v>118</v>
      </c>
      <c r="B10" s="336" t="s">
        <v>246</v>
      </c>
      <c r="C10" s="336" t="s">
        <v>110</v>
      </c>
      <c r="D10" s="336" t="s">
        <v>247</v>
      </c>
      <c r="E10" s="336" t="s">
        <v>110</v>
      </c>
      <c r="F10" s="243" t="s">
        <v>110</v>
      </c>
      <c r="G10" s="246">
        <v>15076.84</v>
      </c>
    </row>
    <row r="11" spans="1:7" ht="16.5" customHeight="1">
      <c r="A11" s="240" t="s">
        <v>119</v>
      </c>
      <c r="B11" s="336" t="s">
        <v>248</v>
      </c>
      <c r="C11" s="336" t="s">
        <v>110</v>
      </c>
      <c r="D11" s="336" t="s">
        <v>249</v>
      </c>
      <c r="E11" s="336" t="s">
        <v>110</v>
      </c>
      <c r="F11" s="243" t="s">
        <v>110</v>
      </c>
      <c r="G11" s="246" t="s">
        <v>110</v>
      </c>
    </row>
    <row r="12" spans="1:7" ht="16.5" customHeight="1">
      <c r="A12" s="240" t="s">
        <v>120</v>
      </c>
      <c r="B12" s="336" t="s">
        <v>115</v>
      </c>
      <c r="C12" s="336" t="s">
        <v>110</v>
      </c>
      <c r="D12" s="336" t="s">
        <v>250</v>
      </c>
      <c r="E12" s="336" t="s">
        <v>110</v>
      </c>
      <c r="F12" s="243" t="s">
        <v>110</v>
      </c>
      <c r="G12" s="246" t="s">
        <v>110</v>
      </c>
    </row>
    <row r="13" spans="1:7" ht="16.5" customHeight="1">
      <c r="A13" s="240" t="s">
        <v>251</v>
      </c>
      <c r="B13" s="336" t="s">
        <v>116</v>
      </c>
      <c r="C13" s="336" t="s">
        <v>110</v>
      </c>
      <c r="D13" s="336" t="s">
        <v>252</v>
      </c>
      <c r="E13" s="336" t="s">
        <v>110</v>
      </c>
      <c r="F13" s="243" t="s">
        <v>110</v>
      </c>
      <c r="G13" s="246" t="s">
        <v>110</v>
      </c>
    </row>
    <row r="14" spans="1:7" ht="16.5" customHeight="1">
      <c r="A14" s="240" t="s">
        <v>253</v>
      </c>
      <c r="B14" s="336" t="s">
        <v>243</v>
      </c>
      <c r="C14" s="336" t="s">
        <v>110</v>
      </c>
      <c r="D14" s="336" t="s">
        <v>254</v>
      </c>
      <c r="E14" s="336" t="s">
        <v>110</v>
      </c>
      <c r="F14" s="243" t="s">
        <v>110</v>
      </c>
      <c r="G14" s="246" t="s">
        <v>110</v>
      </c>
    </row>
    <row r="15" spans="1:7" ht="16.5" customHeight="1">
      <c r="A15" s="240" t="s">
        <v>121</v>
      </c>
      <c r="B15" s="336" t="s">
        <v>255</v>
      </c>
      <c r="C15" s="336" t="s">
        <v>110</v>
      </c>
      <c r="D15" s="336" t="s">
        <v>718</v>
      </c>
      <c r="E15" s="336" t="s">
        <v>110</v>
      </c>
      <c r="F15" s="243" t="s">
        <v>110</v>
      </c>
      <c r="G15" s="246">
        <v>15076.84</v>
      </c>
    </row>
    <row r="16" spans="1:7" ht="16.5" customHeight="1">
      <c r="A16" s="240" t="s">
        <v>257</v>
      </c>
      <c r="B16" s="336" t="s">
        <v>719</v>
      </c>
      <c r="C16" s="336" t="s">
        <v>110</v>
      </c>
      <c r="D16" s="336" t="s">
        <v>720</v>
      </c>
      <c r="E16" s="336" t="s">
        <v>110</v>
      </c>
      <c r="F16" s="243" t="s">
        <v>110</v>
      </c>
      <c r="G16" s="246">
        <v>13384.28</v>
      </c>
    </row>
    <row r="17" spans="1:7" ht="29.25" customHeight="1">
      <c r="A17" s="240" t="s">
        <v>721</v>
      </c>
      <c r="B17" s="336" t="s">
        <v>128</v>
      </c>
      <c r="C17" s="336" t="s">
        <v>110</v>
      </c>
      <c r="D17" s="336" t="s">
        <v>258</v>
      </c>
      <c r="E17" s="336" t="s">
        <v>110</v>
      </c>
      <c r="F17" s="243" t="s">
        <v>722</v>
      </c>
      <c r="G17" s="246">
        <v>9009.65</v>
      </c>
    </row>
    <row r="18" spans="1:7" ht="29.25" customHeight="1">
      <c r="A18" s="240" t="s">
        <v>723</v>
      </c>
      <c r="B18" s="336" t="s">
        <v>724</v>
      </c>
      <c r="C18" s="336" t="s">
        <v>110</v>
      </c>
      <c r="D18" s="336" t="s">
        <v>258</v>
      </c>
      <c r="E18" s="336" t="s">
        <v>110</v>
      </c>
      <c r="F18" s="243" t="s">
        <v>725</v>
      </c>
      <c r="G18" s="246">
        <v>4374.63</v>
      </c>
    </row>
    <row r="19" spans="1:7" ht="29.25" customHeight="1">
      <c r="A19" s="240" t="s">
        <v>260</v>
      </c>
      <c r="B19" s="336" t="s">
        <v>261</v>
      </c>
      <c r="C19" s="336" t="s">
        <v>110</v>
      </c>
      <c r="D19" s="336" t="s">
        <v>258</v>
      </c>
      <c r="E19" s="336" t="s">
        <v>110</v>
      </c>
      <c r="F19" s="243" t="s">
        <v>262</v>
      </c>
      <c r="G19" s="246">
        <v>1692.56</v>
      </c>
    </row>
    <row r="20" spans="1:7" ht="16.5" customHeight="1">
      <c r="A20" s="240" t="s">
        <v>122</v>
      </c>
      <c r="B20" s="336" t="s">
        <v>263</v>
      </c>
      <c r="C20" s="336" t="s">
        <v>110</v>
      </c>
      <c r="D20" s="336" t="s">
        <v>110</v>
      </c>
      <c r="E20" s="336" t="s">
        <v>110</v>
      </c>
      <c r="F20" s="243" t="s">
        <v>110</v>
      </c>
      <c r="G20" s="246" t="s">
        <v>110</v>
      </c>
    </row>
    <row r="21" spans="1:7" ht="29.25" customHeight="1">
      <c r="A21" s="240" t="s">
        <v>125</v>
      </c>
      <c r="B21" s="336" t="s">
        <v>124</v>
      </c>
      <c r="C21" s="336" t="s">
        <v>110</v>
      </c>
      <c r="D21" s="336" t="s">
        <v>258</v>
      </c>
      <c r="E21" s="336" t="s">
        <v>110</v>
      </c>
      <c r="F21" s="243" t="s">
        <v>726</v>
      </c>
      <c r="G21" s="246">
        <v>19789.98</v>
      </c>
    </row>
    <row r="22" spans="1:7" ht="29.25" customHeight="1">
      <c r="A22" s="240" t="s">
        <v>127</v>
      </c>
      <c r="B22" s="336" t="s">
        <v>126</v>
      </c>
      <c r="C22" s="336" t="s">
        <v>110</v>
      </c>
      <c r="D22" s="336" t="s">
        <v>258</v>
      </c>
      <c r="E22" s="336" t="s">
        <v>110</v>
      </c>
      <c r="F22" s="243" t="s">
        <v>727</v>
      </c>
      <c r="G22" s="246">
        <v>12915.57</v>
      </c>
    </row>
    <row r="23" spans="1:7" ht="29.25" customHeight="1">
      <c r="A23" s="240" t="s">
        <v>129</v>
      </c>
      <c r="B23" s="336" t="s">
        <v>123</v>
      </c>
      <c r="C23" s="336" t="s">
        <v>110</v>
      </c>
      <c r="D23" s="336" t="s">
        <v>258</v>
      </c>
      <c r="E23" s="336" t="s">
        <v>110</v>
      </c>
      <c r="F23" s="243" t="s">
        <v>728</v>
      </c>
      <c r="G23" s="246">
        <v>15910.1</v>
      </c>
    </row>
    <row r="24" spans="1:7" ht="16.5" customHeight="1">
      <c r="A24" s="240" t="s">
        <v>131</v>
      </c>
      <c r="B24" s="336" t="s">
        <v>267</v>
      </c>
      <c r="C24" s="336" t="s">
        <v>110</v>
      </c>
      <c r="D24" s="336" t="s">
        <v>110</v>
      </c>
      <c r="E24" s="336" t="s">
        <v>110</v>
      </c>
      <c r="F24" s="243" t="s">
        <v>110</v>
      </c>
      <c r="G24" s="246" t="s">
        <v>110</v>
      </c>
    </row>
    <row r="25" spans="1:7" ht="29.25" customHeight="1">
      <c r="A25" s="240" t="s">
        <v>268</v>
      </c>
      <c r="B25" s="336" t="s">
        <v>269</v>
      </c>
      <c r="C25" s="336" t="s">
        <v>110</v>
      </c>
      <c r="D25" s="336" t="s">
        <v>729</v>
      </c>
      <c r="E25" s="336" t="s">
        <v>110</v>
      </c>
      <c r="F25" s="243" t="s">
        <v>271</v>
      </c>
      <c r="G25" s="246">
        <v>398.28</v>
      </c>
    </row>
    <row r="26" spans="1:7" ht="42" customHeight="1">
      <c r="A26" s="240" t="s">
        <v>272</v>
      </c>
      <c r="B26" s="336" t="s">
        <v>273</v>
      </c>
      <c r="C26" s="336" t="s">
        <v>110</v>
      </c>
      <c r="D26" s="336" t="s">
        <v>274</v>
      </c>
      <c r="E26" s="336" t="s">
        <v>110</v>
      </c>
      <c r="F26" s="243" t="s">
        <v>110</v>
      </c>
      <c r="G26" s="246">
        <v>332297.12</v>
      </c>
    </row>
    <row r="27" spans="1:7" ht="16.5" customHeight="1">
      <c r="A27" s="240" t="s">
        <v>275</v>
      </c>
      <c r="B27" s="336" t="s">
        <v>276</v>
      </c>
      <c r="C27" s="336" t="s">
        <v>110</v>
      </c>
      <c r="D27" s="336" t="s">
        <v>277</v>
      </c>
      <c r="E27" s="336" t="s">
        <v>110</v>
      </c>
      <c r="F27" s="243" t="s">
        <v>110</v>
      </c>
      <c r="G27" s="246" t="s">
        <v>110</v>
      </c>
    </row>
    <row r="28" spans="1:7" ht="16.5" customHeight="1">
      <c r="A28" s="240" t="s">
        <v>278</v>
      </c>
      <c r="B28" s="336" t="s">
        <v>130</v>
      </c>
      <c r="C28" s="336" t="s">
        <v>110</v>
      </c>
      <c r="D28" s="336" t="s">
        <v>279</v>
      </c>
      <c r="E28" s="336" t="s">
        <v>110</v>
      </c>
      <c r="F28" s="243" t="s">
        <v>280</v>
      </c>
      <c r="G28" s="246">
        <v>11766.97</v>
      </c>
    </row>
    <row r="29" spans="1:7" ht="16.5" customHeight="1">
      <c r="A29" s="240" t="s">
        <v>281</v>
      </c>
      <c r="B29" s="336" t="s">
        <v>282</v>
      </c>
      <c r="C29" s="336" t="s">
        <v>110</v>
      </c>
      <c r="D29" s="336" t="s">
        <v>283</v>
      </c>
      <c r="E29" s="336" t="s">
        <v>110</v>
      </c>
      <c r="F29" s="243" t="s">
        <v>110</v>
      </c>
      <c r="G29" s="246" t="s">
        <v>110</v>
      </c>
    </row>
    <row r="30" spans="1:7" ht="29.25" customHeight="1">
      <c r="A30" s="240" t="s">
        <v>730</v>
      </c>
      <c r="B30" s="336" t="s">
        <v>285</v>
      </c>
      <c r="C30" s="336" t="s">
        <v>110</v>
      </c>
      <c r="D30" s="336" t="s">
        <v>286</v>
      </c>
      <c r="E30" s="336" t="s">
        <v>110</v>
      </c>
      <c r="F30" s="243" t="s">
        <v>110</v>
      </c>
      <c r="G30" s="246">
        <v>344064.09</v>
      </c>
    </row>
    <row r="31" spans="1:7" ht="16.5" customHeight="1">
      <c r="A31" s="240" t="s">
        <v>110</v>
      </c>
      <c r="B31" s="336" t="s">
        <v>110</v>
      </c>
      <c r="C31" s="336" t="s">
        <v>110</v>
      </c>
      <c r="D31" s="337" t="s">
        <v>110</v>
      </c>
      <c r="E31" s="337" t="s">
        <v>110</v>
      </c>
      <c r="F31" s="243" t="s">
        <v>110</v>
      </c>
      <c r="G31" s="246" t="s">
        <v>110</v>
      </c>
    </row>
    <row r="32" spans="1:7" ht="16.5" customHeight="1">
      <c r="A32" s="240" t="s">
        <v>238</v>
      </c>
      <c r="B32" s="336" t="s">
        <v>731</v>
      </c>
      <c r="C32" s="336" t="s">
        <v>110</v>
      </c>
      <c r="D32" s="336" t="s">
        <v>731</v>
      </c>
      <c r="E32" s="336" t="s">
        <v>110</v>
      </c>
      <c r="F32" s="243" t="s">
        <v>110</v>
      </c>
      <c r="G32" s="246">
        <v>81358631.219999999</v>
      </c>
    </row>
    <row r="33" spans="1:7" ht="29.25" customHeight="1" thickBot="1">
      <c r="A33" s="241" t="s">
        <v>114</v>
      </c>
      <c r="B33" s="339" t="s">
        <v>235</v>
      </c>
      <c r="C33" s="339" t="s">
        <v>110</v>
      </c>
      <c r="D33" s="339" t="s">
        <v>717</v>
      </c>
      <c r="E33" s="339" t="s">
        <v>110</v>
      </c>
      <c r="F33" s="244" t="s">
        <v>546</v>
      </c>
      <c r="G33" s="247">
        <v>58226540.630000003</v>
      </c>
    </row>
    <row r="34" spans="1:7" ht="16.5" customHeight="1">
      <c r="A34" s="333" t="s">
        <v>288</v>
      </c>
      <c r="B34" s="333" t="s">
        <v>110</v>
      </c>
      <c r="C34" s="338" t="s">
        <v>289</v>
      </c>
      <c r="D34" s="338" t="s">
        <v>110</v>
      </c>
      <c r="E34" s="334" t="s">
        <v>290</v>
      </c>
      <c r="F34" s="334" t="s">
        <v>110</v>
      </c>
      <c r="G34" s="334" t="s">
        <v>110</v>
      </c>
    </row>
    <row r="35" spans="1:7" ht="35.25" customHeight="1">
      <c r="A35" s="332" t="s">
        <v>228</v>
      </c>
      <c r="B35" s="332" t="s">
        <v>110</v>
      </c>
      <c r="C35" s="332" t="s">
        <v>110</v>
      </c>
      <c r="D35" s="332" t="s">
        <v>110</v>
      </c>
      <c r="E35" s="332" t="s">
        <v>110</v>
      </c>
      <c r="F35" s="332" t="s">
        <v>110</v>
      </c>
      <c r="G35" s="332" t="s">
        <v>110</v>
      </c>
    </row>
    <row r="36" spans="1:7" ht="29.25" customHeight="1" thickBot="1">
      <c r="A36" s="333" t="s">
        <v>714</v>
      </c>
      <c r="B36" s="333" t="s">
        <v>110</v>
      </c>
      <c r="C36" s="333" t="s">
        <v>110</v>
      </c>
      <c r="D36" s="333" t="s">
        <v>110</v>
      </c>
      <c r="E36" s="334" t="s">
        <v>732</v>
      </c>
      <c r="F36" s="334" t="s">
        <v>110</v>
      </c>
      <c r="G36" s="334" t="s">
        <v>110</v>
      </c>
    </row>
    <row r="37" spans="1:7" ht="18" customHeight="1">
      <c r="A37" s="239" t="s">
        <v>112</v>
      </c>
      <c r="B37" s="335" t="s">
        <v>229</v>
      </c>
      <c r="C37" s="335" t="s">
        <v>110</v>
      </c>
      <c r="D37" s="335" t="s">
        <v>230</v>
      </c>
      <c r="E37" s="335" t="s">
        <v>110</v>
      </c>
      <c r="F37" s="242" t="s">
        <v>231</v>
      </c>
      <c r="G37" s="245" t="s">
        <v>232</v>
      </c>
    </row>
    <row r="38" spans="1:7" ht="16.5" customHeight="1">
      <c r="A38" s="240" t="s">
        <v>233</v>
      </c>
      <c r="B38" s="336" t="s">
        <v>115</v>
      </c>
      <c r="C38" s="336" t="s">
        <v>110</v>
      </c>
      <c r="D38" s="336" t="s">
        <v>115</v>
      </c>
      <c r="E38" s="336" t="s">
        <v>110</v>
      </c>
      <c r="F38" s="243" t="s">
        <v>110</v>
      </c>
      <c r="G38" s="246">
        <v>6860350.4100000001</v>
      </c>
    </row>
    <row r="39" spans="1:7" ht="16.5" customHeight="1">
      <c r="A39" s="240" t="s">
        <v>238</v>
      </c>
      <c r="B39" s="336" t="s">
        <v>116</v>
      </c>
      <c r="C39" s="336" t="s">
        <v>110</v>
      </c>
      <c r="D39" s="336" t="s">
        <v>116</v>
      </c>
      <c r="E39" s="336" t="s">
        <v>110</v>
      </c>
      <c r="F39" s="243" t="s">
        <v>110</v>
      </c>
      <c r="G39" s="246">
        <v>46857001.700000003</v>
      </c>
    </row>
    <row r="40" spans="1:7" ht="16.5" customHeight="1">
      <c r="A40" s="240" t="s">
        <v>239</v>
      </c>
      <c r="B40" s="336" t="s">
        <v>240</v>
      </c>
      <c r="C40" s="336" t="s">
        <v>110</v>
      </c>
      <c r="D40" s="336" t="s">
        <v>241</v>
      </c>
      <c r="E40" s="336" t="s">
        <v>110</v>
      </c>
      <c r="F40" s="243" t="s">
        <v>110</v>
      </c>
      <c r="G40" s="246" t="s">
        <v>110</v>
      </c>
    </row>
    <row r="41" spans="1:7" ht="16.5" customHeight="1">
      <c r="A41" s="240" t="s">
        <v>242</v>
      </c>
      <c r="B41" s="336" t="s">
        <v>243</v>
      </c>
      <c r="C41" s="336" t="s">
        <v>110</v>
      </c>
      <c r="D41" s="336" t="s">
        <v>117</v>
      </c>
      <c r="E41" s="336" t="s">
        <v>110</v>
      </c>
      <c r="F41" s="243" t="s">
        <v>110</v>
      </c>
      <c r="G41" s="246">
        <v>2813269.86</v>
      </c>
    </row>
    <row r="42" spans="1:7" ht="16.5" customHeight="1">
      <c r="A42" s="240" t="s">
        <v>118</v>
      </c>
      <c r="B42" s="336" t="s">
        <v>246</v>
      </c>
      <c r="C42" s="336" t="s">
        <v>110</v>
      </c>
      <c r="D42" s="336" t="s">
        <v>247</v>
      </c>
      <c r="E42" s="336" t="s">
        <v>110</v>
      </c>
      <c r="F42" s="243" t="s">
        <v>110</v>
      </c>
      <c r="G42" s="246">
        <v>9725087.4800000004</v>
      </c>
    </row>
    <row r="43" spans="1:7" ht="16.5" customHeight="1">
      <c r="A43" s="240" t="s">
        <v>119</v>
      </c>
      <c r="B43" s="336" t="s">
        <v>248</v>
      </c>
      <c r="C43" s="336" t="s">
        <v>110</v>
      </c>
      <c r="D43" s="336" t="s">
        <v>249</v>
      </c>
      <c r="E43" s="336" t="s">
        <v>110</v>
      </c>
      <c r="F43" s="243" t="s">
        <v>110</v>
      </c>
      <c r="G43" s="246">
        <v>7261742.9500000002</v>
      </c>
    </row>
    <row r="44" spans="1:7" ht="16.5" customHeight="1">
      <c r="A44" s="240" t="s">
        <v>120</v>
      </c>
      <c r="B44" s="336" t="s">
        <v>115</v>
      </c>
      <c r="C44" s="336" t="s">
        <v>110</v>
      </c>
      <c r="D44" s="336" t="s">
        <v>250</v>
      </c>
      <c r="E44" s="336" t="s">
        <v>110</v>
      </c>
      <c r="F44" s="243" t="s">
        <v>110</v>
      </c>
      <c r="G44" s="246">
        <v>3188120.65</v>
      </c>
    </row>
    <row r="45" spans="1:7" ht="16.5" customHeight="1">
      <c r="A45" s="240" t="s">
        <v>251</v>
      </c>
      <c r="B45" s="336" t="s">
        <v>116</v>
      </c>
      <c r="C45" s="336" t="s">
        <v>110</v>
      </c>
      <c r="D45" s="336" t="s">
        <v>252</v>
      </c>
      <c r="E45" s="336" t="s">
        <v>110</v>
      </c>
      <c r="F45" s="243" t="s">
        <v>110</v>
      </c>
      <c r="G45" s="246">
        <v>1154808.82</v>
      </c>
    </row>
    <row r="46" spans="1:7" ht="16.5" customHeight="1">
      <c r="A46" s="240" t="s">
        <v>253</v>
      </c>
      <c r="B46" s="336" t="s">
        <v>243</v>
      </c>
      <c r="C46" s="336" t="s">
        <v>110</v>
      </c>
      <c r="D46" s="336" t="s">
        <v>254</v>
      </c>
      <c r="E46" s="336" t="s">
        <v>110</v>
      </c>
      <c r="F46" s="243" t="s">
        <v>110</v>
      </c>
      <c r="G46" s="246">
        <v>2918813.48</v>
      </c>
    </row>
    <row r="47" spans="1:7" ht="16.5" customHeight="1">
      <c r="A47" s="240" t="s">
        <v>121</v>
      </c>
      <c r="B47" s="336" t="s">
        <v>255</v>
      </c>
      <c r="C47" s="336" t="s">
        <v>110</v>
      </c>
      <c r="D47" s="336" t="s">
        <v>718</v>
      </c>
      <c r="E47" s="336" t="s">
        <v>110</v>
      </c>
      <c r="F47" s="243" t="s">
        <v>110</v>
      </c>
      <c r="G47" s="246">
        <v>2463344.5299999998</v>
      </c>
    </row>
    <row r="48" spans="1:7" ht="16.5" customHeight="1">
      <c r="A48" s="240" t="s">
        <v>257</v>
      </c>
      <c r="B48" s="336" t="s">
        <v>719</v>
      </c>
      <c r="C48" s="336" t="s">
        <v>110</v>
      </c>
      <c r="D48" s="336" t="s">
        <v>720</v>
      </c>
      <c r="E48" s="336" t="s">
        <v>110</v>
      </c>
      <c r="F48" s="243" t="s">
        <v>110</v>
      </c>
      <c r="G48" s="246">
        <v>2360770.9300000002</v>
      </c>
    </row>
    <row r="49" spans="1:7" ht="29.25" customHeight="1">
      <c r="A49" s="240" t="s">
        <v>721</v>
      </c>
      <c r="B49" s="336" t="s">
        <v>128</v>
      </c>
      <c r="C49" s="336" t="s">
        <v>110</v>
      </c>
      <c r="D49" s="336" t="s">
        <v>258</v>
      </c>
      <c r="E49" s="336" t="s">
        <v>110</v>
      </c>
      <c r="F49" s="243" t="s">
        <v>733</v>
      </c>
      <c r="G49" s="246">
        <v>2095657.62</v>
      </c>
    </row>
    <row r="50" spans="1:7" ht="29.25" customHeight="1">
      <c r="A50" s="240" t="s">
        <v>723</v>
      </c>
      <c r="B50" s="336" t="s">
        <v>724</v>
      </c>
      <c r="C50" s="336" t="s">
        <v>110</v>
      </c>
      <c r="D50" s="336" t="s">
        <v>258</v>
      </c>
      <c r="E50" s="336" t="s">
        <v>110</v>
      </c>
      <c r="F50" s="243" t="s">
        <v>725</v>
      </c>
      <c r="G50" s="246">
        <v>265113.31</v>
      </c>
    </row>
    <row r="51" spans="1:7" ht="29.25" customHeight="1">
      <c r="A51" s="240" t="s">
        <v>260</v>
      </c>
      <c r="B51" s="336" t="s">
        <v>261</v>
      </c>
      <c r="C51" s="336" t="s">
        <v>110</v>
      </c>
      <c r="D51" s="336" t="s">
        <v>258</v>
      </c>
      <c r="E51" s="336" t="s">
        <v>110</v>
      </c>
      <c r="F51" s="243" t="s">
        <v>262</v>
      </c>
      <c r="G51" s="246">
        <v>102573.6</v>
      </c>
    </row>
    <row r="52" spans="1:7" ht="16.5" customHeight="1">
      <c r="A52" s="240" t="s">
        <v>122</v>
      </c>
      <c r="B52" s="336" t="s">
        <v>263</v>
      </c>
      <c r="C52" s="336" t="s">
        <v>110</v>
      </c>
      <c r="D52" s="336" t="s">
        <v>110</v>
      </c>
      <c r="E52" s="336" t="s">
        <v>110</v>
      </c>
      <c r="F52" s="243" t="s">
        <v>110</v>
      </c>
      <c r="G52" s="246" t="s">
        <v>110</v>
      </c>
    </row>
    <row r="53" spans="1:7" ht="29.25" customHeight="1">
      <c r="A53" s="240" t="s">
        <v>125</v>
      </c>
      <c r="B53" s="336" t="s">
        <v>124</v>
      </c>
      <c r="C53" s="336" t="s">
        <v>110</v>
      </c>
      <c r="D53" s="336" t="s">
        <v>258</v>
      </c>
      <c r="E53" s="336" t="s">
        <v>110</v>
      </c>
      <c r="F53" s="243" t="s">
        <v>734</v>
      </c>
      <c r="G53" s="246">
        <v>3762084.17</v>
      </c>
    </row>
    <row r="54" spans="1:7" ht="29.25" customHeight="1">
      <c r="A54" s="240" t="s">
        <v>127</v>
      </c>
      <c r="B54" s="336" t="s">
        <v>126</v>
      </c>
      <c r="C54" s="336" t="s">
        <v>110</v>
      </c>
      <c r="D54" s="336" t="s">
        <v>258</v>
      </c>
      <c r="E54" s="336" t="s">
        <v>110</v>
      </c>
      <c r="F54" s="243" t="s">
        <v>735</v>
      </c>
      <c r="G54" s="246">
        <v>2867326.73</v>
      </c>
    </row>
    <row r="55" spans="1:7" ht="29.25" customHeight="1">
      <c r="A55" s="240" t="s">
        <v>129</v>
      </c>
      <c r="B55" s="336" t="s">
        <v>123</v>
      </c>
      <c r="C55" s="336" t="s">
        <v>110</v>
      </c>
      <c r="D55" s="336" t="s">
        <v>258</v>
      </c>
      <c r="E55" s="336" t="s">
        <v>110</v>
      </c>
      <c r="F55" s="243" t="s">
        <v>736</v>
      </c>
      <c r="G55" s="246">
        <v>3900953.05</v>
      </c>
    </row>
    <row r="56" spans="1:7" ht="16.5" customHeight="1">
      <c r="A56" s="240" t="s">
        <v>131</v>
      </c>
      <c r="B56" s="336" t="s">
        <v>267</v>
      </c>
      <c r="C56" s="336" t="s">
        <v>110</v>
      </c>
      <c r="D56" s="336" t="s">
        <v>110</v>
      </c>
      <c r="E56" s="336" t="s">
        <v>110</v>
      </c>
      <c r="F56" s="243" t="s">
        <v>110</v>
      </c>
      <c r="G56" s="246" t="s">
        <v>110</v>
      </c>
    </row>
    <row r="57" spans="1:7" ht="29.25" customHeight="1">
      <c r="A57" s="240" t="s">
        <v>268</v>
      </c>
      <c r="B57" s="336" t="s">
        <v>269</v>
      </c>
      <c r="C57" s="336" t="s">
        <v>110</v>
      </c>
      <c r="D57" s="336" t="s">
        <v>729</v>
      </c>
      <c r="E57" s="336" t="s">
        <v>110</v>
      </c>
      <c r="F57" s="243" t="s">
        <v>271</v>
      </c>
      <c r="G57" s="246">
        <v>94178.39</v>
      </c>
    </row>
    <row r="58" spans="1:7" ht="42" customHeight="1">
      <c r="A58" s="240" t="s">
        <v>272</v>
      </c>
      <c r="B58" s="336" t="s">
        <v>273</v>
      </c>
      <c r="C58" s="336" t="s">
        <v>110</v>
      </c>
      <c r="D58" s="336" t="s">
        <v>274</v>
      </c>
      <c r="E58" s="336" t="s">
        <v>110</v>
      </c>
      <c r="F58" s="243" t="s">
        <v>110</v>
      </c>
      <c r="G58" s="246">
        <v>78576170.450000003</v>
      </c>
    </row>
    <row r="59" spans="1:7" ht="16.5" customHeight="1">
      <c r="A59" s="240" t="s">
        <v>275</v>
      </c>
      <c r="B59" s="336" t="s">
        <v>276</v>
      </c>
      <c r="C59" s="336" t="s">
        <v>110</v>
      </c>
      <c r="D59" s="336" t="s">
        <v>277</v>
      </c>
      <c r="E59" s="336" t="s">
        <v>110</v>
      </c>
      <c r="F59" s="243" t="s">
        <v>110</v>
      </c>
      <c r="G59" s="246" t="s">
        <v>110</v>
      </c>
    </row>
    <row r="60" spans="1:7" ht="16.5" customHeight="1">
      <c r="A60" s="240" t="s">
        <v>278</v>
      </c>
      <c r="B60" s="336" t="s">
        <v>130</v>
      </c>
      <c r="C60" s="336" t="s">
        <v>110</v>
      </c>
      <c r="D60" s="336" t="s">
        <v>279</v>
      </c>
      <c r="E60" s="336" t="s">
        <v>110</v>
      </c>
      <c r="F60" s="243" t="s">
        <v>280</v>
      </c>
      <c r="G60" s="246">
        <v>2782460.77</v>
      </c>
    </row>
    <row r="61" spans="1:7" ht="16.5" customHeight="1">
      <c r="A61" s="240" t="s">
        <v>281</v>
      </c>
      <c r="B61" s="336" t="s">
        <v>282</v>
      </c>
      <c r="C61" s="336" t="s">
        <v>110</v>
      </c>
      <c r="D61" s="336" t="s">
        <v>283</v>
      </c>
      <c r="E61" s="336" t="s">
        <v>110</v>
      </c>
      <c r="F61" s="243" t="s">
        <v>110</v>
      </c>
      <c r="G61" s="246" t="s">
        <v>110</v>
      </c>
    </row>
    <row r="62" spans="1:7" ht="29.25" customHeight="1">
      <c r="A62" s="240" t="s">
        <v>730</v>
      </c>
      <c r="B62" s="336" t="s">
        <v>285</v>
      </c>
      <c r="C62" s="336" t="s">
        <v>110</v>
      </c>
      <c r="D62" s="336" t="s">
        <v>286</v>
      </c>
      <c r="E62" s="336" t="s">
        <v>110</v>
      </c>
      <c r="F62" s="243" t="s">
        <v>110</v>
      </c>
      <c r="G62" s="246">
        <v>81358631.219999999</v>
      </c>
    </row>
    <row r="63" spans="1:7" ht="16.5" customHeight="1">
      <c r="A63" s="240" t="s">
        <v>110</v>
      </c>
      <c r="B63" s="336" t="s">
        <v>110</v>
      </c>
      <c r="C63" s="336" t="s">
        <v>110</v>
      </c>
      <c r="D63" s="337" t="s">
        <v>110</v>
      </c>
      <c r="E63" s="337" t="s">
        <v>110</v>
      </c>
      <c r="F63" s="243" t="s">
        <v>110</v>
      </c>
      <c r="G63" s="246" t="s">
        <v>110</v>
      </c>
    </row>
    <row r="64" spans="1:7" ht="16.5" customHeight="1">
      <c r="A64" s="240" t="s">
        <v>239</v>
      </c>
      <c r="B64" s="336" t="s">
        <v>737</v>
      </c>
      <c r="C64" s="336" t="s">
        <v>110</v>
      </c>
      <c r="D64" s="336" t="s">
        <v>737</v>
      </c>
      <c r="E64" s="336" t="s">
        <v>110</v>
      </c>
      <c r="F64" s="243" t="s">
        <v>110</v>
      </c>
      <c r="G64" s="246">
        <v>12940155.91</v>
      </c>
    </row>
    <row r="65" spans="1:7" ht="29.25" customHeight="1">
      <c r="A65" s="240" t="s">
        <v>114</v>
      </c>
      <c r="B65" s="336" t="s">
        <v>235</v>
      </c>
      <c r="C65" s="336" t="s">
        <v>110</v>
      </c>
      <c r="D65" s="336" t="s">
        <v>717</v>
      </c>
      <c r="E65" s="336" t="s">
        <v>110</v>
      </c>
      <c r="F65" s="243" t="s">
        <v>546</v>
      </c>
      <c r="G65" s="246">
        <v>11556351.359999999</v>
      </c>
    </row>
    <row r="66" spans="1:7" ht="16.5" customHeight="1">
      <c r="A66" s="240" t="s">
        <v>233</v>
      </c>
      <c r="B66" s="336" t="s">
        <v>115</v>
      </c>
      <c r="C66" s="336" t="s">
        <v>110</v>
      </c>
      <c r="D66" s="336" t="s">
        <v>115</v>
      </c>
      <c r="E66" s="336" t="s">
        <v>110</v>
      </c>
      <c r="F66" s="243" t="s">
        <v>110</v>
      </c>
      <c r="G66" s="246">
        <v>1855348.08</v>
      </c>
    </row>
    <row r="67" spans="1:7" ht="16.5" customHeight="1">
      <c r="A67" s="240" t="s">
        <v>238</v>
      </c>
      <c r="B67" s="336" t="s">
        <v>116</v>
      </c>
      <c r="C67" s="336" t="s">
        <v>110</v>
      </c>
      <c r="D67" s="336" t="s">
        <v>116</v>
      </c>
      <c r="E67" s="336" t="s">
        <v>110</v>
      </c>
      <c r="F67" s="243" t="s">
        <v>110</v>
      </c>
      <c r="G67" s="246">
        <v>9270531.4100000001</v>
      </c>
    </row>
    <row r="68" spans="1:7" ht="16.5" customHeight="1" thickBot="1">
      <c r="A68" s="241" t="s">
        <v>239</v>
      </c>
      <c r="B68" s="339" t="s">
        <v>240</v>
      </c>
      <c r="C68" s="339" t="s">
        <v>110</v>
      </c>
      <c r="D68" s="339" t="s">
        <v>241</v>
      </c>
      <c r="E68" s="339" t="s">
        <v>110</v>
      </c>
      <c r="F68" s="244" t="s">
        <v>110</v>
      </c>
      <c r="G68" s="247" t="s">
        <v>110</v>
      </c>
    </row>
    <row r="69" spans="1:7" ht="16.5" customHeight="1">
      <c r="A69" s="333" t="s">
        <v>288</v>
      </c>
      <c r="B69" s="333" t="s">
        <v>110</v>
      </c>
      <c r="C69" s="338" t="s">
        <v>289</v>
      </c>
      <c r="D69" s="338" t="s">
        <v>110</v>
      </c>
      <c r="E69" s="334" t="s">
        <v>290</v>
      </c>
      <c r="F69" s="334" t="s">
        <v>110</v>
      </c>
      <c r="G69" s="334" t="s">
        <v>110</v>
      </c>
    </row>
    <row r="70" spans="1:7" ht="35.25" customHeight="1">
      <c r="A70" s="332" t="s">
        <v>228</v>
      </c>
      <c r="B70" s="332" t="s">
        <v>110</v>
      </c>
      <c r="C70" s="332" t="s">
        <v>110</v>
      </c>
      <c r="D70" s="332" t="s">
        <v>110</v>
      </c>
      <c r="E70" s="332" t="s">
        <v>110</v>
      </c>
      <c r="F70" s="332" t="s">
        <v>110</v>
      </c>
      <c r="G70" s="332" t="s">
        <v>110</v>
      </c>
    </row>
    <row r="71" spans="1:7" ht="29.25" customHeight="1" thickBot="1">
      <c r="A71" s="333" t="s">
        <v>714</v>
      </c>
      <c r="B71" s="333" t="s">
        <v>110</v>
      </c>
      <c r="C71" s="333" t="s">
        <v>110</v>
      </c>
      <c r="D71" s="333" t="s">
        <v>110</v>
      </c>
      <c r="E71" s="334" t="s">
        <v>738</v>
      </c>
      <c r="F71" s="334" t="s">
        <v>110</v>
      </c>
      <c r="G71" s="334" t="s">
        <v>110</v>
      </c>
    </row>
    <row r="72" spans="1:7" ht="18" customHeight="1">
      <c r="A72" s="239" t="s">
        <v>112</v>
      </c>
      <c r="B72" s="335" t="s">
        <v>229</v>
      </c>
      <c r="C72" s="335" t="s">
        <v>110</v>
      </c>
      <c r="D72" s="335" t="s">
        <v>230</v>
      </c>
      <c r="E72" s="335" t="s">
        <v>110</v>
      </c>
      <c r="F72" s="242" t="s">
        <v>231</v>
      </c>
      <c r="G72" s="245" t="s">
        <v>232</v>
      </c>
    </row>
    <row r="73" spans="1:7" ht="16.5" customHeight="1">
      <c r="A73" s="240" t="s">
        <v>242</v>
      </c>
      <c r="B73" s="336" t="s">
        <v>243</v>
      </c>
      <c r="C73" s="336" t="s">
        <v>110</v>
      </c>
      <c r="D73" s="336" t="s">
        <v>117</v>
      </c>
      <c r="E73" s="336" t="s">
        <v>110</v>
      </c>
      <c r="F73" s="243" t="s">
        <v>110</v>
      </c>
      <c r="G73" s="246">
        <v>93879.11</v>
      </c>
    </row>
    <row r="74" spans="1:7" ht="16.5" customHeight="1">
      <c r="A74" s="240" t="s">
        <v>118</v>
      </c>
      <c r="B74" s="336" t="s">
        <v>246</v>
      </c>
      <c r="C74" s="336" t="s">
        <v>110</v>
      </c>
      <c r="D74" s="336" t="s">
        <v>247</v>
      </c>
      <c r="E74" s="336" t="s">
        <v>110</v>
      </c>
      <c r="F74" s="243" t="s">
        <v>110</v>
      </c>
      <c r="G74" s="246">
        <v>142293.59</v>
      </c>
    </row>
    <row r="75" spans="1:7" ht="16.5" customHeight="1">
      <c r="A75" s="240" t="s">
        <v>119</v>
      </c>
      <c r="B75" s="336" t="s">
        <v>248</v>
      </c>
      <c r="C75" s="336" t="s">
        <v>110</v>
      </c>
      <c r="D75" s="336" t="s">
        <v>249</v>
      </c>
      <c r="E75" s="336" t="s">
        <v>110</v>
      </c>
      <c r="F75" s="243" t="s">
        <v>110</v>
      </c>
      <c r="G75" s="246" t="s">
        <v>110</v>
      </c>
    </row>
    <row r="76" spans="1:7" ht="16.5" customHeight="1">
      <c r="A76" s="240" t="s">
        <v>120</v>
      </c>
      <c r="B76" s="336" t="s">
        <v>115</v>
      </c>
      <c r="C76" s="336" t="s">
        <v>110</v>
      </c>
      <c r="D76" s="336" t="s">
        <v>250</v>
      </c>
      <c r="E76" s="336" t="s">
        <v>110</v>
      </c>
      <c r="F76" s="243" t="s">
        <v>110</v>
      </c>
      <c r="G76" s="246" t="s">
        <v>110</v>
      </c>
    </row>
    <row r="77" spans="1:7" ht="16.5" customHeight="1">
      <c r="A77" s="240" t="s">
        <v>251</v>
      </c>
      <c r="B77" s="336" t="s">
        <v>116</v>
      </c>
      <c r="C77" s="336" t="s">
        <v>110</v>
      </c>
      <c r="D77" s="336" t="s">
        <v>252</v>
      </c>
      <c r="E77" s="336" t="s">
        <v>110</v>
      </c>
      <c r="F77" s="243" t="s">
        <v>110</v>
      </c>
      <c r="G77" s="246" t="s">
        <v>110</v>
      </c>
    </row>
    <row r="78" spans="1:7" ht="16.5" customHeight="1">
      <c r="A78" s="240" t="s">
        <v>253</v>
      </c>
      <c r="B78" s="336" t="s">
        <v>243</v>
      </c>
      <c r="C78" s="336" t="s">
        <v>110</v>
      </c>
      <c r="D78" s="336" t="s">
        <v>254</v>
      </c>
      <c r="E78" s="336" t="s">
        <v>110</v>
      </c>
      <c r="F78" s="243" t="s">
        <v>110</v>
      </c>
      <c r="G78" s="246" t="s">
        <v>110</v>
      </c>
    </row>
    <row r="79" spans="1:7" ht="16.5" customHeight="1">
      <c r="A79" s="240" t="s">
        <v>121</v>
      </c>
      <c r="B79" s="336" t="s">
        <v>255</v>
      </c>
      <c r="C79" s="336" t="s">
        <v>110</v>
      </c>
      <c r="D79" s="336" t="s">
        <v>718</v>
      </c>
      <c r="E79" s="336" t="s">
        <v>110</v>
      </c>
      <c r="F79" s="243" t="s">
        <v>110</v>
      </c>
      <c r="G79" s="246">
        <v>142293.59</v>
      </c>
    </row>
    <row r="80" spans="1:7" ht="16.5" customHeight="1">
      <c r="A80" s="240" t="s">
        <v>257</v>
      </c>
      <c r="B80" s="336" t="s">
        <v>719</v>
      </c>
      <c r="C80" s="336" t="s">
        <v>110</v>
      </c>
      <c r="D80" s="336" t="s">
        <v>720</v>
      </c>
      <c r="E80" s="336" t="s">
        <v>110</v>
      </c>
      <c r="F80" s="243" t="s">
        <v>110</v>
      </c>
      <c r="G80" s="246">
        <v>129623.61</v>
      </c>
    </row>
    <row r="81" spans="1:7" ht="29.25" customHeight="1">
      <c r="A81" s="240" t="s">
        <v>721</v>
      </c>
      <c r="B81" s="336" t="s">
        <v>128</v>
      </c>
      <c r="C81" s="336" t="s">
        <v>110</v>
      </c>
      <c r="D81" s="336" t="s">
        <v>258</v>
      </c>
      <c r="E81" s="336" t="s">
        <v>110</v>
      </c>
      <c r="F81" s="243" t="s">
        <v>739</v>
      </c>
      <c r="G81" s="246">
        <v>113250.1</v>
      </c>
    </row>
    <row r="82" spans="1:7" ht="29.25" customHeight="1">
      <c r="A82" s="240" t="s">
        <v>723</v>
      </c>
      <c r="B82" s="336" t="s">
        <v>724</v>
      </c>
      <c r="C82" s="336" t="s">
        <v>110</v>
      </c>
      <c r="D82" s="336" t="s">
        <v>258</v>
      </c>
      <c r="E82" s="336" t="s">
        <v>110</v>
      </c>
      <c r="F82" s="243" t="s">
        <v>740</v>
      </c>
      <c r="G82" s="246">
        <v>16373.51</v>
      </c>
    </row>
    <row r="83" spans="1:7" ht="29.25" customHeight="1">
      <c r="A83" s="240" t="s">
        <v>260</v>
      </c>
      <c r="B83" s="336" t="s">
        <v>261</v>
      </c>
      <c r="C83" s="336" t="s">
        <v>110</v>
      </c>
      <c r="D83" s="336" t="s">
        <v>258</v>
      </c>
      <c r="E83" s="336" t="s">
        <v>110</v>
      </c>
      <c r="F83" s="243" t="s">
        <v>262</v>
      </c>
      <c r="G83" s="246">
        <v>12669.98</v>
      </c>
    </row>
    <row r="84" spans="1:7" ht="16.5" customHeight="1">
      <c r="A84" s="240" t="s">
        <v>122</v>
      </c>
      <c r="B84" s="336" t="s">
        <v>263</v>
      </c>
      <c r="C84" s="336" t="s">
        <v>110</v>
      </c>
      <c r="D84" s="336" t="s">
        <v>110</v>
      </c>
      <c r="E84" s="336" t="s">
        <v>110</v>
      </c>
      <c r="F84" s="243" t="s">
        <v>110</v>
      </c>
      <c r="G84" s="246" t="s">
        <v>110</v>
      </c>
    </row>
    <row r="85" spans="1:7" ht="29.25" customHeight="1">
      <c r="A85" s="240" t="s">
        <v>125</v>
      </c>
      <c r="B85" s="336" t="s">
        <v>124</v>
      </c>
      <c r="C85" s="336" t="s">
        <v>110</v>
      </c>
      <c r="D85" s="336" t="s">
        <v>258</v>
      </c>
      <c r="E85" s="336" t="s">
        <v>110</v>
      </c>
      <c r="F85" s="243" t="s">
        <v>741</v>
      </c>
      <c r="G85" s="246">
        <v>262560.90000000002</v>
      </c>
    </row>
    <row r="86" spans="1:7" ht="29.25" customHeight="1">
      <c r="A86" s="240" t="s">
        <v>127</v>
      </c>
      <c r="B86" s="336" t="s">
        <v>126</v>
      </c>
      <c r="C86" s="336" t="s">
        <v>110</v>
      </c>
      <c r="D86" s="336" t="s">
        <v>258</v>
      </c>
      <c r="E86" s="336" t="s">
        <v>110</v>
      </c>
      <c r="F86" s="243" t="s">
        <v>742</v>
      </c>
      <c r="G86" s="246">
        <v>307977.90000000002</v>
      </c>
    </row>
    <row r="87" spans="1:7" ht="29.25" customHeight="1">
      <c r="A87" s="240" t="s">
        <v>129</v>
      </c>
      <c r="B87" s="336" t="s">
        <v>123</v>
      </c>
      <c r="C87" s="336" t="s">
        <v>110</v>
      </c>
      <c r="D87" s="336" t="s">
        <v>258</v>
      </c>
      <c r="E87" s="336" t="s">
        <v>110</v>
      </c>
      <c r="F87" s="243" t="s">
        <v>743</v>
      </c>
      <c r="G87" s="246">
        <v>213440.38</v>
      </c>
    </row>
    <row r="88" spans="1:7" ht="16.5" customHeight="1">
      <c r="A88" s="240" t="s">
        <v>131</v>
      </c>
      <c r="B88" s="336" t="s">
        <v>267</v>
      </c>
      <c r="C88" s="336" t="s">
        <v>110</v>
      </c>
      <c r="D88" s="336" t="s">
        <v>110</v>
      </c>
      <c r="E88" s="336" t="s">
        <v>110</v>
      </c>
      <c r="F88" s="243" t="s">
        <v>110</v>
      </c>
      <c r="G88" s="246" t="s">
        <v>110</v>
      </c>
    </row>
    <row r="89" spans="1:7" ht="29.25" customHeight="1">
      <c r="A89" s="240" t="s">
        <v>268</v>
      </c>
      <c r="B89" s="336" t="s">
        <v>269</v>
      </c>
      <c r="C89" s="336" t="s">
        <v>110</v>
      </c>
      <c r="D89" s="336" t="s">
        <v>729</v>
      </c>
      <c r="E89" s="336" t="s">
        <v>110</v>
      </c>
      <c r="F89" s="243" t="s">
        <v>271</v>
      </c>
      <c r="G89" s="246">
        <v>14979.15</v>
      </c>
    </row>
    <row r="90" spans="1:7" ht="42" customHeight="1">
      <c r="A90" s="240" t="s">
        <v>272</v>
      </c>
      <c r="B90" s="336" t="s">
        <v>273</v>
      </c>
      <c r="C90" s="336" t="s">
        <v>110</v>
      </c>
      <c r="D90" s="336" t="s">
        <v>274</v>
      </c>
      <c r="E90" s="336" t="s">
        <v>110</v>
      </c>
      <c r="F90" s="243" t="s">
        <v>110</v>
      </c>
      <c r="G90" s="246">
        <v>12497603.279999999</v>
      </c>
    </row>
    <row r="91" spans="1:7" ht="16.5" customHeight="1">
      <c r="A91" s="240" t="s">
        <v>275</v>
      </c>
      <c r="B91" s="336" t="s">
        <v>276</v>
      </c>
      <c r="C91" s="336" t="s">
        <v>110</v>
      </c>
      <c r="D91" s="336" t="s">
        <v>277</v>
      </c>
      <c r="E91" s="336" t="s">
        <v>110</v>
      </c>
      <c r="F91" s="243" t="s">
        <v>110</v>
      </c>
      <c r="G91" s="246" t="s">
        <v>110</v>
      </c>
    </row>
    <row r="92" spans="1:7" ht="16.5" customHeight="1">
      <c r="A92" s="240" t="s">
        <v>278</v>
      </c>
      <c r="B92" s="336" t="s">
        <v>130</v>
      </c>
      <c r="C92" s="336" t="s">
        <v>110</v>
      </c>
      <c r="D92" s="336" t="s">
        <v>279</v>
      </c>
      <c r="E92" s="336" t="s">
        <v>110</v>
      </c>
      <c r="F92" s="243" t="s">
        <v>280</v>
      </c>
      <c r="G92" s="246">
        <v>442552.63</v>
      </c>
    </row>
    <row r="93" spans="1:7" ht="16.5" customHeight="1">
      <c r="A93" s="240" t="s">
        <v>281</v>
      </c>
      <c r="B93" s="336" t="s">
        <v>282</v>
      </c>
      <c r="C93" s="336" t="s">
        <v>110</v>
      </c>
      <c r="D93" s="336" t="s">
        <v>283</v>
      </c>
      <c r="E93" s="336" t="s">
        <v>110</v>
      </c>
      <c r="F93" s="243" t="s">
        <v>110</v>
      </c>
      <c r="G93" s="246" t="s">
        <v>110</v>
      </c>
    </row>
    <row r="94" spans="1:7" ht="29.25" customHeight="1">
      <c r="A94" s="240" t="s">
        <v>730</v>
      </c>
      <c r="B94" s="336" t="s">
        <v>285</v>
      </c>
      <c r="C94" s="336" t="s">
        <v>110</v>
      </c>
      <c r="D94" s="336" t="s">
        <v>286</v>
      </c>
      <c r="E94" s="336" t="s">
        <v>110</v>
      </c>
      <c r="F94" s="243" t="s">
        <v>110</v>
      </c>
      <c r="G94" s="246">
        <v>12940155.91</v>
      </c>
    </row>
    <row r="95" spans="1:7" ht="16.5" customHeight="1">
      <c r="A95" s="240" t="s">
        <v>110</v>
      </c>
      <c r="B95" s="336" t="s">
        <v>110</v>
      </c>
      <c r="C95" s="336" t="s">
        <v>110</v>
      </c>
      <c r="D95" s="337" t="s">
        <v>110</v>
      </c>
      <c r="E95" s="337" t="s">
        <v>110</v>
      </c>
      <c r="F95" s="243" t="s">
        <v>110</v>
      </c>
      <c r="G95" s="246" t="s">
        <v>110</v>
      </c>
    </row>
    <row r="96" spans="1:7" ht="16.5" customHeight="1">
      <c r="A96" s="240" t="s">
        <v>242</v>
      </c>
      <c r="B96" s="336" t="s">
        <v>132</v>
      </c>
      <c r="C96" s="336" t="s">
        <v>110</v>
      </c>
      <c r="D96" s="336" t="s">
        <v>287</v>
      </c>
      <c r="E96" s="336" t="s">
        <v>110</v>
      </c>
      <c r="F96" s="243" t="s">
        <v>110</v>
      </c>
      <c r="G96" s="246">
        <v>94642851.219999999</v>
      </c>
    </row>
    <row r="97" spans="1:7" ht="16.5" customHeight="1">
      <c r="A97" s="240" t="s">
        <v>110</v>
      </c>
      <c r="B97" s="336" t="s">
        <v>110</v>
      </c>
      <c r="C97" s="336" t="s">
        <v>110</v>
      </c>
      <c r="D97" s="336" t="s">
        <v>110</v>
      </c>
      <c r="E97" s="336" t="s">
        <v>110</v>
      </c>
      <c r="F97" s="243" t="s">
        <v>110</v>
      </c>
      <c r="G97" s="246" t="s">
        <v>110</v>
      </c>
    </row>
    <row r="98" spans="1:7" ht="16.5" customHeight="1">
      <c r="A98" s="240" t="s">
        <v>110</v>
      </c>
      <c r="B98" s="336" t="s">
        <v>110</v>
      </c>
      <c r="C98" s="336" t="s">
        <v>110</v>
      </c>
      <c r="D98" s="336" t="s">
        <v>110</v>
      </c>
      <c r="E98" s="336" t="s">
        <v>110</v>
      </c>
      <c r="F98" s="243" t="s">
        <v>110</v>
      </c>
      <c r="G98" s="246" t="s">
        <v>110</v>
      </c>
    </row>
    <row r="99" spans="1:7" ht="16.5" customHeight="1">
      <c r="A99" s="240" t="s">
        <v>110</v>
      </c>
      <c r="B99" s="336" t="s">
        <v>110</v>
      </c>
      <c r="C99" s="336" t="s">
        <v>110</v>
      </c>
      <c r="D99" s="336" t="s">
        <v>110</v>
      </c>
      <c r="E99" s="336" t="s">
        <v>110</v>
      </c>
      <c r="F99" s="243" t="s">
        <v>110</v>
      </c>
      <c r="G99" s="246" t="s">
        <v>110</v>
      </c>
    </row>
    <row r="100" spans="1:7" ht="16.5" customHeight="1">
      <c r="A100" s="240" t="s">
        <v>110</v>
      </c>
      <c r="B100" s="336" t="s">
        <v>110</v>
      </c>
      <c r="C100" s="336" t="s">
        <v>110</v>
      </c>
      <c r="D100" s="336" t="s">
        <v>110</v>
      </c>
      <c r="E100" s="336" t="s">
        <v>110</v>
      </c>
      <c r="F100" s="243" t="s">
        <v>110</v>
      </c>
      <c r="G100" s="246" t="s">
        <v>110</v>
      </c>
    </row>
    <row r="101" spans="1:7" ht="16.5" customHeight="1">
      <c r="A101" s="240" t="s">
        <v>110</v>
      </c>
      <c r="B101" s="336" t="s">
        <v>110</v>
      </c>
      <c r="C101" s="336" t="s">
        <v>110</v>
      </c>
      <c r="D101" s="336" t="s">
        <v>110</v>
      </c>
      <c r="E101" s="336" t="s">
        <v>110</v>
      </c>
      <c r="F101" s="243" t="s">
        <v>110</v>
      </c>
      <c r="G101" s="246" t="s">
        <v>110</v>
      </c>
    </row>
    <row r="102" spans="1:7" ht="16.5" customHeight="1">
      <c r="A102" s="240" t="s">
        <v>110</v>
      </c>
      <c r="B102" s="336" t="s">
        <v>110</v>
      </c>
      <c r="C102" s="336" t="s">
        <v>110</v>
      </c>
      <c r="D102" s="336" t="s">
        <v>110</v>
      </c>
      <c r="E102" s="336" t="s">
        <v>110</v>
      </c>
      <c r="F102" s="243" t="s">
        <v>110</v>
      </c>
      <c r="G102" s="246" t="s">
        <v>110</v>
      </c>
    </row>
    <row r="103" spans="1:7" ht="16.5" customHeight="1">
      <c r="A103" s="240" t="s">
        <v>110</v>
      </c>
      <c r="B103" s="336" t="s">
        <v>110</v>
      </c>
      <c r="C103" s="336" t="s">
        <v>110</v>
      </c>
      <c r="D103" s="336" t="s">
        <v>110</v>
      </c>
      <c r="E103" s="336" t="s">
        <v>110</v>
      </c>
      <c r="F103" s="243" t="s">
        <v>110</v>
      </c>
      <c r="G103" s="246" t="s">
        <v>110</v>
      </c>
    </row>
    <row r="104" spans="1:7" ht="16.5" customHeight="1" thickBot="1">
      <c r="A104" s="241" t="s">
        <v>110</v>
      </c>
      <c r="B104" s="339" t="s">
        <v>110</v>
      </c>
      <c r="C104" s="339" t="s">
        <v>110</v>
      </c>
      <c r="D104" s="339" t="s">
        <v>110</v>
      </c>
      <c r="E104" s="339" t="s">
        <v>110</v>
      </c>
      <c r="F104" s="244" t="s">
        <v>110</v>
      </c>
      <c r="G104" s="247" t="s">
        <v>110</v>
      </c>
    </row>
    <row r="105" spans="1:7" ht="16.5" customHeight="1">
      <c r="A105" s="333" t="s">
        <v>288</v>
      </c>
      <c r="B105" s="333" t="s">
        <v>110</v>
      </c>
      <c r="C105" s="338" t="s">
        <v>289</v>
      </c>
      <c r="D105" s="338" t="s">
        <v>110</v>
      </c>
      <c r="E105" s="334" t="s">
        <v>290</v>
      </c>
      <c r="F105" s="334" t="s">
        <v>110</v>
      </c>
      <c r="G105" s="334" t="s">
        <v>110</v>
      </c>
    </row>
  </sheetData>
  <mergeCells count="210">
    <mergeCell ref="B18:C18"/>
    <mergeCell ref="B29:C29"/>
    <mergeCell ref="D29:E29"/>
    <mergeCell ref="B30:C30"/>
    <mergeCell ref="D30:E30"/>
    <mergeCell ref="B31:C31"/>
    <mergeCell ref="B84:C84"/>
    <mergeCell ref="D84:E84"/>
    <mergeCell ref="B85:C85"/>
    <mergeCell ref="D85:E85"/>
    <mergeCell ref="B81:C81"/>
    <mergeCell ref="D81:E81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B75:C75"/>
    <mergeCell ref="D75:E75"/>
    <mergeCell ref="B97:C97"/>
    <mergeCell ref="D97:E97"/>
    <mergeCell ref="B98:C98"/>
    <mergeCell ref="D98:E98"/>
    <mergeCell ref="B20:C20"/>
    <mergeCell ref="D20:E20"/>
    <mergeCell ref="B21:C21"/>
    <mergeCell ref="D21:E21"/>
    <mergeCell ref="B22:C22"/>
    <mergeCell ref="D22:E22"/>
    <mergeCell ref="B86:C86"/>
    <mergeCell ref="D86:E86"/>
    <mergeCell ref="A34:B34"/>
    <mergeCell ref="C34:D34"/>
    <mergeCell ref="E34:G34"/>
    <mergeCell ref="B87:C87"/>
    <mergeCell ref="D87:E87"/>
    <mergeCell ref="B88:C88"/>
    <mergeCell ref="D88:E88"/>
    <mergeCell ref="B89:C89"/>
    <mergeCell ref="D89:E89"/>
    <mergeCell ref="B93:C93"/>
    <mergeCell ref="D93:E93"/>
    <mergeCell ref="B94:C94"/>
    <mergeCell ref="B99:C99"/>
    <mergeCell ref="D99:E99"/>
    <mergeCell ref="B100:C100"/>
    <mergeCell ref="D100:E100"/>
    <mergeCell ref="B101:C101"/>
    <mergeCell ref="D101:E101"/>
    <mergeCell ref="B96:C96"/>
    <mergeCell ref="D96:E96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32:C32"/>
    <mergeCell ref="D32:E32"/>
    <mergeCell ref="B33:C33"/>
    <mergeCell ref="D33:E33"/>
    <mergeCell ref="A105:B105"/>
    <mergeCell ref="C105:D105"/>
    <mergeCell ref="E105:G105"/>
    <mergeCell ref="B102:C102"/>
    <mergeCell ref="D102:E102"/>
    <mergeCell ref="B103:C103"/>
    <mergeCell ref="D103:E103"/>
    <mergeCell ref="B104:C104"/>
    <mergeCell ref="D104:E104"/>
    <mergeCell ref="D94:E94"/>
    <mergeCell ref="B95:C95"/>
    <mergeCell ref="D95:E95"/>
    <mergeCell ref="B90:C90"/>
    <mergeCell ref="D90:E90"/>
    <mergeCell ref="B91:C91"/>
    <mergeCell ref="D91:E91"/>
    <mergeCell ref="B92:C92"/>
    <mergeCell ref="D92:E92"/>
    <mergeCell ref="B76:C76"/>
    <mergeCell ref="D76:E76"/>
    <mergeCell ref="B77:C77"/>
    <mergeCell ref="D77:E77"/>
    <mergeCell ref="B72:C72"/>
    <mergeCell ref="D72:E72"/>
    <mergeCell ref="B73:C73"/>
    <mergeCell ref="D73:E73"/>
    <mergeCell ref="B74:C74"/>
    <mergeCell ref="D74:E74"/>
    <mergeCell ref="A69:B69"/>
    <mergeCell ref="C69:D69"/>
    <mergeCell ref="E69:G69"/>
    <mergeCell ref="A70:G70"/>
    <mergeCell ref="A71:D71"/>
    <mergeCell ref="E71:G71"/>
    <mergeCell ref="B66:C66"/>
    <mergeCell ref="D66:E66"/>
    <mergeCell ref="B67:C67"/>
    <mergeCell ref="D67:E67"/>
    <mergeCell ref="B68:C68"/>
    <mergeCell ref="D68:E68"/>
    <mergeCell ref="B63:C63"/>
    <mergeCell ref="D63:E63"/>
    <mergeCell ref="B64:C64"/>
    <mergeCell ref="D64:E64"/>
    <mergeCell ref="B65:C65"/>
    <mergeCell ref="D65:E65"/>
    <mergeCell ref="B60:C60"/>
    <mergeCell ref="D60:E60"/>
    <mergeCell ref="B61:C61"/>
    <mergeCell ref="D61:E61"/>
    <mergeCell ref="B62:C62"/>
    <mergeCell ref="D62:E62"/>
    <mergeCell ref="B57:C57"/>
    <mergeCell ref="D57:E57"/>
    <mergeCell ref="B58:C58"/>
    <mergeCell ref="D58:E58"/>
    <mergeCell ref="B59:C59"/>
    <mergeCell ref="D59:E59"/>
    <mergeCell ref="B54:C54"/>
    <mergeCell ref="D54:E54"/>
    <mergeCell ref="B55:C55"/>
    <mergeCell ref="D55:E55"/>
    <mergeCell ref="B56:C56"/>
    <mergeCell ref="D56:E56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B39:C39"/>
    <mergeCell ref="D39:E39"/>
    <mergeCell ref="B40:C40"/>
    <mergeCell ref="D40:E40"/>
    <mergeCell ref="B41:C41"/>
    <mergeCell ref="D41:E41"/>
    <mergeCell ref="A35:G35"/>
    <mergeCell ref="A36:D36"/>
    <mergeCell ref="E36:G36"/>
    <mergeCell ref="B37:C37"/>
    <mergeCell ref="D37:E37"/>
    <mergeCell ref="B38:C38"/>
    <mergeCell ref="D38:E38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A1:G1"/>
    <mergeCell ref="A2:D2"/>
    <mergeCell ref="E2:G2"/>
    <mergeCell ref="B3:C3"/>
    <mergeCell ref="D3:E3"/>
    <mergeCell ref="B4:C4"/>
    <mergeCell ref="D4:E4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5:C5"/>
    <mergeCell ref="D5:E5"/>
    <mergeCell ref="B6:C6"/>
    <mergeCell ref="D6:E6"/>
    <mergeCell ref="B7:C7"/>
    <mergeCell ref="D7:E7"/>
    <mergeCell ref="B17:C17"/>
    <mergeCell ref="D17:E1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"/>
  <sheetViews>
    <sheetView workbookViewId="0">
      <selection sqref="A1:O122"/>
    </sheetView>
  </sheetViews>
  <sheetFormatPr defaultRowHeight="13.5"/>
  <cols>
    <col min="1" max="1" width="5.25" style="16" customWidth="1"/>
    <col min="2" max="2" width="8.625" style="16" customWidth="1"/>
    <col min="3" max="3" width="19.5" style="16" customWidth="1"/>
    <col min="4" max="4" width="6.25" style="16" customWidth="1"/>
    <col min="5" max="5" width="3.125" style="16" customWidth="1"/>
    <col min="6" max="6" width="6.125" style="16" customWidth="1"/>
    <col min="7" max="7" width="8.375" style="16" customWidth="1"/>
    <col min="8" max="8" width="8.875" style="16" customWidth="1"/>
    <col min="9" max="9" width="9.875" style="16" customWidth="1"/>
    <col min="10" max="10" width="8.375" style="16" customWidth="1"/>
    <col min="11" max="11" width="0.875" style="16" customWidth="1"/>
    <col min="12" max="12" width="9" style="16" customWidth="1"/>
    <col min="13" max="13" width="9.625" style="16" customWidth="1"/>
    <col min="14" max="14" width="11" style="16" customWidth="1"/>
    <col min="15" max="15" width="11.125" style="16" customWidth="1"/>
    <col min="16" max="256" width="8" style="16" customWidth="1"/>
    <col min="257" max="257" width="5.25" style="16" customWidth="1"/>
    <col min="258" max="258" width="8.625" style="16" customWidth="1"/>
    <col min="259" max="259" width="19.5" style="16" customWidth="1"/>
    <col min="260" max="260" width="6.25" style="16" customWidth="1"/>
    <col min="261" max="261" width="3.125" style="16" customWidth="1"/>
    <col min="262" max="262" width="6.125" style="16" customWidth="1"/>
    <col min="263" max="263" width="8.375" style="16" customWidth="1"/>
    <col min="264" max="264" width="8.875" style="16" customWidth="1"/>
    <col min="265" max="265" width="9.875" style="16" customWidth="1"/>
    <col min="266" max="266" width="8.375" style="16" customWidth="1"/>
    <col min="267" max="267" width="0.875" style="16" customWidth="1"/>
    <col min="268" max="268" width="9" style="16" customWidth="1"/>
    <col min="269" max="269" width="9.625" style="16" customWidth="1"/>
    <col min="270" max="270" width="11" style="16" customWidth="1"/>
    <col min="271" max="271" width="11.125" style="16" customWidth="1"/>
    <col min="272" max="512" width="8" style="16" customWidth="1"/>
    <col min="513" max="513" width="5.25" style="16" customWidth="1"/>
    <col min="514" max="514" width="8.625" style="16" customWidth="1"/>
    <col min="515" max="515" width="19.5" style="16" customWidth="1"/>
    <col min="516" max="516" width="6.25" style="16" customWidth="1"/>
    <col min="517" max="517" width="3.125" style="16" customWidth="1"/>
    <col min="518" max="518" width="6.125" style="16" customWidth="1"/>
    <col min="519" max="519" width="8.375" style="16" customWidth="1"/>
    <col min="520" max="520" width="8.875" style="16" customWidth="1"/>
    <col min="521" max="521" width="9.875" style="16" customWidth="1"/>
    <col min="522" max="522" width="8.375" style="16" customWidth="1"/>
    <col min="523" max="523" width="0.875" style="16" customWidth="1"/>
    <col min="524" max="524" width="9" style="16" customWidth="1"/>
    <col min="525" max="525" width="9.625" style="16" customWidth="1"/>
    <col min="526" max="526" width="11" style="16" customWidth="1"/>
    <col min="527" max="527" width="11.125" style="16" customWidth="1"/>
    <col min="528" max="768" width="8" style="16" customWidth="1"/>
    <col min="769" max="769" width="5.25" style="16" customWidth="1"/>
    <col min="770" max="770" width="8.625" style="16" customWidth="1"/>
    <col min="771" max="771" width="19.5" style="16" customWidth="1"/>
    <col min="772" max="772" width="6.25" style="16" customWidth="1"/>
    <col min="773" max="773" width="3.125" style="16" customWidth="1"/>
    <col min="774" max="774" width="6.125" style="16" customWidth="1"/>
    <col min="775" max="775" width="8.375" style="16" customWidth="1"/>
    <col min="776" max="776" width="8.875" style="16" customWidth="1"/>
    <col min="777" max="777" width="9.875" style="16" customWidth="1"/>
    <col min="778" max="778" width="8.375" style="16" customWidth="1"/>
    <col min="779" max="779" width="0.875" style="16" customWidth="1"/>
    <col min="780" max="780" width="9" style="16" customWidth="1"/>
    <col min="781" max="781" width="9.625" style="16" customWidth="1"/>
    <col min="782" max="782" width="11" style="16" customWidth="1"/>
    <col min="783" max="783" width="11.125" style="16" customWidth="1"/>
    <col min="784" max="1024" width="8" style="16" customWidth="1"/>
    <col min="1025" max="1025" width="5.25" style="16" customWidth="1"/>
    <col min="1026" max="1026" width="8.625" style="16" customWidth="1"/>
    <col min="1027" max="1027" width="19.5" style="16" customWidth="1"/>
    <col min="1028" max="1028" width="6.25" style="16" customWidth="1"/>
    <col min="1029" max="1029" width="3.125" style="16" customWidth="1"/>
    <col min="1030" max="1030" width="6.125" style="16" customWidth="1"/>
    <col min="1031" max="1031" width="8.375" style="16" customWidth="1"/>
    <col min="1032" max="1032" width="8.875" style="16" customWidth="1"/>
    <col min="1033" max="1033" width="9.875" style="16" customWidth="1"/>
    <col min="1034" max="1034" width="8.375" style="16" customWidth="1"/>
    <col min="1035" max="1035" width="0.875" style="16" customWidth="1"/>
    <col min="1036" max="1036" width="9" style="16" customWidth="1"/>
    <col min="1037" max="1037" width="9.625" style="16" customWidth="1"/>
    <col min="1038" max="1038" width="11" style="16" customWidth="1"/>
    <col min="1039" max="1039" width="11.125" style="16" customWidth="1"/>
    <col min="1040" max="1280" width="8" style="16" customWidth="1"/>
    <col min="1281" max="1281" width="5.25" style="16" customWidth="1"/>
    <col min="1282" max="1282" width="8.625" style="16" customWidth="1"/>
    <col min="1283" max="1283" width="19.5" style="16" customWidth="1"/>
    <col min="1284" max="1284" width="6.25" style="16" customWidth="1"/>
    <col min="1285" max="1285" width="3.125" style="16" customWidth="1"/>
    <col min="1286" max="1286" width="6.125" style="16" customWidth="1"/>
    <col min="1287" max="1287" width="8.375" style="16" customWidth="1"/>
    <col min="1288" max="1288" width="8.875" style="16" customWidth="1"/>
    <col min="1289" max="1289" width="9.875" style="16" customWidth="1"/>
    <col min="1290" max="1290" width="8.375" style="16" customWidth="1"/>
    <col min="1291" max="1291" width="0.875" style="16" customWidth="1"/>
    <col min="1292" max="1292" width="9" style="16" customWidth="1"/>
    <col min="1293" max="1293" width="9.625" style="16" customWidth="1"/>
    <col min="1294" max="1294" width="11" style="16" customWidth="1"/>
    <col min="1295" max="1295" width="11.125" style="16" customWidth="1"/>
    <col min="1296" max="1536" width="8" style="16" customWidth="1"/>
    <col min="1537" max="1537" width="5.25" style="16" customWidth="1"/>
    <col min="1538" max="1538" width="8.625" style="16" customWidth="1"/>
    <col min="1539" max="1539" width="19.5" style="16" customWidth="1"/>
    <col min="1540" max="1540" width="6.25" style="16" customWidth="1"/>
    <col min="1541" max="1541" width="3.125" style="16" customWidth="1"/>
    <col min="1542" max="1542" width="6.125" style="16" customWidth="1"/>
    <col min="1543" max="1543" width="8.375" style="16" customWidth="1"/>
    <col min="1544" max="1544" width="8.875" style="16" customWidth="1"/>
    <col min="1545" max="1545" width="9.875" style="16" customWidth="1"/>
    <col min="1546" max="1546" width="8.375" style="16" customWidth="1"/>
    <col min="1547" max="1547" width="0.875" style="16" customWidth="1"/>
    <col min="1548" max="1548" width="9" style="16" customWidth="1"/>
    <col min="1549" max="1549" width="9.625" style="16" customWidth="1"/>
    <col min="1550" max="1550" width="11" style="16" customWidth="1"/>
    <col min="1551" max="1551" width="11.125" style="16" customWidth="1"/>
    <col min="1552" max="1792" width="8" style="16" customWidth="1"/>
    <col min="1793" max="1793" width="5.25" style="16" customWidth="1"/>
    <col min="1794" max="1794" width="8.625" style="16" customWidth="1"/>
    <col min="1795" max="1795" width="19.5" style="16" customWidth="1"/>
    <col min="1796" max="1796" width="6.25" style="16" customWidth="1"/>
    <col min="1797" max="1797" width="3.125" style="16" customWidth="1"/>
    <col min="1798" max="1798" width="6.125" style="16" customWidth="1"/>
    <col min="1799" max="1799" width="8.375" style="16" customWidth="1"/>
    <col min="1800" max="1800" width="8.875" style="16" customWidth="1"/>
    <col min="1801" max="1801" width="9.875" style="16" customWidth="1"/>
    <col min="1802" max="1802" width="8.375" style="16" customWidth="1"/>
    <col min="1803" max="1803" width="0.875" style="16" customWidth="1"/>
    <col min="1804" max="1804" width="9" style="16" customWidth="1"/>
    <col min="1805" max="1805" width="9.625" style="16" customWidth="1"/>
    <col min="1806" max="1806" width="11" style="16" customWidth="1"/>
    <col min="1807" max="1807" width="11.125" style="16" customWidth="1"/>
    <col min="1808" max="2048" width="8" style="16" customWidth="1"/>
    <col min="2049" max="2049" width="5.25" style="16" customWidth="1"/>
    <col min="2050" max="2050" width="8.625" style="16" customWidth="1"/>
    <col min="2051" max="2051" width="19.5" style="16" customWidth="1"/>
    <col min="2052" max="2052" width="6.25" style="16" customWidth="1"/>
    <col min="2053" max="2053" width="3.125" style="16" customWidth="1"/>
    <col min="2054" max="2054" width="6.125" style="16" customWidth="1"/>
    <col min="2055" max="2055" width="8.375" style="16" customWidth="1"/>
    <col min="2056" max="2056" width="8.875" style="16" customWidth="1"/>
    <col min="2057" max="2057" width="9.875" style="16" customWidth="1"/>
    <col min="2058" max="2058" width="8.375" style="16" customWidth="1"/>
    <col min="2059" max="2059" width="0.875" style="16" customWidth="1"/>
    <col min="2060" max="2060" width="9" style="16" customWidth="1"/>
    <col min="2061" max="2061" width="9.625" style="16" customWidth="1"/>
    <col min="2062" max="2062" width="11" style="16" customWidth="1"/>
    <col min="2063" max="2063" width="11.125" style="16" customWidth="1"/>
    <col min="2064" max="2304" width="8" style="16" customWidth="1"/>
    <col min="2305" max="2305" width="5.25" style="16" customWidth="1"/>
    <col min="2306" max="2306" width="8.625" style="16" customWidth="1"/>
    <col min="2307" max="2307" width="19.5" style="16" customWidth="1"/>
    <col min="2308" max="2308" width="6.25" style="16" customWidth="1"/>
    <col min="2309" max="2309" width="3.125" style="16" customWidth="1"/>
    <col min="2310" max="2310" width="6.125" style="16" customWidth="1"/>
    <col min="2311" max="2311" width="8.375" style="16" customWidth="1"/>
    <col min="2312" max="2312" width="8.875" style="16" customWidth="1"/>
    <col min="2313" max="2313" width="9.875" style="16" customWidth="1"/>
    <col min="2314" max="2314" width="8.375" style="16" customWidth="1"/>
    <col min="2315" max="2315" width="0.875" style="16" customWidth="1"/>
    <col min="2316" max="2316" width="9" style="16" customWidth="1"/>
    <col min="2317" max="2317" width="9.625" style="16" customWidth="1"/>
    <col min="2318" max="2318" width="11" style="16" customWidth="1"/>
    <col min="2319" max="2319" width="11.125" style="16" customWidth="1"/>
    <col min="2320" max="2560" width="8" style="16" customWidth="1"/>
    <col min="2561" max="2561" width="5.25" style="16" customWidth="1"/>
    <col min="2562" max="2562" width="8.625" style="16" customWidth="1"/>
    <col min="2563" max="2563" width="19.5" style="16" customWidth="1"/>
    <col min="2564" max="2564" width="6.25" style="16" customWidth="1"/>
    <col min="2565" max="2565" width="3.125" style="16" customWidth="1"/>
    <col min="2566" max="2566" width="6.125" style="16" customWidth="1"/>
    <col min="2567" max="2567" width="8.375" style="16" customWidth="1"/>
    <col min="2568" max="2568" width="8.875" style="16" customWidth="1"/>
    <col min="2569" max="2569" width="9.875" style="16" customWidth="1"/>
    <col min="2570" max="2570" width="8.375" style="16" customWidth="1"/>
    <col min="2571" max="2571" width="0.875" style="16" customWidth="1"/>
    <col min="2572" max="2572" width="9" style="16" customWidth="1"/>
    <col min="2573" max="2573" width="9.625" style="16" customWidth="1"/>
    <col min="2574" max="2574" width="11" style="16" customWidth="1"/>
    <col min="2575" max="2575" width="11.125" style="16" customWidth="1"/>
    <col min="2576" max="2816" width="8" style="16" customWidth="1"/>
    <col min="2817" max="2817" width="5.25" style="16" customWidth="1"/>
    <col min="2818" max="2818" width="8.625" style="16" customWidth="1"/>
    <col min="2819" max="2819" width="19.5" style="16" customWidth="1"/>
    <col min="2820" max="2820" width="6.25" style="16" customWidth="1"/>
    <col min="2821" max="2821" width="3.125" style="16" customWidth="1"/>
    <col min="2822" max="2822" width="6.125" style="16" customWidth="1"/>
    <col min="2823" max="2823" width="8.375" style="16" customWidth="1"/>
    <col min="2824" max="2824" width="8.875" style="16" customWidth="1"/>
    <col min="2825" max="2825" width="9.875" style="16" customWidth="1"/>
    <col min="2826" max="2826" width="8.375" style="16" customWidth="1"/>
    <col min="2827" max="2827" width="0.875" style="16" customWidth="1"/>
    <col min="2828" max="2828" width="9" style="16" customWidth="1"/>
    <col min="2829" max="2829" width="9.625" style="16" customWidth="1"/>
    <col min="2830" max="2830" width="11" style="16" customWidth="1"/>
    <col min="2831" max="2831" width="11.125" style="16" customWidth="1"/>
    <col min="2832" max="3072" width="8" style="16" customWidth="1"/>
    <col min="3073" max="3073" width="5.25" style="16" customWidth="1"/>
    <col min="3074" max="3074" width="8.625" style="16" customWidth="1"/>
    <col min="3075" max="3075" width="19.5" style="16" customWidth="1"/>
    <col min="3076" max="3076" width="6.25" style="16" customWidth="1"/>
    <col min="3077" max="3077" width="3.125" style="16" customWidth="1"/>
    <col min="3078" max="3078" width="6.125" style="16" customWidth="1"/>
    <col min="3079" max="3079" width="8.375" style="16" customWidth="1"/>
    <col min="3080" max="3080" width="8.875" style="16" customWidth="1"/>
    <col min="3081" max="3081" width="9.875" style="16" customWidth="1"/>
    <col min="3082" max="3082" width="8.375" style="16" customWidth="1"/>
    <col min="3083" max="3083" width="0.875" style="16" customWidth="1"/>
    <col min="3084" max="3084" width="9" style="16" customWidth="1"/>
    <col min="3085" max="3085" width="9.625" style="16" customWidth="1"/>
    <col min="3086" max="3086" width="11" style="16" customWidth="1"/>
    <col min="3087" max="3087" width="11.125" style="16" customWidth="1"/>
    <col min="3088" max="3328" width="8" style="16" customWidth="1"/>
    <col min="3329" max="3329" width="5.25" style="16" customWidth="1"/>
    <col min="3330" max="3330" width="8.625" style="16" customWidth="1"/>
    <col min="3331" max="3331" width="19.5" style="16" customWidth="1"/>
    <col min="3332" max="3332" width="6.25" style="16" customWidth="1"/>
    <col min="3333" max="3333" width="3.125" style="16" customWidth="1"/>
    <col min="3334" max="3334" width="6.125" style="16" customWidth="1"/>
    <col min="3335" max="3335" width="8.375" style="16" customWidth="1"/>
    <col min="3336" max="3336" width="8.875" style="16" customWidth="1"/>
    <col min="3337" max="3337" width="9.875" style="16" customWidth="1"/>
    <col min="3338" max="3338" width="8.375" style="16" customWidth="1"/>
    <col min="3339" max="3339" width="0.875" style="16" customWidth="1"/>
    <col min="3340" max="3340" width="9" style="16" customWidth="1"/>
    <col min="3341" max="3341" width="9.625" style="16" customWidth="1"/>
    <col min="3342" max="3342" width="11" style="16" customWidth="1"/>
    <col min="3343" max="3343" width="11.125" style="16" customWidth="1"/>
    <col min="3344" max="3584" width="8" style="16" customWidth="1"/>
    <col min="3585" max="3585" width="5.25" style="16" customWidth="1"/>
    <col min="3586" max="3586" width="8.625" style="16" customWidth="1"/>
    <col min="3587" max="3587" width="19.5" style="16" customWidth="1"/>
    <col min="3588" max="3588" width="6.25" style="16" customWidth="1"/>
    <col min="3589" max="3589" width="3.125" style="16" customWidth="1"/>
    <col min="3590" max="3590" width="6.125" style="16" customWidth="1"/>
    <col min="3591" max="3591" width="8.375" style="16" customWidth="1"/>
    <col min="3592" max="3592" width="8.875" style="16" customWidth="1"/>
    <col min="3593" max="3593" width="9.875" style="16" customWidth="1"/>
    <col min="3594" max="3594" width="8.375" style="16" customWidth="1"/>
    <col min="3595" max="3595" width="0.875" style="16" customWidth="1"/>
    <col min="3596" max="3596" width="9" style="16" customWidth="1"/>
    <col min="3597" max="3597" width="9.625" style="16" customWidth="1"/>
    <col min="3598" max="3598" width="11" style="16" customWidth="1"/>
    <col min="3599" max="3599" width="11.125" style="16" customWidth="1"/>
    <col min="3600" max="3840" width="8" style="16" customWidth="1"/>
    <col min="3841" max="3841" width="5.25" style="16" customWidth="1"/>
    <col min="3842" max="3842" width="8.625" style="16" customWidth="1"/>
    <col min="3843" max="3843" width="19.5" style="16" customWidth="1"/>
    <col min="3844" max="3844" width="6.25" style="16" customWidth="1"/>
    <col min="3845" max="3845" width="3.125" style="16" customWidth="1"/>
    <col min="3846" max="3846" width="6.125" style="16" customWidth="1"/>
    <col min="3847" max="3847" width="8.375" style="16" customWidth="1"/>
    <col min="3848" max="3848" width="8.875" style="16" customWidth="1"/>
    <col min="3849" max="3849" width="9.875" style="16" customWidth="1"/>
    <col min="3850" max="3850" width="8.375" style="16" customWidth="1"/>
    <col min="3851" max="3851" width="0.875" style="16" customWidth="1"/>
    <col min="3852" max="3852" width="9" style="16" customWidth="1"/>
    <col min="3853" max="3853" width="9.625" style="16" customWidth="1"/>
    <col min="3854" max="3854" width="11" style="16" customWidth="1"/>
    <col min="3855" max="3855" width="11.125" style="16" customWidth="1"/>
    <col min="3856" max="4096" width="8" style="16" customWidth="1"/>
    <col min="4097" max="4097" width="5.25" style="16" customWidth="1"/>
    <col min="4098" max="4098" width="8.625" style="16" customWidth="1"/>
    <col min="4099" max="4099" width="19.5" style="16" customWidth="1"/>
    <col min="4100" max="4100" width="6.25" style="16" customWidth="1"/>
    <col min="4101" max="4101" width="3.125" style="16" customWidth="1"/>
    <col min="4102" max="4102" width="6.125" style="16" customWidth="1"/>
    <col min="4103" max="4103" width="8.375" style="16" customWidth="1"/>
    <col min="4104" max="4104" width="8.875" style="16" customWidth="1"/>
    <col min="4105" max="4105" width="9.875" style="16" customWidth="1"/>
    <col min="4106" max="4106" width="8.375" style="16" customWidth="1"/>
    <col min="4107" max="4107" width="0.875" style="16" customWidth="1"/>
    <col min="4108" max="4108" width="9" style="16" customWidth="1"/>
    <col min="4109" max="4109" width="9.625" style="16" customWidth="1"/>
    <col min="4110" max="4110" width="11" style="16" customWidth="1"/>
    <col min="4111" max="4111" width="11.125" style="16" customWidth="1"/>
    <col min="4112" max="4352" width="8" style="16" customWidth="1"/>
    <col min="4353" max="4353" width="5.25" style="16" customWidth="1"/>
    <col min="4354" max="4354" width="8.625" style="16" customWidth="1"/>
    <col min="4355" max="4355" width="19.5" style="16" customWidth="1"/>
    <col min="4356" max="4356" width="6.25" style="16" customWidth="1"/>
    <col min="4357" max="4357" width="3.125" style="16" customWidth="1"/>
    <col min="4358" max="4358" width="6.125" style="16" customWidth="1"/>
    <col min="4359" max="4359" width="8.375" style="16" customWidth="1"/>
    <col min="4360" max="4360" width="8.875" style="16" customWidth="1"/>
    <col min="4361" max="4361" width="9.875" style="16" customWidth="1"/>
    <col min="4362" max="4362" width="8.375" style="16" customWidth="1"/>
    <col min="4363" max="4363" width="0.875" style="16" customWidth="1"/>
    <col min="4364" max="4364" width="9" style="16" customWidth="1"/>
    <col min="4365" max="4365" width="9.625" style="16" customWidth="1"/>
    <col min="4366" max="4366" width="11" style="16" customWidth="1"/>
    <col min="4367" max="4367" width="11.125" style="16" customWidth="1"/>
    <col min="4368" max="4608" width="8" style="16" customWidth="1"/>
    <col min="4609" max="4609" width="5.25" style="16" customWidth="1"/>
    <col min="4610" max="4610" width="8.625" style="16" customWidth="1"/>
    <col min="4611" max="4611" width="19.5" style="16" customWidth="1"/>
    <col min="4612" max="4612" width="6.25" style="16" customWidth="1"/>
    <col min="4613" max="4613" width="3.125" style="16" customWidth="1"/>
    <col min="4614" max="4614" width="6.125" style="16" customWidth="1"/>
    <col min="4615" max="4615" width="8.375" style="16" customWidth="1"/>
    <col min="4616" max="4616" width="8.875" style="16" customWidth="1"/>
    <col min="4617" max="4617" width="9.875" style="16" customWidth="1"/>
    <col min="4618" max="4618" width="8.375" style="16" customWidth="1"/>
    <col min="4619" max="4619" width="0.875" style="16" customWidth="1"/>
    <col min="4620" max="4620" width="9" style="16" customWidth="1"/>
    <col min="4621" max="4621" width="9.625" style="16" customWidth="1"/>
    <col min="4622" max="4622" width="11" style="16" customWidth="1"/>
    <col min="4623" max="4623" width="11.125" style="16" customWidth="1"/>
    <col min="4624" max="4864" width="8" style="16" customWidth="1"/>
    <col min="4865" max="4865" width="5.25" style="16" customWidth="1"/>
    <col min="4866" max="4866" width="8.625" style="16" customWidth="1"/>
    <col min="4867" max="4867" width="19.5" style="16" customWidth="1"/>
    <col min="4868" max="4868" width="6.25" style="16" customWidth="1"/>
    <col min="4869" max="4869" width="3.125" style="16" customWidth="1"/>
    <col min="4870" max="4870" width="6.125" style="16" customWidth="1"/>
    <col min="4871" max="4871" width="8.375" style="16" customWidth="1"/>
    <col min="4872" max="4872" width="8.875" style="16" customWidth="1"/>
    <col min="4873" max="4873" width="9.875" style="16" customWidth="1"/>
    <col min="4874" max="4874" width="8.375" style="16" customWidth="1"/>
    <col min="4875" max="4875" width="0.875" style="16" customWidth="1"/>
    <col min="4876" max="4876" width="9" style="16" customWidth="1"/>
    <col min="4877" max="4877" width="9.625" style="16" customWidth="1"/>
    <col min="4878" max="4878" width="11" style="16" customWidth="1"/>
    <col min="4879" max="4879" width="11.125" style="16" customWidth="1"/>
    <col min="4880" max="5120" width="8" style="16" customWidth="1"/>
    <col min="5121" max="5121" width="5.25" style="16" customWidth="1"/>
    <col min="5122" max="5122" width="8.625" style="16" customWidth="1"/>
    <col min="5123" max="5123" width="19.5" style="16" customWidth="1"/>
    <col min="5124" max="5124" width="6.25" style="16" customWidth="1"/>
    <col min="5125" max="5125" width="3.125" style="16" customWidth="1"/>
    <col min="5126" max="5126" width="6.125" style="16" customWidth="1"/>
    <col min="5127" max="5127" width="8.375" style="16" customWidth="1"/>
    <col min="5128" max="5128" width="8.875" style="16" customWidth="1"/>
    <col min="5129" max="5129" width="9.875" style="16" customWidth="1"/>
    <col min="5130" max="5130" width="8.375" style="16" customWidth="1"/>
    <col min="5131" max="5131" width="0.875" style="16" customWidth="1"/>
    <col min="5132" max="5132" width="9" style="16" customWidth="1"/>
    <col min="5133" max="5133" width="9.625" style="16" customWidth="1"/>
    <col min="5134" max="5134" width="11" style="16" customWidth="1"/>
    <col min="5135" max="5135" width="11.125" style="16" customWidth="1"/>
    <col min="5136" max="5376" width="8" style="16" customWidth="1"/>
    <col min="5377" max="5377" width="5.25" style="16" customWidth="1"/>
    <col min="5378" max="5378" width="8.625" style="16" customWidth="1"/>
    <col min="5379" max="5379" width="19.5" style="16" customWidth="1"/>
    <col min="5380" max="5380" width="6.25" style="16" customWidth="1"/>
    <col min="5381" max="5381" width="3.125" style="16" customWidth="1"/>
    <col min="5382" max="5382" width="6.125" style="16" customWidth="1"/>
    <col min="5383" max="5383" width="8.375" style="16" customWidth="1"/>
    <col min="5384" max="5384" width="8.875" style="16" customWidth="1"/>
    <col min="5385" max="5385" width="9.875" style="16" customWidth="1"/>
    <col min="5386" max="5386" width="8.375" style="16" customWidth="1"/>
    <col min="5387" max="5387" width="0.875" style="16" customWidth="1"/>
    <col min="5388" max="5388" width="9" style="16" customWidth="1"/>
    <col min="5389" max="5389" width="9.625" style="16" customWidth="1"/>
    <col min="5390" max="5390" width="11" style="16" customWidth="1"/>
    <col min="5391" max="5391" width="11.125" style="16" customWidth="1"/>
    <col min="5392" max="5632" width="8" style="16" customWidth="1"/>
    <col min="5633" max="5633" width="5.25" style="16" customWidth="1"/>
    <col min="5634" max="5634" width="8.625" style="16" customWidth="1"/>
    <col min="5635" max="5635" width="19.5" style="16" customWidth="1"/>
    <col min="5636" max="5636" width="6.25" style="16" customWidth="1"/>
    <col min="5637" max="5637" width="3.125" style="16" customWidth="1"/>
    <col min="5638" max="5638" width="6.125" style="16" customWidth="1"/>
    <col min="5639" max="5639" width="8.375" style="16" customWidth="1"/>
    <col min="5640" max="5640" width="8.875" style="16" customWidth="1"/>
    <col min="5641" max="5641" width="9.875" style="16" customWidth="1"/>
    <col min="5642" max="5642" width="8.375" style="16" customWidth="1"/>
    <col min="5643" max="5643" width="0.875" style="16" customWidth="1"/>
    <col min="5644" max="5644" width="9" style="16" customWidth="1"/>
    <col min="5645" max="5645" width="9.625" style="16" customWidth="1"/>
    <col min="5646" max="5646" width="11" style="16" customWidth="1"/>
    <col min="5647" max="5647" width="11.125" style="16" customWidth="1"/>
    <col min="5648" max="5888" width="8" style="16" customWidth="1"/>
    <col min="5889" max="5889" width="5.25" style="16" customWidth="1"/>
    <col min="5890" max="5890" width="8.625" style="16" customWidth="1"/>
    <col min="5891" max="5891" width="19.5" style="16" customWidth="1"/>
    <col min="5892" max="5892" width="6.25" style="16" customWidth="1"/>
    <col min="5893" max="5893" width="3.125" style="16" customWidth="1"/>
    <col min="5894" max="5894" width="6.125" style="16" customWidth="1"/>
    <col min="5895" max="5895" width="8.375" style="16" customWidth="1"/>
    <col min="5896" max="5896" width="8.875" style="16" customWidth="1"/>
    <col min="5897" max="5897" width="9.875" style="16" customWidth="1"/>
    <col min="5898" max="5898" width="8.375" style="16" customWidth="1"/>
    <col min="5899" max="5899" width="0.875" style="16" customWidth="1"/>
    <col min="5900" max="5900" width="9" style="16" customWidth="1"/>
    <col min="5901" max="5901" width="9.625" style="16" customWidth="1"/>
    <col min="5902" max="5902" width="11" style="16" customWidth="1"/>
    <col min="5903" max="5903" width="11.125" style="16" customWidth="1"/>
    <col min="5904" max="6144" width="8" style="16" customWidth="1"/>
    <col min="6145" max="6145" width="5.25" style="16" customWidth="1"/>
    <col min="6146" max="6146" width="8.625" style="16" customWidth="1"/>
    <col min="6147" max="6147" width="19.5" style="16" customWidth="1"/>
    <col min="6148" max="6148" width="6.25" style="16" customWidth="1"/>
    <col min="6149" max="6149" width="3.125" style="16" customWidth="1"/>
    <col min="6150" max="6150" width="6.125" style="16" customWidth="1"/>
    <col min="6151" max="6151" width="8.375" style="16" customWidth="1"/>
    <col min="6152" max="6152" width="8.875" style="16" customWidth="1"/>
    <col min="6153" max="6153" width="9.875" style="16" customWidth="1"/>
    <col min="6154" max="6154" width="8.375" style="16" customWidth="1"/>
    <col min="6155" max="6155" width="0.875" style="16" customWidth="1"/>
    <col min="6156" max="6156" width="9" style="16" customWidth="1"/>
    <col min="6157" max="6157" width="9.625" style="16" customWidth="1"/>
    <col min="6158" max="6158" width="11" style="16" customWidth="1"/>
    <col min="6159" max="6159" width="11.125" style="16" customWidth="1"/>
    <col min="6160" max="6400" width="8" style="16" customWidth="1"/>
    <col min="6401" max="6401" width="5.25" style="16" customWidth="1"/>
    <col min="6402" max="6402" width="8.625" style="16" customWidth="1"/>
    <col min="6403" max="6403" width="19.5" style="16" customWidth="1"/>
    <col min="6404" max="6404" width="6.25" style="16" customWidth="1"/>
    <col min="6405" max="6405" width="3.125" style="16" customWidth="1"/>
    <col min="6406" max="6406" width="6.125" style="16" customWidth="1"/>
    <col min="6407" max="6407" width="8.375" style="16" customWidth="1"/>
    <col min="6408" max="6408" width="8.875" style="16" customWidth="1"/>
    <col min="6409" max="6409" width="9.875" style="16" customWidth="1"/>
    <col min="6410" max="6410" width="8.375" style="16" customWidth="1"/>
    <col min="6411" max="6411" width="0.875" style="16" customWidth="1"/>
    <col min="6412" max="6412" width="9" style="16" customWidth="1"/>
    <col min="6413" max="6413" width="9.625" style="16" customWidth="1"/>
    <col min="6414" max="6414" width="11" style="16" customWidth="1"/>
    <col min="6415" max="6415" width="11.125" style="16" customWidth="1"/>
    <col min="6416" max="6656" width="8" style="16" customWidth="1"/>
    <col min="6657" max="6657" width="5.25" style="16" customWidth="1"/>
    <col min="6658" max="6658" width="8.625" style="16" customWidth="1"/>
    <col min="6659" max="6659" width="19.5" style="16" customWidth="1"/>
    <col min="6660" max="6660" width="6.25" style="16" customWidth="1"/>
    <col min="6661" max="6661" width="3.125" style="16" customWidth="1"/>
    <col min="6662" max="6662" width="6.125" style="16" customWidth="1"/>
    <col min="6663" max="6663" width="8.375" style="16" customWidth="1"/>
    <col min="6664" max="6664" width="8.875" style="16" customWidth="1"/>
    <col min="6665" max="6665" width="9.875" style="16" customWidth="1"/>
    <col min="6666" max="6666" width="8.375" style="16" customWidth="1"/>
    <col min="6667" max="6667" width="0.875" style="16" customWidth="1"/>
    <col min="6668" max="6668" width="9" style="16" customWidth="1"/>
    <col min="6669" max="6669" width="9.625" style="16" customWidth="1"/>
    <col min="6670" max="6670" width="11" style="16" customWidth="1"/>
    <col min="6671" max="6671" width="11.125" style="16" customWidth="1"/>
    <col min="6672" max="6912" width="8" style="16" customWidth="1"/>
    <col min="6913" max="6913" width="5.25" style="16" customWidth="1"/>
    <col min="6914" max="6914" width="8.625" style="16" customWidth="1"/>
    <col min="6915" max="6915" width="19.5" style="16" customWidth="1"/>
    <col min="6916" max="6916" width="6.25" style="16" customWidth="1"/>
    <col min="6917" max="6917" width="3.125" style="16" customWidth="1"/>
    <col min="6918" max="6918" width="6.125" style="16" customWidth="1"/>
    <col min="6919" max="6919" width="8.375" style="16" customWidth="1"/>
    <col min="6920" max="6920" width="8.875" style="16" customWidth="1"/>
    <col min="6921" max="6921" width="9.875" style="16" customWidth="1"/>
    <col min="6922" max="6922" width="8.375" style="16" customWidth="1"/>
    <col min="6923" max="6923" width="0.875" style="16" customWidth="1"/>
    <col min="6924" max="6924" width="9" style="16" customWidth="1"/>
    <col min="6925" max="6925" width="9.625" style="16" customWidth="1"/>
    <col min="6926" max="6926" width="11" style="16" customWidth="1"/>
    <col min="6927" max="6927" width="11.125" style="16" customWidth="1"/>
    <col min="6928" max="7168" width="8" style="16" customWidth="1"/>
    <col min="7169" max="7169" width="5.25" style="16" customWidth="1"/>
    <col min="7170" max="7170" width="8.625" style="16" customWidth="1"/>
    <col min="7171" max="7171" width="19.5" style="16" customWidth="1"/>
    <col min="7172" max="7172" width="6.25" style="16" customWidth="1"/>
    <col min="7173" max="7173" width="3.125" style="16" customWidth="1"/>
    <col min="7174" max="7174" width="6.125" style="16" customWidth="1"/>
    <col min="7175" max="7175" width="8.375" style="16" customWidth="1"/>
    <col min="7176" max="7176" width="8.875" style="16" customWidth="1"/>
    <col min="7177" max="7177" width="9.875" style="16" customWidth="1"/>
    <col min="7178" max="7178" width="8.375" style="16" customWidth="1"/>
    <col min="7179" max="7179" width="0.875" style="16" customWidth="1"/>
    <col min="7180" max="7180" width="9" style="16" customWidth="1"/>
    <col min="7181" max="7181" width="9.625" style="16" customWidth="1"/>
    <col min="7182" max="7182" width="11" style="16" customWidth="1"/>
    <col min="7183" max="7183" width="11.125" style="16" customWidth="1"/>
    <col min="7184" max="7424" width="8" style="16" customWidth="1"/>
    <col min="7425" max="7425" width="5.25" style="16" customWidth="1"/>
    <col min="7426" max="7426" width="8.625" style="16" customWidth="1"/>
    <col min="7427" max="7427" width="19.5" style="16" customWidth="1"/>
    <col min="7428" max="7428" width="6.25" style="16" customWidth="1"/>
    <col min="7429" max="7429" width="3.125" style="16" customWidth="1"/>
    <col min="7430" max="7430" width="6.125" style="16" customWidth="1"/>
    <col min="7431" max="7431" width="8.375" style="16" customWidth="1"/>
    <col min="7432" max="7432" width="8.875" style="16" customWidth="1"/>
    <col min="7433" max="7433" width="9.875" style="16" customWidth="1"/>
    <col min="7434" max="7434" width="8.375" style="16" customWidth="1"/>
    <col min="7435" max="7435" width="0.875" style="16" customWidth="1"/>
    <col min="7436" max="7436" width="9" style="16" customWidth="1"/>
    <col min="7437" max="7437" width="9.625" style="16" customWidth="1"/>
    <col min="7438" max="7438" width="11" style="16" customWidth="1"/>
    <col min="7439" max="7439" width="11.125" style="16" customWidth="1"/>
    <col min="7440" max="7680" width="8" style="16" customWidth="1"/>
    <col min="7681" max="7681" width="5.25" style="16" customWidth="1"/>
    <col min="7682" max="7682" width="8.625" style="16" customWidth="1"/>
    <col min="7683" max="7683" width="19.5" style="16" customWidth="1"/>
    <col min="7684" max="7684" width="6.25" style="16" customWidth="1"/>
    <col min="7685" max="7685" width="3.125" style="16" customWidth="1"/>
    <col min="7686" max="7686" width="6.125" style="16" customWidth="1"/>
    <col min="7687" max="7687" width="8.375" style="16" customWidth="1"/>
    <col min="7688" max="7688" width="8.875" style="16" customWidth="1"/>
    <col min="7689" max="7689" width="9.875" style="16" customWidth="1"/>
    <col min="7690" max="7690" width="8.375" style="16" customWidth="1"/>
    <col min="7691" max="7691" width="0.875" style="16" customWidth="1"/>
    <col min="7692" max="7692" width="9" style="16" customWidth="1"/>
    <col min="7693" max="7693" width="9.625" style="16" customWidth="1"/>
    <col min="7694" max="7694" width="11" style="16" customWidth="1"/>
    <col min="7695" max="7695" width="11.125" style="16" customWidth="1"/>
    <col min="7696" max="7936" width="8" style="16" customWidth="1"/>
    <col min="7937" max="7937" width="5.25" style="16" customWidth="1"/>
    <col min="7938" max="7938" width="8.625" style="16" customWidth="1"/>
    <col min="7939" max="7939" width="19.5" style="16" customWidth="1"/>
    <col min="7940" max="7940" width="6.25" style="16" customWidth="1"/>
    <col min="7941" max="7941" width="3.125" style="16" customWidth="1"/>
    <col min="7942" max="7942" width="6.125" style="16" customWidth="1"/>
    <col min="7943" max="7943" width="8.375" style="16" customWidth="1"/>
    <col min="7944" max="7944" width="8.875" style="16" customWidth="1"/>
    <col min="7945" max="7945" width="9.875" style="16" customWidth="1"/>
    <col min="7946" max="7946" width="8.375" style="16" customWidth="1"/>
    <col min="7947" max="7947" width="0.875" style="16" customWidth="1"/>
    <col min="7948" max="7948" width="9" style="16" customWidth="1"/>
    <col min="7949" max="7949" width="9.625" style="16" customWidth="1"/>
    <col min="7950" max="7950" width="11" style="16" customWidth="1"/>
    <col min="7951" max="7951" width="11.125" style="16" customWidth="1"/>
    <col min="7952" max="8192" width="8" style="16" customWidth="1"/>
    <col min="8193" max="8193" width="5.25" style="16" customWidth="1"/>
    <col min="8194" max="8194" width="8.625" style="16" customWidth="1"/>
    <col min="8195" max="8195" width="19.5" style="16" customWidth="1"/>
    <col min="8196" max="8196" width="6.25" style="16" customWidth="1"/>
    <col min="8197" max="8197" width="3.125" style="16" customWidth="1"/>
    <col min="8198" max="8198" width="6.125" style="16" customWidth="1"/>
    <col min="8199" max="8199" width="8.375" style="16" customWidth="1"/>
    <col min="8200" max="8200" width="8.875" style="16" customWidth="1"/>
    <col min="8201" max="8201" width="9.875" style="16" customWidth="1"/>
    <col min="8202" max="8202" width="8.375" style="16" customWidth="1"/>
    <col min="8203" max="8203" width="0.875" style="16" customWidth="1"/>
    <col min="8204" max="8204" width="9" style="16" customWidth="1"/>
    <col min="8205" max="8205" width="9.625" style="16" customWidth="1"/>
    <col min="8206" max="8206" width="11" style="16" customWidth="1"/>
    <col min="8207" max="8207" width="11.125" style="16" customWidth="1"/>
    <col min="8208" max="8448" width="8" style="16" customWidth="1"/>
    <col min="8449" max="8449" width="5.25" style="16" customWidth="1"/>
    <col min="8450" max="8450" width="8.625" style="16" customWidth="1"/>
    <col min="8451" max="8451" width="19.5" style="16" customWidth="1"/>
    <col min="8452" max="8452" width="6.25" style="16" customWidth="1"/>
    <col min="8453" max="8453" width="3.125" style="16" customWidth="1"/>
    <col min="8454" max="8454" width="6.125" style="16" customWidth="1"/>
    <col min="8455" max="8455" width="8.375" style="16" customWidth="1"/>
    <col min="8456" max="8456" width="8.875" style="16" customWidth="1"/>
    <col min="8457" max="8457" width="9.875" style="16" customWidth="1"/>
    <col min="8458" max="8458" width="8.375" style="16" customWidth="1"/>
    <col min="8459" max="8459" width="0.875" style="16" customWidth="1"/>
    <col min="8460" max="8460" width="9" style="16" customWidth="1"/>
    <col min="8461" max="8461" width="9.625" style="16" customWidth="1"/>
    <col min="8462" max="8462" width="11" style="16" customWidth="1"/>
    <col min="8463" max="8463" width="11.125" style="16" customWidth="1"/>
    <col min="8464" max="8704" width="8" style="16" customWidth="1"/>
    <col min="8705" max="8705" width="5.25" style="16" customWidth="1"/>
    <col min="8706" max="8706" width="8.625" style="16" customWidth="1"/>
    <col min="8707" max="8707" width="19.5" style="16" customWidth="1"/>
    <col min="8708" max="8708" width="6.25" style="16" customWidth="1"/>
    <col min="8709" max="8709" width="3.125" style="16" customWidth="1"/>
    <col min="8710" max="8710" width="6.125" style="16" customWidth="1"/>
    <col min="8711" max="8711" width="8.375" style="16" customWidth="1"/>
    <col min="8712" max="8712" width="8.875" style="16" customWidth="1"/>
    <col min="8713" max="8713" width="9.875" style="16" customWidth="1"/>
    <col min="8714" max="8714" width="8.375" style="16" customWidth="1"/>
    <col min="8715" max="8715" width="0.875" style="16" customWidth="1"/>
    <col min="8716" max="8716" width="9" style="16" customWidth="1"/>
    <col min="8717" max="8717" width="9.625" style="16" customWidth="1"/>
    <col min="8718" max="8718" width="11" style="16" customWidth="1"/>
    <col min="8719" max="8719" width="11.125" style="16" customWidth="1"/>
    <col min="8720" max="8960" width="8" style="16" customWidth="1"/>
    <col min="8961" max="8961" width="5.25" style="16" customWidth="1"/>
    <col min="8962" max="8962" width="8.625" style="16" customWidth="1"/>
    <col min="8963" max="8963" width="19.5" style="16" customWidth="1"/>
    <col min="8964" max="8964" width="6.25" style="16" customWidth="1"/>
    <col min="8965" max="8965" width="3.125" style="16" customWidth="1"/>
    <col min="8966" max="8966" width="6.125" style="16" customWidth="1"/>
    <col min="8967" max="8967" width="8.375" style="16" customWidth="1"/>
    <col min="8968" max="8968" width="8.875" style="16" customWidth="1"/>
    <col min="8969" max="8969" width="9.875" style="16" customWidth="1"/>
    <col min="8970" max="8970" width="8.375" style="16" customWidth="1"/>
    <col min="8971" max="8971" width="0.875" style="16" customWidth="1"/>
    <col min="8972" max="8972" width="9" style="16" customWidth="1"/>
    <col min="8973" max="8973" width="9.625" style="16" customWidth="1"/>
    <col min="8974" max="8974" width="11" style="16" customWidth="1"/>
    <col min="8975" max="8975" width="11.125" style="16" customWidth="1"/>
    <col min="8976" max="9216" width="8" style="16" customWidth="1"/>
    <col min="9217" max="9217" width="5.25" style="16" customWidth="1"/>
    <col min="9218" max="9218" width="8.625" style="16" customWidth="1"/>
    <col min="9219" max="9219" width="19.5" style="16" customWidth="1"/>
    <col min="9220" max="9220" width="6.25" style="16" customWidth="1"/>
    <col min="9221" max="9221" width="3.125" style="16" customWidth="1"/>
    <col min="9222" max="9222" width="6.125" style="16" customWidth="1"/>
    <col min="9223" max="9223" width="8.375" style="16" customWidth="1"/>
    <col min="9224" max="9224" width="8.875" style="16" customWidth="1"/>
    <col min="9225" max="9225" width="9.875" style="16" customWidth="1"/>
    <col min="9226" max="9226" width="8.375" style="16" customWidth="1"/>
    <col min="9227" max="9227" width="0.875" style="16" customWidth="1"/>
    <col min="9228" max="9228" width="9" style="16" customWidth="1"/>
    <col min="9229" max="9229" width="9.625" style="16" customWidth="1"/>
    <col min="9230" max="9230" width="11" style="16" customWidth="1"/>
    <col min="9231" max="9231" width="11.125" style="16" customWidth="1"/>
    <col min="9232" max="9472" width="8" style="16" customWidth="1"/>
    <col min="9473" max="9473" width="5.25" style="16" customWidth="1"/>
    <col min="9474" max="9474" width="8.625" style="16" customWidth="1"/>
    <col min="9475" max="9475" width="19.5" style="16" customWidth="1"/>
    <col min="9476" max="9476" width="6.25" style="16" customWidth="1"/>
    <col min="9477" max="9477" width="3.125" style="16" customWidth="1"/>
    <col min="9478" max="9478" width="6.125" style="16" customWidth="1"/>
    <col min="9479" max="9479" width="8.375" style="16" customWidth="1"/>
    <col min="9480" max="9480" width="8.875" style="16" customWidth="1"/>
    <col min="9481" max="9481" width="9.875" style="16" customWidth="1"/>
    <col min="9482" max="9482" width="8.375" style="16" customWidth="1"/>
    <col min="9483" max="9483" width="0.875" style="16" customWidth="1"/>
    <col min="9484" max="9484" width="9" style="16" customWidth="1"/>
    <col min="9485" max="9485" width="9.625" style="16" customWidth="1"/>
    <col min="9486" max="9486" width="11" style="16" customWidth="1"/>
    <col min="9487" max="9487" width="11.125" style="16" customWidth="1"/>
    <col min="9488" max="9728" width="8" style="16" customWidth="1"/>
    <col min="9729" max="9729" width="5.25" style="16" customWidth="1"/>
    <col min="9730" max="9730" width="8.625" style="16" customWidth="1"/>
    <col min="9731" max="9731" width="19.5" style="16" customWidth="1"/>
    <col min="9732" max="9732" width="6.25" style="16" customWidth="1"/>
    <col min="9733" max="9733" width="3.125" style="16" customWidth="1"/>
    <col min="9734" max="9734" width="6.125" style="16" customWidth="1"/>
    <col min="9735" max="9735" width="8.375" style="16" customWidth="1"/>
    <col min="9736" max="9736" width="8.875" style="16" customWidth="1"/>
    <col min="9737" max="9737" width="9.875" style="16" customWidth="1"/>
    <col min="9738" max="9738" width="8.375" style="16" customWidth="1"/>
    <col min="9739" max="9739" width="0.875" style="16" customWidth="1"/>
    <col min="9740" max="9740" width="9" style="16" customWidth="1"/>
    <col min="9741" max="9741" width="9.625" style="16" customWidth="1"/>
    <col min="9742" max="9742" width="11" style="16" customWidth="1"/>
    <col min="9743" max="9743" width="11.125" style="16" customWidth="1"/>
    <col min="9744" max="9984" width="8" style="16" customWidth="1"/>
    <col min="9985" max="9985" width="5.25" style="16" customWidth="1"/>
    <col min="9986" max="9986" width="8.625" style="16" customWidth="1"/>
    <col min="9987" max="9987" width="19.5" style="16" customWidth="1"/>
    <col min="9988" max="9988" width="6.25" style="16" customWidth="1"/>
    <col min="9989" max="9989" width="3.125" style="16" customWidth="1"/>
    <col min="9990" max="9990" width="6.125" style="16" customWidth="1"/>
    <col min="9991" max="9991" width="8.375" style="16" customWidth="1"/>
    <col min="9992" max="9992" width="8.875" style="16" customWidth="1"/>
    <col min="9993" max="9993" width="9.875" style="16" customWidth="1"/>
    <col min="9994" max="9994" width="8.375" style="16" customWidth="1"/>
    <col min="9995" max="9995" width="0.875" style="16" customWidth="1"/>
    <col min="9996" max="9996" width="9" style="16" customWidth="1"/>
    <col min="9997" max="9997" width="9.625" style="16" customWidth="1"/>
    <col min="9998" max="9998" width="11" style="16" customWidth="1"/>
    <col min="9999" max="9999" width="11.125" style="16" customWidth="1"/>
    <col min="10000" max="10240" width="8" style="16" customWidth="1"/>
    <col min="10241" max="10241" width="5.25" style="16" customWidth="1"/>
    <col min="10242" max="10242" width="8.625" style="16" customWidth="1"/>
    <col min="10243" max="10243" width="19.5" style="16" customWidth="1"/>
    <col min="10244" max="10244" width="6.25" style="16" customWidth="1"/>
    <col min="10245" max="10245" width="3.125" style="16" customWidth="1"/>
    <col min="10246" max="10246" width="6.125" style="16" customWidth="1"/>
    <col min="10247" max="10247" width="8.375" style="16" customWidth="1"/>
    <col min="10248" max="10248" width="8.875" style="16" customWidth="1"/>
    <col min="10249" max="10249" width="9.875" style="16" customWidth="1"/>
    <col min="10250" max="10250" width="8.375" style="16" customWidth="1"/>
    <col min="10251" max="10251" width="0.875" style="16" customWidth="1"/>
    <col min="10252" max="10252" width="9" style="16" customWidth="1"/>
    <col min="10253" max="10253" width="9.625" style="16" customWidth="1"/>
    <col min="10254" max="10254" width="11" style="16" customWidth="1"/>
    <col min="10255" max="10255" width="11.125" style="16" customWidth="1"/>
    <col min="10256" max="10496" width="8" style="16" customWidth="1"/>
    <col min="10497" max="10497" width="5.25" style="16" customWidth="1"/>
    <col min="10498" max="10498" width="8.625" style="16" customWidth="1"/>
    <col min="10499" max="10499" width="19.5" style="16" customWidth="1"/>
    <col min="10500" max="10500" width="6.25" style="16" customWidth="1"/>
    <col min="10501" max="10501" width="3.125" style="16" customWidth="1"/>
    <col min="10502" max="10502" width="6.125" style="16" customWidth="1"/>
    <col min="10503" max="10503" width="8.375" style="16" customWidth="1"/>
    <col min="10504" max="10504" width="8.875" style="16" customWidth="1"/>
    <col min="10505" max="10505" width="9.875" style="16" customWidth="1"/>
    <col min="10506" max="10506" width="8.375" style="16" customWidth="1"/>
    <col min="10507" max="10507" width="0.875" style="16" customWidth="1"/>
    <col min="10508" max="10508" width="9" style="16" customWidth="1"/>
    <col min="10509" max="10509" width="9.625" style="16" customWidth="1"/>
    <col min="10510" max="10510" width="11" style="16" customWidth="1"/>
    <col min="10511" max="10511" width="11.125" style="16" customWidth="1"/>
    <col min="10512" max="10752" width="8" style="16" customWidth="1"/>
    <col min="10753" max="10753" width="5.25" style="16" customWidth="1"/>
    <col min="10754" max="10754" width="8.625" style="16" customWidth="1"/>
    <col min="10755" max="10755" width="19.5" style="16" customWidth="1"/>
    <col min="10756" max="10756" width="6.25" style="16" customWidth="1"/>
    <col min="10757" max="10757" width="3.125" style="16" customWidth="1"/>
    <col min="10758" max="10758" width="6.125" style="16" customWidth="1"/>
    <col min="10759" max="10759" width="8.375" style="16" customWidth="1"/>
    <col min="10760" max="10760" width="8.875" style="16" customWidth="1"/>
    <col min="10761" max="10761" width="9.875" style="16" customWidth="1"/>
    <col min="10762" max="10762" width="8.375" style="16" customWidth="1"/>
    <col min="10763" max="10763" width="0.875" style="16" customWidth="1"/>
    <col min="10764" max="10764" width="9" style="16" customWidth="1"/>
    <col min="10765" max="10765" width="9.625" style="16" customWidth="1"/>
    <col min="10766" max="10766" width="11" style="16" customWidth="1"/>
    <col min="10767" max="10767" width="11.125" style="16" customWidth="1"/>
    <col min="10768" max="11008" width="8" style="16" customWidth="1"/>
    <col min="11009" max="11009" width="5.25" style="16" customWidth="1"/>
    <col min="11010" max="11010" width="8.625" style="16" customWidth="1"/>
    <col min="11011" max="11011" width="19.5" style="16" customWidth="1"/>
    <col min="11012" max="11012" width="6.25" style="16" customWidth="1"/>
    <col min="11013" max="11013" width="3.125" style="16" customWidth="1"/>
    <col min="11014" max="11014" width="6.125" style="16" customWidth="1"/>
    <col min="11015" max="11015" width="8.375" style="16" customWidth="1"/>
    <col min="11016" max="11016" width="8.875" style="16" customWidth="1"/>
    <col min="11017" max="11017" width="9.875" style="16" customWidth="1"/>
    <col min="11018" max="11018" width="8.375" style="16" customWidth="1"/>
    <col min="11019" max="11019" width="0.875" style="16" customWidth="1"/>
    <col min="11020" max="11020" width="9" style="16" customWidth="1"/>
    <col min="11021" max="11021" width="9.625" style="16" customWidth="1"/>
    <col min="11022" max="11022" width="11" style="16" customWidth="1"/>
    <col min="11023" max="11023" width="11.125" style="16" customWidth="1"/>
    <col min="11024" max="11264" width="8" style="16" customWidth="1"/>
    <col min="11265" max="11265" width="5.25" style="16" customWidth="1"/>
    <col min="11266" max="11266" width="8.625" style="16" customWidth="1"/>
    <col min="11267" max="11267" width="19.5" style="16" customWidth="1"/>
    <col min="11268" max="11268" width="6.25" style="16" customWidth="1"/>
    <col min="11269" max="11269" width="3.125" style="16" customWidth="1"/>
    <col min="11270" max="11270" width="6.125" style="16" customWidth="1"/>
    <col min="11271" max="11271" width="8.375" style="16" customWidth="1"/>
    <col min="11272" max="11272" width="8.875" style="16" customWidth="1"/>
    <col min="11273" max="11273" width="9.875" style="16" customWidth="1"/>
    <col min="11274" max="11274" width="8.375" style="16" customWidth="1"/>
    <col min="11275" max="11275" width="0.875" style="16" customWidth="1"/>
    <col min="11276" max="11276" width="9" style="16" customWidth="1"/>
    <col min="11277" max="11277" width="9.625" style="16" customWidth="1"/>
    <col min="11278" max="11278" width="11" style="16" customWidth="1"/>
    <col min="11279" max="11279" width="11.125" style="16" customWidth="1"/>
    <col min="11280" max="11520" width="8" style="16" customWidth="1"/>
    <col min="11521" max="11521" width="5.25" style="16" customWidth="1"/>
    <col min="11522" max="11522" width="8.625" style="16" customWidth="1"/>
    <col min="11523" max="11523" width="19.5" style="16" customWidth="1"/>
    <col min="11524" max="11524" width="6.25" style="16" customWidth="1"/>
    <col min="11525" max="11525" width="3.125" style="16" customWidth="1"/>
    <col min="11526" max="11526" width="6.125" style="16" customWidth="1"/>
    <col min="11527" max="11527" width="8.375" style="16" customWidth="1"/>
    <col min="11528" max="11528" width="8.875" style="16" customWidth="1"/>
    <col min="11529" max="11529" width="9.875" style="16" customWidth="1"/>
    <col min="11530" max="11530" width="8.375" style="16" customWidth="1"/>
    <col min="11531" max="11531" width="0.875" style="16" customWidth="1"/>
    <col min="11532" max="11532" width="9" style="16" customWidth="1"/>
    <col min="11533" max="11533" width="9.625" style="16" customWidth="1"/>
    <col min="11534" max="11534" width="11" style="16" customWidth="1"/>
    <col min="11535" max="11535" width="11.125" style="16" customWidth="1"/>
    <col min="11536" max="11776" width="8" style="16" customWidth="1"/>
    <col min="11777" max="11777" width="5.25" style="16" customWidth="1"/>
    <col min="11778" max="11778" width="8.625" style="16" customWidth="1"/>
    <col min="11779" max="11779" width="19.5" style="16" customWidth="1"/>
    <col min="11780" max="11780" width="6.25" style="16" customWidth="1"/>
    <col min="11781" max="11781" width="3.125" style="16" customWidth="1"/>
    <col min="11782" max="11782" width="6.125" style="16" customWidth="1"/>
    <col min="11783" max="11783" width="8.375" style="16" customWidth="1"/>
    <col min="11784" max="11784" width="8.875" style="16" customWidth="1"/>
    <col min="11785" max="11785" width="9.875" style="16" customWidth="1"/>
    <col min="11786" max="11786" width="8.375" style="16" customWidth="1"/>
    <col min="11787" max="11787" width="0.875" style="16" customWidth="1"/>
    <col min="11788" max="11788" width="9" style="16" customWidth="1"/>
    <col min="11789" max="11789" width="9.625" style="16" customWidth="1"/>
    <col min="11790" max="11790" width="11" style="16" customWidth="1"/>
    <col min="11791" max="11791" width="11.125" style="16" customWidth="1"/>
    <col min="11792" max="12032" width="8" style="16" customWidth="1"/>
    <col min="12033" max="12033" width="5.25" style="16" customWidth="1"/>
    <col min="12034" max="12034" width="8.625" style="16" customWidth="1"/>
    <col min="12035" max="12035" width="19.5" style="16" customWidth="1"/>
    <col min="12036" max="12036" width="6.25" style="16" customWidth="1"/>
    <col min="12037" max="12037" width="3.125" style="16" customWidth="1"/>
    <col min="12038" max="12038" width="6.125" style="16" customWidth="1"/>
    <col min="12039" max="12039" width="8.375" style="16" customWidth="1"/>
    <col min="12040" max="12040" width="8.875" style="16" customWidth="1"/>
    <col min="12041" max="12041" width="9.875" style="16" customWidth="1"/>
    <col min="12042" max="12042" width="8.375" style="16" customWidth="1"/>
    <col min="12043" max="12043" width="0.875" style="16" customWidth="1"/>
    <col min="12044" max="12044" width="9" style="16" customWidth="1"/>
    <col min="12045" max="12045" width="9.625" style="16" customWidth="1"/>
    <col min="12046" max="12046" width="11" style="16" customWidth="1"/>
    <col min="12047" max="12047" width="11.125" style="16" customWidth="1"/>
    <col min="12048" max="12288" width="8" style="16" customWidth="1"/>
    <col min="12289" max="12289" width="5.25" style="16" customWidth="1"/>
    <col min="12290" max="12290" width="8.625" style="16" customWidth="1"/>
    <col min="12291" max="12291" width="19.5" style="16" customWidth="1"/>
    <col min="12292" max="12292" width="6.25" style="16" customWidth="1"/>
    <col min="12293" max="12293" width="3.125" style="16" customWidth="1"/>
    <col min="12294" max="12294" width="6.125" style="16" customWidth="1"/>
    <col min="12295" max="12295" width="8.375" style="16" customWidth="1"/>
    <col min="12296" max="12296" width="8.875" style="16" customWidth="1"/>
    <col min="12297" max="12297" width="9.875" style="16" customWidth="1"/>
    <col min="12298" max="12298" width="8.375" style="16" customWidth="1"/>
    <col min="12299" max="12299" width="0.875" style="16" customWidth="1"/>
    <col min="12300" max="12300" width="9" style="16" customWidth="1"/>
    <col min="12301" max="12301" width="9.625" style="16" customWidth="1"/>
    <col min="12302" max="12302" width="11" style="16" customWidth="1"/>
    <col min="12303" max="12303" width="11.125" style="16" customWidth="1"/>
    <col min="12304" max="12544" width="8" style="16" customWidth="1"/>
    <col min="12545" max="12545" width="5.25" style="16" customWidth="1"/>
    <col min="12546" max="12546" width="8.625" style="16" customWidth="1"/>
    <col min="12547" max="12547" width="19.5" style="16" customWidth="1"/>
    <col min="12548" max="12548" width="6.25" style="16" customWidth="1"/>
    <col min="12549" max="12549" width="3.125" style="16" customWidth="1"/>
    <col min="12550" max="12550" width="6.125" style="16" customWidth="1"/>
    <col min="12551" max="12551" width="8.375" style="16" customWidth="1"/>
    <col min="12552" max="12552" width="8.875" style="16" customWidth="1"/>
    <col min="12553" max="12553" width="9.875" style="16" customWidth="1"/>
    <col min="12554" max="12554" width="8.375" style="16" customWidth="1"/>
    <col min="12555" max="12555" width="0.875" style="16" customWidth="1"/>
    <col min="12556" max="12556" width="9" style="16" customWidth="1"/>
    <col min="12557" max="12557" width="9.625" style="16" customWidth="1"/>
    <col min="12558" max="12558" width="11" style="16" customWidth="1"/>
    <col min="12559" max="12559" width="11.125" style="16" customWidth="1"/>
    <col min="12560" max="12800" width="8" style="16" customWidth="1"/>
    <col min="12801" max="12801" width="5.25" style="16" customWidth="1"/>
    <col min="12802" max="12802" width="8.625" style="16" customWidth="1"/>
    <col min="12803" max="12803" width="19.5" style="16" customWidth="1"/>
    <col min="12804" max="12804" width="6.25" style="16" customWidth="1"/>
    <col min="12805" max="12805" width="3.125" style="16" customWidth="1"/>
    <col min="12806" max="12806" width="6.125" style="16" customWidth="1"/>
    <col min="12807" max="12807" width="8.375" style="16" customWidth="1"/>
    <col min="12808" max="12808" width="8.875" style="16" customWidth="1"/>
    <col min="12809" max="12809" width="9.875" style="16" customWidth="1"/>
    <col min="12810" max="12810" width="8.375" style="16" customWidth="1"/>
    <col min="12811" max="12811" width="0.875" style="16" customWidth="1"/>
    <col min="12812" max="12812" width="9" style="16" customWidth="1"/>
    <col min="12813" max="12813" width="9.625" style="16" customWidth="1"/>
    <col min="12814" max="12814" width="11" style="16" customWidth="1"/>
    <col min="12815" max="12815" width="11.125" style="16" customWidth="1"/>
    <col min="12816" max="13056" width="8" style="16" customWidth="1"/>
    <col min="13057" max="13057" width="5.25" style="16" customWidth="1"/>
    <col min="13058" max="13058" width="8.625" style="16" customWidth="1"/>
    <col min="13059" max="13059" width="19.5" style="16" customWidth="1"/>
    <col min="13060" max="13060" width="6.25" style="16" customWidth="1"/>
    <col min="13061" max="13061" width="3.125" style="16" customWidth="1"/>
    <col min="13062" max="13062" width="6.125" style="16" customWidth="1"/>
    <col min="13063" max="13063" width="8.375" style="16" customWidth="1"/>
    <col min="13064" max="13064" width="8.875" style="16" customWidth="1"/>
    <col min="13065" max="13065" width="9.875" style="16" customWidth="1"/>
    <col min="13066" max="13066" width="8.375" style="16" customWidth="1"/>
    <col min="13067" max="13067" width="0.875" style="16" customWidth="1"/>
    <col min="13068" max="13068" width="9" style="16" customWidth="1"/>
    <col min="13069" max="13069" width="9.625" style="16" customWidth="1"/>
    <col min="13070" max="13070" width="11" style="16" customWidth="1"/>
    <col min="13071" max="13071" width="11.125" style="16" customWidth="1"/>
    <col min="13072" max="13312" width="8" style="16" customWidth="1"/>
    <col min="13313" max="13313" width="5.25" style="16" customWidth="1"/>
    <col min="13314" max="13314" width="8.625" style="16" customWidth="1"/>
    <col min="13315" max="13315" width="19.5" style="16" customWidth="1"/>
    <col min="13316" max="13316" width="6.25" style="16" customWidth="1"/>
    <col min="13317" max="13317" width="3.125" style="16" customWidth="1"/>
    <col min="13318" max="13318" width="6.125" style="16" customWidth="1"/>
    <col min="13319" max="13319" width="8.375" style="16" customWidth="1"/>
    <col min="13320" max="13320" width="8.875" style="16" customWidth="1"/>
    <col min="13321" max="13321" width="9.875" style="16" customWidth="1"/>
    <col min="13322" max="13322" width="8.375" style="16" customWidth="1"/>
    <col min="13323" max="13323" width="0.875" style="16" customWidth="1"/>
    <col min="13324" max="13324" width="9" style="16" customWidth="1"/>
    <col min="13325" max="13325" width="9.625" style="16" customWidth="1"/>
    <col min="13326" max="13326" width="11" style="16" customWidth="1"/>
    <col min="13327" max="13327" width="11.125" style="16" customWidth="1"/>
    <col min="13328" max="13568" width="8" style="16" customWidth="1"/>
    <col min="13569" max="13569" width="5.25" style="16" customWidth="1"/>
    <col min="13570" max="13570" width="8.625" style="16" customWidth="1"/>
    <col min="13571" max="13571" width="19.5" style="16" customWidth="1"/>
    <col min="13572" max="13572" width="6.25" style="16" customWidth="1"/>
    <col min="13573" max="13573" width="3.125" style="16" customWidth="1"/>
    <col min="13574" max="13574" width="6.125" style="16" customWidth="1"/>
    <col min="13575" max="13575" width="8.375" style="16" customWidth="1"/>
    <col min="13576" max="13576" width="8.875" style="16" customWidth="1"/>
    <col min="13577" max="13577" width="9.875" style="16" customWidth="1"/>
    <col min="13578" max="13578" width="8.375" style="16" customWidth="1"/>
    <col min="13579" max="13579" width="0.875" style="16" customWidth="1"/>
    <col min="13580" max="13580" width="9" style="16" customWidth="1"/>
    <col min="13581" max="13581" width="9.625" style="16" customWidth="1"/>
    <col min="13582" max="13582" width="11" style="16" customWidth="1"/>
    <col min="13583" max="13583" width="11.125" style="16" customWidth="1"/>
    <col min="13584" max="13824" width="8" style="16" customWidth="1"/>
    <col min="13825" max="13825" width="5.25" style="16" customWidth="1"/>
    <col min="13826" max="13826" width="8.625" style="16" customWidth="1"/>
    <col min="13827" max="13827" width="19.5" style="16" customWidth="1"/>
    <col min="13828" max="13828" width="6.25" style="16" customWidth="1"/>
    <col min="13829" max="13829" width="3.125" style="16" customWidth="1"/>
    <col min="13830" max="13830" width="6.125" style="16" customWidth="1"/>
    <col min="13831" max="13831" width="8.375" style="16" customWidth="1"/>
    <col min="13832" max="13832" width="8.875" style="16" customWidth="1"/>
    <col min="13833" max="13833" width="9.875" style="16" customWidth="1"/>
    <col min="13834" max="13834" width="8.375" style="16" customWidth="1"/>
    <col min="13835" max="13835" width="0.875" style="16" customWidth="1"/>
    <col min="13836" max="13836" width="9" style="16" customWidth="1"/>
    <col min="13837" max="13837" width="9.625" style="16" customWidth="1"/>
    <col min="13838" max="13838" width="11" style="16" customWidth="1"/>
    <col min="13839" max="13839" width="11.125" style="16" customWidth="1"/>
    <col min="13840" max="14080" width="8" style="16" customWidth="1"/>
    <col min="14081" max="14081" width="5.25" style="16" customWidth="1"/>
    <col min="14082" max="14082" width="8.625" style="16" customWidth="1"/>
    <col min="14083" max="14083" width="19.5" style="16" customWidth="1"/>
    <col min="14084" max="14084" width="6.25" style="16" customWidth="1"/>
    <col min="14085" max="14085" width="3.125" style="16" customWidth="1"/>
    <col min="14086" max="14086" width="6.125" style="16" customWidth="1"/>
    <col min="14087" max="14087" width="8.375" style="16" customWidth="1"/>
    <col min="14088" max="14088" width="8.875" style="16" customWidth="1"/>
    <col min="14089" max="14089" width="9.875" style="16" customWidth="1"/>
    <col min="14090" max="14090" width="8.375" style="16" customWidth="1"/>
    <col min="14091" max="14091" width="0.875" style="16" customWidth="1"/>
    <col min="14092" max="14092" width="9" style="16" customWidth="1"/>
    <col min="14093" max="14093" width="9.625" style="16" customWidth="1"/>
    <col min="14094" max="14094" width="11" style="16" customWidth="1"/>
    <col min="14095" max="14095" width="11.125" style="16" customWidth="1"/>
    <col min="14096" max="14336" width="8" style="16" customWidth="1"/>
    <col min="14337" max="14337" width="5.25" style="16" customWidth="1"/>
    <col min="14338" max="14338" width="8.625" style="16" customWidth="1"/>
    <col min="14339" max="14339" width="19.5" style="16" customWidth="1"/>
    <col min="14340" max="14340" width="6.25" style="16" customWidth="1"/>
    <col min="14341" max="14341" width="3.125" style="16" customWidth="1"/>
    <col min="14342" max="14342" width="6.125" style="16" customWidth="1"/>
    <col min="14343" max="14343" width="8.375" style="16" customWidth="1"/>
    <col min="14344" max="14344" width="8.875" style="16" customWidth="1"/>
    <col min="14345" max="14345" width="9.875" style="16" customWidth="1"/>
    <col min="14346" max="14346" width="8.375" style="16" customWidth="1"/>
    <col min="14347" max="14347" width="0.875" style="16" customWidth="1"/>
    <col min="14348" max="14348" width="9" style="16" customWidth="1"/>
    <col min="14349" max="14349" width="9.625" style="16" customWidth="1"/>
    <col min="14350" max="14350" width="11" style="16" customWidth="1"/>
    <col min="14351" max="14351" width="11.125" style="16" customWidth="1"/>
    <col min="14352" max="14592" width="8" style="16" customWidth="1"/>
    <col min="14593" max="14593" width="5.25" style="16" customWidth="1"/>
    <col min="14594" max="14594" width="8.625" style="16" customWidth="1"/>
    <col min="14595" max="14595" width="19.5" style="16" customWidth="1"/>
    <col min="14596" max="14596" width="6.25" style="16" customWidth="1"/>
    <col min="14597" max="14597" width="3.125" style="16" customWidth="1"/>
    <col min="14598" max="14598" width="6.125" style="16" customWidth="1"/>
    <col min="14599" max="14599" width="8.375" style="16" customWidth="1"/>
    <col min="14600" max="14600" width="8.875" style="16" customWidth="1"/>
    <col min="14601" max="14601" width="9.875" style="16" customWidth="1"/>
    <col min="14602" max="14602" width="8.375" style="16" customWidth="1"/>
    <col min="14603" max="14603" width="0.875" style="16" customWidth="1"/>
    <col min="14604" max="14604" width="9" style="16" customWidth="1"/>
    <col min="14605" max="14605" width="9.625" style="16" customWidth="1"/>
    <col min="14606" max="14606" width="11" style="16" customWidth="1"/>
    <col min="14607" max="14607" width="11.125" style="16" customWidth="1"/>
    <col min="14608" max="14848" width="8" style="16" customWidth="1"/>
    <col min="14849" max="14849" width="5.25" style="16" customWidth="1"/>
    <col min="14850" max="14850" width="8.625" style="16" customWidth="1"/>
    <col min="14851" max="14851" width="19.5" style="16" customWidth="1"/>
    <col min="14852" max="14852" width="6.25" style="16" customWidth="1"/>
    <col min="14853" max="14853" width="3.125" style="16" customWidth="1"/>
    <col min="14854" max="14854" width="6.125" style="16" customWidth="1"/>
    <col min="14855" max="14855" width="8.375" style="16" customWidth="1"/>
    <col min="14856" max="14856" width="8.875" style="16" customWidth="1"/>
    <col min="14857" max="14857" width="9.875" style="16" customWidth="1"/>
    <col min="14858" max="14858" width="8.375" style="16" customWidth="1"/>
    <col min="14859" max="14859" width="0.875" style="16" customWidth="1"/>
    <col min="14860" max="14860" width="9" style="16" customWidth="1"/>
    <col min="14861" max="14861" width="9.625" style="16" customWidth="1"/>
    <col min="14862" max="14862" width="11" style="16" customWidth="1"/>
    <col min="14863" max="14863" width="11.125" style="16" customWidth="1"/>
    <col min="14864" max="15104" width="8" style="16" customWidth="1"/>
    <col min="15105" max="15105" width="5.25" style="16" customWidth="1"/>
    <col min="15106" max="15106" width="8.625" style="16" customWidth="1"/>
    <col min="15107" max="15107" width="19.5" style="16" customWidth="1"/>
    <col min="15108" max="15108" width="6.25" style="16" customWidth="1"/>
    <col min="15109" max="15109" width="3.125" style="16" customWidth="1"/>
    <col min="15110" max="15110" width="6.125" style="16" customWidth="1"/>
    <col min="15111" max="15111" width="8.375" style="16" customWidth="1"/>
    <col min="15112" max="15112" width="8.875" style="16" customWidth="1"/>
    <col min="15113" max="15113" width="9.875" style="16" customWidth="1"/>
    <col min="15114" max="15114" width="8.375" style="16" customWidth="1"/>
    <col min="15115" max="15115" width="0.875" style="16" customWidth="1"/>
    <col min="15116" max="15116" width="9" style="16" customWidth="1"/>
    <col min="15117" max="15117" width="9.625" style="16" customWidth="1"/>
    <col min="15118" max="15118" width="11" style="16" customWidth="1"/>
    <col min="15119" max="15119" width="11.125" style="16" customWidth="1"/>
    <col min="15120" max="15360" width="8" style="16" customWidth="1"/>
    <col min="15361" max="15361" width="5.25" style="16" customWidth="1"/>
    <col min="15362" max="15362" width="8.625" style="16" customWidth="1"/>
    <col min="15363" max="15363" width="19.5" style="16" customWidth="1"/>
    <col min="15364" max="15364" width="6.25" style="16" customWidth="1"/>
    <col min="15365" max="15365" width="3.125" style="16" customWidth="1"/>
    <col min="15366" max="15366" width="6.125" style="16" customWidth="1"/>
    <col min="15367" max="15367" width="8.375" style="16" customWidth="1"/>
    <col min="15368" max="15368" width="8.875" style="16" customWidth="1"/>
    <col min="15369" max="15369" width="9.875" style="16" customWidth="1"/>
    <col min="15370" max="15370" width="8.375" style="16" customWidth="1"/>
    <col min="15371" max="15371" width="0.875" style="16" customWidth="1"/>
    <col min="15372" max="15372" width="9" style="16" customWidth="1"/>
    <col min="15373" max="15373" width="9.625" style="16" customWidth="1"/>
    <col min="15374" max="15374" width="11" style="16" customWidth="1"/>
    <col min="15375" max="15375" width="11.125" style="16" customWidth="1"/>
    <col min="15376" max="15616" width="8" style="16" customWidth="1"/>
    <col min="15617" max="15617" width="5.25" style="16" customWidth="1"/>
    <col min="15618" max="15618" width="8.625" style="16" customWidth="1"/>
    <col min="15619" max="15619" width="19.5" style="16" customWidth="1"/>
    <col min="15620" max="15620" width="6.25" style="16" customWidth="1"/>
    <col min="15621" max="15621" width="3.125" style="16" customWidth="1"/>
    <col min="15622" max="15622" width="6.125" style="16" customWidth="1"/>
    <col min="15623" max="15623" width="8.375" style="16" customWidth="1"/>
    <col min="15624" max="15624" width="8.875" style="16" customWidth="1"/>
    <col min="15625" max="15625" width="9.875" style="16" customWidth="1"/>
    <col min="15626" max="15626" width="8.375" style="16" customWidth="1"/>
    <col min="15627" max="15627" width="0.875" style="16" customWidth="1"/>
    <col min="15628" max="15628" width="9" style="16" customWidth="1"/>
    <col min="15629" max="15629" width="9.625" style="16" customWidth="1"/>
    <col min="15630" max="15630" width="11" style="16" customWidth="1"/>
    <col min="15631" max="15631" width="11.125" style="16" customWidth="1"/>
    <col min="15632" max="15872" width="8" style="16" customWidth="1"/>
    <col min="15873" max="15873" width="5.25" style="16" customWidth="1"/>
    <col min="15874" max="15874" width="8.625" style="16" customWidth="1"/>
    <col min="15875" max="15875" width="19.5" style="16" customWidth="1"/>
    <col min="15876" max="15876" width="6.25" style="16" customWidth="1"/>
    <col min="15877" max="15877" width="3.125" style="16" customWidth="1"/>
    <col min="15878" max="15878" width="6.125" style="16" customWidth="1"/>
    <col min="15879" max="15879" width="8.375" style="16" customWidth="1"/>
    <col min="15880" max="15880" width="8.875" style="16" customWidth="1"/>
    <col min="15881" max="15881" width="9.875" style="16" customWidth="1"/>
    <col min="15882" max="15882" width="8.375" style="16" customWidth="1"/>
    <col min="15883" max="15883" width="0.875" style="16" customWidth="1"/>
    <col min="15884" max="15884" width="9" style="16" customWidth="1"/>
    <col min="15885" max="15885" width="9.625" style="16" customWidth="1"/>
    <col min="15886" max="15886" width="11" style="16" customWidth="1"/>
    <col min="15887" max="15887" width="11.125" style="16" customWidth="1"/>
    <col min="15888" max="16128" width="8" style="16" customWidth="1"/>
    <col min="16129" max="16129" width="5.25" style="16" customWidth="1"/>
    <col min="16130" max="16130" width="8.625" style="16" customWidth="1"/>
    <col min="16131" max="16131" width="19.5" style="16" customWidth="1"/>
    <col min="16132" max="16132" width="6.25" style="16" customWidth="1"/>
    <col min="16133" max="16133" width="3.125" style="16" customWidth="1"/>
    <col min="16134" max="16134" width="6.125" style="16" customWidth="1"/>
    <col min="16135" max="16135" width="8.375" style="16" customWidth="1"/>
    <col min="16136" max="16136" width="8.875" style="16" customWidth="1"/>
    <col min="16137" max="16137" width="9.875" style="16" customWidth="1"/>
    <col min="16138" max="16138" width="8.375" style="16" customWidth="1"/>
    <col min="16139" max="16139" width="0.875" style="16" customWidth="1"/>
    <col min="16140" max="16140" width="9" style="16" customWidth="1"/>
    <col min="16141" max="16141" width="9.625" style="16" customWidth="1"/>
    <col min="16142" max="16142" width="11" style="16" customWidth="1"/>
    <col min="16143" max="16143" width="11.125" style="16" customWidth="1"/>
    <col min="16144" max="16384" width="8" style="16" customWidth="1"/>
  </cols>
  <sheetData>
    <row r="1" spans="1:15" ht="35.25" customHeight="1">
      <c r="A1" s="340" t="s">
        <v>291</v>
      </c>
      <c r="B1" s="340" t="s">
        <v>110</v>
      </c>
      <c r="C1" s="340" t="s">
        <v>110</v>
      </c>
      <c r="D1" s="340" t="s">
        <v>110</v>
      </c>
      <c r="E1" s="340" t="s">
        <v>110</v>
      </c>
      <c r="F1" s="340" t="s">
        <v>110</v>
      </c>
      <c r="G1" s="340" t="s">
        <v>110</v>
      </c>
      <c r="H1" s="340" t="s">
        <v>110</v>
      </c>
      <c r="I1" s="340" t="s">
        <v>110</v>
      </c>
      <c r="J1" s="340" t="s">
        <v>110</v>
      </c>
      <c r="K1" s="340" t="s">
        <v>110</v>
      </c>
      <c r="L1" s="340" t="s">
        <v>110</v>
      </c>
      <c r="M1" s="340" t="s">
        <v>110</v>
      </c>
      <c r="N1" s="340" t="s">
        <v>110</v>
      </c>
      <c r="O1" s="340" t="s">
        <v>110</v>
      </c>
    </row>
    <row r="2" spans="1:15" ht="29.25" customHeight="1" thickBot="1">
      <c r="A2" s="341" t="s">
        <v>714</v>
      </c>
      <c r="B2" s="341" t="s">
        <v>110</v>
      </c>
      <c r="C2" s="341" t="s">
        <v>110</v>
      </c>
      <c r="D2" s="341" t="s">
        <v>110</v>
      </c>
      <c r="E2" s="341" t="s">
        <v>110</v>
      </c>
      <c r="F2" s="341" t="s">
        <v>110</v>
      </c>
      <c r="G2" s="341" t="s">
        <v>110</v>
      </c>
      <c r="H2" s="341" t="s">
        <v>110</v>
      </c>
      <c r="I2" s="341" t="s">
        <v>110</v>
      </c>
      <c r="J2" s="341" t="s">
        <v>110</v>
      </c>
      <c r="K2" s="334" t="s">
        <v>634</v>
      </c>
      <c r="L2" s="334" t="s">
        <v>110</v>
      </c>
      <c r="M2" s="334" t="s">
        <v>110</v>
      </c>
      <c r="N2" s="334" t="s">
        <v>110</v>
      </c>
      <c r="O2" s="334" t="s">
        <v>110</v>
      </c>
    </row>
    <row r="3" spans="1:15" ht="19.5" customHeight="1">
      <c r="A3" s="342" t="s">
        <v>112</v>
      </c>
      <c r="B3" s="335" t="s">
        <v>292</v>
      </c>
      <c r="C3" s="335" t="s">
        <v>293</v>
      </c>
      <c r="D3" s="335" t="s">
        <v>294</v>
      </c>
      <c r="E3" s="335" t="s">
        <v>110</v>
      </c>
      <c r="F3" s="335" t="s">
        <v>110</v>
      </c>
      <c r="G3" s="335" t="s">
        <v>295</v>
      </c>
      <c r="H3" s="335" t="s">
        <v>110</v>
      </c>
      <c r="I3" s="335" t="s">
        <v>296</v>
      </c>
      <c r="J3" s="335" t="s">
        <v>110</v>
      </c>
      <c r="K3" s="335" t="s">
        <v>110</v>
      </c>
      <c r="L3" s="335" t="s">
        <v>110</v>
      </c>
      <c r="M3" s="335" t="s">
        <v>110</v>
      </c>
      <c r="N3" s="335" t="s">
        <v>110</v>
      </c>
      <c r="O3" s="345" t="s">
        <v>297</v>
      </c>
    </row>
    <row r="4" spans="1:15" ht="18" customHeight="1">
      <c r="A4" s="343" t="s">
        <v>110</v>
      </c>
      <c r="B4" s="344" t="s">
        <v>110</v>
      </c>
      <c r="C4" s="344" t="s">
        <v>110</v>
      </c>
      <c r="D4" s="257" t="s">
        <v>133</v>
      </c>
      <c r="E4" s="344" t="s">
        <v>134</v>
      </c>
      <c r="F4" s="344" t="s">
        <v>110</v>
      </c>
      <c r="G4" s="257" t="s">
        <v>298</v>
      </c>
      <c r="H4" s="257" t="s">
        <v>299</v>
      </c>
      <c r="I4" s="257" t="s">
        <v>300</v>
      </c>
      <c r="J4" s="344" t="s">
        <v>301</v>
      </c>
      <c r="K4" s="344" t="s">
        <v>110</v>
      </c>
      <c r="L4" s="257" t="s">
        <v>302</v>
      </c>
      <c r="M4" s="257" t="s">
        <v>303</v>
      </c>
      <c r="N4" s="257" t="s">
        <v>304</v>
      </c>
      <c r="O4" s="346" t="s">
        <v>110</v>
      </c>
    </row>
    <row r="5" spans="1:15" ht="16.5" customHeight="1">
      <c r="A5" s="248" t="s">
        <v>110</v>
      </c>
      <c r="B5" s="252" t="s">
        <v>110</v>
      </c>
      <c r="C5" s="259" t="s">
        <v>744</v>
      </c>
      <c r="D5" s="252" t="s">
        <v>110</v>
      </c>
      <c r="E5" s="347" t="s">
        <v>110</v>
      </c>
      <c r="F5" s="347" t="s">
        <v>110</v>
      </c>
      <c r="G5" s="253" t="s">
        <v>110</v>
      </c>
      <c r="H5" s="253">
        <v>260394.51</v>
      </c>
      <c r="I5" s="253">
        <v>166272.04999999999</v>
      </c>
      <c r="J5" s="347" t="s">
        <v>110</v>
      </c>
      <c r="K5" s="347" t="s">
        <v>110</v>
      </c>
      <c r="L5" s="253">
        <v>94122.46</v>
      </c>
      <c r="M5" s="253" t="s">
        <v>110</v>
      </c>
      <c r="N5" s="253" t="s">
        <v>110</v>
      </c>
      <c r="O5" s="255">
        <v>2771.2008999999998</v>
      </c>
    </row>
    <row r="6" spans="1:15" ht="29.25" customHeight="1">
      <c r="A6" s="248">
        <v>1</v>
      </c>
      <c r="B6" s="252" t="s">
        <v>745</v>
      </c>
      <c r="C6" s="250" t="s">
        <v>746</v>
      </c>
      <c r="D6" s="252" t="s">
        <v>227</v>
      </c>
      <c r="E6" s="347">
        <v>10.452</v>
      </c>
      <c r="F6" s="347" t="s">
        <v>110</v>
      </c>
      <c r="G6" s="253">
        <v>3321.92</v>
      </c>
      <c r="H6" s="253">
        <v>34720.71</v>
      </c>
      <c r="I6" s="253">
        <v>3762.72</v>
      </c>
      <c r="J6" s="347" t="s">
        <v>110</v>
      </c>
      <c r="K6" s="347" t="s">
        <v>110</v>
      </c>
      <c r="L6" s="253">
        <v>30957.99</v>
      </c>
      <c r="M6" s="253" t="s">
        <v>110</v>
      </c>
      <c r="N6" s="253" t="s">
        <v>110</v>
      </c>
      <c r="O6" s="255">
        <v>62.712000000000003</v>
      </c>
    </row>
    <row r="7" spans="1:15" ht="29.25" customHeight="1">
      <c r="A7" s="248">
        <v>2</v>
      </c>
      <c r="B7" s="252" t="s">
        <v>747</v>
      </c>
      <c r="C7" s="250" t="s">
        <v>748</v>
      </c>
      <c r="D7" s="252" t="s">
        <v>136</v>
      </c>
      <c r="E7" s="347">
        <v>34.842700000000001</v>
      </c>
      <c r="F7" s="347" t="s">
        <v>110</v>
      </c>
      <c r="G7" s="253">
        <v>2188.39</v>
      </c>
      <c r="H7" s="253">
        <v>76249.42</v>
      </c>
      <c r="I7" s="253">
        <v>31504.77</v>
      </c>
      <c r="J7" s="347" t="s">
        <v>110</v>
      </c>
      <c r="K7" s="347" t="s">
        <v>110</v>
      </c>
      <c r="L7" s="253">
        <v>44744.65</v>
      </c>
      <c r="M7" s="253" t="s">
        <v>110</v>
      </c>
      <c r="N7" s="253" t="s">
        <v>110</v>
      </c>
      <c r="O7" s="255">
        <v>525.07950000000005</v>
      </c>
    </row>
    <row r="8" spans="1:15" ht="18" customHeight="1">
      <c r="A8" s="248">
        <v>3</v>
      </c>
      <c r="B8" s="252" t="s">
        <v>749</v>
      </c>
      <c r="C8" s="250" t="s">
        <v>750</v>
      </c>
      <c r="D8" s="252" t="s">
        <v>136</v>
      </c>
      <c r="E8" s="347">
        <v>104.5274</v>
      </c>
      <c r="F8" s="347" t="s">
        <v>110</v>
      </c>
      <c r="G8" s="253">
        <v>812.82</v>
      </c>
      <c r="H8" s="253">
        <v>84961.96</v>
      </c>
      <c r="I8" s="253">
        <v>66542.14</v>
      </c>
      <c r="J8" s="347" t="s">
        <v>110</v>
      </c>
      <c r="K8" s="347" t="s">
        <v>110</v>
      </c>
      <c r="L8" s="253">
        <v>18419.82</v>
      </c>
      <c r="M8" s="253" t="s">
        <v>110</v>
      </c>
      <c r="N8" s="253" t="s">
        <v>110</v>
      </c>
      <c r="O8" s="255">
        <v>1109.0356999999999</v>
      </c>
    </row>
    <row r="9" spans="1:15" ht="18" customHeight="1">
      <c r="A9" s="248">
        <v>4</v>
      </c>
      <c r="B9" s="252" t="s">
        <v>751</v>
      </c>
      <c r="C9" s="250" t="s">
        <v>752</v>
      </c>
      <c r="D9" s="252" t="s">
        <v>137</v>
      </c>
      <c r="E9" s="347">
        <v>341.07100000000003</v>
      </c>
      <c r="F9" s="347" t="s">
        <v>110</v>
      </c>
      <c r="G9" s="253">
        <v>189</v>
      </c>
      <c r="H9" s="253">
        <v>64462.42</v>
      </c>
      <c r="I9" s="253">
        <v>64462.42</v>
      </c>
      <c r="J9" s="347" t="s">
        <v>110</v>
      </c>
      <c r="K9" s="347" t="s">
        <v>110</v>
      </c>
      <c r="L9" s="253" t="s">
        <v>110</v>
      </c>
      <c r="M9" s="253" t="s">
        <v>110</v>
      </c>
      <c r="N9" s="253" t="s">
        <v>110</v>
      </c>
      <c r="O9" s="255">
        <v>1074.3737000000001</v>
      </c>
    </row>
    <row r="10" spans="1:15" ht="29.25" customHeight="1">
      <c r="A10" s="248" t="s">
        <v>110</v>
      </c>
      <c r="B10" s="252" t="s">
        <v>110</v>
      </c>
      <c r="C10" s="259" t="s">
        <v>139</v>
      </c>
      <c r="D10" s="252" t="s">
        <v>110</v>
      </c>
      <c r="E10" s="347" t="s">
        <v>110</v>
      </c>
      <c r="F10" s="347" t="s">
        <v>110</v>
      </c>
      <c r="G10" s="253" t="s">
        <v>110</v>
      </c>
      <c r="H10" s="253">
        <v>10882832.630000001</v>
      </c>
      <c r="I10" s="253">
        <v>2793151.94</v>
      </c>
      <c r="J10" s="347">
        <v>6472829.9500000002</v>
      </c>
      <c r="K10" s="347" t="s">
        <v>110</v>
      </c>
      <c r="L10" s="253">
        <v>1616850.74</v>
      </c>
      <c r="M10" s="253" t="s">
        <v>110</v>
      </c>
      <c r="N10" s="253" t="s">
        <v>110</v>
      </c>
      <c r="O10" s="255">
        <v>33527.754500000003</v>
      </c>
    </row>
    <row r="11" spans="1:15" ht="29.25" customHeight="1">
      <c r="A11" s="248">
        <v>1</v>
      </c>
      <c r="B11" s="252" t="s">
        <v>753</v>
      </c>
      <c r="C11" s="250" t="s">
        <v>754</v>
      </c>
      <c r="D11" s="252" t="s">
        <v>142</v>
      </c>
      <c r="E11" s="347">
        <v>1580.1859999999999</v>
      </c>
      <c r="F11" s="347" t="s">
        <v>110</v>
      </c>
      <c r="G11" s="253">
        <v>1673.77</v>
      </c>
      <c r="H11" s="253">
        <v>2644867.92</v>
      </c>
      <c r="I11" s="253">
        <v>1184886.67</v>
      </c>
      <c r="J11" s="347">
        <v>183712.42</v>
      </c>
      <c r="K11" s="347" t="s">
        <v>110</v>
      </c>
      <c r="L11" s="253">
        <v>1276268.83</v>
      </c>
      <c r="M11" s="253" t="s">
        <v>110</v>
      </c>
      <c r="N11" s="253" t="s">
        <v>110</v>
      </c>
      <c r="O11" s="255">
        <v>14379.6926</v>
      </c>
    </row>
    <row r="12" spans="1:15" ht="29.25" customHeight="1">
      <c r="A12" s="248">
        <v>2</v>
      </c>
      <c r="B12" s="252" t="s">
        <v>755</v>
      </c>
      <c r="C12" s="250" t="s">
        <v>756</v>
      </c>
      <c r="D12" s="252" t="s">
        <v>143</v>
      </c>
      <c r="E12" s="347">
        <v>2149.05296</v>
      </c>
      <c r="F12" s="347" t="s">
        <v>110</v>
      </c>
      <c r="G12" s="253">
        <v>3833.3</v>
      </c>
      <c r="H12" s="253">
        <v>8237964.71</v>
      </c>
      <c r="I12" s="253">
        <v>1608265.27</v>
      </c>
      <c r="J12" s="347">
        <v>6289117.5300000003</v>
      </c>
      <c r="K12" s="347" t="s">
        <v>110</v>
      </c>
      <c r="L12" s="253">
        <v>340581.91</v>
      </c>
      <c r="M12" s="253" t="s">
        <v>110</v>
      </c>
      <c r="N12" s="253" t="s">
        <v>110</v>
      </c>
      <c r="O12" s="255">
        <v>19148.061900000001</v>
      </c>
    </row>
    <row r="13" spans="1:15" ht="29.25" customHeight="1">
      <c r="A13" s="248" t="s">
        <v>110</v>
      </c>
      <c r="B13" s="252" t="s">
        <v>110</v>
      </c>
      <c r="C13" s="259" t="s">
        <v>141</v>
      </c>
      <c r="D13" s="252" t="s">
        <v>110</v>
      </c>
      <c r="E13" s="347" t="s">
        <v>110</v>
      </c>
      <c r="F13" s="347" t="s">
        <v>110</v>
      </c>
      <c r="G13" s="253" t="s">
        <v>110</v>
      </c>
      <c r="H13" s="253">
        <v>5800214.5499999998</v>
      </c>
      <c r="I13" s="253">
        <v>915314.92</v>
      </c>
      <c r="J13" s="347">
        <v>4772470.41</v>
      </c>
      <c r="K13" s="347" t="s">
        <v>110</v>
      </c>
      <c r="L13" s="253">
        <v>112429.19</v>
      </c>
      <c r="M13" s="253" t="s">
        <v>110</v>
      </c>
      <c r="N13" s="253" t="s">
        <v>110</v>
      </c>
      <c r="O13" s="255">
        <v>11526.7279</v>
      </c>
    </row>
    <row r="14" spans="1:15" ht="29.25" customHeight="1">
      <c r="A14" s="248">
        <v>1</v>
      </c>
      <c r="B14" s="252" t="s">
        <v>757</v>
      </c>
      <c r="C14" s="250" t="s">
        <v>758</v>
      </c>
      <c r="D14" s="252" t="s">
        <v>142</v>
      </c>
      <c r="E14" s="347">
        <v>298.06</v>
      </c>
      <c r="F14" s="347" t="s">
        <v>110</v>
      </c>
      <c r="G14" s="253">
        <v>3769.58</v>
      </c>
      <c r="H14" s="253">
        <v>1123561.01</v>
      </c>
      <c r="I14" s="253">
        <v>120654.69</v>
      </c>
      <c r="J14" s="347">
        <v>1002906.33</v>
      </c>
      <c r="K14" s="347" t="s">
        <v>110</v>
      </c>
      <c r="L14" s="253" t="s">
        <v>110</v>
      </c>
      <c r="M14" s="253" t="s">
        <v>110</v>
      </c>
      <c r="N14" s="253" t="s">
        <v>110</v>
      </c>
      <c r="O14" s="255">
        <v>1621.4464</v>
      </c>
    </row>
    <row r="15" spans="1:15" ht="29.25" customHeight="1">
      <c r="A15" s="248">
        <v>2</v>
      </c>
      <c r="B15" s="252" t="s">
        <v>755</v>
      </c>
      <c r="C15" s="250" t="s">
        <v>756</v>
      </c>
      <c r="D15" s="252" t="s">
        <v>143</v>
      </c>
      <c r="E15" s="347">
        <v>119.224</v>
      </c>
      <c r="F15" s="347" t="s">
        <v>110</v>
      </c>
      <c r="G15" s="253">
        <v>3833.3</v>
      </c>
      <c r="H15" s="253">
        <v>457021.36</v>
      </c>
      <c r="I15" s="253">
        <v>89222.47</v>
      </c>
      <c r="J15" s="347">
        <v>348904.27</v>
      </c>
      <c r="K15" s="347" t="s">
        <v>110</v>
      </c>
      <c r="L15" s="253">
        <v>18894.62</v>
      </c>
      <c r="M15" s="253" t="s">
        <v>110</v>
      </c>
      <c r="N15" s="253" t="s">
        <v>110</v>
      </c>
      <c r="O15" s="255">
        <v>1062.2858000000001</v>
      </c>
    </row>
    <row r="16" spans="1:15" ht="18" customHeight="1">
      <c r="A16" s="248">
        <v>3</v>
      </c>
      <c r="B16" s="252" t="s">
        <v>759</v>
      </c>
      <c r="C16" s="250" t="s">
        <v>760</v>
      </c>
      <c r="D16" s="252" t="s">
        <v>142</v>
      </c>
      <c r="E16" s="347">
        <v>36.979999999999997</v>
      </c>
      <c r="F16" s="347" t="s">
        <v>110</v>
      </c>
      <c r="G16" s="253">
        <v>4136.26</v>
      </c>
      <c r="H16" s="253">
        <v>152958.89000000001</v>
      </c>
      <c r="I16" s="253">
        <v>28063.38</v>
      </c>
      <c r="J16" s="347">
        <v>124895.51</v>
      </c>
      <c r="K16" s="347" t="s">
        <v>110</v>
      </c>
      <c r="L16" s="253" t="s">
        <v>110</v>
      </c>
      <c r="M16" s="253" t="s">
        <v>110</v>
      </c>
      <c r="N16" s="253" t="s">
        <v>110</v>
      </c>
      <c r="O16" s="255">
        <v>377.19600000000003</v>
      </c>
    </row>
    <row r="17" spans="1:15" ht="29.25" customHeight="1">
      <c r="A17" s="248">
        <v>4</v>
      </c>
      <c r="B17" s="252" t="s">
        <v>755</v>
      </c>
      <c r="C17" s="250" t="s">
        <v>756</v>
      </c>
      <c r="D17" s="252" t="s">
        <v>143</v>
      </c>
      <c r="E17" s="347">
        <v>61.386800000000001</v>
      </c>
      <c r="F17" s="347" t="s">
        <v>110</v>
      </c>
      <c r="G17" s="253">
        <v>3833.3</v>
      </c>
      <c r="H17" s="253">
        <v>235314.02</v>
      </c>
      <c r="I17" s="253">
        <v>45939.43</v>
      </c>
      <c r="J17" s="347">
        <v>179646.01</v>
      </c>
      <c r="K17" s="347" t="s">
        <v>110</v>
      </c>
      <c r="L17" s="253">
        <v>9728.58</v>
      </c>
      <c r="M17" s="253" t="s">
        <v>110</v>
      </c>
      <c r="N17" s="253" t="s">
        <v>110</v>
      </c>
      <c r="O17" s="255">
        <v>546.95640000000003</v>
      </c>
    </row>
    <row r="18" spans="1:15" ht="18" customHeight="1">
      <c r="A18" s="248">
        <v>5</v>
      </c>
      <c r="B18" s="252" t="s">
        <v>761</v>
      </c>
      <c r="C18" s="250" t="s">
        <v>762</v>
      </c>
      <c r="D18" s="252" t="s">
        <v>142</v>
      </c>
      <c r="E18" s="347">
        <v>50.36</v>
      </c>
      <c r="F18" s="347" t="s">
        <v>110</v>
      </c>
      <c r="G18" s="253">
        <v>3740.06</v>
      </c>
      <c r="H18" s="253">
        <v>188349.42</v>
      </c>
      <c r="I18" s="253">
        <v>17464.849999999999</v>
      </c>
      <c r="J18" s="347">
        <v>170884.57</v>
      </c>
      <c r="K18" s="347" t="s">
        <v>110</v>
      </c>
      <c r="L18" s="253" t="s">
        <v>110</v>
      </c>
      <c r="M18" s="253" t="s">
        <v>110</v>
      </c>
      <c r="N18" s="253" t="s">
        <v>110</v>
      </c>
      <c r="O18" s="255">
        <v>234.67760000000001</v>
      </c>
    </row>
    <row r="19" spans="1:15" ht="29.25" customHeight="1" thickBot="1">
      <c r="A19" s="249">
        <v>6</v>
      </c>
      <c r="B19" s="258" t="s">
        <v>755</v>
      </c>
      <c r="C19" s="251" t="s">
        <v>756</v>
      </c>
      <c r="D19" s="258" t="s">
        <v>143</v>
      </c>
      <c r="E19" s="348">
        <v>59.928400000000003</v>
      </c>
      <c r="F19" s="348" t="s">
        <v>110</v>
      </c>
      <c r="G19" s="254">
        <v>3833.3</v>
      </c>
      <c r="H19" s="254">
        <v>229723.54</v>
      </c>
      <c r="I19" s="254">
        <v>44848.02</v>
      </c>
      <c r="J19" s="348">
        <v>175378.07</v>
      </c>
      <c r="K19" s="348" t="s">
        <v>110</v>
      </c>
      <c r="L19" s="254">
        <v>9497.4500000000007</v>
      </c>
      <c r="M19" s="254" t="s">
        <v>110</v>
      </c>
      <c r="N19" s="254" t="s">
        <v>110</v>
      </c>
      <c r="O19" s="256">
        <v>533.96199999999999</v>
      </c>
    </row>
    <row r="20" spans="1:15" ht="16.5" customHeight="1">
      <c r="A20" s="341" t="s">
        <v>288</v>
      </c>
      <c r="B20" s="341" t="s">
        <v>110</v>
      </c>
      <c r="C20" s="341" t="s">
        <v>110</v>
      </c>
      <c r="D20" s="341" t="s">
        <v>110</v>
      </c>
      <c r="E20" s="341" t="s">
        <v>110</v>
      </c>
      <c r="F20" s="338" t="s">
        <v>289</v>
      </c>
      <c r="G20" s="338" t="s">
        <v>110</v>
      </c>
      <c r="H20" s="338" t="s">
        <v>110</v>
      </c>
      <c r="I20" s="338" t="s">
        <v>110</v>
      </c>
      <c r="J20" s="338" t="s">
        <v>110</v>
      </c>
      <c r="K20" s="334" t="s">
        <v>290</v>
      </c>
      <c r="L20" s="334" t="s">
        <v>110</v>
      </c>
      <c r="M20" s="334" t="s">
        <v>110</v>
      </c>
      <c r="N20" s="334" t="s">
        <v>110</v>
      </c>
      <c r="O20" s="334" t="s">
        <v>110</v>
      </c>
    </row>
    <row r="21" spans="1:15" ht="35.25" customHeight="1">
      <c r="A21" s="340" t="s">
        <v>291</v>
      </c>
      <c r="B21" s="340" t="s">
        <v>110</v>
      </c>
      <c r="C21" s="340" t="s">
        <v>110</v>
      </c>
      <c r="D21" s="340" t="s">
        <v>110</v>
      </c>
      <c r="E21" s="340" t="s">
        <v>110</v>
      </c>
      <c r="F21" s="340" t="s">
        <v>110</v>
      </c>
      <c r="G21" s="340" t="s">
        <v>110</v>
      </c>
      <c r="H21" s="340" t="s">
        <v>110</v>
      </c>
      <c r="I21" s="340" t="s">
        <v>110</v>
      </c>
      <c r="J21" s="340" t="s">
        <v>110</v>
      </c>
      <c r="K21" s="340" t="s">
        <v>110</v>
      </c>
      <c r="L21" s="340" t="s">
        <v>110</v>
      </c>
      <c r="M21" s="340" t="s">
        <v>110</v>
      </c>
      <c r="N21" s="340" t="s">
        <v>110</v>
      </c>
      <c r="O21" s="340" t="s">
        <v>110</v>
      </c>
    </row>
    <row r="22" spans="1:15" ht="29.25" customHeight="1" thickBot="1">
      <c r="A22" s="341" t="s">
        <v>714</v>
      </c>
      <c r="B22" s="341" t="s">
        <v>110</v>
      </c>
      <c r="C22" s="341" t="s">
        <v>110</v>
      </c>
      <c r="D22" s="341" t="s">
        <v>110</v>
      </c>
      <c r="E22" s="341" t="s">
        <v>110</v>
      </c>
      <c r="F22" s="341" t="s">
        <v>110</v>
      </c>
      <c r="G22" s="341" t="s">
        <v>110</v>
      </c>
      <c r="H22" s="341" t="s">
        <v>110</v>
      </c>
      <c r="I22" s="341" t="s">
        <v>110</v>
      </c>
      <c r="J22" s="341" t="s">
        <v>110</v>
      </c>
      <c r="K22" s="334" t="s">
        <v>651</v>
      </c>
      <c r="L22" s="334" t="s">
        <v>110</v>
      </c>
      <c r="M22" s="334" t="s">
        <v>110</v>
      </c>
      <c r="N22" s="334" t="s">
        <v>110</v>
      </c>
      <c r="O22" s="334" t="s">
        <v>110</v>
      </c>
    </row>
    <row r="23" spans="1:15" ht="19.5" customHeight="1">
      <c r="A23" s="342" t="s">
        <v>112</v>
      </c>
      <c r="B23" s="335" t="s">
        <v>292</v>
      </c>
      <c r="C23" s="335" t="s">
        <v>293</v>
      </c>
      <c r="D23" s="335" t="s">
        <v>294</v>
      </c>
      <c r="E23" s="335" t="s">
        <v>110</v>
      </c>
      <c r="F23" s="335" t="s">
        <v>110</v>
      </c>
      <c r="G23" s="335" t="s">
        <v>295</v>
      </c>
      <c r="H23" s="335" t="s">
        <v>110</v>
      </c>
      <c r="I23" s="335" t="s">
        <v>296</v>
      </c>
      <c r="J23" s="335" t="s">
        <v>110</v>
      </c>
      <c r="K23" s="335" t="s">
        <v>110</v>
      </c>
      <c r="L23" s="335" t="s">
        <v>110</v>
      </c>
      <c r="M23" s="335" t="s">
        <v>110</v>
      </c>
      <c r="N23" s="335" t="s">
        <v>110</v>
      </c>
      <c r="O23" s="345" t="s">
        <v>297</v>
      </c>
    </row>
    <row r="24" spans="1:15" ht="18" customHeight="1">
      <c r="A24" s="343" t="s">
        <v>110</v>
      </c>
      <c r="B24" s="344" t="s">
        <v>110</v>
      </c>
      <c r="C24" s="344" t="s">
        <v>110</v>
      </c>
      <c r="D24" s="257" t="s">
        <v>133</v>
      </c>
      <c r="E24" s="344" t="s">
        <v>134</v>
      </c>
      <c r="F24" s="344" t="s">
        <v>110</v>
      </c>
      <c r="G24" s="257" t="s">
        <v>298</v>
      </c>
      <c r="H24" s="257" t="s">
        <v>299</v>
      </c>
      <c r="I24" s="257" t="s">
        <v>300</v>
      </c>
      <c r="J24" s="344" t="s">
        <v>301</v>
      </c>
      <c r="K24" s="344" t="s">
        <v>110</v>
      </c>
      <c r="L24" s="257" t="s">
        <v>302</v>
      </c>
      <c r="M24" s="257" t="s">
        <v>303</v>
      </c>
      <c r="N24" s="257" t="s">
        <v>304</v>
      </c>
      <c r="O24" s="346" t="s">
        <v>110</v>
      </c>
    </row>
    <row r="25" spans="1:15" ht="29.25" customHeight="1">
      <c r="A25" s="248">
        <v>7</v>
      </c>
      <c r="B25" s="252" t="s">
        <v>763</v>
      </c>
      <c r="C25" s="250" t="s">
        <v>764</v>
      </c>
      <c r="D25" s="252" t="s">
        <v>142</v>
      </c>
      <c r="E25" s="347">
        <v>115.58799999999999</v>
      </c>
      <c r="F25" s="347" t="s">
        <v>110</v>
      </c>
      <c r="G25" s="253">
        <v>3892.27</v>
      </c>
      <c r="H25" s="253">
        <v>449899.7</v>
      </c>
      <c r="I25" s="253">
        <v>58478.28</v>
      </c>
      <c r="J25" s="347">
        <v>391421.42</v>
      </c>
      <c r="K25" s="347" t="s">
        <v>110</v>
      </c>
      <c r="L25" s="253" t="s">
        <v>110</v>
      </c>
      <c r="M25" s="253" t="s">
        <v>110</v>
      </c>
      <c r="N25" s="253" t="s">
        <v>110</v>
      </c>
      <c r="O25" s="255">
        <v>785.99839999999995</v>
      </c>
    </row>
    <row r="26" spans="1:15" ht="29.25" customHeight="1">
      <c r="A26" s="248">
        <v>8</v>
      </c>
      <c r="B26" s="252" t="s">
        <v>755</v>
      </c>
      <c r="C26" s="250" t="s">
        <v>756</v>
      </c>
      <c r="D26" s="252" t="s">
        <v>143</v>
      </c>
      <c r="E26" s="347">
        <v>165.29084</v>
      </c>
      <c r="F26" s="347" t="s">
        <v>110</v>
      </c>
      <c r="G26" s="253">
        <v>3833.3</v>
      </c>
      <c r="H26" s="253">
        <v>633609.38</v>
      </c>
      <c r="I26" s="253">
        <v>123697.05</v>
      </c>
      <c r="J26" s="347">
        <v>483717.03</v>
      </c>
      <c r="K26" s="347" t="s">
        <v>110</v>
      </c>
      <c r="L26" s="253">
        <v>26195.29</v>
      </c>
      <c r="M26" s="253" t="s">
        <v>110</v>
      </c>
      <c r="N26" s="253" t="s">
        <v>110</v>
      </c>
      <c r="O26" s="255">
        <v>1472.7414000000001</v>
      </c>
    </row>
    <row r="27" spans="1:15" ht="18" customHeight="1">
      <c r="A27" s="248">
        <v>9</v>
      </c>
      <c r="B27" s="252" t="s">
        <v>765</v>
      </c>
      <c r="C27" s="250" t="s">
        <v>766</v>
      </c>
      <c r="D27" s="252" t="s">
        <v>142</v>
      </c>
      <c r="E27" s="347">
        <v>85.36</v>
      </c>
      <c r="F27" s="347" t="s">
        <v>110</v>
      </c>
      <c r="G27" s="253">
        <v>3835.85</v>
      </c>
      <c r="H27" s="253">
        <v>327428.15999999997</v>
      </c>
      <c r="I27" s="253">
        <v>36264.339999999997</v>
      </c>
      <c r="J27" s="347">
        <v>291163.81</v>
      </c>
      <c r="K27" s="347" t="s">
        <v>110</v>
      </c>
      <c r="L27" s="253" t="s">
        <v>110</v>
      </c>
      <c r="M27" s="253" t="s">
        <v>110</v>
      </c>
      <c r="N27" s="253" t="s">
        <v>110</v>
      </c>
      <c r="O27" s="255">
        <v>487.40559999999999</v>
      </c>
    </row>
    <row r="28" spans="1:15" ht="29.25" customHeight="1">
      <c r="A28" s="248">
        <v>10</v>
      </c>
      <c r="B28" s="252" t="s">
        <v>755</v>
      </c>
      <c r="C28" s="250" t="s">
        <v>756</v>
      </c>
      <c r="D28" s="252" t="s">
        <v>143</v>
      </c>
      <c r="E28" s="347">
        <v>122.06480000000001</v>
      </c>
      <c r="F28" s="347" t="s">
        <v>110</v>
      </c>
      <c r="G28" s="253">
        <v>3833.3</v>
      </c>
      <c r="H28" s="253">
        <v>467911</v>
      </c>
      <c r="I28" s="253">
        <v>91348.41</v>
      </c>
      <c r="J28" s="347">
        <v>357217.75</v>
      </c>
      <c r="K28" s="347" t="s">
        <v>110</v>
      </c>
      <c r="L28" s="253">
        <v>19344.830000000002</v>
      </c>
      <c r="M28" s="253" t="s">
        <v>110</v>
      </c>
      <c r="N28" s="253" t="s">
        <v>110</v>
      </c>
      <c r="O28" s="255">
        <v>1087.5974000000001</v>
      </c>
    </row>
    <row r="29" spans="1:15" ht="18" customHeight="1">
      <c r="A29" s="248">
        <v>11</v>
      </c>
      <c r="B29" s="252" t="s">
        <v>767</v>
      </c>
      <c r="C29" s="250" t="s">
        <v>768</v>
      </c>
      <c r="D29" s="252" t="s">
        <v>144</v>
      </c>
      <c r="E29" s="347">
        <v>40.32</v>
      </c>
      <c r="F29" s="347" t="s">
        <v>110</v>
      </c>
      <c r="G29" s="253">
        <v>1085.56</v>
      </c>
      <c r="H29" s="253">
        <v>43769.78</v>
      </c>
      <c r="I29" s="253">
        <v>11007.36</v>
      </c>
      <c r="J29" s="347">
        <v>32762.42</v>
      </c>
      <c r="K29" s="347" t="s">
        <v>110</v>
      </c>
      <c r="L29" s="253" t="s">
        <v>110</v>
      </c>
      <c r="M29" s="253" t="s">
        <v>110</v>
      </c>
      <c r="N29" s="253" t="s">
        <v>110</v>
      </c>
      <c r="O29" s="255">
        <v>147.9744</v>
      </c>
    </row>
    <row r="30" spans="1:15" ht="29.25" customHeight="1">
      <c r="A30" s="248">
        <v>12</v>
      </c>
      <c r="B30" s="252" t="s">
        <v>755</v>
      </c>
      <c r="C30" s="250" t="s">
        <v>756</v>
      </c>
      <c r="D30" s="252" t="s">
        <v>143</v>
      </c>
      <c r="E30" s="347">
        <v>48.384</v>
      </c>
      <c r="F30" s="347" t="s">
        <v>110</v>
      </c>
      <c r="G30" s="253">
        <v>3833.3</v>
      </c>
      <c r="H30" s="253">
        <v>185470.39</v>
      </c>
      <c r="I30" s="253">
        <v>36208.65</v>
      </c>
      <c r="J30" s="347">
        <v>141593.84</v>
      </c>
      <c r="K30" s="347" t="s">
        <v>110</v>
      </c>
      <c r="L30" s="253">
        <v>7667.9</v>
      </c>
      <c r="M30" s="253" t="s">
        <v>110</v>
      </c>
      <c r="N30" s="253" t="s">
        <v>110</v>
      </c>
      <c r="O30" s="255">
        <v>431.10140000000001</v>
      </c>
    </row>
    <row r="31" spans="1:15" ht="29.25" customHeight="1">
      <c r="A31" s="248">
        <v>13</v>
      </c>
      <c r="B31" s="252" t="s">
        <v>914</v>
      </c>
      <c r="C31" s="250" t="s">
        <v>915</v>
      </c>
      <c r="D31" s="252" t="s">
        <v>142</v>
      </c>
      <c r="E31" s="347">
        <v>77.849999999999994</v>
      </c>
      <c r="F31" s="347" t="s">
        <v>110</v>
      </c>
      <c r="G31" s="253">
        <v>3701.71</v>
      </c>
      <c r="H31" s="253">
        <v>288178.12</v>
      </c>
      <c r="I31" s="253">
        <v>26880.05</v>
      </c>
      <c r="J31" s="347">
        <v>261298.08</v>
      </c>
      <c r="K31" s="347" t="s">
        <v>110</v>
      </c>
      <c r="L31" s="253" t="s">
        <v>110</v>
      </c>
      <c r="M31" s="253" t="s">
        <v>110</v>
      </c>
      <c r="N31" s="253" t="s">
        <v>110</v>
      </c>
      <c r="O31" s="255">
        <v>361.22399999999999</v>
      </c>
    </row>
    <row r="32" spans="1:15" ht="29.25" customHeight="1">
      <c r="A32" s="248">
        <v>14</v>
      </c>
      <c r="B32" s="252" t="s">
        <v>755</v>
      </c>
      <c r="C32" s="250" t="s">
        <v>756</v>
      </c>
      <c r="D32" s="252" t="s">
        <v>143</v>
      </c>
      <c r="E32" s="347">
        <v>128.45249999999999</v>
      </c>
      <c r="F32" s="347" t="s">
        <v>110</v>
      </c>
      <c r="G32" s="253">
        <v>3833.3</v>
      </c>
      <c r="H32" s="253">
        <v>492396.97</v>
      </c>
      <c r="I32" s="253">
        <v>96128.71</v>
      </c>
      <c r="J32" s="347">
        <v>375911.1</v>
      </c>
      <c r="K32" s="347" t="s">
        <v>110</v>
      </c>
      <c r="L32" s="253">
        <v>20357.150000000001</v>
      </c>
      <c r="M32" s="253" t="s">
        <v>110</v>
      </c>
      <c r="N32" s="253" t="s">
        <v>110</v>
      </c>
      <c r="O32" s="255">
        <v>1144.5118</v>
      </c>
    </row>
    <row r="33" spans="1:15" ht="29.25" customHeight="1">
      <c r="A33" s="248">
        <v>15</v>
      </c>
      <c r="B33" s="252" t="s">
        <v>916</v>
      </c>
      <c r="C33" s="250" t="s">
        <v>917</v>
      </c>
      <c r="D33" s="252" t="s">
        <v>142</v>
      </c>
      <c r="E33" s="347">
        <v>99.647999999999996</v>
      </c>
      <c r="F33" s="347" t="s">
        <v>110</v>
      </c>
      <c r="G33" s="253">
        <v>3626.46</v>
      </c>
      <c r="H33" s="253">
        <v>361369.49</v>
      </c>
      <c r="I33" s="253">
        <v>42697.18</v>
      </c>
      <c r="J33" s="347">
        <v>318672.31</v>
      </c>
      <c r="K33" s="347" t="s">
        <v>110</v>
      </c>
      <c r="L33" s="253" t="s">
        <v>110</v>
      </c>
      <c r="M33" s="253" t="s">
        <v>110</v>
      </c>
      <c r="N33" s="253" t="s">
        <v>110</v>
      </c>
      <c r="O33" s="255">
        <v>573.97249999999997</v>
      </c>
    </row>
    <row r="34" spans="1:15" ht="29.25" customHeight="1">
      <c r="A34" s="248">
        <v>16</v>
      </c>
      <c r="B34" s="252" t="s">
        <v>918</v>
      </c>
      <c r="C34" s="250" t="s">
        <v>919</v>
      </c>
      <c r="D34" s="252" t="s">
        <v>142</v>
      </c>
      <c r="E34" s="347">
        <v>99.647999999999996</v>
      </c>
      <c r="F34" s="347" t="s">
        <v>110</v>
      </c>
      <c r="G34" s="253">
        <v>1638.3</v>
      </c>
      <c r="H34" s="253">
        <v>163253.32</v>
      </c>
      <c r="I34" s="253">
        <v>46412.05</v>
      </c>
      <c r="J34" s="347">
        <v>116097.89</v>
      </c>
      <c r="K34" s="347" t="s">
        <v>110</v>
      </c>
      <c r="L34" s="253">
        <v>743.37</v>
      </c>
      <c r="M34" s="253" t="s">
        <v>110</v>
      </c>
      <c r="N34" s="253" t="s">
        <v>110</v>
      </c>
      <c r="O34" s="255">
        <v>657.67679999999996</v>
      </c>
    </row>
    <row r="35" spans="1:15" ht="29.25" customHeight="1">
      <c r="A35" s="248" t="s">
        <v>110</v>
      </c>
      <c r="B35" s="252" t="s">
        <v>110</v>
      </c>
      <c r="C35" s="259" t="s">
        <v>769</v>
      </c>
      <c r="D35" s="252" t="s">
        <v>110</v>
      </c>
      <c r="E35" s="347" t="s">
        <v>110</v>
      </c>
      <c r="F35" s="347" t="s">
        <v>110</v>
      </c>
      <c r="G35" s="253" t="s">
        <v>110</v>
      </c>
      <c r="H35" s="253">
        <v>20727177.23</v>
      </c>
      <c r="I35" s="253">
        <v>1301872.4099999999</v>
      </c>
      <c r="J35" s="347">
        <v>18348781.600000001</v>
      </c>
      <c r="K35" s="347" t="s">
        <v>110</v>
      </c>
      <c r="L35" s="253">
        <v>1076523.25</v>
      </c>
      <c r="M35" s="253" t="s">
        <v>110</v>
      </c>
      <c r="N35" s="253" t="s">
        <v>110</v>
      </c>
      <c r="O35" s="255">
        <v>15997.2821</v>
      </c>
    </row>
    <row r="36" spans="1:15" ht="29.25" customHeight="1">
      <c r="A36" s="248">
        <v>1</v>
      </c>
      <c r="B36" s="252" t="s">
        <v>770</v>
      </c>
      <c r="C36" s="250" t="s">
        <v>771</v>
      </c>
      <c r="D36" s="252" t="s">
        <v>143</v>
      </c>
      <c r="E36" s="347">
        <v>562.9</v>
      </c>
      <c r="F36" s="347" t="s">
        <v>110</v>
      </c>
      <c r="G36" s="253">
        <v>346.82</v>
      </c>
      <c r="H36" s="253">
        <v>195224.98</v>
      </c>
      <c r="I36" s="253">
        <v>45527.35</v>
      </c>
      <c r="J36" s="347">
        <v>62498.79</v>
      </c>
      <c r="K36" s="347" t="s">
        <v>110</v>
      </c>
      <c r="L36" s="253">
        <v>87198.84</v>
      </c>
      <c r="M36" s="253" t="s">
        <v>110</v>
      </c>
      <c r="N36" s="253" t="s">
        <v>110</v>
      </c>
      <c r="O36" s="255">
        <v>551.64200000000005</v>
      </c>
    </row>
    <row r="37" spans="1:15" ht="42" customHeight="1">
      <c r="A37" s="248">
        <v>2</v>
      </c>
      <c r="B37" s="252" t="s">
        <v>772</v>
      </c>
      <c r="C37" s="250" t="s">
        <v>773</v>
      </c>
      <c r="D37" s="252" t="s">
        <v>143</v>
      </c>
      <c r="E37" s="347">
        <v>90.5</v>
      </c>
      <c r="F37" s="347" t="s">
        <v>110</v>
      </c>
      <c r="G37" s="253">
        <v>8355.4</v>
      </c>
      <c r="H37" s="253">
        <v>756163.7</v>
      </c>
      <c r="I37" s="253">
        <v>51150.6</v>
      </c>
      <c r="J37" s="347">
        <v>696148.63</v>
      </c>
      <c r="K37" s="347" t="s">
        <v>110</v>
      </c>
      <c r="L37" s="253">
        <v>8864.48</v>
      </c>
      <c r="M37" s="253" t="s">
        <v>110</v>
      </c>
      <c r="N37" s="253" t="s">
        <v>110</v>
      </c>
      <c r="O37" s="255">
        <v>620.83000000000004</v>
      </c>
    </row>
    <row r="38" spans="1:15" ht="19.5" customHeight="1">
      <c r="A38" s="248">
        <v>3</v>
      </c>
      <c r="B38" s="252" t="s">
        <v>774</v>
      </c>
      <c r="C38" s="250" t="s">
        <v>775</v>
      </c>
      <c r="D38" s="252" t="s">
        <v>143</v>
      </c>
      <c r="E38" s="347">
        <v>789.85</v>
      </c>
      <c r="F38" s="347" t="s">
        <v>110</v>
      </c>
      <c r="G38" s="253">
        <v>8122.82</v>
      </c>
      <c r="H38" s="253">
        <v>6415809.3799999999</v>
      </c>
      <c r="I38" s="253">
        <v>249245.07</v>
      </c>
      <c r="J38" s="347">
        <v>5855971.5999999996</v>
      </c>
      <c r="K38" s="347" t="s">
        <v>110</v>
      </c>
      <c r="L38" s="253">
        <v>310592.71999999997</v>
      </c>
      <c r="M38" s="253" t="s">
        <v>110</v>
      </c>
      <c r="N38" s="253" t="s">
        <v>110</v>
      </c>
      <c r="O38" s="255">
        <v>3025.1255000000001</v>
      </c>
    </row>
    <row r="39" spans="1:15" ht="16.5" customHeight="1" thickBot="1">
      <c r="A39" s="249">
        <v>4</v>
      </c>
      <c r="B39" s="258" t="s">
        <v>776</v>
      </c>
      <c r="C39" s="251" t="s">
        <v>920</v>
      </c>
      <c r="D39" s="258" t="s">
        <v>143</v>
      </c>
      <c r="E39" s="348">
        <v>306</v>
      </c>
      <c r="F39" s="348" t="s">
        <v>110</v>
      </c>
      <c r="G39" s="254">
        <v>6260.31</v>
      </c>
      <c r="H39" s="254">
        <v>1915654.8</v>
      </c>
      <c r="I39" s="254">
        <v>74149.919999999998</v>
      </c>
      <c r="J39" s="348">
        <v>1776382</v>
      </c>
      <c r="K39" s="348" t="s">
        <v>110</v>
      </c>
      <c r="L39" s="254">
        <v>65122.92</v>
      </c>
      <c r="M39" s="254" t="s">
        <v>110</v>
      </c>
      <c r="N39" s="254" t="s">
        <v>110</v>
      </c>
      <c r="O39" s="256">
        <v>899.64</v>
      </c>
    </row>
    <row r="40" spans="1:15" ht="35.25" customHeight="1">
      <c r="A40" s="341" t="s">
        <v>288</v>
      </c>
      <c r="B40" s="341" t="s">
        <v>110</v>
      </c>
      <c r="C40" s="341" t="s">
        <v>110</v>
      </c>
      <c r="D40" s="341" t="s">
        <v>110</v>
      </c>
      <c r="E40" s="341" t="s">
        <v>110</v>
      </c>
      <c r="F40" s="338" t="s">
        <v>289</v>
      </c>
      <c r="G40" s="338" t="s">
        <v>110</v>
      </c>
      <c r="H40" s="338" t="s">
        <v>110</v>
      </c>
      <c r="I40" s="338" t="s">
        <v>110</v>
      </c>
      <c r="J40" s="338" t="s">
        <v>110</v>
      </c>
      <c r="K40" s="334" t="s">
        <v>290</v>
      </c>
      <c r="L40" s="334" t="s">
        <v>110</v>
      </c>
      <c r="M40" s="334" t="s">
        <v>110</v>
      </c>
      <c r="N40" s="334" t="s">
        <v>110</v>
      </c>
      <c r="O40" s="334" t="s">
        <v>110</v>
      </c>
    </row>
    <row r="41" spans="1:15" ht="29.25" customHeight="1">
      <c r="A41" s="340" t="s">
        <v>291</v>
      </c>
      <c r="B41" s="340" t="s">
        <v>110</v>
      </c>
      <c r="C41" s="340" t="s">
        <v>110</v>
      </c>
      <c r="D41" s="340" t="s">
        <v>110</v>
      </c>
      <c r="E41" s="340" t="s">
        <v>110</v>
      </c>
      <c r="F41" s="340" t="s">
        <v>110</v>
      </c>
      <c r="G41" s="340" t="s">
        <v>110</v>
      </c>
      <c r="H41" s="340" t="s">
        <v>110</v>
      </c>
      <c r="I41" s="340" t="s">
        <v>110</v>
      </c>
      <c r="J41" s="340" t="s">
        <v>110</v>
      </c>
      <c r="K41" s="340" t="s">
        <v>110</v>
      </c>
      <c r="L41" s="340" t="s">
        <v>110</v>
      </c>
      <c r="M41" s="340" t="s">
        <v>110</v>
      </c>
      <c r="N41" s="340" t="s">
        <v>110</v>
      </c>
      <c r="O41" s="340" t="s">
        <v>110</v>
      </c>
    </row>
    <row r="42" spans="1:15" ht="19.5" customHeight="1" thickBot="1">
      <c r="A42" s="341" t="s">
        <v>714</v>
      </c>
      <c r="B42" s="341" t="s">
        <v>110</v>
      </c>
      <c r="C42" s="341" t="s">
        <v>110</v>
      </c>
      <c r="D42" s="341" t="s">
        <v>110</v>
      </c>
      <c r="E42" s="341" t="s">
        <v>110</v>
      </c>
      <c r="F42" s="341" t="s">
        <v>110</v>
      </c>
      <c r="G42" s="341" t="s">
        <v>110</v>
      </c>
      <c r="H42" s="341" t="s">
        <v>110</v>
      </c>
      <c r="I42" s="341" t="s">
        <v>110</v>
      </c>
      <c r="J42" s="341" t="s">
        <v>110</v>
      </c>
      <c r="K42" s="334" t="s">
        <v>663</v>
      </c>
      <c r="L42" s="334" t="s">
        <v>110</v>
      </c>
      <c r="M42" s="334" t="s">
        <v>110</v>
      </c>
      <c r="N42" s="334" t="s">
        <v>110</v>
      </c>
      <c r="O42" s="334" t="s">
        <v>110</v>
      </c>
    </row>
    <row r="43" spans="1:15" ht="18" customHeight="1">
      <c r="A43" s="342" t="s">
        <v>112</v>
      </c>
      <c r="B43" s="335" t="s">
        <v>292</v>
      </c>
      <c r="C43" s="335" t="s">
        <v>293</v>
      </c>
      <c r="D43" s="335" t="s">
        <v>294</v>
      </c>
      <c r="E43" s="335" t="s">
        <v>110</v>
      </c>
      <c r="F43" s="335" t="s">
        <v>110</v>
      </c>
      <c r="G43" s="335" t="s">
        <v>295</v>
      </c>
      <c r="H43" s="335" t="s">
        <v>110</v>
      </c>
      <c r="I43" s="335" t="s">
        <v>296</v>
      </c>
      <c r="J43" s="335" t="s">
        <v>110</v>
      </c>
      <c r="K43" s="335" t="s">
        <v>110</v>
      </c>
      <c r="L43" s="335" t="s">
        <v>110</v>
      </c>
      <c r="M43" s="335" t="s">
        <v>110</v>
      </c>
      <c r="N43" s="335" t="s">
        <v>110</v>
      </c>
      <c r="O43" s="345" t="s">
        <v>297</v>
      </c>
    </row>
    <row r="44" spans="1:15" ht="19.5" customHeight="1">
      <c r="A44" s="343" t="s">
        <v>110</v>
      </c>
      <c r="B44" s="344" t="s">
        <v>110</v>
      </c>
      <c r="C44" s="344" t="s">
        <v>110</v>
      </c>
      <c r="D44" s="257" t="s">
        <v>133</v>
      </c>
      <c r="E44" s="344" t="s">
        <v>134</v>
      </c>
      <c r="F44" s="344" t="s">
        <v>110</v>
      </c>
      <c r="G44" s="257" t="s">
        <v>298</v>
      </c>
      <c r="H44" s="257" t="s">
        <v>299</v>
      </c>
      <c r="I44" s="257" t="s">
        <v>300</v>
      </c>
      <c r="J44" s="344" t="s">
        <v>301</v>
      </c>
      <c r="K44" s="344" t="s">
        <v>110</v>
      </c>
      <c r="L44" s="257" t="s">
        <v>302</v>
      </c>
      <c r="M44" s="257" t="s">
        <v>303</v>
      </c>
      <c r="N44" s="257" t="s">
        <v>304</v>
      </c>
      <c r="O44" s="346" t="s">
        <v>110</v>
      </c>
    </row>
    <row r="45" spans="1:15" ht="18" customHeight="1">
      <c r="A45" s="248" t="s">
        <v>110</v>
      </c>
      <c r="B45" s="252" t="s">
        <v>110</v>
      </c>
      <c r="C45" s="250" t="s">
        <v>921</v>
      </c>
      <c r="D45" s="252" t="s">
        <v>110</v>
      </c>
      <c r="E45" s="347" t="s">
        <v>110</v>
      </c>
      <c r="F45" s="347" t="s">
        <v>110</v>
      </c>
      <c r="G45" s="253" t="s">
        <v>110</v>
      </c>
      <c r="H45" s="253">
        <v>6</v>
      </c>
      <c r="I45" s="253" t="s">
        <v>110</v>
      </c>
      <c r="J45" s="347">
        <v>2</v>
      </c>
      <c r="K45" s="347" t="s">
        <v>110</v>
      </c>
      <c r="L45" s="253" t="s">
        <v>110</v>
      </c>
      <c r="M45" s="253" t="s">
        <v>110</v>
      </c>
      <c r="N45" s="253" t="s">
        <v>110</v>
      </c>
      <c r="O45" s="255" t="s">
        <v>110</v>
      </c>
    </row>
    <row r="46" spans="1:15" ht="18" customHeight="1">
      <c r="A46" s="248">
        <v>5</v>
      </c>
      <c r="B46" s="252" t="s">
        <v>777</v>
      </c>
      <c r="C46" s="250" t="s">
        <v>778</v>
      </c>
      <c r="D46" s="252" t="s">
        <v>143</v>
      </c>
      <c r="E46" s="347">
        <v>307.3</v>
      </c>
      <c r="F46" s="347" t="s">
        <v>110</v>
      </c>
      <c r="G46" s="253">
        <v>7276.39</v>
      </c>
      <c r="H46" s="253">
        <v>2236034.65</v>
      </c>
      <c r="I46" s="253">
        <v>169936.9</v>
      </c>
      <c r="J46" s="347">
        <v>1853882.51</v>
      </c>
      <c r="K46" s="347" t="s">
        <v>110</v>
      </c>
      <c r="L46" s="253">
        <v>212215.23</v>
      </c>
      <c r="M46" s="253" t="s">
        <v>110</v>
      </c>
      <c r="N46" s="253" t="s">
        <v>110</v>
      </c>
      <c r="O46" s="255">
        <v>2061.9830000000002</v>
      </c>
    </row>
    <row r="47" spans="1:15" ht="29.25" customHeight="1">
      <c r="A47" s="248">
        <v>6</v>
      </c>
      <c r="B47" s="252" t="s">
        <v>779</v>
      </c>
      <c r="C47" s="250" t="s">
        <v>780</v>
      </c>
      <c r="D47" s="252" t="s">
        <v>143</v>
      </c>
      <c r="E47" s="347">
        <v>641.6</v>
      </c>
      <c r="F47" s="347" t="s">
        <v>110</v>
      </c>
      <c r="G47" s="253">
        <v>8127.12</v>
      </c>
      <c r="H47" s="253">
        <v>5214360.1900000004</v>
      </c>
      <c r="I47" s="253">
        <v>145874.18</v>
      </c>
      <c r="J47" s="347">
        <v>5027847.07</v>
      </c>
      <c r="K47" s="347" t="s">
        <v>110</v>
      </c>
      <c r="L47" s="253">
        <v>40638.94</v>
      </c>
      <c r="M47" s="253" t="s">
        <v>110</v>
      </c>
      <c r="N47" s="253" t="s">
        <v>110</v>
      </c>
      <c r="O47" s="255">
        <v>1770.816</v>
      </c>
    </row>
    <row r="48" spans="1:15" ht="29.25" customHeight="1">
      <c r="A48" s="248">
        <v>7</v>
      </c>
      <c r="B48" s="252" t="s">
        <v>781</v>
      </c>
      <c r="C48" s="250" t="s">
        <v>922</v>
      </c>
      <c r="D48" s="252" t="s">
        <v>143</v>
      </c>
      <c r="E48" s="347">
        <v>293.8</v>
      </c>
      <c r="F48" s="347" t="s">
        <v>110</v>
      </c>
      <c r="G48" s="253">
        <v>8196.83</v>
      </c>
      <c r="H48" s="253">
        <v>2408228.65</v>
      </c>
      <c r="I48" s="253">
        <v>193402.66</v>
      </c>
      <c r="J48" s="347">
        <v>2050885.59</v>
      </c>
      <c r="K48" s="347" t="s">
        <v>110</v>
      </c>
      <c r="L48" s="253">
        <v>163940.4</v>
      </c>
      <c r="M48" s="253" t="s">
        <v>110</v>
      </c>
      <c r="N48" s="253" t="s">
        <v>110</v>
      </c>
      <c r="O48" s="255">
        <v>2347.462</v>
      </c>
    </row>
    <row r="49" spans="1:15" ht="29.25" customHeight="1">
      <c r="A49" s="248">
        <v>8</v>
      </c>
      <c r="B49" s="252" t="s">
        <v>782</v>
      </c>
      <c r="C49" s="250" t="s">
        <v>783</v>
      </c>
      <c r="D49" s="252" t="s">
        <v>144</v>
      </c>
      <c r="E49" s="347">
        <v>1029.05</v>
      </c>
      <c r="F49" s="347" t="s">
        <v>110</v>
      </c>
      <c r="G49" s="253">
        <v>1080.74</v>
      </c>
      <c r="H49" s="253">
        <v>1112135.5</v>
      </c>
      <c r="I49" s="253">
        <v>301552.81</v>
      </c>
      <c r="J49" s="347">
        <v>810582.69</v>
      </c>
      <c r="K49" s="347" t="s">
        <v>110</v>
      </c>
      <c r="L49" s="253" t="s">
        <v>110</v>
      </c>
      <c r="M49" s="253" t="s">
        <v>110</v>
      </c>
      <c r="N49" s="253" t="s">
        <v>110</v>
      </c>
      <c r="O49" s="255">
        <v>3807.4850000000001</v>
      </c>
    </row>
    <row r="50" spans="1:15" ht="29.25" customHeight="1">
      <c r="A50" s="248">
        <v>9</v>
      </c>
      <c r="B50" s="252" t="s">
        <v>784</v>
      </c>
      <c r="C50" s="250" t="s">
        <v>785</v>
      </c>
      <c r="D50" s="252" t="s">
        <v>143</v>
      </c>
      <c r="E50" s="347">
        <v>19.399999999999999</v>
      </c>
      <c r="F50" s="347" t="s">
        <v>110</v>
      </c>
      <c r="G50" s="253">
        <v>8653.68</v>
      </c>
      <c r="H50" s="253">
        <v>167881.39</v>
      </c>
      <c r="I50" s="253">
        <v>32450.77</v>
      </c>
      <c r="J50" s="347">
        <v>134548.31</v>
      </c>
      <c r="K50" s="347" t="s">
        <v>110</v>
      </c>
      <c r="L50" s="253">
        <v>882.31</v>
      </c>
      <c r="M50" s="253" t="s">
        <v>110</v>
      </c>
      <c r="N50" s="253" t="s">
        <v>110</v>
      </c>
      <c r="O50" s="255">
        <v>393.82</v>
      </c>
    </row>
    <row r="51" spans="1:15" ht="29.25" customHeight="1">
      <c r="A51" s="248">
        <v>10</v>
      </c>
      <c r="B51" s="252" t="s">
        <v>925</v>
      </c>
      <c r="C51" s="250" t="s">
        <v>926</v>
      </c>
      <c r="D51" s="252" t="s">
        <v>143</v>
      </c>
      <c r="E51" s="347">
        <v>10</v>
      </c>
      <c r="F51" s="347" t="s">
        <v>110</v>
      </c>
      <c r="G51" s="253">
        <v>7141.98</v>
      </c>
      <c r="H51" s="253">
        <v>71419.8</v>
      </c>
      <c r="I51" s="253">
        <v>16058.8</v>
      </c>
      <c r="J51" s="347">
        <v>52905.2</v>
      </c>
      <c r="K51" s="347" t="s">
        <v>110</v>
      </c>
      <c r="L51" s="253">
        <v>2455.8000000000002</v>
      </c>
      <c r="M51" s="253" t="s">
        <v>110</v>
      </c>
      <c r="N51" s="253" t="s">
        <v>110</v>
      </c>
      <c r="O51" s="255">
        <v>194.9</v>
      </c>
    </row>
    <row r="52" spans="1:15" ht="18" customHeight="1">
      <c r="A52" s="248">
        <v>11</v>
      </c>
      <c r="B52" s="252" t="s">
        <v>786</v>
      </c>
      <c r="C52" s="250" t="s">
        <v>787</v>
      </c>
      <c r="D52" s="252" t="s">
        <v>788</v>
      </c>
      <c r="E52" s="347">
        <v>91.414000000000001</v>
      </c>
      <c r="F52" s="347" t="s">
        <v>110</v>
      </c>
      <c r="G52" s="253">
        <v>715.56</v>
      </c>
      <c r="H52" s="253">
        <v>65412.2</v>
      </c>
      <c r="I52" s="253">
        <v>7901.83</v>
      </c>
      <c r="J52" s="347">
        <v>7781.16</v>
      </c>
      <c r="K52" s="347" t="s">
        <v>110</v>
      </c>
      <c r="L52" s="253">
        <v>49729.22</v>
      </c>
      <c r="M52" s="253" t="s">
        <v>110</v>
      </c>
      <c r="N52" s="253" t="s">
        <v>110</v>
      </c>
      <c r="O52" s="255">
        <v>116.0958</v>
      </c>
    </row>
    <row r="53" spans="1:15" ht="29.25" customHeight="1">
      <c r="A53" s="248">
        <v>12</v>
      </c>
      <c r="B53" s="252" t="s">
        <v>789</v>
      </c>
      <c r="C53" s="250" t="s">
        <v>790</v>
      </c>
      <c r="D53" s="252" t="s">
        <v>788</v>
      </c>
      <c r="E53" s="347">
        <v>174.46799999999999</v>
      </c>
      <c r="F53" s="347" t="s">
        <v>110</v>
      </c>
      <c r="G53" s="253">
        <v>761.45</v>
      </c>
      <c r="H53" s="253">
        <v>132848.66</v>
      </c>
      <c r="I53" s="253">
        <v>11305.53</v>
      </c>
      <c r="J53" s="347">
        <v>17511.349999999999</v>
      </c>
      <c r="K53" s="347" t="s">
        <v>110</v>
      </c>
      <c r="L53" s="253">
        <v>104031.78</v>
      </c>
      <c r="M53" s="253" t="s">
        <v>110</v>
      </c>
      <c r="N53" s="253" t="s">
        <v>110</v>
      </c>
      <c r="O53" s="255">
        <v>160.51060000000001</v>
      </c>
    </row>
    <row r="54" spans="1:15" ht="29.25" customHeight="1">
      <c r="A54" s="248">
        <v>13</v>
      </c>
      <c r="B54" s="252" t="s">
        <v>791</v>
      </c>
      <c r="C54" s="250" t="s">
        <v>792</v>
      </c>
      <c r="D54" s="252" t="s">
        <v>788</v>
      </c>
      <c r="E54" s="347">
        <v>31.738</v>
      </c>
      <c r="F54" s="347" t="s">
        <v>110</v>
      </c>
      <c r="G54" s="253">
        <v>1134.3900000000001</v>
      </c>
      <c r="H54" s="253">
        <v>36003.269999999997</v>
      </c>
      <c r="I54" s="253">
        <v>3315.99</v>
      </c>
      <c r="J54" s="347">
        <v>1836.68</v>
      </c>
      <c r="K54" s="347" t="s">
        <v>110</v>
      </c>
      <c r="L54" s="253">
        <v>30850.61</v>
      </c>
      <c r="M54" s="253" t="s">
        <v>110</v>
      </c>
      <c r="N54" s="253" t="s">
        <v>110</v>
      </c>
      <c r="O54" s="255">
        <v>46.972200000000001</v>
      </c>
    </row>
    <row r="55" spans="1:15" ht="29.25" customHeight="1">
      <c r="A55" s="248" t="s">
        <v>110</v>
      </c>
      <c r="B55" s="252" t="s">
        <v>110</v>
      </c>
      <c r="C55" s="259" t="s">
        <v>145</v>
      </c>
      <c r="D55" s="252" t="s">
        <v>110</v>
      </c>
      <c r="E55" s="347" t="s">
        <v>110</v>
      </c>
      <c r="F55" s="347" t="s">
        <v>110</v>
      </c>
      <c r="G55" s="253" t="s">
        <v>110</v>
      </c>
      <c r="H55" s="253">
        <v>1144965.27</v>
      </c>
      <c r="I55" s="253">
        <v>313971.05</v>
      </c>
      <c r="J55" s="347">
        <v>823565.94</v>
      </c>
      <c r="K55" s="347" t="s">
        <v>110</v>
      </c>
      <c r="L55" s="253">
        <v>7428.28</v>
      </c>
      <c r="M55" s="253" t="s">
        <v>110</v>
      </c>
      <c r="N55" s="253" t="s">
        <v>110</v>
      </c>
      <c r="O55" s="255">
        <v>4046.5122999999999</v>
      </c>
    </row>
    <row r="56" spans="1:15" ht="42" customHeight="1">
      <c r="A56" s="248">
        <v>1</v>
      </c>
      <c r="B56" s="252" t="s">
        <v>793</v>
      </c>
      <c r="C56" s="250" t="s">
        <v>794</v>
      </c>
      <c r="D56" s="252" t="s">
        <v>142</v>
      </c>
      <c r="E56" s="347">
        <v>341.99</v>
      </c>
      <c r="F56" s="347" t="s">
        <v>110</v>
      </c>
      <c r="G56" s="253">
        <v>3297.13</v>
      </c>
      <c r="H56" s="253">
        <v>1127585.49</v>
      </c>
      <c r="I56" s="253">
        <v>307011.26</v>
      </c>
      <c r="J56" s="347">
        <v>813286.42</v>
      </c>
      <c r="K56" s="347" t="s">
        <v>110</v>
      </c>
      <c r="L56" s="253">
        <v>7287.81</v>
      </c>
      <c r="M56" s="253" t="s">
        <v>110</v>
      </c>
      <c r="N56" s="253" t="s">
        <v>110</v>
      </c>
      <c r="O56" s="255">
        <v>3956.8243000000002</v>
      </c>
    </row>
    <row r="57" spans="1:15" ht="29.25" customHeight="1">
      <c r="A57" s="248">
        <v>2</v>
      </c>
      <c r="B57" s="252" t="s">
        <v>795</v>
      </c>
      <c r="C57" s="250" t="s">
        <v>796</v>
      </c>
      <c r="D57" s="252" t="s">
        <v>142</v>
      </c>
      <c r="E57" s="347">
        <v>6.06</v>
      </c>
      <c r="F57" s="347" t="s">
        <v>110</v>
      </c>
      <c r="G57" s="253">
        <v>2867.95</v>
      </c>
      <c r="H57" s="253">
        <v>17379.78</v>
      </c>
      <c r="I57" s="253">
        <v>6959.79</v>
      </c>
      <c r="J57" s="347">
        <v>10279.52</v>
      </c>
      <c r="K57" s="347" t="s">
        <v>110</v>
      </c>
      <c r="L57" s="253">
        <v>140.47</v>
      </c>
      <c r="M57" s="253" t="s">
        <v>110</v>
      </c>
      <c r="N57" s="253" t="s">
        <v>110</v>
      </c>
      <c r="O57" s="255">
        <v>89.688000000000002</v>
      </c>
    </row>
    <row r="58" spans="1:15" ht="16.5" customHeight="1">
      <c r="A58" s="248" t="s">
        <v>110</v>
      </c>
      <c r="B58" s="252" t="s">
        <v>110</v>
      </c>
      <c r="C58" s="259" t="s">
        <v>146</v>
      </c>
      <c r="D58" s="252" t="s">
        <v>110</v>
      </c>
      <c r="E58" s="347" t="s">
        <v>110</v>
      </c>
      <c r="F58" s="347" t="s">
        <v>110</v>
      </c>
      <c r="G58" s="253" t="s">
        <v>110</v>
      </c>
      <c r="H58" s="253">
        <v>18132068.030000001</v>
      </c>
      <c r="I58" s="253">
        <v>1581287.67</v>
      </c>
      <c r="J58" s="347">
        <v>16550020.24</v>
      </c>
      <c r="K58" s="347" t="s">
        <v>110</v>
      </c>
      <c r="L58" s="253">
        <v>760.1</v>
      </c>
      <c r="M58" s="253" t="s">
        <v>110</v>
      </c>
      <c r="N58" s="253" t="s">
        <v>110</v>
      </c>
      <c r="O58" s="255">
        <v>19963.427100000001</v>
      </c>
    </row>
    <row r="59" spans="1:15" ht="35.25" customHeight="1" thickBot="1">
      <c r="A59" s="249">
        <v>1</v>
      </c>
      <c r="B59" s="258" t="s">
        <v>797</v>
      </c>
      <c r="C59" s="251" t="s">
        <v>927</v>
      </c>
      <c r="D59" s="258" t="s">
        <v>144</v>
      </c>
      <c r="E59" s="348">
        <v>3130.85</v>
      </c>
      <c r="F59" s="348" t="s">
        <v>110</v>
      </c>
      <c r="G59" s="254">
        <v>1814.2</v>
      </c>
      <c r="H59" s="254">
        <v>5679988</v>
      </c>
      <c r="I59" s="254">
        <v>401500.2</v>
      </c>
      <c r="J59" s="348">
        <v>5278487.8</v>
      </c>
      <c r="K59" s="348" t="s">
        <v>110</v>
      </c>
      <c r="L59" s="254" t="s">
        <v>110</v>
      </c>
      <c r="M59" s="254" t="s">
        <v>110</v>
      </c>
      <c r="N59" s="254" t="s">
        <v>110</v>
      </c>
      <c r="O59" s="256">
        <v>5071.9769999999999</v>
      </c>
    </row>
    <row r="60" spans="1:15" ht="29.25" customHeight="1">
      <c r="A60" s="341" t="s">
        <v>288</v>
      </c>
      <c r="B60" s="341" t="s">
        <v>110</v>
      </c>
      <c r="C60" s="341" t="s">
        <v>110</v>
      </c>
      <c r="D60" s="341" t="s">
        <v>110</v>
      </c>
      <c r="E60" s="341" t="s">
        <v>110</v>
      </c>
      <c r="F60" s="338" t="s">
        <v>289</v>
      </c>
      <c r="G60" s="338" t="s">
        <v>110</v>
      </c>
      <c r="H60" s="338" t="s">
        <v>110</v>
      </c>
      <c r="I60" s="338" t="s">
        <v>110</v>
      </c>
      <c r="J60" s="338" t="s">
        <v>110</v>
      </c>
      <c r="K60" s="334" t="s">
        <v>290</v>
      </c>
      <c r="L60" s="334" t="s">
        <v>110</v>
      </c>
      <c r="M60" s="334" t="s">
        <v>110</v>
      </c>
      <c r="N60" s="334" t="s">
        <v>110</v>
      </c>
      <c r="O60" s="334" t="s">
        <v>110</v>
      </c>
    </row>
    <row r="61" spans="1:15" ht="19.5" customHeight="1">
      <c r="A61" s="340" t="s">
        <v>291</v>
      </c>
      <c r="B61" s="340" t="s">
        <v>110</v>
      </c>
      <c r="C61" s="340" t="s">
        <v>110</v>
      </c>
      <c r="D61" s="340" t="s">
        <v>110</v>
      </c>
      <c r="E61" s="340" t="s">
        <v>110</v>
      </c>
      <c r="F61" s="340" t="s">
        <v>110</v>
      </c>
      <c r="G61" s="340" t="s">
        <v>110</v>
      </c>
      <c r="H61" s="340" t="s">
        <v>110</v>
      </c>
      <c r="I61" s="340" t="s">
        <v>110</v>
      </c>
      <c r="J61" s="340" t="s">
        <v>110</v>
      </c>
      <c r="K61" s="340" t="s">
        <v>110</v>
      </c>
      <c r="L61" s="340" t="s">
        <v>110</v>
      </c>
      <c r="M61" s="340" t="s">
        <v>110</v>
      </c>
      <c r="N61" s="340" t="s">
        <v>110</v>
      </c>
      <c r="O61" s="340" t="s">
        <v>110</v>
      </c>
    </row>
    <row r="62" spans="1:15" ht="18" customHeight="1" thickBot="1">
      <c r="A62" s="341" t="s">
        <v>714</v>
      </c>
      <c r="B62" s="341" t="s">
        <v>110</v>
      </c>
      <c r="C62" s="341" t="s">
        <v>110</v>
      </c>
      <c r="D62" s="341" t="s">
        <v>110</v>
      </c>
      <c r="E62" s="341" t="s">
        <v>110</v>
      </c>
      <c r="F62" s="341" t="s">
        <v>110</v>
      </c>
      <c r="G62" s="341" t="s">
        <v>110</v>
      </c>
      <c r="H62" s="341" t="s">
        <v>110</v>
      </c>
      <c r="I62" s="341" t="s">
        <v>110</v>
      </c>
      <c r="J62" s="341" t="s">
        <v>110</v>
      </c>
      <c r="K62" s="334" t="s">
        <v>672</v>
      </c>
      <c r="L62" s="334" t="s">
        <v>110</v>
      </c>
      <c r="M62" s="334" t="s">
        <v>110</v>
      </c>
      <c r="N62" s="334" t="s">
        <v>110</v>
      </c>
      <c r="O62" s="334" t="s">
        <v>110</v>
      </c>
    </row>
    <row r="63" spans="1:15" ht="29.25" customHeight="1">
      <c r="A63" s="342" t="s">
        <v>112</v>
      </c>
      <c r="B63" s="335" t="s">
        <v>292</v>
      </c>
      <c r="C63" s="335" t="s">
        <v>293</v>
      </c>
      <c r="D63" s="335" t="s">
        <v>294</v>
      </c>
      <c r="E63" s="335" t="s">
        <v>110</v>
      </c>
      <c r="F63" s="335" t="s">
        <v>110</v>
      </c>
      <c r="G63" s="335" t="s">
        <v>295</v>
      </c>
      <c r="H63" s="335" t="s">
        <v>110</v>
      </c>
      <c r="I63" s="335" t="s">
        <v>296</v>
      </c>
      <c r="J63" s="335" t="s">
        <v>110</v>
      </c>
      <c r="K63" s="335" t="s">
        <v>110</v>
      </c>
      <c r="L63" s="335" t="s">
        <v>110</v>
      </c>
      <c r="M63" s="335" t="s">
        <v>110</v>
      </c>
      <c r="N63" s="335" t="s">
        <v>110</v>
      </c>
      <c r="O63" s="345" t="s">
        <v>297</v>
      </c>
    </row>
    <row r="64" spans="1:15" ht="29.25" customHeight="1">
      <c r="A64" s="343" t="s">
        <v>110</v>
      </c>
      <c r="B64" s="344" t="s">
        <v>110</v>
      </c>
      <c r="C64" s="344" t="s">
        <v>110</v>
      </c>
      <c r="D64" s="257" t="s">
        <v>133</v>
      </c>
      <c r="E64" s="344" t="s">
        <v>134</v>
      </c>
      <c r="F64" s="344" t="s">
        <v>110</v>
      </c>
      <c r="G64" s="257" t="s">
        <v>298</v>
      </c>
      <c r="H64" s="257" t="s">
        <v>299</v>
      </c>
      <c r="I64" s="257" t="s">
        <v>300</v>
      </c>
      <c r="J64" s="344" t="s">
        <v>301</v>
      </c>
      <c r="K64" s="344" t="s">
        <v>110</v>
      </c>
      <c r="L64" s="257" t="s">
        <v>302</v>
      </c>
      <c r="M64" s="257" t="s">
        <v>303</v>
      </c>
      <c r="N64" s="257" t="s">
        <v>304</v>
      </c>
      <c r="O64" s="346" t="s">
        <v>110</v>
      </c>
    </row>
    <row r="65" spans="1:15" ht="18" customHeight="1">
      <c r="A65" s="248" t="s">
        <v>110</v>
      </c>
      <c r="B65" s="252" t="s">
        <v>110</v>
      </c>
      <c r="C65" s="250" t="s">
        <v>928</v>
      </c>
      <c r="D65" s="252" t="s">
        <v>110</v>
      </c>
      <c r="E65" s="347" t="s">
        <v>110</v>
      </c>
      <c r="F65" s="347" t="s">
        <v>110</v>
      </c>
      <c r="G65" s="253" t="s">
        <v>110</v>
      </c>
      <c r="H65" s="253">
        <v>7</v>
      </c>
      <c r="I65" s="253" t="s">
        <v>110</v>
      </c>
      <c r="J65" s="347">
        <v>7</v>
      </c>
      <c r="K65" s="347" t="s">
        <v>110</v>
      </c>
      <c r="L65" s="253" t="s">
        <v>110</v>
      </c>
      <c r="M65" s="253" t="s">
        <v>110</v>
      </c>
      <c r="N65" s="253" t="s">
        <v>110</v>
      </c>
      <c r="O65" s="255" t="s">
        <v>110</v>
      </c>
    </row>
    <row r="66" spans="1:15" ht="18" customHeight="1">
      <c r="A66" s="248">
        <v>2</v>
      </c>
      <c r="B66" s="252" t="s">
        <v>798</v>
      </c>
      <c r="C66" s="250" t="s">
        <v>799</v>
      </c>
      <c r="D66" s="252" t="s">
        <v>142</v>
      </c>
      <c r="E66" s="347">
        <v>3130.85</v>
      </c>
      <c r="F66" s="347" t="s">
        <v>110</v>
      </c>
      <c r="G66" s="253">
        <v>3863.81</v>
      </c>
      <c r="H66" s="253">
        <v>12097009.539999999</v>
      </c>
      <c r="I66" s="253">
        <v>1155909.82</v>
      </c>
      <c r="J66" s="347">
        <v>10941099.720000001</v>
      </c>
      <c r="K66" s="347" t="s">
        <v>110</v>
      </c>
      <c r="L66" s="253" t="s">
        <v>110</v>
      </c>
      <c r="M66" s="253" t="s">
        <v>110</v>
      </c>
      <c r="N66" s="253" t="s">
        <v>110</v>
      </c>
      <c r="O66" s="255">
        <v>14589.761</v>
      </c>
    </row>
    <row r="67" spans="1:15" ht="29.25" customHeight="1">
      <c r="A67" s="248">
        <v>3</v>
      </c>
      <c r="B67" s="252" t="s">
        <v>800</v>
      </c>
      <c r="C67" s="250" t="s">
        <v>801</v>
      </c>
      <c r="D67" s="252" t="s">
        <v>137</v>
      </c>
      <c r="E67" s="347">
        <v>111.944</v>
      </c>
      <c r="F67" s="347" t="s">
        <v>110</v>
      </c>
      <c r="G67" s="253">
        <v>279.14</v>
      </c>
      <c r="H67" s="253">
        <v>31248.05</v>
      </c>
      <c r="I67" s="253">
        <v>4329.99</v>
      </c>
      <c r="J67" s="347">
        <v>26157.95</v>
      </c>
      <c r="K67" s="347" t="s">
        <v>110</v>
      </c>
      <c r="L67" s="253">
        <v>760.1</v>
      </c>
      <c r="M67" s="253" t="s">
        <v>110</v>
      </c>
      <c r="N67" s="253" t="s">
        <v>110</v>
      </c>
      <c r="O67" s="255">
        <v>54.852600000000002</v>
      </c>
    </row>
    <row r="68" spans="1:15" ht="29.25" customHeight="1">
      <c r="A68" s="248">
        <v>4</v>
      </c>
      <c r="B68" s="252" t="s">
        <v>802</v>
      </c>
      <c r="C68" s="250" t="s">
        <v>803</v>
      </c>
      <c r="D68" s="252" t="s">
        <v>137</v>
      </c>
      <c r="E68" s="347">
        <v>27.986000000000001</v>
      </c>
      <c r="F68" s="347" t="s">
        <v>110</v>
      </c>
      <c r="G68" s="253">
        <v>6533.76</v>
      </c>
      <c r="H68" s="253">
        <v>182853.81</v>
      </c>
      <c r="I68" s="253">
        <v>3989.68</v>
      </c>
      <c r="J68" s="347">
        <v>178864.12</v>
      </c>
      <c r="K68" s="347" t="s">
        <v>110</v>
      </c>
      <c r="L68" s="253" t="s">
        <v>110</v>
      </c>
      <c r="M68" s="253" t="s">
        <v>110</v>
      </c>
      <c r="N68" s="253" t="s">
        <v>110</v>
      </c>
      <c r="O68" s="255">
        <v>50.3748</v>
      </c>
    </row>
    <row r="69" spans="1:15" ht="29.25" customHeight="1">
      <c r="A69" s="248">
        <v>5</v>
      </c>
      <c r="B69" s="252" t="s">
        <v>804</v>
      </c>
      <c r="C69" s="250" t="s">
        <v>805</v>
      </c>
      <c r="D69" s="252" t="s">
        <v>137</v>
      </c>
      <c r="E69" s="347">
        <v>27.986000000000001</v>
      </c>
      <c r="F69" s="347" t="s">
        <v>110</v>
      </c>
      <c r="G69" s="253">
        <v>5037.1099999999997</v>
      </c>
      <c r="H69" s="253">
        <v>140968.56</v>
      </c>
      <c r="I69" s="253">
        <v>15557.98</v>
      </c>
      <c r="J69" s="347">
        <v>125410.58</v>
      </c>
      <c r="K69" s="347" t="s">
        <v>110</v>
      </c>
      <c r="L69" s="253" t="s">
        <v>110</v>
      </c>
      <c r="M69" s="253" t="s">
        <v>110</v>
      </c>
      <c r="N69" s="253" t="s">
        <v>110</v>
      </c>
      <c r="O69" s="255">
        <v>196.46170000000001</v>
      </c>
    </row>
    <row r="70" spans="1:15" ht="16.5" customHeight="1">
      <c r="A70" s="248" t="s">
        <v>110</v>
      </c>
      <c r="B70" s="252" t="s">
        <v>110</v>
      </c>
      <c r="C70" s="259" t="s">
        <v>147</v>
      </c>
      <c r="D70" s="252" t="s">
        <v>110</v>
      </c>
      <c r="E70" s="347" t="s">
        <v>110</v>
      </c>
      <c r="F70" s="347" t="s">
        <v>110</v>
      </c>
      <c r="G70" s="253" t="s">
        <v>110</v>
      </c>
      <c r="H70" s="253">
        <v>4156019.14</v>
      </c>
      <c r="I70" s="253">
        <v>888420.92</v>
      </c>
      <c r="J70" s="347">
        <v>3241366.62</v>
      </c>
      <c r="K70" s="347" t="s">
        <v>110</v>
      </c>
      <c r="L70" s="253">
        <v>26231.58</v>
      </c>
      <c r="M70" s="253" t="s">
        <v>110</v>
      </c>
      <c r="N70" s="253" t="s">
        <v>110</v>
      </c>
      <c r="O70" s="255">
        <v>10909.5545</v>
      </c>
    </row>
    <row r="71" spans="1:15" ht="29.25" customHeight="1">
      <c r="A71" s="248">
        <v>1</v>
      </c>
      <c r="B71" s="252" t="s">
        <v>806</v>
      </c>
      <c r="C71" s="250" t="s">
        <v>807</v>
      </c>
      <c r="D71" s="252" t="s">
        <v>137</v>
      </c>
      <c r="E71" s="347">
        <v>313.08499999999998</v>
      </c>
      <c r="F71" s="347" t="s">
        <v>110</v>
      </c>
      <c r="G71" s="253">
        <v>1751.59</v>
      </c>
      <c r="H71" s="253">
        <v>548396.56000000006</v>
      </c>
      <c r="I71" s="253">
        <v>261851.77</v>
      </c>
      <c r="J71" s="347">
        <v>274791.57</v>
      </c>
      <c r="K71" s="347" t="s">
        <v>110</v>
      </c>
      <c r="L71" s="253">
        <v>11753.21</v>
      </c>
      <c r="M71" s="253" t="s">
        <v>110</v>
      </c>
      <c r="N71" s="253" t="s">
        <v>110</v>
      </c>
      <c r="O71" s="255">
        <v>3215.3829999999998</v>
      </c>
    </row>
    <row r="72" spans="1:15" ht="29.25" customHeight="1">
      <c r="A72" s="248">
        <v>2</v>
      </c>
      <c r="B72" s="252" t="s">
        <v>923</v>
      </c>
      <c r="C72" s="250" t="s">
        <v>929</v>
      </c>
      <c r="D72" s="252" t="s">
        <v>137</v>
      </c>
      <c r="E72" s="347">
        <v>313.08499999999998</v>
      </c>
      <c r="F72" s="347" t="s">
        <v>110</v>
      </c>
      <c r="G72" s="253">
        <v>7152.58</v>
      </c>
      <c r="H72" s="253">
        <v>2239365.5099999998</v>
      </c>
      <c r="I72" s="253">
        <v>388288.02</v>
      </c>
      <c r="J72" s="347">
        <v>1841052.51</v>
      </c>
      <c r="K72" s="347" t="s">
        <v>110</v>
      </c>
      <c r="L72" s="253">
        <v>10024.98</v>
      </c>
      <c r="M72" s="253" t="s">
        <v>110</v>
      </c>
      <c r="N72" s="253" t="s">
        <v>110</v>
      </c>
      <c r="O72" s="255">
        <v>4768.2846</v>
      </c>
    </row>
    <row r="73" spans="1:15" ht="29.25" customHeight="1">
      <c r="A73" s="248">
        <v>3</v>
      </c>
      <c r="B73" s="252" t="s">
        <v>806</v>
      </c>
      <c r="C73" s="250" t="s">
        <v>807</v>
      </c>
      <c r="D73" s="252" t="s">
        <v>137</v>
      </c>
      <c r="E73" s="347">
        <v>3.4169999999999998</v>
      </c>
      <c r="F73" s="347" t="s">
        <v>110</v>
      </c>
      <c r="G73" s="253">
        <v>1751.59</v>
      </c>
      <c r="H73" s="253">
        <v>5985.18</v>
      </c>
      <c r="I73" s="253">
        <v>2857.84</v>
      </c>
      <c r="J73" s="347">
        <v>2999.07</v>
      </c>
      <c r="K73" s="347" t="s">
        <v>110</v>
      </c>
      <c r="L73" s="253">
        <v>128.27000000000001</v>
      </c>
      <c r="M73" s="253" t="s">
        <v>110</v>
      </c>
      <c r="N73" s="253" t="s">
        <v>110</v>
      </c>
      <c r="O73" s="255">
        <v>35.092599999999997</v>
      </c>
    </row>
    <row r="74" spans="1:15" ht="29.25" customHeight="1">
      <c r="A74" s="248">
        <v>4</v>
      </c>
      <c r="B74" s="252" t="s">
        <v>808</v>
      </c>
      <c r="C74" s="250" t="s">
        <v>809</v>
      </c>
      <c r="D74" s="252" t="s">
        <v>137</v>
      </c>
      <c r="E74" s="347">
        <v>64.243600000000001</v>
      </c>
      <c r="F74" s="347" t="s">
        <v>110</v>
      </c>
      <c r="G74" s="253">
        <v>13006.7</v>
      </c>
      <c r="H74" s="253">
        <v>835597.23</v>
      </c>
      <c r="I74" s="253">
        <v>132740.13</v>
      </c>
      <c r="J74" s="347">
        <v>700374.73</v>
      </c>
      <c r="K74" s="347" t="s">
        <v>110</v>
      </c>
      <c r="L74" s="253">
        <v>2482.37</v>
      </c>
      <c r="M74" s="253" t="s">
        <v>110</v>
      </c>
      <c r="N74" s="253" t="s">
        <v>110</v>
      </c>
      <c r="O74" s="255">
        <v>1629.8601000000001</v>
      </c>
    </row>
    <row r="75" spans="1:15" ht="42" customHeight="1">
      <c r="A75" s="248">
        <v>5</v>
      </c>
      <c r="B75" s="252" t="s">
        <v>810</v>
      </c>
      <c r="C75" s="250" t="s">
        <v>811</v>
      </c>
      <c r="D75" s="252" t="s">
        <v>137</v>
      </c>
      <c r="E75" s="347">
        <v>6.2039999999999997</v>
      </c>
      <c r="F75" s="347" t="s">
        <v>110</v>
      </c>
      <c r="G75" s="253">
        <v>11043.62</v>
      </c>
      <c r="H75" s="253">
        <v>68514.62</v>
      </c>
      <c r="I75" s="253">
        <v>13357.96</v>
      </c>
      <c r="J75" s="347">
        <v>54916.94</v>
      </c>
      <c r="K75" s="347" t="s">
        <v>110</v>
      </c>
      <c r="L75" s="253">
        <v>239.72</v>
      </c>
      <c r="M75" s="253" t="s">
        <v>110</v>
      </c>
      <c r="N75" s="253" t="s">
        <v>110</v>
      </c>
      <c r="O75" s="255">
        <v>164.03380000000001</v>
      </c>
    </row>
    <row r="76" spans="1:15" ht="29.25" customHeight="1">
      <c r="A76" s="248">
        <v>6</v>
      </c>
      <c r="B76" s="252" t="s">
        <v>810</v>
      </c>
      <c r="C76" s="250" t="s">
        <v>812</v>
      </c>
      <c r="D76" s="252" t="s">
        <v>137</v>
      </c>
      <c r="E76" s="347">
        <v>41.486400000000003</v>
      </c>
      <c r="F76" s="347" t="s">
        <v>110</v>
      </c>
      <c r="G76" s="253">
        <v>11043.62</v>
      </c>
      <c r="H76" s="253">
        <v>458160.04</v>
      </c>
      <c r="I76" s="253">
        <v>89325.2</v>
      </c>
      <c r="J76" s="347">
        <v>367231.8</v>
      </c>
      <c r="K76" s="347" t="s">
        <v>110</v>
      </c>
      <c r="L76" s="253">
        <v>1603.03</v>
      </c>
      <c r="M76" s="253" t="s">
        <v>110</v>
      </c>
      <c r="N76" s="253" t="s">
        <v>110</v>
      </c>
      <c r="O76" s="255">
        <v>1096.9004</v>
      </c>
    </row>
    <row r="77" spans="1:15" ht="16.5" customHeight="1">
      <c r="A77" s="248" t="s">
        <v>110</v>
      </c>
      <c r="B77" s="252" t="s">
        <v>110</v>
      </c>
      <c r="C77" s="259" t="s">
        <v>148</v>
      </c>
      <c r="D77" s="252" t="s">
        <v>110</v>
      </c>
      <c r="E77" s="347" t="s">
        <v>110</v>
      </c>
      <c r="F77" s="347" t="s">
        <v>110</v>
      </c>
      <c r="G77" s="253" t="s">
        <v>110</v>
      </c>
      <c r="H77" s="253">
        <v>395624.49</v>
      </c>
      <c r="I77" s="253">
        <v>238082.25</v>
      </c>
      <c r="J77" s="347">
        <v>157510.03</v>
      </c>
      <c r="K77" s="347" t="s">
        <v>110</v>
      </c>
      <c r="L77" s="253">
        <v>32.21</v>
      </c>
      <c r="M77" s="253" t="s">
        <v>110</v>
      </c>
      <c r="N77" s="253" t="s">
        <v>110</v>
      </c>
      <c r="O77" s="255">
        <v>2802.2532000000001</v>
      </c>
    </row>
    <row r="78" spans="1:15" ht="35.25" customHeight="1" thickBot="1">
      <c r="A78" s="249">
        <v>1</v>
      </c>
      <c r="B78" s="258" t="s">
        <v>813</v>
      </c>
      <c r="C78" s="251" t="s">
        <v>814</v>
      </c>
      <c r="D78" s="258" t="s">
        <v>137</v>
      </c>
      <c r="E78" s="348">
        <v>5.8360000000000003</v>
      </c>
      <c r="F78" s="348" t="s">
        <v>110</v>
      </c>
      <c r="G78" s="254">
        <v>10214.91</v>
      </c>
      <c r="H78" s="254">
        <v>59614.21</v>
      </c>
      <c r="I78" s="254">
        <v>28346.15</v>
      </c>
      <c r="J78" s="348">
        <v>31235.85</v>
      </c>
      <c r="K78" s="348" t="s">
        <v>110</v>
      </c>
      <c r="L78" s="254">
        <v>32.21</v>
      </c>
      <c r="M78" s="254" t="s">
        <v>110</v>
      </c>
      <c r="N78" s="254" t="s">
        <v>110</v>
      </c>
      <c r="O78" s="256">
        <v>348.05900000000003</v>
      </c>
    </row>
    <row r="79" spans="1:15" ht="29.25" customHeight="1">
      <c r="A79" s="341" t="s">
        <v>288</v>
      </c>
      <c r="B79" s="341" t="s">
        <v>110</v>
      </c>
      <c r="C79" s="341" t="s">
        <v>110</v>
      </c>
      <c r="D79" s="341" t="s">
        <v>110</v>
      </c>
      <c r="E79" s="341" t="s">
        <v>110</v>
      </c>
      <c r="F79" s="338" t="s">
        <v>289</v>
      </c>
      <c r="G79" s="338" t="s">
        <v>110</v>
      </c>
      <c r="H79" s="338" t="s">
        <v>110</v>
      </c>
      <c r="I79" s="338" t="s">
        <v>110</v>
      </c>
      <c r="J79" s="338" t="s">
        <v>110</v>
      </c>
      <c r="K79" s="334" t="s">
        <v>290</v>
      </c>
      <c r="L79" s="334" t="s">
        <v>110</v>
      </c>
      <c r="M79" s="334" t="s">
        <v>110</v>
      </c>
      <c r="N79" s="334" t="s">
        <v>110</v>
      </c>
      <c r="O79" s="334" t="s">
        <v>110</v>
      </c>
    </row>
    <row r="80" spans="1:15" ht="19.5" customHeight="1">
      <c r="A80" s="340" t="s">
        <v>291</v>
      </c>
      <c r="B80" s="340" t="s">
        <v>110</v>
      </c>
      <c r="C80" s="340" t="s">
        <v>110</v>
      </c>
      <c r="D80" s="340" t="s">
        <v>110</v>
      </c>
      <c r="E80" s="340" t="s">
        <v>110</v>
      </c>
      <c r="F80" s="340" t="s">
        <v>110</v>
      </c>
      <c r="G80" s="340" t="s">
        <v>110</v>
      </c>
      <c r="H80" s="340" t="s">
        <v>110</v>
      </c>
      <c r="I80" s="340" t="s">
        <v>110</v>
      </c>
      <c r="J80" s="340" t="s">
        <v>110</v>
      </c>
      <c r="K80" s="340" t="s">
        <v>110</v>
      </c>
      <c r="L80" s="340" t="s">
        <v>110</v>
      </c>
      <c r="M80" s="340" t="s">
        <v>110</v>
      </c>
      <c r="N80" s="340" t="s">
        <v>110</v>
      </c>
      <c r="O80" s="340" t="s">
        <v>110</v>
      </c>
    </row>
    <row r="81" spans="1:15" ht="18" customHeight="1" thickBot="1">
      <c r="A81" s="341" t="s">
        <v>714</v>
      </c>
      <c r="B81" s="341" t="s">
        <v>110</v>
      </c>
      <c r="C81" s="341" t="s">
        <v>110</v>
      </c>
      <c r="D81" s="341" t="s">
        <v>110</v>
      </c>
      <c r="E81" s="341" t="s">
        <v>110</v>
      </c>
      <c r="F81" s="341" t="s">
        <v>110</v>
      </c>
      <c r="G81" s="341" t="s">
        <v>110</v>
      </c>
      <c r="H81" s="341" t="s">
        <v>110</v>
      </c>
      <c r="I81" s="341" t="s">
        <v>110</v>
      </c>
      <c r="J81" s="341" t="s">
        <v>110</v>
      </c>
      <c r="K81" s="334" t="s">
        <v>675</v>
      </c>
      <c r="L81" s="334" t="s">
        <v>110</v>
      </c>
      <c r="M81" s="334" t="s">
        <v>110</v>
      </c>
      <c r="N81" s="334" t="s">
        <v>110</v>
      </c>
      <c r="O81" s="334" t="s">
        <v>110</v>
      </c>
    </row>
    <row r="82" spans="1:15" ht="29.25" customHeight="1">
      <c r="A82" s="342" t="s">
        <v>112</v>
      </c>
      <c r="B82" s="335" t="s">
        <v>292</v>
      </c>
      <c r="C82" s="335" t="s">
        <v>293</v>
      </c>
      <c r="D82" s="335" t="s">
        <v>294</v>
      </c>
      <c r="E82" s="335" t="s">
        <v>110</v>
      </c>
      <c r="F82" s="335" t="s">
        <v>110</v>
      </c>
      <c r="G82" s="335" t="s">
        <v>295</v>
      </c>
      <c r="H82" s="335" t="s">
        <v>110</v>
      </c>
      <c r="I82" s="335" t="s">
        <v>296</v>
      </c>
      <c r="J82" s="335" t="s">
        <v>110</v>
      </c>
      <c r="K82" s="335" t="s">
        <v>110</v>
      </c>
      <c r="L82" s="335" t="s">
        <v>110</v>
      </c>
      <c r="M82" s="335" t="s">
        <v>110</v>
      </c>
      <c r="N82" s="335" t="s">
        <v>110</v>
      </c>
      <c r="O82" s="345" t="s">
        <v>297</v>
      </c>
    </row>
    <row r="83" spans="1:15" ht="18" customHeight="1">
      <c r="A83" s="343" t="s">
        <v>110</v>
      </c>
      <c r="B83" s="344" t="s">
        <v>110</v>
      </c>
      <c r="C83" s="344" t="s">
        <v>110</v>
      </c>
      <c r="D83" s="257" t="s">
        <v>133</v>
      </c>
      <c r="E83" s="344" t="s">
        <v>134</v>
      </c>
      <c r="F83" s="344" t="s">
        <v>110</v>
      </c>
      <c r="G83" s="257" t="s">
        <v>298</v>
      </c>
      <c r="H83" s="257" t="s">
        <v>299</v>
      </c>
      <c r="I83" s="257" t="s">
        <v>300</v>
      </c>
      <c r="J83" s="344" t="s">
        <v>301</v>
      </c>
      <c r="K83" s="344" t="s">
        <v>110</v>
      </c>
      <c r="L83" s="257" t="s">
        <v>302</v>
      </c>
      <c r="M83" s="257" t="s">
        <v>303</v>
      </c>
      <c r="N83" s="257" t="s">
        <v>304</v>
      </c>
      <c r="O83" s="346" t="s">
        <v>110</v>
      </c>
    </row>
    <row r="84" spans="1:15" ht="29.25" customHeight="1">
      <c r="A84" s="248">
        <v>2</v>
      </c>
      <c r="B84" s="252" t="s">
        <v>815</v>
      </c>
      <c r="C84" s="250" t="s">
        <v>816</v>
      </c>
      <c r="D84" s="252" t="s">
        <v>137</v>
      </c>
      <c r="E84" s="347">
        <v>193.0916</v>
      </c>
      <c r="F84" s="347" t="s">
        <v>110</v>
      </c>
      <c r="G84" s="253">
        <v>1740.16</v>
      </c>
      <c r="H84" s="253">
        <v>336010.28</v>
      </c>
      <c r="I84" s="253">
        <v>209736.1</v>
      </c>
      <c r="J84" s="347">
        <v>126274.18</v>
      </c>
      <c r="K84" s="347" t="s">
        <v>110</v>
      </c>
      <c r="L84" s="253" t="s">
        <v>110</v>
      </c>
      <c r="M84" s="253" t="s">
        <v>110</v>
      </c>
      <c r="N84" s="253" t="s">
        <v>110</v>
      </c>
      <c r="O84" s="255">
        <v>2454.1941999999999</v>
      </c>
    </row>
    <row r="85" spans="1:15" ht="29.25" customHeight="1">
      <c r="A85" s="248" t="s">
        <v>110</v>
      </c>
      <c r="B85" s="252" t="s">
        <v>110</v>
      </c>
      <c r="C85" s="259" t="s">
        <v>149</v>
      </c>
      <c r="D85" s="252" t="s">
        <v>110</v>
      </c>
      <c r="E85" s="347" t="s">
        <v>110</v>
      </c>
      <c r="F85" s="347" t="s">
        <v>110</v>
      </c>
      <c r="G85" s="253" t="s">
        <v>110</v>
      </c>
      <c r="H85" s="253">
        <v>1256495.01</v>
      </c>
      <c r="I85" s="253">
        <v>348258.03</v>
      </c>
      <c r="J85" s="347">
        <v>908236.98</v>
      </c>
      <c r="K85" s="347" t="s">
        <v>110</v>
      </c>
      <c r="L85" s="253" t="s">
        <v>110</v>
      </c>
      <c r="M85" s="253" t="s">
        <v>110</v>
      </c>
      <c r="N85" s="253" t="s">
        <v>110</v>
      </c>
      <c r="O85" s="255">
        <v>3972.7307999999998</v>
      </c>
    </row>
    <row r="86" spans="1:15" ht="29.25" customHeight="1">
      <c r="A86" s="248">
        <v>1</v>
      </c>
      <c r="B86" s="252" t="s">
        <v>815</v>
      </c>
      <c r="C86" s="250" t="s">
        <v>816</v>
      </c>
      <c r="D86" s="252" t="s">
        <v>137</v>
      </c>
      <c r="E86" s="347">
        <v>3.4169999999999998</v>
      </c>
      <c r="F86" s="347" t="s">
        <v>110</v>
      </c>
      <c r="G86" s="253">
        <v>1740.16</v>
      </c>
      <c r="H86" s="253">
        <v>5946.13</v>
      </c>
      <c r="I86" s="253">
        <v>3711.55</v>
      </c>
      <c r="J86" s="347">
        <v>2234.58</v>
      </c>
      <c r="K86" s="347" t="s">
        <v>110</v>
      </c>
      <c r="L86" s="253" t="s">
        <v>110</v>
      </c>
      <c r="M86" s="253" t="s">
        <v>110</v>
      </c>
      <c r="N86" s="253" t="s">
        <v>110</v>
      </c>
      <c r="O86" s="255">
        <v>43.430100000000003</v>
      </c>
    </row>
    <row r="87" spans="1:15" ht="18" customHeight="1">
      <c r="A87" s="248">
        <v>2</v>
      </c>
      <c r="B87" s="252" t="s">
        <v>817</v>
      </c>
      <c r="C87" s="250" t="s">
        <v>818</v>
      </c>
      <c r="D87" s="252" t="s">
        <v>137</v>
      </c>
      <c r="E87" s="347">
        <v>125.45659999999999</v>
      </c>
      <c r="F87" s="347" t="s">
        <v>110</v>
      </c>
      <c r="G87" s="253">
        <v>6049.05</v>
      </c>
      <c r="H87" s="253">
        <v>758893.25</v>
      </c>
      <c r="I87" s="253">
        <v>234546.13</v>
      </c>
      <c r="J87" s="347">
        <v>524347.11</v>
      </c>
      <c r="K87" s="347" t="s">
        <v>110</v>
      </c>
      <c r="L87" s="253" t="s">
        <v>110</v>
      </c>
      <c r="M87" s="253" t="s">
        <v>110</v>
      </c>
      <c r="N87" s="253" t="s">
        <v>110</v>
      </c>
      <c r="O87" s="255">
        <v>2674.7347</v>
      </c>
    </row>
    <row r="88" spans="1:15" ht="18" customHeight="1">
      <c r="A88" s="248">
        <v>3</v>
      </c>
      <c r="B88" s="252" t="s">
        <v>819</v>
      </c>
      <c r="C88" s="250" t="s">
        <v>820</v>
      </c>
      <c r="D88" s="252" t="s">
        <v>137</v>
      </c>
      <c r="E88" s="347">
        <v>125.45659999999999</v>
      </c>
      <c r="F88" s="347" t="s">
        <v>110</v>
      </c>
      <c r="G88" s="253">
        <v>3918.93</v>
      </c>
      <c r="H88" s="253">
        <v>491655.63</v>
      </c>
      <c r="I88" s="253">
        <v>110000.35</v>
      </c>
      <c r="J88" s="347">
        <v>381655.29</v>
      </c>
      <c r="K88" s="347" t="s">
        <v>110</v>
      </c>
      <c r="L88" s="253" t="s">
        <v>110</v>
      </c>
      <c r="M88" s="253" t="s">
        <v>110</v>
      </c>
      <c r="N88" s="253" t="s">
        <v>110</v>
      </c>
      <c r="O88" s="255">
        <v>1254.566</v>
      </c>
    </row>
    <row r="89" spans="1:15" ht="29.25" customHeight="1">
      <c r="A89" s="248" t="s">
        <v>110</v>
      </c>
      <c r="B89" s="252" t="s">
        <v>110</v>
      </c>
      <c r="C89" s="259" t="s">
        <v>150</v>
      </c>
      <c r="D89" s="252" t="s">
        <v>110</v>
      </c>
      <c r="E89" s="347" t="s">
        <v>110</v>
      </c>
      <c r="F89" s="347" t="s">
        <v>110</v>
      </c>
      <c r="G89" s="253" t="s">
        <v>110</v>
      </c>
      <c r="H89" s="253">
        <v>5248366.67</v>
      </c>
      <c r="I89" s="253">
        <v>334174.83</v>
      </c>
      <c r="J89" s="347">
        <v>4847319.8899999997</v>
      </c>
      <c r="K89" s="347" t="s">
        <v>110</v>
      </c>
      <c r="L89" s="253">
        <v>66871.95</v>
      </c>
      <c r="M89" s="253" t="s">
        <v>110</v>
      </c>
      <c r="N89" s="253" t="s">
        <v>110</v>
      </c>
      <c r="O89" s="255">
        <v>3821.2393999999999</v>
      </c>
    </row>
    <row r="90" spans="1:15" ht="29.25" customHeight="1">
      <c r="A90" s="248">
        <v>1</v>
      </c>
      <c r="B90" s="252" t="s">
        <v>821</v>
      </c>
      <c r="C90" s="250" t="s">
        <v>822</v>
      </c>
      <c r="D90" s="252" t="s">
        <v>137</v>
      </c>
      <c r="E90" s="347">
        <v>0.28439999999999999</v>
      </c>
      <c r="F90" s="347" t="s">
        <v>110</v>
      </c>
      <c r="G90" s="253">
        <v>49766.51</v>
      </c>
      <c r="H90" s="253">
        <v>14153.6</v>
      </c>
      <c r="I90" s="253">
        <v>1383.91</v>
      </c>
      <c r="J90" s="347">
        <v>12539.42</v>
      </c>
      <c r="K90" s="347" t="s">
        <v>110</v>
      </c>
      <c r="L90" s="253">
        <v>230.26</v>
      </c>
      <c r="M90" s="253" t="s">
        <v>110</v>
      </c>
      <c r="N90" s="253" t="s">
        <v>110</v>
      </c>
      <c r="O90" s="255">
        <v>15.7842</v>
      </c>
    </row>
    <row r="91" spans="1:15" ht="18" customHeight="1">
      <c r="A91" s="248">
        <v>2</v>
      </c>
      <c r="B91" s="252" t="s">
        <v>823</v>
      </c>
      <c r="C91" s="250" t="s">
        <v>824</v>
      </c>
      <c r="D91" s="252" t="s">
        <v>137</v>
      </c>
      <c r="E91" s="347">
        <v>0.26400000000000001</v>
      </c>
      <c r="F91" s="347" t="s">
        <v>110</v>
      </c>
      <c r="G91" s="253">
        <v>41529.21</v>
      </c>
      <c r="H91" s="253">
        <v>10963.71</v>
      </c>
      <c r="I91" s="253">
        <v>1712.92</v>
      </c>
      <c r="J91" s="347">
        <v>9020.92</v>
      </c>
      <c r="K91" s="347" t="s">
        <v>110</v>
      </c>
      <c r="L91" s="253">
        <v>229.88</v>
      </c>
      <c r="M91" s="253" t="s">
        <v>110</v>
      </c>
      <c r="N91" s="253" t="s">
        <v>110</v>
      </c>
      <c r="O91" s="255">
        <v>19.536000000000001</v>
      </c>
    </row>
    <row r="92" spans="1:15" ht="29.25" customHeight="1">
      <c r="A92" s="248">
        <v>3</v>
      </c>
      <c r="B92" s="252" t="s">
        <v>825</v>
      </c>
      <c r="C92" s="250" t="s">
        <v>826</v>
      </c>
      <c r="D92" s="252" t="s">
        <v>137</v>
      </c>
      <c r="E92" s="347">
        <v>2.5853999999999999</v>
      </c>
      <c r="F92" s="347" t="s">
        <v>110</v>
      </c>
      <c r="G92" s="253">
        <v>56279.71</v>
      </c>
      <c r="H92" s="253">
        <v>145505.56</v>
      </c>
      <c r="I92" s="253">
        <v>10494.76</v>
      </c>
      <c r="J92" s="347">
        <v>135006.25</v>
      </c>
      <c r="K92" s="347" t="s">
        <v>110</v>
      </c>
      <c r="L92" s="253">
        <v>4.55</v>
      </c>
      <c r="M92" s="253" t="s">
        <v>110</v>
      </c>
      <c r="N92" s="253" t="s">
        <v>110</v>
      </c>
      <c r="O92" s="255">
        <v>119.70399999999999</v>
      </c>
    </row>
    <row r="93" spans="1:15" ht="16.5" customHeight="1">
      <c r="A93" s="248">
        <v>4</v>
      </c>
      <c r="B93" s="252" t="s">
        <v>827</v>
      </c>
      <c r="C93" s="250" t="s">
        <v>828</v>
      </c>
      <c r="D93" s="252" t="s">
        <v>137</v>
      </c>
      <c r="E93" s="347">
        <v>0.105</v>
      </c>
      <c r="F93" s="347" t="s">
        <v>110</v>
      </c>
      <c r="G93" s="253">
        <v>79506.02</v>
      </c>
      <c r="H93" s="253">
        <v>8348.1299999999992</v>
      </c>
      <c r="I93" s="253">
        <v>254.11</v>
      </c>
      <c r="J93" s="347">
        <v>8094.03</v>
      </c>
      <c r="K93" s="347" t="s">
        <v>110</v>
      </c>
      <c r="L93" s="253" t="s">
        <v>110</v>
      </c>
      <c r="M93" s="253" t="s">
        <v>110</v>
      </c>
      <c r="N93" s="253" t="s">
        <v>110</v>
      </c>
      <c r="O93" s="255">
        <v>2.8980000000000001</v>
      </c>
    </row>
    <row r="94" spans="1:15" ht="29.25" customHeight="1">
      <c r="A94" s="248">
        <v>5</v>
      </c>
      <c r="B94" s="252" t="s">
        <v>829</v>
      </c>
      <c r="C94" s="250" t="s">
        <v>830</v>
      </c>
      <c r="D94" s="252" t="s">
        <v>137</v>
      </c>
      <c r="E94" s="347">
        <v>2.0874000000000001</v>
      </c>
      <c r="F94" s="347" t="s">
        <v>110</v>
      </c>
      <c r="G94" s="253">
        <v>51431.64</v>
      </c>
      <c r="H94" s="253">
        <v>107358.41</v>
      </c>
      <c r="I94" s="253">
        <v>17936.28</v>
      </c>
      <c r="J94" s="347">
        <v>89422.13</v>
      </c>
      <c r="K94" s="347" t="s">
        <v>110</v>
      </c>
      <c r="L94" s="253" t="s">
        <v>110</v>
      </c>
      <c r="M94" s="253" t="s">
        <v>110</v>
      </c>
      <c r="N94" s="253" t="s">
        <v>110</v>
      </c>
      <c r="O94" s="255">
        <v>204.5652</v>
      </c>
    </row>
    <row r="95" spans="1:15" ht="18" customHeight="1">
      <c r="A95" s="248">
        <v>6</v>
      </c>
      <c r="B95" s="252" t="s">
        <v>831</v>
      </c>
      <c r="C95" s="250" t="s">
        <v>832</v>
      </c>
      <c r="D95" s="252" t="s">
        <v>137</v>
      </c>
      <c r="E95" s="347">
        <v>1.944</v>
      </c>
      <c r="F95" s="347" t="s">
        <v>110</v>
      </c>
      <c r="G95" s="253">
        <v>42505.55</v>
      </c>
      <c r="H95" s="253">
        <v>82630.789999999994</v>
      </c>
      <c r="I95" s="253">
        <v>11352.14</v>
      </c>
      <c r="J95" s="347">
        <v>70840.12</v>
      </c>
      <c r="K95" s="347" t="s">
        <v>110</v>
      </c>
      <c r="L95" s="253">
        <v>438.53</v>
      </c>
      <c r="M95" s="253" t="s">
        <v>110</v>
      </c>
      <c r="N95" s="253" t="s">
        <v>110</v>
      </c>
      <c r="O95" s="255">
        <v>129.47040000000001</v>
      </c>
    </row>
    <row r="96" spans="1:15" ht="18" customHeight="1">
      <c r="A96" s="248">
        <v>7</v>
      </c>
      <c r="B96" s="252" t="s">
        <v>833</v>
      </c>
      <c r="C96" s="250" t="s">
        <v>834</v>
      </c>
      <c r="D96" s="252" t="s">
        <v>137</v>
      </c>
      <c r="E96" s="347">
        <v>13.45</v>
      </c>
      <c r="F96" s="347" t="s">
        <v>110</v>
      </c>
      <c r="G96" s="253">
        <v>167546.66</v>
      </c>
      <c r="H96" s="253">
        <v>2253502.58</v>
      </c>
      <c r="I96" s="253">
        <v>19896.849999999999</v>
      </c>
      <c r="J96" s="347">
        <v>2206746.75</v>
      </c>
      <c r="K96" s="347" t="s">
        <v>110</v>
      </c>
      <c r="L96" s="253">
        <v>26858.98</v>
      </c>
      <c r="M96" s="253" t="s">
        <v>110</v>
      </c>
      <c r="N96" s="253" t="s">
        <v>110</v>
      </c>
      <c r="O96" s="255">
        <v>236.8545</v>
      </c>
    </row>
    <row r="97" spans="1:15" ht="29.25" customHeight="1" thickBot="1">
      <c r="A97" s="249">
        <v>8</v>
      </c>
      <c r="B97" s="258" t="s">
        <v>835</v>
      </c>
      <c r="C97" s="251" t="s">
        <v>836</v>
      </c>
      <c r="D97" s="258" t="s">
        <v>137</v>
      </c>
      <c r="E97" s="348">
        <v>16.3704</v>
      </c>
      <c r="F97" s="348" t="s">
        <v>110</v>
      </c>
      <c r="G97" s="254">
        <v>68013.03</v>
      </c>
      <c r="H97" s="254">
        <v>1113400.51</v>
      </c>
      <c r="I97" s="254">
        <v>108671.95</v>
      </c>
      <c r="J97" s="348">
        <v>992912.23</v>
      </c>
      <c r="K97" s="348" t="s">
        <v>110</v>
      </c>
      <c r="L97" s="254">
        <v>11816.32</v>
      </c>
      <c r="M97" s="254" t="s">
        <v>110</v>
      </c>
      <c r="N97" s="254" t="s">
        <v>110</v>
      </c>
      <c r="O97" s="256">
        <v>1239.403</v>
      </c>
    </row>
    <row r="98" spans="1:15" ht="16.5" customHeight="1">
      <c r="A98" s="341" t="s">
        <v>288</v>
      </c>
      <c r="B98" s="341" t="s">
        <v>110</v>
      </c>
      <c r="C98" s="341" t="s">
        <v>110</v>
      </c>
      <c r="D98" s="341" t="s">
        <v>110</v>
      </c>
      <c r="E98" s="341" t="s">
        <v>110</v>
      </c>
      <c r="F98" s="338" t="s">
        <v>289</v>
      </c>
      <c r="G98" s="338" t="s">
        <v>110</v>
      </c>
      <c r="H98" s="338" t="s">
        <v>110</v>
      </c>
      <c r="I98" s="338" t="s">
        <v>110</v>
      </c>
      <c r="J98" s="338" t="s">
        <v>110</v>
      </c>
      <c r="K98" s="334" t="s">
        <v>290</v>
      </c>
      <c r="L98" s="334" t="s">
        <v>110</v>
      </c>
      <c r="M98" s="334" t="s">
        <v>110</v>
      </c>
      <c r="N98" s="334" t="s">
        <v>110</v>
      </c>
      <c r="O98" s="334" t="s">
        <v>110</v>
      </c>
    </row>
    <row r="99" spans="1:15" ht="14.25" customHeight="1">
      <c r="A99" s="340" t="s">
        <v>291</v>
      </c>
      <c r="B99" s="340" t="s">
        <v>110</v>
      </c>
      <c r="C99" s="340" t="s">
        <v>110</v>
      </c>
      <c r="D99" s="340" t="s">
        <v>110</v>
      </c>
      <c r="E99" s="340" t="s">
        <v>110</v>
      </c>
      <c r="F99" s="340" t="s">
        <v>110</v>
      </c>
      <c r="G99" s="340" t="s">
        <v>110</v>
      </c>
      <c r="H99" s="340" t="s">
        <v>110</v>
      </c>
      <c r="I99" s="340" t="s">
        <v>110</v>
      </c>
      <c r="J99" s="340" t="s">
        <v>110</v>
      </c>
      <c r="K99" s="340" t="s">
        <v>110</v>
      </c>
      <c r="L99" s="340" t="s">
        <v>110</v>
      </c>
      <c r="M99" s="340" t="s">
        <v>110</v>
      </c>
      <c r="N99" s="340" t="s">
        <v>110</v>
      </c>
      <c r="O99" s="340" t="s">
        <v>110</v>
      </c>
    </row>
    <row r="100" spans="1:15" ht="13.5" customHeight="1" thickBot="1">
      <c r="A100" s="341" t="s">
        <v>714</v>
      </c>
      <c r="B100" s="341" t="s">
        <v>110</v>
      </c>
      <c r="C100" s="341" t="s">
        <v>110</v>
      </c>
      <c r="D100" s="341" t="s">
        <v>110</v>
      </c>
      <c r="E100" s="341" t="s">
        <v>110</v>
      </c>
      <c r="F100" s="341" t="s">
        <v>110</v>
      </c>
      <c r="G100" s="341" t="s">
        <v>110</v>
      </c>
      <c r="H100" s="341" t="s">
        <v>110</v>
      </c>
      <c r="I100" s="341" t="s">
        <v>110</v>
      </c>
      <c r="J100" s="341" t="s">
        <v>110</v>
      </c>
      <c r="K100" s="334" t="s">
        <v>682</v>
      </c>
      <c r="L100" s="334" t="s">
        <v>110</v>
      </c>
      <c r="M100" s="334" t="s">
        <v>110</v>
      </c>
      <c r="N100" s="334" t="s">
        <v>110</v>
      </c>
      <c r="O100" s="334" t="s">
        <v>110</v>
      </c>
    </row>
    <row r="101" spans="1:15" ht="13.5" customHeight="1">
      <c r="A101" s="342" t="s">
        <v>112</v>
      </c>
      <c r="B101" s="335" t="s">
        <v>292</v>
      </c>
      <c r="C101" s="335" t="s">
        <v>293</v>
      </c>
      <c r="D101" s="335" t="s">
        <v>294</v>
      </c>
      <c r="E101" s="335" t="s">
        <v>110</v>
      </c>
      <c r="F101" s="335" t="s">
        <v>110</v>
      </c>
      <c r="G101" s="335" t="s">
        <v>295</v>
      </c>
      <c r="H101" s="335" t="s">
        <v>110</v>
      </c>
      <c r="I101" s="335" t="s">
        <v>296</v>
      </c>
      <c r="J101" s="335" t="s">
        <v>110</v>
      </c>
      <c r="K101" s="335" t="s">
        <v>110</v>
      </c>
      <c r="L101" s="335" t="s">
        <v>110</v>
      </c>
      <c r="M101" s="335" t="s">
        <v>110</v>
      </c>
      <c r="N101" s="335" t="s">
        <v>110</v>
      </c>
      <c r="O101" s="345" t="s">
        <v>297</v>
      </c>
    </row>
    <row r="102" spans="1:15" ht="13.5" customHeight="1">
      <c r="A102" s="343" t="s">
        <v>110</v>
      </c>
      <c r="B102" s="344" t="s">
        <v>110</v>
      </c>
      <c r="C102" s="344" t="s">
        <v>110</v>
      </c>
      <c r="D102" s="257" t="s">
        <v>133</v>
      </c>
      <c r="E102" s="344" t="s">
        <v>134</v>
      </c>
      <c r="F102" s="344" t="s">
        <v>110</v>
      </c>
      <c r="G102" s="257" t="s">
        <v>298</v>
      </c>
      <c r="H102" s="257" t="s">
        <v>299</v>
      </c>
      <c r="I102" s="257" t="s">
        <v>300</v>
      </c>
      <c r="J102" s="344" t="s">
        <v>301</v>
      </c>
      <c r="K102" s="344" t="s">
        <v>110</v>
      </c>
      <c r="L102" s="257" t="s">
        <v>302</v>
      </c>
      <c r="M102" s="257" t="s">
        <v>303</v>
      </c>
      <c r="N102" s="257" t="s">
        <v>304</v>
      </c>
      <c r="O102" s="346" t="s">
        <v>110</v>
      </c>
    </row>
    <row r="103" spans="1:15">
      <c r="A103" s="248">
        <v>9</v>
      </c>
      <c r="B103" s="252" t="s">
        <v>837</v>
      </c>
      <c r="C103" s="250" t="s">
        <v>838</v>
      </c>
      <c r="D103" s="252" t="s">
        <v>137</v>
      </c>
      <c r="E103" s="347">
        <v>9.2232000000000003</v>
      </c>
      <c r="F103" s="347" t="s">
        <v>110</v>
      </c>
      <c r="G103" s="253">
        <v>45459.43</v>
      </c>
      <c r="H103" s="253">
        <v>419281.41</v>
      </c>
      <c r="I103" s="253">
        <v>61226.55</v>
      </c>
      <c r="J103" s="347">
        <v>351397.46</v>
      </c>
      <c r="K103" s="347" t="s">
        <v>110</v>
      </c>
      <c r="L103" s="253">
        <v>6657.4</v>
      </c>
      <c r="M103" s="253" t="s">
        <v>110</v>
      </c>
      <c r="N103" s="253" t="s">
        <v>110</v>
      </c>
      <c r="O103" s="255">
        <v>698.2885</v>
      </c>
    </row>
    <row r="104" spans="1:15">
      <c r="A104" s="248">
        <v>10</v>
      </c>
      <c r="B104" s="252" t="s">
        <v>839</v>
      </c>
      <c r="C104" s="250" t="s">
        <v>840</v>
      </c>
      <c r="D104" s="252" t="s">
        <v>137</v>
      </c>
      <c r="E104" s="347">
        <v>27.4284</v>
      </c>
      <c r="F104" s="347" t="s">
        <v>110</v>
      </c>
      <c r="G104" s="253">
        <v>39857.300000000003</v>
      </c>
      <c r="H104" s="253">
        <v>1093221.97</v>
      </c>
      <c r="I104" s="253">
        <v>101245.36</v>
      </c>
      <c r="J104" s="347">
        <v>971340.58</v>
      </c>
      <c r="K104" s="347" t="s">
        <v>110</v>
      </c>
      <c r="L104" s="253">
        <v>20636.03</v>
      </c>
      <c r="M104" s="253" t="s">
        <v>110</v>
      </c>
      <c r="N104" s="253" t="s">
        <v>110</v>
      </c>
      <c r="O104" s="255">
        <v>1154.7356</v>
      </c>
    </row>
    <row r="105" spans="1:15">
      <c r="A105" s="248" t="s">
        <v>110</v>
      </c>
      <c r="B105" s="252" t="s">
        <v>110</v>
      </c>
      <c r="C105" s="259" t="s">
        <v>151</v>
      </c>
      <c r="D105" s="252" t="s">
        <v>110</v>
      </c>
      <c r="E105" s="347" t="s">
        <v>110</v>
      </c>
      <c r="F105" s="347" t="s">
        <v>110</v>
      </c>
      <c r="G105" s="253" t="s">
        <v>110</v>
      </c>
      <c r="H105" s="253">
        <v>6617.59</v>
      </c>
      <c r="I105" s="253">
        <v>1164.47</v>
      </c>
      <c r="J105" s="347">
        <v>5431.45</v>
      </c>
      <c r="K105" s="347" t="s">
        <v>110</v>
      </c>
      <c r="L105" s="253">
        <v>21.67</v>
      </c>
      <c r="M105" s="253" t="s">
        <v>110</v>
      </c>
      <c r="N105" s="253" t="s">
        <v>110</v>
      </c>
      <c r="O105" s="255">
        <v>15.6524</v>
      </c>
    </row>
    <row r="106" spans="1:15" ht="24">
      <c r="A106" s="248">
        <v>1</v>
      </c>
      <c r="B106" s="252" t="s">
        <v>841</v>
      </c>
      <c r="C106" s="250" t="s">
        <v>842</v>
      </c>
      <c r="D106" s="252" t="s">
        <v>137</v>
      </c>
      <c r="E106" s="347">
        <v>2.1800000000000002</v>
      </c>
      <c r="F106" s="347" t="s">
        <v>110</v>
      </c>
      <c r="G106" s="253">
        <v>3035.59</v>
      </c>
      <c r="H106" s="253">
        <v>6617.59</v>
      </c>
      <c r="I106" s="253">
        <v>1164.47</v>
      </c>
      <c r="J106" s="347">
        <v>5431.45</v>
      </c>
      <c r="K106" s="347" t="s">
        <v>110</v>
      </c>
      <c r="L106" s="253">
        <v>21.67</v>
      </c>
      <c r="M106" s="253" t="s">
        <v>110</v>
      </c>
      <c r="N106" s="253" t="s">
        <v>110</v>
      </c>
      <c r="O106" s="255">
        <v>15.6524</v>
      </c>
    </row>
    <row r="107" spans="1:15">
      <c r="A107" s="248" t="s">
        <v>110</v>
      </c>
      <c r="B107" s="252" t="s">
        <v>110</v>
      </c>
      <c r="C107" s="250" t="s">
        <v>110</v>
      </c>
      <c r="D107" s="252" t="s">
        <v>110</v>
      </c>
      <c r="E107" s="347" t="s">
        <v>110</v>
      </c>
      <c r="F107" s="347" t="s">
        <v>110</v>
      </c>
      <c r="G107" s="253" t="s">
        <v>110</v>
      </c>
      <c r="H107" s="253" t="s">
        <v>110</v>
      </c>
      <c r="I107" s="253" t="s">
        <v>110</v>
      </c>
      <c r="J107" s="347" t="s">
        <v>110</v>
      </c>
      <c r="K107" s="347" t="s">
        <v>110</v>
      </c>
      <c r="L107" s="253" t="s">
        <v>110</v>
      </c>
      <c r="M107" s="253" t="s">
        <v>110</v>
      </c>
      <c r="N107" s="253" t="s">
        <v>110</v>
      </c>
      <c r="O107" s="255" t="s">
        <v>110</v>
      </c>
    </row>
    <row r="108" spans="1:15">
      <c r="A108" s="248" t="s">
        <v>110</v>
      </c>
      <c r="B108" s="252" t="s">
        <v>110</v>
      </c>
      <c r="C108" s="250" t="s">
        <v>110</v>
      </c>
      <c r="D108" s="252" t="s">
        <v>110</v>
      </c>
      <c r="E108" s="347" t="s">
        <v>110</v>
      </c>
      <c r="F108" s="347" t="s">
        <v>110</v>
      </c>
      <c r="G108" s="253" t="s">
        <v>110</v>
      </c>
      <c r="H108" s="253" t="s">
        <v>110</v>
      </c>
      <c r="I108" s="253" t="s">
        <v>110</v>
      </c>
      <c r="J108" s="347" t="s">
        <v>110</v>
      </c>
      <c r="K108" s="347" t="s">
        <v>110</v>
      </c>
      <c r="L108" s="253" t="s">
        <v>110</v>
      </c>
      <c r="M108" s="253" t="s">
        <v>110</v>
      </c>
      <c r="N108" s="253" t="s">
        <v>110</v>
      </c>
      <c r="O108" s="255" t="s">
        <v>110</v>
      </c>
    </row>
    <row r="109" spans="1:15">
      <c r="A109" s="248" t="s">
        <v>110</v>
      </c>
      <c r="B109" s="252" t="s">
        <v>110</v>
      </c>
      <c r="C109" s="250" t="s">
        <v>110</v>
      </c>
      <c r="D109" s="252" t="s">
        <v>110</v>
      </c>
      <c r="E109" s="347" t="s">
        <v>110</v>
      </c>
      <c r="F109" s="347" t="s">
        <v>110</v>
      </c>
      <c r="G109" s="253" t="s">
        <v>110</v>
      </c>
      <c r="H109" s="253" t="s">
        <v>110</v>
      </c>
      <c r="I109" s="253" t="s">
        <v>110</v>
      </c>
      <c r="J109" s="347" t="s">
        <v>110</v>
      </c>
      <c r="K109" s="347" t="s">
        <v>110</v>
      </c>
      <c r="L109" s="253" t="s">
        <v>110</v>
      </c>
      <c r="M109" s="253" t="s">
        <v>110</v>
      </c>
      <c r="N109" s="253" t="s">
        <v>110</v>
      </c>
      <c r="O109" s="255" t="s">
        <v>110</v>
      </c>
    </row>
    <row r="110" spans="1:15">
      <c r="A110" s="248" t="s">
        <v>110</v>
      </c>
      <c r="B110" s="252" t="s">
        <v>110</v>
      </c>
      <c r="C110" s="250" t="s">
        <v>110</v>
      </c>
      <c r="D110" s="252" t="s">
        <v>110</v>
      </c>
      <c r="E110" s="347" t="s">
        <v>110</v>
      </c>
      <c r="F110" s="347" t="s">
        <v>110</v>
      </c>
      <c r="G110" s="253" t="s">
        <v>110</v>
      </c>
      <c r="H110" s="253" t="s">
        <v>110</v>
      </c>
      <c r="I110" s="253" t="s">
        <v>110</v>
      </c>
      <c r="J110" s="347" t="s">
        <v>110</v>
      </c>
      <c r="K110" s="347" t="s">
        <v>110</v>
      </c>
      <c r="L110" s="253" t="s">
        <v>110</v>
      </c>
      <c r="M110" s="253" t="s">
        <v>110</v>
      </c>
      <c r="N110" s="253" t="s">
        <v>110</v>
      </c>
      <c r="O110" s="255" t="s">
        <v>110</v>
      </c>
    </row>
    <row r="111" spans="1:15">
      <c r="A111" s="248" t="s">
        <v>110</v>
      </c>
      <c r="B111" s="252" t="s">
        <v>110</v>
      </c>
      <c r="C111" s="250" t="s">
        <v>110</v>
      </c>
      <c r="D111" s="252" t="s">
        <v>110</v>
      </c>
      <c r="E111" s="347" t="s">
        <v>110</v>
      </c>
      <c r="F111" s="347" t="s">
        <v>110</v>
      </c>
      <c r="G111" s="253" t="s">
        <v>110</v>
      </c>
      <c r="H111" s="253" t="s">
        <v>110</v>
      </c>
      <c r="I111" s="253" t="s">
        <v>110</v>
      </c>
      <c r="J111" s="347" t="s">
        <v>110</v>
      </c>
      <c r="K111" s="347" t="s">
        <v>110</v>
      </c>
      <c r="L111" s="253" t="s">
        <v>110</v>
      </c>
      <c r="M111" s="253" t="s">
        <v>110</v>
      </c>
      <c r="N111" s="253" t="s">
        <v>110</v>
      </c>
      <c r="O111" s="255" t="s">
        <v>110</v>
      </c>
    </row>
    <row r="112" spans="1:15">
      <c r="A112" s="248" t="s">
        <v>110</v>
      </c>
      <c r="B112" s="252" t="s">
        <v>110</v>
      </c>
      <c r="C112" s="250" t="s">
        <v>110</v>
      </c>
      <c r="D112" s="252" t="s">
        <v>110</v>
      </c>
      <c r="E112" s="347" t="s">
        <v>110</v>
      </c>
      <c r="F112" s="347" t="s">
        <v>110</v>
      </c>
      <c r="G112" s="253" t="s">
        <v>110</v>
      </c>
      <c r="H112" s="253" t="s">
        <v>110</v>
      </c>
      <c r="I112" s="253" t="s">
        <v>110</v>
      </c>
      <c r="J112" s="347" t="s">
        <v>110</v>
      </c>
      <c r="K112" s="347" t="s">
        <v>110</v>
      </c>
      <c r="L112" s="253" t="s">
        <v>110</v>
      </c>
      <c r="M112" s="253" t="s">
        <v>110</v>
      </c>
      <c r="N112" s="253" t="s">
        <v>110</v>
      </c>
      <c r="O112" s="255" t="s">
        <v>110</v>
      </c>
    </row>
    <row r="113" spans="1:15">
      <c r="A113" s="248" t="s">
        <v>110</v>
      </c>
      <c r="B113" s="252" t="s">
        <v>110</v>
      </c>
      <c r="C113" s="250" t="s">
        <v>110</v>
      </c>
      <c r="D113" s="252" t="s">
        <v>110</v>
      </c>
      <c r="E113" s="347" t="s">
        <v>110</v>
      </c>
      <c r="F113" s="347" t="s">
        <v>110</v>
      </c>
      <c r="G113" s="253" t="s">
        <v>110</v>
      </c>
      <c r="H113" s="253" t="s">
        <v>110</v>
      </c>
      <c r="I113" s="253" t="s">
        <v>110</v>
      </c>
      <c r="J113" s="347" t="s">
        <v>110</v>
      </c>
      <c r="K113" s="347" t="s">
        <v>110</v>
      </c>
      <c r="L113" s="253" t="s">
        <v>110</v>
      </c>
      <c r="M113" s="253" t="s">
        <v>110</v>
      </c>
      <c r="N113" s="253" t="s">
        <v>110</v>
      </c>
      <c r="O113" s="255" t="s">
        <v>110</v>
      </c>
    </row>
    <row r="114" spans="1:15">
      <c r="A114" s="248" t="s">
        <v>110</v>
      </c>
      <c r="B114" s="252" t="s">
        <v>110</v>
      </c>
      <c r="C114" s="250" t="s">
        <v>110</v>
      </c>
      <c r="D114" s="252" t="s">
        <v>110</v>
      </c>
      <c r="E114" s="347" t="s">
        <v>110</v>
      </c>
      <c r="F114" s="347" t="s">
        <v>110</v>
      </c>
      <c r="G114" s="253" t="s">
        <v>110</v>
      </c>
      <c r="H114" s="253" t="s">
        <v>110</v>
      </c>
      <c r="I114" s="253" t="s">
        <v>110</v>
      </c>
      <c r="J114" s="347" t="s">
        <v>110</v>
      </c>
      <c r="K114" s="347" t="s">
        <v>110</v>
      </c>
      <c r="L114" s="253" t="s">
        <v>110</v>
      </c>
      <c r="M114" s="253" t="s">
        <v>110</v>
      </c>
      <c r="N114" s="253" t="s">
        <v>110</v>
      </c>
      <c r="O114" s="255" t="s">
        <v>110</v>
      </c>
    </row>
    <row r="115" spans="1:15">
      <c r="A115" s="248" t="s">
        <v>110</v>
      </c>
      <c r="B115" s="252" t="s">
        <v>110</v>
      </c>
      <c r="C115" s="250" t="s">
        <v>110</v>
      </c>
      <c r="D115" s="252" t="s">
        <v>110</v>
      </c>
      <c r="E115" s="347" t="s">
        <v>110</v>
      </c>
      <c r="F115" s="347" t="s">
        <v>110</v>
      </c>
      <c r="G115" s="253" t="s">
        <v>110</v>
      </c>
      <c r="H115" s="253" t="s">
        <v>110</v>
      </c>
      <c r="I115" s="253" t="s">
        <v>110</v>
      </c>
      <c r="J115" s="347" t="s">
        <v>110</v>
      </c>
      <c r="K115" s="347" t="s">
        <v>110</v>
      </c>
      <c r="L115" s="253" t="s">
        <v>110</v>
      </c>
      <c r="M115" s="253" t="s">
        <v>110</v>
      </c>
      <c r="N115" s="253" t="s">
        <v>110</v>
      </c>
      <c r="O115" s="255" t="s">
        <v>110</v>
      </c>
    </row>
    <row r="116" spans="1:15">
      <c r="A116" s="248" t="s">
        <v>110</v>
      </c>
      <c r="B116" s="252" t="s">
        <v>110</v>
      </c>
      <c r="C116" s="250" t="s">
        <v>110</v>
      </c>
      <c r="D116" s="252" t="s">
        <v>110</v>
      </c>
      <c r="E116" s="347" t="s">
        <v>110</v>
      </c>
      <c r="F116" s="347" t="s">
        <v>110</v>
      </c>
      <c r="G116" s="253" t="s">
        <v>110</v>
      </c>
      <c r="H116" s="253" t="s">
        <v>110</v>
      </c>
      <c r="I116" s="253" t="s">
        <v>110</v>
      </c>
      <c r="J116" s="347" t="s">
        <v>110</v>
      </c>
      <c r="K116" s="347" t="s">
        <v>110</v>
      </c>
      <c r="L116" s="253" t="s">
        <v>110</v>
      </c>
      <c r="M116" s="253" t="s">
        <v>110</v>
      </c>
      <c r="N116" s="253" t="s">
        <v>110</v>
      </c>
      <c r="O116" s="255" t="s">
        <v>110</v>
      </c>
    </row>
    <row r="117" spans="1:15">
      <c r="A117" s="248" t="s">
        <v>110</v>
      </c>
      <c r="B117" s="252" t="s">
        <v>110</v>
      </c>
      <c r="C117" s="250" t="s">
        <v>110</v>
      </c>
      <c r="D117" s="252" t="s">
        <v>110</v>
      </c>
      <c r="E117" s="347" t="s">
        <v>110</v>
      </c>
      <c r="F117" s="347" t="s">
        <v>110</v>
      </c>
      <c r="G117" s="253" t="s">
        <v>110</v>
      </c>
      <c r="H117" s="253" t="s">
        <v>110</v>
      </c>
      <c r="I117" s="253" t="s">
        <v>110</v>
      </c>
      <c r="J117" s="347" t="s">
        <v>110</v>
      </c>
      <c r="K117" s="347" t="s">
        <v>110</v>
      </c>
      <c r="L117" s="253" t="s">
        <v>110</v>
      </c>
      <c r="M117" s="253" t="s">
        <v>110</v>
      </c>
      <c r="N117" s="253" t="s">
        <v>110</v>
      </c>
      <c r="O117" s="255" t="s">
        <v>110</v>
      </c>
    </row>
    <row r="118" spans="1:15">
      <c r="A118" s="248" t="s">
        <v>110</v>
      </c>
      <c r="B118" s="252" t="s">
        <v>110</v>
      </c>
      <c r="C118" s="250" t="s">
        <v>110</v>
      </c>
      <c r="D118" s="252" t="s">
        <v>110</v>
      </c>
      <c r="E118" s="347" t="s">
        <v>110</v>
      </c>
      <c r="F118" s="347" t="s">
        <v>110</v>
      </c>
      <c r="G118" s="253" t="s">
        <v>110</v>
      </c>
      <c r="H118" s="253" t="s">
        <v>110</v>
      </c>
      <c r="I118" s="253" t="s">
        <v>110</v>
      </c>
      <c r="J118" s="347" t="s">
        <v>110</v>
      </c>
      <c r="K118" s="347" t="s">
        <v>110</v>
      </c>
      <c r="L118" s="253" t="s">
        <v>110</v>
      </c>
      <c r="M118" s="253" t="s">
        <v>110</v>
      </c>
      <c r="N118" s="253" t="s">
        <v>110</v>
      </c>
      <c r="O118" s="255" t="s">
        <v>110</v>
      </c>
    </row>
    <row r="119" spans="1:15">
      <c r="A119" s="248" t="s">
        <v>110</v>
      </c>
      <c r="B119" s="252" t="s">
        <v>110</v>
      </c>
      <c r="C119" s="250" t="s">
        <v>110</v>
      </c>
      <c r="D119" s="252" t="s">
        <v>110</v>
      </c>
      <c r="E119" s="347" t="s">
        <v>110</v>
      </c>
      <c r="F119" s="347" t="s">
        <v>110</v>
      </c>
      <c r="G119" s="253" t="s">
        <v>110</v>
      </c>
      <c r="H119" s="253" t="s">
        <v>110</v>
      </c>
      <c r="I119" s="253" t="s">
        <v>110</v>
      </c>
      <c r="J119" s="347" t="s">
        <v>110</v>
      </c>
      <c r="K119" s="347" t="s">
        <v>110</v>
      </c>
      <c r="L119" s="253" t="s">
        <v>110</v>
      </c>
      <c r="M119" s="253" t="s">
        <v>110</v>
      </c>
      <c r="N119" s="253" t="s">
        <v>110</v>
      </c>
      <c r="O119" s="255" t="s">
        <v>110</v>
      </c>
    </row>
    <row r="120" spans="1:15">
      <c r="A120" s="248" t="s">
        <v>110</v>
      </c>
      <c r="B120" s="252" t="s">
        <v>110</v>
      </c>
      <c r="C120" s="250" t="s">
        <v>110</v>
      </c>
      <c r="D120" s="252" t="s">
        <v>110</v>
      </c>
      <c r="E120" s="347" t="s">
        <v>110</v>
      </c>
      <c r="F120" s="347" t="s">
        <v>110</v>
      </c>
      <c r="G120" s="253" t="s">
        <v>110</v>
      </c>
      <c r="H120" s="253" t="s">
        <v>110</v>
      </c>
      <c r="I120" s="253" t="s">
        <v>110</v>
      </c>
      <c r="J120" s="347" t="s">
        <v>110</v>
      </c>
      <c r="K120" s="347" t="s">
        <v>110</v>
      </c>
      <c r="L120" s="253" t="s">
        <v>110</v>
      </c>
      <c r="M120" s="253" t="s">
        <v>110</v>
      </c>
      <c r="N120" s="253" t="s">
        <v>110</v>
      </c>
      <c r="O120" s="255" t="s">
        <v>110</v>
      </c>
    </row>
    <row r="121" spans="1:15" ht="13.5" customHeight="1" thickBot="1">
      <c r="A121" s="349" t="s">
        <v>135</v>
      </c>
      <c r="B121" s="350" t="s">
        <v>110</v>
      </c>
      <c r="C121" s="350" t="s">
        <v>110</v>
      </c>
      <c r="D121" s="350" t="s">
        <v>110</v>
      </c>
      <c r="E121" s="350" t="s">
        <v>110</v>
      </c>
      <c r="F121" s="350" t="s">
        <v>110</v>
      </c>
      <c r="G121" s="350" t="s">
        <v>110</v>
      </c>
      <c r="H121" s="254">
        <v>68010775.120000005</v>
      </c>
      <c r="I121" s="254">
        <v>8881970.5399999991</v>
      </c>
      <c r="J121" s="348">
        <v>56127533.109999999</v>
      </c>
      <c r="K121" s="348" t="s">
        <v>110</v>
      </c>
      <c r="L121" s="254">
        <v>3001271.43</v>
      </c>
      <c r="M121" s="254" t="s">
        <v>110</v>
      </c>
      <c r="N121" s="254" t="s">
        <v>110</v>
      </c>
      <c r="O121" s="256">
        <v>109354.3351</v>
      </c>
    </row>
    <row r="122" spans="1:15" ht="13.5" customHeight="1">
      <c r="A122" s="341" t="s">
        <v>288</v>
      </c>
      <c r="B122" s="341" t="s">
        <v>110</v>
      </c>
      <c r="C122" s="341" t="s">
        <v>110</v>
      </c>
      <c r="D122" s="341" t="s">
        <v>110</v>
      </c>
      <c r="E122" s="341" t="s">
        <v>110</v>
      </c>
      <c r="F122" s="338" t="s">
        <v>289</v>
      </c>
      <c r="G122" s="338" t="s">
        <v>110</v>
      </c>
      <c r="H122" s="338" t="s">
        <v>110</v>
      </c>
      <c r="I122" s="338" t="s">
        <v>110</v>
      </c>
      <c r="J122" s="338" t="s">
        <v>110</v>
      </c>
      <c r="K122" s="334" t="s">
        <v>290</v>
      </c>
      <c r="L122" s="334" t="s">
        <v>110</v>
      </c>
      <c r="M122" s="334" t="s">
        <v>110</v>
      </c>
      <c r="N122" s="334" t="s">
        <v>110</v>
      </c>
      <c r="O122" s="334" t="s">
        <v>110</v>
      </c>
    </row>
  </sheetData>
  <mergeCells count="274">
    <mergeCell ref="A80:O80"/>
    <mergeCell ref="A81:J81"/>
    <mergeCell ref="K81:O81"/>
    <mergeCell ref="A82:A83"/>
    <mergeCell ref="B82:B83"/>
    <mergeCell ref="C82:C83"/>
    <mergeCell ref="D82:F82"/>
    <mergeCell ref="G82:H82"/>
    <mergeCell ref="I82:N82"/>
    <mergeCell ref="O82:O83"/>
    <mergeCell ref="A101:A102"/>
    <mergeCell ref="B101:B102"/>
    <mergeCell ref="C101:C102"/>
    <mergeCell ref="A121:G121"/>
    <mergeCell ref="J121:K121"/>
    <mergeCell ref="A122:E122"/>
    <mergeCell ref="F122:J122"/>
    <mergeCell ref="K122:O122"/>
    <mergeCell ref="E7:F7"/>
    <mergeCell ref="J7:K7"/>
    <mergeCell ref="E8:F8"/>
    <mergeCell ref="J8:K8"/>
    <mergeCell ref="E9:F9"/>
    <mergeCell ref="J9:K9"/>
    <mergeCell ref="E34:F34"/>
    <mergeCell ref="J34:K34"/>
    <mergeCell ref="E35:F35"/>
    <mergeCell ref="J35:K35"/>
    <mergeCell ref="E36:F36"/>
    <mergeCell ref="J36:K36"/>
    <mergeCell ref="E56:F56"/>
    <mergeCell ref="J56:K56"/>
    <mergeCell ref="E57:F57"/>
    <mergeCell ref="J57:K57"/>
    <mergeCell ref="A98:E98"/>
    <mergeCell ref="F98:J98"/>
    <mergeCell ref="K98:O98"/>
    <mergeCell ref="A99:O99"/>
    <mergeCell ref="A100:J100"/>
    <mergeCell ref="K100:O100"/>
    <mergeCell ref="E95:F95"/>
    <mergeCell ref="J95:K95"/>
    <mergeCell ref="E96:F96"/>
    <mergeCell ref="J96:K96"/>
    <mergeCell ref="E97:F97"/>
    <mergeCell ref="J97:K97"/>
    <mergeCell ref="E86:F86"/>
    <mergeCell ref="J86:K86"/>
    <mergeCell ref="E87:F87"/>
    <mergeCell ref="J87:K87"/>
    <mergeCell ref="E88:F88"/>
    <mergeCell ref="J88:K88"/>
    <mergeCell ref="E83:F83"/>
    <mergeCell ref="J83:K83"/>
    <mergeCell ref="E84:F84"/>
    <mergeCell ref="J84:K84"/>
    <mergeCell ref="E85:F85"/>
    <mergeCell ref="J85:K85"/>
    <mergeCell ref="E77:F77"/>
    <mergeCell ref="J77:K77"/>
    <mergeCell ref="E78:F78"/>
    <mergeCell ref="J78:K78"/>
    <mergeCell ref="A79:E79"/>
    <mergeCell ref="F79:J79"/>
    <mergeCell ref="K79:O79"/>
    <mergeCell ref="E74:F74"/>
    <mergeCell ref="J74:K74"/>
    <mergeCell ref="E75:F75"/>
    <mergeCell ref="J75:K75"/>
    <mergeCell ref="E76:F76"/>
    <mergeCell ref="J76:K76"/>
    <mergeCell ref="E71:F71"/>
    <mergeCell ref="J71:K71"/>
    <mergeCell ref="E72:F72"/>
    <mergeCell ref="J72:K72"/>
    <mergeCell ref="E73:F73"/>
    <mergeCell ref="J73:K73"/>
    <mergeCell ref="E68:F68"/>
    <mergeCell ref="J68:K68"/>
    <mergeCell ref="E69:F69"/>
    <mergeCell ref="J69:K69"/>
    <mergeCell ref="E70:F70"/>
    <mergeCell ref="J70:K70"/>
    <mergeCell ref="E65:F65"/>
    <mergeCell ref="J65:K65"/>
    <mergeCell ref="E66:F66"/>
    <mergeCell ref="J66:K66"/>
    <mergeCell ref="E67:F67"/>
    <mergeCell ref="J67:K67"/>
    <mergeCell ref="A62:J62"/>
    <mergeCell ref="K62:O62"/>
    <mergeCell ref="A63:A64"/>
    <mergeCell ref="B63:B64"/>
    <mergeCell ref="C63:C64"/>
    <mergeCell ref="O63:O64"/>
    <mergeCell ref="J64:K64"/>
    <mergeCell ref="E64:F64"/>
    <mergeCell ref="E58:F58"/>
    <mergeCell ref="J58:K58"/>
    <mergeCell ref="E53:F53"/>
    <mergeCell ref="J53:K53"/>
    <mergeCell ref="E54:F54"/>
    <mergeCell ref="J54:K54"/>
    <mergeCell ref="E55:F55"/>
    <mergeCell ref="D63:F63"/>
    <mergeCell ref="G63:H63"/>
    <mergeCell ref="I63:N63"/>
    <mergeCell ref="E59:F59"/>
    <mergeCell ref="J59:K59"/>
    <mergeCell ref="A60:E60"/>
    <mergeCell ref="F60:J60"/>
    <mergeCell ref="K60:O60"/>
    <mergeCell ref="A61:O61"/>
    <mergeCell ref="J55:K55"/>
    <mergeCell ref="E27:F27"/>
    <mergeCell ref="J27:K27"/>
    <mergeCell ref="O43:O44"/>
    <mergeCell ref="E44:F44"/>
    <mergeCell ref="J44:K44"/>
    <mergeCell ref="E37:F37"/>
    <mergeCell ref="J37:K37"/>
    <mergeCell ref="E38:F38"/>
    <mergeCell ref="J38:K38"/>
    <mergeCell ref="E39:F39"/>
    <mergeCell ref="J39:K39"/>
    <mergeCell ref="E31:F31"/>
    <mergeCell ref="J31:K31"/>
    <mergeCell ref="E32:F32"/>
    <mergeCell ref="J32:K32"/>
    <mergeCell ref="E33:F33"/>
    <mergeCell ref="J33:K33"/>
    <mergeCell ref="E28:F28"/>
    <mergeCell ref="J28:K28"/>
    <mergeCell ref="E29:F29"/>
    <mergeCell ref="D43:F43"/>
    <mergeCell ref="G43:H43"/>
    <mergeCell ref="I43:N43"/>
    <mergeCell ref="A40:E40"/>
    <mergeCell ref="E120:F120"/>
    <mergeCell ref="J120:K120"/>
    <mergeCell ref="E117:F117"/>
    <mergeCell ref="J117:K117"/>
    <mergeCell ref="E118:F118"/>
    <mergeCell ref="J118:K118"/>
    <mergeCell ref="E119:F119"/>
    <mergeCell ref="J119:K119"/>
    <mergeCell ref="E114:F114"/>
    <mergeCell ref="J114:K114"/>
    <mergeCell ref="E115:F115"/>
    <mergeCell ref="J115:K115"/>
    <mergeCell ref="E116:F116"/>
    <mergeCell ref="J116:K116"/>
    <mergeCell ref="E112:F112"/>
    <mergeCell ref="J112:K112"/>
    <mergeCell ref="E113:F113"/>
    <mergeCell ref="J113:K113"/>
    <mergeCell ref="E108:F108"/>
    <mergeCell ref="J108:K108"/>
    <mergeCell ref="E109:F109"/>
    <mergeCell ref="J109:K109"/>
    <mergeCell ref="E110:F110"/>
    <mergeCell ref="J110:K110"/>
    <mergeCell ref="E111:F111"/>
    <mergeCell ref="J111:K111"/>
    <mergeCell ref="E105:F105"/>
    <mergeCell ref="J105:K105"/>
    <mergeCell ref="E106:F106"/>
    <mergeCell ref="J106:K106"/>
    <mergeCell ref="E107:F107"/>
    <mergeCell ref="J107:K107"/>
    <mergeCell ref="O101:O102"/>
    <mergeCell ref="E102:F102"/>
    <mergeCell ref="J102:K102"/>
    <mergeCell ref="E103:F103"/>
    <mergeCell ref="J103:K103"/>
    <mergeCell ref="E104:F104"/>
    <mergeCell ref="J104:K104"/>
    <mergeCell ref="D101:F101"/>
    <mergeCell ref="G101:H101"/>
    <mergeCell ref="I101:N101"/>
    <mergeCell ref="E92:F92"/>
    <mergeCell ref="J92:K92"/>
    <mergeCell ref="E93:F93"/>
    <mergeCell ref="J93:K93"/>
    <mergeCell ref="E94:F94"/>
    <mergeCell ref="J94:K94"/>
    <mergeCell ref="E89:F89"/>
    <mergeCell ref="J89:K89"/>
    <mergeCell ref="E90:F90"/>
    <mergeCell ref="J90:K90"/>
    <mergeCell ref="E91:F91"/>
    <mergeCell ref="J91:K91"/>
    <mergeCell ref="E50:F50"/>
    <mergeCell ref="J50:K50"/>
    <mergeCell ref="E51:F51"/>
    <mergeCell ref="J51:K51"/>
    <mergeCell ref="E52:F52"/>
    <mergeCell ref="J52:K52"/>
    <mergeCell ref="E47:F47"/>
    <mergeCell ref="J47:K47"/>
    <mergeCell ref="E48:F48"/>
    <mergeCell ref="J48:K48"/>
    <mergeCell ref="E49:F49"/>
    <mergeCell ref="J49:K49"/>
    <mergeCell ref="F40:J40"/>
    <mergeCell ref="K40:O40"/>
    <mergeCell ref="A41:O41"/>
    <mergeCell ref="A42:J42"/>
    <mergeCell ref="K42:O42"/>
    <mergeCell ref="E45:F45"/>
    <mergeCell ref="J45:K45"/>
    <mergeCell ref="E46:F46"/>
    <mergeCell ref="J46:K46"/>
    <mergeCell ref="A43:A44"/>
    <mergeCell ref="B43:B44"/>
    <mergeCell ref="C43:C44"/>
    <mergeCell ref="J29:K29"/>
    <mergeCell ref="E30:F30"/>
    <mergeCell ref="J30:K30"/>
    <mergeCell ref="E19:F19"/>
    <mergeCell ref="J19:K19"/>
    <mergeCell ref="A20:E20"/>
    <mergeCell ref="F20:J20"/>
    <mergeCell ref="K20:O20"/>
    <mergeCell ref="A21:O21"/>
    <mergeCell ref="J24:K24"/>
    <mergeCell ref="A22:J22"/>
    <mergeCell ref="K22:O22"/>
    <mergeCell ref="A23:A24"/>
    <mergeCell ref="B23:B24"/>
    <mergeCell ref="C23:C24"/>
    <mergeCell ref="D23:F23"/>
    <mergeCell ref="G23:H23"/>
    <mergeCell ref="I23:N23"/>
    <mergeCell ref="O23:O24"/>
    <mergeCell ref="E24:F24"/>
    <mergeCell ref="E25:F25"/>
    <mergeCell ref="J25:K25"/>
    <mergeCell ref="E26:F26"/>
    <mergeCell ref="J26:K26"/>
    <mergeCell ref="E16:F16"/>
    <mergeCell ref="J16:K16"/>
    <mergeCell ref="E17:F17"/>
    <mergeCell ref="J17:K17"/>
    <mergeCell ref="E18:F18"/>
    <mergeCell ref="J18:K18"/>
    <mergeCell ref="E4:F4"/>
    <mergeCell ref="J4:K4"/>
    <mergeCell ref="E5:F5"/>
    <mergeCell ref="J5:K5"/>
    <mergeCell ref="E6:F6"/>
    <mergeCell ref="J6:K6"/>
    <mergeCell ref="E13:F13"/>
    <mergeCell ref="J13:K13"/>
    <mergeCell ref="E14:F14"/>
    <mergeCell ref="J14:K14"/>
    <mergeCell ref="E15:F15"/>
    <mergeCell ref="J15:K15"/>
    <mergeCell ref="E10:F10"/>
    <mergeCell ref="J10:K10"/>
    <mergeCell ref="E11:F11"/>
    <mergeCell ref="J11:K11"/>
    <mergeCell ref="E12:F12"/>
    <mergeCell ref="J12:K12"/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sqref="A1:K28"/>
    </sheetView>
  </sheetViews>
  <sheetFormatPr defaultRowHeight="13.5"/>
  <cols>
    <col min="1" max="1" width="8.125" style="16" customWidth="1"/>
    <col min="2" max="2" width="22.625" style="16" customWidth="1"/>
    <col min="3" max="3" width="11.5" style="16" customWidth="1"/>
    <col min="4" max="4" width="1" style="16" customWidth="1"/>
    <col min="5" max="5" width="7.5" style="16" customWidth="1"/>
    <col min="6" max="6" width="15.5" style="16" customWidth="1"/>
    <col min="7" max="7" width="15.125" style="16" customWidth="1"/>
    <col min="8" max="8" width="3.25" style="16" customWidth="1"/>
    <col min="9" max="9" width="11.375" style="16" customWidth="1"/>
    <col min="10" max="10" width="14.25" style="16" customWidth="1"/>
    <col min="11" max="11" width="15.75" style="16" customWidth="1"/>
    <col min="12" max="256" width="8" style="16" customWidth="1"/>
    <col min="257" max="257" width="8.125" style="16" customWidth="1"/>
    <col min="258" max="258" width="22.625" style="16" customWidth="1"/>
    <col min="259" max="259" width="11.5" style="16" customWidth="1"/>
    <col min="260" max="260" width="1" style="16" customWidth="1"/>
    <col min="261" max="261" width="7.5" style="16" customWidth="1"/>
    <col min="262" max="262" width="15.5" style="16" customWidth="1"/>
    <col min="263" max="263" width="15.125" style="16" customWidth="1"/>
    <col min="264" max="264" width="3.25" style="16" customWidth="1"/>
    <col min="265" max="265" width="11.375" style="16" customWidth="1"/>
    <col min="266" max="266" width="14.25" style="16" customWidth="1"/>
    <col min="267" max="267" width="15.75" style="16" customWidth="1"/>
    <col min="268" max="512" width="8" style="16" customWidth="1"/>
    <col min="513" max="513" width="8.125" style="16" customWidth="1"/>
    <col min="514" max="514" width="22.625" style="16" customWidth="1"/>
    <col min="515" max="515" width="11.5" style="16" customWidth="1"/>
    <col min="516" max="516" width="1" style="16" customWidth="1"/>
    <col min="517" max="517" width="7.5" style="16" customWidth="1"/>
    <col min="518" max="518" width="15.5" style="16" customWidth="1"/>
    <col min="519" max="519" width="15.125" style="16" customWidth="1"/>
    <col min="520" max="520" width="3.25" style="16" customWidth="1"/>
    <col min="521" max="521" width="11.375" style="16" customWidth="1"/>
    <col min="522" max="522" width="14.25" style="16" customWidth="1"/>
    <col min="523" max="523" width="15.75" style="16" customWidth="1"/>
    <col min="524" max="768" width="8" style="16" customWidth="1"/>
    <col min="769" max="769" width="8.125" style="16" customWidth="1"/>
    <col min="770" max="770" width="22.625" style="16" customWidth="1"/>
    <col min="771" max="771" width="11.5" style="16" customWidth="1"/>
    <col min="772" max="772" width="1" style="16" customWidth="1"/>
    <col min="773" max="773" width="7.5" style="16" customWidth="1"/>
    <col min="774" max="774" width="15.5" style="16" customWidth="1"/>
    <col min="775" max="775" width="15.125" style="16" customWidth="1"/>
    <col min="776" max="776" width="3.25" style="16" customWidth="1"/>
    <col min="777" max="777" width="11.375" style="16" customWidth="1"/>
    <col min="778" max="778" width="14.25" style="16" customWidth="1"/>
    <col min="779" max="779" width="15.75" style="16" customWidth="1"/>
    <col min="780" max="1024" width="8" style="16" customWidth="1"/>
    <col min="1025" max="1025" width="8.125" style="16" customWidth="1"/>
    <col min="1026" max="1026" width="22.625" style="16" customWidth="1"/>
    <col min="1027" max="1027" width="11.5" style="16" customWidth="1"/>
    <col min="1028" max="1028" width="1" style="16" customWidth="1"/>
    <col min="1029" max="1029" width="7.5" style="16" customWidth="1"/>
    <col min="1030" max="1030" width="15.5" style="16" customWidth="1"/>
    <col min="1031" max="1031" width="15.125" style="16" customWidth="1"/>
    <col min="1032" max="1032" width="3.25" style="16" customWidth="1"/>
    <col min="1033" max="1033" width="11.375" style="16" customWidth="1"/>
    <col min="1034" max="1034" width="14.25" style="16" customWidth="1"/>
    <col min="1035" max="1035" width="15.75" style="16" customWidth="1"/>
    <col min="1036" max="1280" width="8" style="16" customWidth="1"/>
    <col min="1281" max="1281" width="8.125" style="16" customWidth="1"/>
    <col min="1282" max="1282" width="22.625" style="16" customWidth="1"/>
    <col min="1283" max="1283" width="11.5" style="16" customWidth="1"/>
    <col min="1284" max="1284" width="1" style="16" customWidth="1"/>
    <col min="1285" max="1285" width="7.5" style="16" customWidth="1"/>
    <col min="1286" max="1286" width="15.5" style="16" customWidth="1"/>
    <col min="1287" max="1287" width="15.125" style="16" customWidth="1"/>
    <col min="1288" max="1288" width="3.25" style="16" customWidth="1"/>
    <col min="1289" max="1289" width="11.375" style="16" customWidth="1"/>
    <col min="1290" max="1290" width="14.25" style="16" customWidth="1"/>
    <col min="1291" max="1291" width="15.75" style="16" customWidth="1"/>
    <col min="1292" max="1536" width="8" style="16" customWidth="1"/>
    <col min="1537" max="1537" width="8.125" style="16" customWidth="1"/>
    <col min="1538" max="1538" width="22.625" style="16" customWidth="1"/>
    <col min="1539" max="1539" width="11.5" style="16" customWidth="1"/>
    <col min="1540" max="1540" width="1" style="16" customWidth="1"/>
    <col min="1541" max="1541" width="7.5" style="16" customWidth="1"/>
    <col min="1542" max="1542" width="15.5" style="16" customWidth="1"/>
    <col min="1543" max="1543" width="15.125" style="16" customWidth="1"/>
    <col min="1544" max="1544" width="3.25" style="16" customWidth="1"/>
    <col min="1545" max="1545" width="11.375" style="16" customWidth="1"/>
    <col min="1546" max="1546" width="14.25" style="16" customWidth="1"/>
    <col min="1547" max="1547" width="15.75" style="16" customWidth="1"/>
    <col min="1548" max="1792" width="8" style="16" customWidth="1"/>
    <col min="1793" max="1793" width="8.125" style="16" customWidth="1"/>
    <col min="1794" max="1794" width="22.625" style="16" customWidth="1"/>
    <col min="1795" max="1795" width="11.5" style="16" customWidth="1"/>
    <col min="1796" max="1796" width="1" style="16" customWidth="1"/>
    <col min="1797" max="1797" width="7.5" style="16" customWidth="1"/>
    <col min="1798" max="1798" width="15.5" style="16" customWidth="1"/>
    <col min="1799" max="1799" width="15.125" style="16" customWidth="1"/>
    <col min="1800" max="1800" width="3.25" style="16" customWidth="1"/>
    <col min="1801" max="1801" width="11.375" style="16" customWidth="1"/>
    <col min="1802" max="1802" width="14.25" style="16" customWidth="1"/>
    <col min="1803" max="1803" width="15.75" style="16" customWidth="1"/>
    <col min="1804" max="2048" width="8" style="16" customWidth="1"/>
    <col min="2049" max="2049" width="8.125" style="16" customWidth="1"/>
    <col min="2050" max="2050" width="22.625" style="16" customWidth="1"/>
    <col min="2051" max="2051" width="11.5" style="16" customWidth="1"/>
    <col min="2052" max="2052" width="1" style="16" customWidth="1"/>
    <col min="2053" max="2053" width="7.5" style="16" customWidth="1"/>
    <col min="2054" max="2054" width="15.5" style="16" customWidth="1"/>
    <col min="2055" max="2055" width="15.125" style="16" customWidth="1"/>
    <col min="2056" max="2056" width="3.25" style="16" customWidth="1"/>
    <col min="2057" max="2057" width="11.375" style="16" customWidth="1"/>
    <col min="2058" max="2058" width="14.25" style="16" customWidth="1"/>
    <col min="2059" max="2059" width="15.75" style="16" customWidth="1"/>
    <col min="2060" max="2304" width="8" style="16" customWidth="1"/>
    <col min="2305" max="2305" width="8.125" style="16" customWidth="1"/>
    <col min="2306" max="2306" width="22.625" style="16" customWidth="1"/>
    <col min="2307" max="2307" width="11.5" style="16" customWidth="1"/>
    <col min="2308" max="2308" width="1" style="16" customWidth="1"/>
    <col min="2309" max="2309" width="7.5" style="16" customWidth="1"/>
    <col min="2310" max="2310" width="15.5" style="16" customWidth="1"/>
    <col min="2311" max="2311" width="15.125" style="16" customWidth="1"/>
    <col min="2312" max="2312" width="3.25" style="16" customWidth="1"/>
    <col min="2313" max="2313" width="11.375" style="16" customWidth="1"/>
    <col min="2314" max="2314" width="14.25" style="16" customWidth="1"/>
    <col min="2315" max="2315" width="15.75" style="16" customWidth="1"/>
    <col min="2316" max="2560" width="8" style="16" customWidth="1"/>
    <col min="2561" max="2561" width="8.125" style="16" customWidth="1"/>
    <col min="2562" max="2562" width="22.625" style="16" customWidth="1"/>
    <col min="2563" max="2563" width="11.5" style="16" customWidth="1"/>
    <col min="2564" max="2564" width="1" style="16" customWidth="1"/>
    <col min="2565" max="2565" width="7.5" style="16" customWidth="1"/>
    <col min="2566" max="2566" width="15.5" style="16" customWidth="1"/>
    <col min="2567" max="2567" width="15.125" style="16" customWidth="1"/>
    <col min="2568" max="2568" width="3.25" style="16" customWidth="1"/>
    <col min="2569" max="2569" width="11.375" style="16" customWidth="1"/>
    <col min="2570" max="2570" width="14.25" style="16" customWidth="1"/>
    <col min="2571" max="2571" width="15.75" style="16" customWidth="1"/>
    <col min="2572" max="2816" width="8" style="16" customWidth="1"/>
    <col min="2817" max="2817" width="8.125" style="16" customWidth="1"/>
    <col min="2818" max="2818" width="22.625" style="16" customWidth="1"/>
    <col min="2819" max="2819" width="11.5" style="16" customWidth="1"/>
    <col min="2820" max="2820" width="1" style="16" customWidth="1"/>
    <col min="2821" max="2821" width="7.5" style="16" customWidth="1"/>
    <col min="2822" max="2822" width="15.5" style="16" customWidth="1"/>
    <col min="2823" max="2823" width="15.125" style="16" customWidth="1"/>
    <col min="2824" max="2824" width="3.25" style="16" customWidth="1"/>
    <col min="2825" max="2825" width="11.375" style="16" customWidth="1"/>
    <col min="2826" max="2826" width="14.25" style="16" customWidth="1"/>
    <col min="2827" max="2827" width="15.75" style="16" customWidth="1"/>
    <col min="2828" max="3072" width="8" style="16" customWidth="1"/>
    <col min="3073" max="3073" width="8.125" style="16" customWidth="1"/>
    <col min="3074" max="3074" width="22.625" style="16" customWidth="1"/>
    <col min="3075" max="3075" width="11.5" style="16" customWidth="1"/>
    <col min="3076" max="3076" width="1" style="16" customWidth="1"/>
    <col min="3077" max="3077" width="7.5" style="16" customWidth="1"/>
    <col min="3078" max="3078" width="15.5" style="16" customWidth="1"/>
    <col min="3079" max="3079" width="15.125" style="16" customWidth="1"/>
    <col min="3080" max="3080" width="3.25" style="16" customWidth="1"/>
    <col min="3081" max="3081" width="11.375" style="16" customWidth="1"/>
    <col min="3082" max="3082" width="14.25" style="16" customWidth="1"/>
    <col min="3083" max="3083" width="15.75" style="16" customWidth="1"/>
    <col min="3084" max="3328" width="8" style="16" customWidth="1"/>
    <col min="3329" max="3329" width="8.125" style="16" customWidth="1"/>
    <col min="3330" max="3330" width="22.625" style="16" customWidth="1"/>
    <col min="3331" max="3331" width="11.5" style="16" customWidth="1"/>
    <col min="3332" max="3332" width="1" style="16" customWidth="1"/>
    <col min="3333" max="3333" width="7.5" style="16" customWidth="1"/>
    <col min="3334" max="3334" width="15.5" style="16" customWidth="1"/>
    <col min="3335" max="3335" width="15.125" style="16" customWidth="1"/>
    <col min="3336" max="3336" width="3.25" style="16" customWidth="1"/>
    <col min="3337" max="3337" width="11.375" style="16" customWidth="1"/>
    <col min="3338" max="3338" width="14.25" style="16" customWidth="1"/>
    <col min="3339" max="3339" width="15.75" style="16" customWidth="1"/>
    <col min="3340" max="3584" width="8" style="16" customWidth="1"/>
    <col min="3585" max="3585" width="8.125" style="16" customWidth="1"/>
    <col min="3586" max="3586" width="22.625" style="16" customWidth="1"/>
    <col min="3587" max="3587" width="11.5" style="16" customWidth="1"/>
    <col min="3588" max="3588" width="1" style="16" customWidth="1"/>
    <col min="3589" max="3589" width="7.5" style="16" customWidth="1"/>
    <col min="3590" max="3590" width="15.5" style="16" customWidth="1"/>
    <col min="3591" max="3591" width="15.125" style="16" customWidth="1"/>
    <col min="3592" max="3592" width="3.25" style="16" customWidth="1"/>
    <col min="3593" max="3593" width="11.375" style="16" customWidth="1"/>
    <col min="3594" max="3594" width="14.25" style="16" customWidth="1"/>
    <col min="3595" max="3595" width="15.75" style="16" customWidth="1"/>
    <col min="3596" max="3840" width="8" style="16" customWidth="1"/>
    <col min="3841" max="3841" width="8.125" style="16" customWidth="1"/>
    <col min="3842" max="3842" width="22.625" style="16" customWidth="1"/>
    <col min="3843" max="3843" width="11.5" style="16" customWidth="1"/>
    <col min="3844" max="3844" width="1" style="16" customWidth="1"/>
    <col min="3845" max="3845" width="7.5" style="16" customWidth="1"/>
    <col min="3846" max="3846" width="15.5" style="16" customWidth="1"/>
    <col min="3847" max="3847" width="15.125" style="16" customWidth="1"/>
    <col min="3848" max="3848" width="3.25" style="16" customWidth="1"/>
    <col min="3849" max="3849" width="11.375" style="16" customWidth="1"/>
    <col min="3850" max="3850" width="14.25" style="16" customWidth="1"/>
    <col min="3851" max="3851" width="15.75" style="16" customWidth="1"/>
    <col min="3852" max="4096" width="8" style="16" customWidth="1"/>
    <col min="4097" max="4097" width="8.125" style="16" customWidth="1"/>
    <col min="4098" max="4098" width="22.625" style="16" customWidth="1"/>
    <col min="4099" max="4099" width="11.5" style="16" customWidth="1"/>
    <col min="4100" max="4100" width="1" style="16" customWidth="1"/>
    <col min="4101" max="4101" width="7.5" style="16" customWidth="1"/>
    <col min="4102" max="4102" width="15.5" style="16" customWidth="1"/>
    <col min="4103" max="4103" width="15.125" style="16" customWidth="1"/>
    <col min="4104" max="4104" width="3.25" style="16" customWidth="1"/>
    <col min="4105" max="4105" width="11.375" style="16" customWidth="1"/>
    <col min="4106" max="4106" width="14.25" style="16" customWidth="1"/>
    <col min="4107" max="4107" width="15.75" style="16" customWidth="1"/>
    <col min="4108" max="4352" width="8" style="16" customWidth="1"/>
    <col min="4353" max="4353" width="8.125" style="16" customWidth="1"/>
    <col min="4354" max="4354" width="22.625" style="16" customWidth="1"/>
    <col min="4355" max="4355" width="11.5" style="16" customWidth="1"/>
    <col min="4356" max="4356" width="1" style="16" customWidth="1"/>
    <col min="4357" max="4357" width="7.5" style="16" customWidth="1"/>
    <col min="4358" max="4358" width="15.5" style="16" customWidth="1"/>
    <col min="4359" max="4359" width="15.125" style="16" customWidth="1"/>
    <col min="4360" max="4360" width="3.25" style="16" customWidth="1"/>
    <col min="4361" max="4361" width="11.375" style="16" customWidth="1"/>
    <col min="4362" max="4362" width="14.25" style="16" customWidth="1"/>
    <col min="4363" max="4363" width="15.75" style="16" customWidth="1"/>
    <col min="4364" max="4608" width="8" style="16" customWidth="1"/>
    <col min="4609" max="4609" width="8.125" style="16" customWidth="1"/>
    <col min="4610" max="4610" width="22.625" style="16" customWidth="1"/>
    <col min="4611" max="4611" width="11.5" style="16" customWidth="1"/>
    <col min="4612" max="4612" width="1" style="16" customWidth="1"/>
    <col min="4613" max="4613" width="7.5" style="16" customWidth="1"/>
    <col min="4614" max="4614" width="15.5" style="16" customWidth="1"/>
    <col min="4615" max="4615" width="15.125" style="16" customWidth="1"/>
    <col min="4616" max="4616" width="3.25" style="16" customWidth="1"/>
    <col min="4617" max="4617" width="11.375" style="16" customWidth="1"/>
    <col min="4618" max="4618" width="14.25" style="16" customWidth="1"/>
    <col min="4619" max="4619" width="15.75" style="16" customWidth="1"/>
    <col min="4620" max="4864" width="8" style="16" customWidth="1"/>
    <col min="4865" max="4865" width="8.125" style="16" customWidth="1"/>
    <col min="4866" max="4866" width="22.625" style="16" customWidth="1"/>
    <col min="4867" max="4867" width="11.5" style="16" customWidth="1"/>
    <col min="4868" max="4868" width="1" style="16" customWidth="1"/>
    <col min="4869" max="4869" width="7.5" style="16" customWidth="1"/>
    <col min="4870" max="4870" width="15.5" style="16" customWidth="1"/>
    <col min="4871" max="4871" width="15.125" style="16" customWidth="1"/>
    <col min="4872" max="4872" width="3.25" style="16" customWidth="1"/>
    <col min="4873" max="4873" width="11.375" style="16" customWidth="1"/>
    <col min="4874" max="4874" width="14.25" style="16" customWidth="1"/>
    <col min="4875" max="4875" width="15.75" style="16" customWidth="1"/>
    <col min="4876" max="5120" width="8" style="16" customWidth="1"/>
    <col min="5121" max="5121" width="8.125" style="16" customWidth="1"/>
    <col min="5122" max="5122" width="22.625" style="16" customWidth="1"/>
    <col min="5123" max="5123" width="11.5" style="16" customWidth="1"/>
    <col min="5124" max="5124" width="1" style="16" customWidth="1"/>
    <col min="5125" max="5125" width="7.5" style="16" customWidth="1"/>
    <col min="5126" max="5126" width="15.5" style="16" customWidth="1"/>
    <col min="5127" max="5127" width="15.125" style="16" customWidth="1"/>
    <col min="5128" max="5128" width="3.25" style="16" customWidth="1"/>
    <col min="5129" max="5129" width="11.375" style="16" customWidth="1"/>
    <col min="5130" max="5130" width="14.25" style="16" customWidth="1"/>
    <col min="5131" max="5131" width="15.75" style="16" customWidth="1"/>
    <col min="5132" max="5376" width="8" style="16" customWidth="1"/>
    <col min="5377" max="5377" width="8.125" style="16" customWidth="1"/>
    <col min="5378" max="5378" width="22.625" style="16" customWidth="1"/>
    <col min="5379" max="5379" width="11.5" style="16" customWidth="1"/>
    <col min="5380" max="5380" width="1" style="16" customWidth="1"/>
    <col min="5381" max="5381" width="7.5" style="16" customWidth="1"/>
    <col min="5382" max="5382" width="15.5" style="16" customWidth="1"/>
    <col min="5383" max="5383" width="15.125" style="16" customWidth="1"/>
    <col min="5384" max="5384" width="3.25" style="16" customWidth="1"/>
    <col min="5385" max="5385" width="11.375" style="16" customWidth="1"/>
    <col min="5386" max="5386" width="14.25" style="16" customWidth="1"/>
    <col min="5387" max="5387" width="15.75" style="16" customWidth="1"/>
    <col min="5388" max="5632" width="8" style="16" customWidth="1"/>
    <col min="5633" max="5633" width="8.125" style="16" customWidth="1"/>
    <col min="5634" max="5634" width="22.625" style="16" customWidth="1"/>
    <col min="5635" max="5635" width="11.5" style="16" customWidth="1"/>
    <col min="5636" max="5636" width="1" style="16" customWidth="1"/>
    <col min="5637" max="5637" width="7.5" style="16" customWidth="1"/>
    <col min="5638" max="5638" width="15.5" style="16" customWidth="1"/>
    <col min="5639" max="5639" width="15.125" style="16" customWidth="1"/>
    <col min="5640" max="5640" width="3.25" style="16" customWidth="1"/>
    <col min="5641" max="5641" width="11.375" style="16" customWidth="1"/>
    <col min="5642" max="5642" width="14.25" style="16" customWidth="1"/>
    <col min="5643" max="5643" width="15.75" style="16" customWidth="1"/>
    <col min="5644" max="5888" width="8" style="16" customWidth="1"/>
    <col min="5889" max="5889" width="8.125" style="16" customWidth="1"/>
    <col min="5890" max="5890" width="22.625" style="16" customWidth="1"/>
    <col min="5891" max="5891" width="11.5" style="16" customWidth="1"/>
    <col min="5892" max="5892" width="1" style="16" customWidth="1"/>
    <col min="5893" max="5893" width="7.5" style="16" customWidth="1"/>
    <col min="5894" max="5894" width="15.5" style="16" customWidth="1"/>
    <col min="5895" max="5895" width="15.125" style="16" customWidth="1"/>
    <col min="5896" max="5896" width="3.25" style="16" customWidth="1"/>
    <col min="5897" max="5897" width="11.375" style="16" customWidth="1"/>
    <col min="5898" max="5898" width="14.25" style="16" customWidth="1"/>
    <col min="5899" max="5899" width="15.75" style="16" customWidth="1"/>
    <col min="5900" max="6144" width="8" style="16" customWidth="1"/>
    <col min="6145" max="6145" width="8.125" style="16" customWidth="1"/>
    <col min="6146" max="6146" width="22.625" style="16" customWidth="1"/>
    <col min="6147" max="6147" width="11.5" style="16" customWidth="1"/>
    <col min="6148" max="6148" width="1" style="16" customWidth="1"/>
    <col min="6149" max="6149" width="7.5" style="16" customWidth="1"/>
    <col min="6150" max="6150" width="15.5" style="16" customWidth="1"/>
    <col min="6151" max="6151" width="15.125" style="16" customWidth="1"/>
    <col min="6152" max="6152" width="3.25" style="16" customWidth="1"/>
    <col min="6153" max="6153" width="11.375" style="16" customWidth="1"/>
    <col min="6154" max="6154" width="14.25" style="16" customWidth="1"/>
    <col min="6155" max="6155" width="15.75" style="16" customWidth="1"/>
    <col min="6156" max="6400" width="8" style="16" customWidth="1"/>
    <col min="6401" max="6401" width="8.125" style="16" customWidth="1"/>
    <col min="6402" max="6402" width="22.625" style="16" customWidth="1"/>
    <col min="6403" max="6403" width="11.5" style="16" customWidth="1"/>
    <col min="6404" max="6404" width="1" style="16" customWidth="1"/>
    <col min="6405" max="6405" width="7.5" style="16" customWidth="1"/>
    <col min="6406" max="6406" width="15.5" style="16" customWidth="1"/>
    <col min="6407" max="6407" width="15.125" style="16" customWidth="1"/>
    <col min="6408" max="6408" width="3.25" style="16" customWidth="1"/>
    <col min="6409" max="6409" width="11.375" style="16" customWidth="1"/>
    <col min="6410" max="6410" width="14.25" style="16" customWidth="1"/>
    <col min="6411" max="6411" width="15.75" style="16" customWidth="1"/>
    <col min="6412" max="6656" width="8" style="16" customWidth="1"/>
    <col min="6657" max="6657" width="8.125" style="16" customWidth="1"/>
    <col min="6658" max="6658" width="22.625" style="16" customWidth="1"/>
    <col min="6659" max="6659" width="11.5" style="16" customWidth="1"/>
    <col min="6660" max="6660" width="1" style="16" customWidth="1"/>
    <col min="6661" max="6661" width="7.5" style="16" customWidth="1"/>
    <col min="6662" max="6662" width="15.5" style="16" customWidth="1"/>
    <col min="6663" max="6663" width="15.125" style="16" customWidth="1"/>
    <col min="6664" max="6664" width="3.25" style="16" customWidth="1"/>
    <col min="6665" max="6665" width="11.375" style="16" customWidth="1"/>
    <col min="6666" max="6666" width="14.25" style="16" customWidth="1"/>
    <col min="6667" max="6667" width="15.75" style="16" customWidth="1"/>
    <col min="6668" max="6912" width="8" style="16" customWidth="1"/>
    <col min="6913" max="6913" width="8.125" style="16" customWidth="1"/>
    <col min="6914" max="6914" width="22.625" style="16" customWidth="1"/>
    <col min="6915" max="6915" width="11.5" style="16" customWidth="1"/>
    <col min="6916" max="6916" width="1" style="16" customWidth="1"/>
    <col min="6917" max="6917" width="7.5" style="16" customWidth="1"/>
    <col min="6918" max="6918" width="15.5" style="16" customWidth="1"/>
    <col min="6919" max="6919" width="15.125" style="16" customWidth="1"/>
    <col min="6920" max="6920" width="3.25" style="16" customWidth="1"/>
    <col min="6921" max="6921" width="11.375" style="16" customWidth="1"/>
    <col min="6922" max="6922" width="14.25" style="16" customWidth="1"/>
    <col min="6923" max="6923" width="15.75" style="16" customWidth="1"/>
    <col min="6924" max="7168" width="8" style="16" customWidth="1"/>
    <col min="7169" max="7169" width="8.125" style="16" customWidth="1"/>
    <col min="7170" max="7170" width="22.625" style="16" customWidth="1"/>
    <col min="7171" max="7171" width="11.5" style="16" customWidth="1"/>
    <col min="7172" max="7172" width="1" style="16" customWidth="1"/>
    <col min="7173" max="7173" width="7.5" style="16" customWidth="1"/>
    <col min="7174" max="7174" width="15.5" style="16" customWidth="1"/>
    <col min="7175" max="7175" width="15.125" style="16" customWidth="1"/>
    <col min="7176" max="7176" width="3.25" style="16" customWidth="1"/>
    <col min="7177" max="7177" width="11.375" style="16" customWidth="1"/>
    <col min="7178" max="7178" width="14.25" style="16" customWidth="1"/>
    <col min="7179" max="7179" width="15.75" style="16" customWidth="1"/>
    <col min="7180" max="7424" width="8" style="16" customWidth="1"/>
    <col min="7425" max="7425" width="8.125" style="16" customWidth="1"/>
    <col min="7426" max="7426" width="22.625" style="16" customWidth="1"/>
    <col min="7427" max="7427" width="11.5" style="16" customWidth="1"/>
    <col min="7428" max="7428" width="1" style="16" customWidth="1"/>
    <col min="7429" max="7429" width="7.5" style="16" customWidth="1"/>
    <col min="7430" max="7430" width="15.5" style="16" customWidth="1"/>
    <col min="7431" max="7431" width="15.125" style="16" customWidth="1"/>
    <col min="7432" max="7432" width="3.25" style="16" customWidth="1"/>
    <col min="7433" max="7433" width="11.375" style="16" customWidth="1"/>
    <col min="7434" max="7434" width="14.25" style="16" customWidth="1"/>
    <col min="7435" max="7435" width="15.75" style="16" customWidth="1"/>
    <col min="7436" max="7680" width="8" style="16" customWidth="1"/>
    <col min="7681" max="7681" width="8.125" style="16" customWidth="1"/>
    <col min="7682" max="7682" width="22.625" style="16" customWidth="1"/>
    <col min="7683" max="7683" width="11.5" style="16" customWidth="1"/>
    <col min="7684" max="7684" width="1" style="16" customWidth="1"/>
    <col min="7685" max="7685" width="7.5" style="16" customWidth="1"/>
    <col min="7686" max="7686" width="15.5" style="16" customWidth="1"/>
    <col min="7687" max="7687" width="15.125" style="16" customWidth="1"/>
    <col min="7688" max="7688" width="3.25" style="16" customWidth="1"/>
    <col min="7689" max="7689" width="11.375" style="16" customWidth="1"/>
    <col min="7690" max="7690" width="14.25" style="16" customWidth="1"/>
    <col min="7691" max="7691" width="15.75" style="16" customWidth="1"/>
    <col min="7692" max="7936" width="8" style="16" customWidth="1"/>
    <col min="7937" max="7937" width="8.125" style="16" customWidth="1"/>
    <col min="7938" max="7938" width="22.625" style="16" customWidth="1"/>
    <col min="7939" max="7939" width="11.5" style="16" customWidth="1"/>
    <col min="7940" max="7940" width="1" style="16" customWidth="1"/>
    <col min="7941" max="7941" width="7.5" style="16" customWidth="1"/>
    <col min="7942" max="7942" width="15.5" style="16" customWidth="1"/>
    <col min="7943" max="7943" width="15.125" style="16" customWidth="1"/>
    <col min="7944" max="7944" width="3.25" style="16" customWidth="1"/>
    <col min="7945" max="7945" width="11.375" style="16" customWidth="1"/>
    <col min="7946" max="7946" width="14.25" style="16" customWidth="1"/>
    <col min="7947" max="7947" width="15.75" style="16" customWidth="1"/>
    <col min="7948" max="8192" width="8" style="16" customWidth="1"/>
    <col min="8193" max="8193" width="8.125" style="16" customWidth="1"/>
    <col min="8194" max="8194" width="22.625" style="16" customWidth="1"/>
    <col min="8195" max="8195" width="11.5" style="16" customWidth="1"/>
    <col min="8196" max="8196" width="1" style="16" customWidth="1"/>
    <col min="8197" max="8197" width="7.5" style="16" customWidth="1"/>
    <col min="8198" max="8198" width="15.5" style="16" customWidth="1"/>
    <col min="8199" max="8199" width="15.125" style="16" customWidth="1"/>
    <col min="8200" max="8200" width="3.25" style="16" customWidth="1"/>
    <col min="8201" max="8201" width="11.375" style="16" customWidth="1"/>
    <col min="8202" max="8202" width="14.25" style="16" customWidth="1"/>
    <col min="8203" max="8203" width="15.75" style="16" customWidth="1"/>
    <col min="8204" max="8448" width="8" style="16" customWidth="1"/>
    <col min="8449" max="8449" width="8.125" style="16" customWidth="1"/>
    <col min="8450" max="8450" width="22.625" style="16" customWidth="1"/>
    <col min="8451" max="8451" width="11.5" style="16" customWidth="1"/>
    <col min="8452" max="8452" width="1" style="16" customWidth="1"/>
    <col min="8453" max="8453" width="7.5" style="16" customWidth="1"/>
    <col min="8454" max="8454" width="15.5" style="16" customWidth="1"/>
    <col min="8455" max="8455" width="15.125" style="16" customWidth="1"/>
    <col min="8456" max="8456" width="3.25" style="16" customWidth="1"/>
    <col min="8457" max="8457" width="11.375" style="16" customWidth="1"/>
    <col min="8458" max="8458" width="14.25" style="16" customWidth="1"/>
    <col min="8459" max="8459" width="15.75" style="16" customWidth="1"/>
    <col min="8460" max="8704" width="8" style="16" customWidth="1"/>
    <col min="8705" max="8705" width="8.125" style="16" customWidth="1"/>
    <col min="8706" max="8706" width="22.625" style="16" customWidth="1"/>
    <col min="8707" max="8707" width="11.5" style="16" customWidth="1"/>
    <col min="8708" max="8708" width="1" style="16" customWidth="1"/>
    <col min="8709" max="8709" width="7.5" style="16" customWidth="1"/>
    <col min="8710" max="8710" width="15.5" style="16" customWidth="1"/>
    <col min="8711" max="8711" width="15.125" style="16" customWidth="1"/>
    <col min="8712" max="8712" width="3.25" style="16" customWidth="1"/>
    <col min="8713" max="8713" width="11.375" style="16" customWidth="1"/>
    <col min="8714" max="8714" width="14.25" style="16" customWidth="1"/>
    <col min="8715" max="8715" width="15.75" style="16" customWidth="1"/>
    <col min="8716" max="8960" width="8" style="16" customWidth="1"/>
    <col min="8961" max="8961" width="8.125" style="16" customWidth="1"/>
    <col min="8962" max="8962" width="22.625" style="16" customWidth="1"/>
    <col min="8963" max="8963" width="11.5" style="16" customWidth="1"/>
    <col min="8964" max="8964" width="1" style="16" customWidth="1"/>
    <col min="8965" max="8965" width="7.5" style="16" customWidth="1"/>
    <col min="8966" max="8966" width="15.5" style="16" customWidth="1"/>
    <col min="8967" max="8967" width="15.125" style="16" customWidth="1"/>
    <col min="8968" max="8968" width="3.25" style="16" customWidth="1"/>
    <col min="8969" max="8969" width="11.375" style="16" customWidth="1"/>
    <col min="8970" max="8970" width="14.25" style="16" customWidth="1"/>
    <col min="8971" max="8971" width="15.75" style="16" customWidth="1"/>
    <col min="8972" max="9216" width="8" style="16" customWidth="1"/>
    <col min="9217" max="9217" width="8.125" style="16" customWidth="1"/>
    <col min="9218" max="9218" width="22.625" style="16" customWidth="1"/>
    <col min="9219" max="9219" width="11.5" style="16" customWidth="1"/>
    <col min="9220" max="9220" width="1" style="16" customWidth="1"/>
    <col min="9221" max="9221" width="7.5" style="16" customWidth="1"/>
    <col min="9222" max="9222" width="15.5" style="16" customWidth="1"/>
    <col min="9223" max="9223" width="15.125" style="16" customWidth="1"/>
    <col min="9224" max="9224" width="3.25" style="16" customWidth="1"/>
    <col min="9225" max="9225" width="11.375" style="16" customWidth="1"/>
    <col min="9226" max="9226" width="14.25" style="16" customWidth="1"/>
    <col min="9227" max="9227" width="15.75" style="16" customWidth="1"/>
    <col min="9228" max="9472" width="8" style="16" customWidth="1"/>
    <col min="9473" max="9473" width="8.125" style="16" customWidth="1"/>
    <col min="9474" max="9474" width="22.625" style="16" customWidth="1"/>
    <col min="9475" max="9475" width="11.5" style="16" customWidth="1"/>
    <col min="9476" max="9476" width="1" style="16" customWidth="1"/>
    <col min="9477" max="9477" width="7.5" style="16" customWidth="1"/>
    <col min="9478" max="9478" width="15.5" style="16" customWidth="1"/>
    <col min="9479" max="9479" width="15.125" style="16" customWidth="1"/>
    <col min="9480" max="9480" width="3.25" style="16" customWidth="1"/>
    <col min="9481" max="9481" width="11.375" style="16" customWidth="1"/>
    <col min="9482" max="9482" width="14.25" style="16" customWidth="1"/>
    <col min="9483" max="9483" width="15.75" style="16" customWidth="1"/>
    <col min="9484" max="9728" width="8" style="16" customWidth="1"/>
    <col min="9729" max="9729" width="8.125" style="16" customWidth="1"/>
    <col min="9730" max="9730" width="22.625" style="16" customWidth="1"/>
    <col min="9731" max="9731" width="11.5" style="16" customWidth="1"/>
    <col min="9732" max="9732" width="1" style="16" customWidth="1"/>
    <col min="9733" max="9733" width="7.5" style="16" customWidth="1"/>
    <col min="9734" max="9734" width="15.5" style="16" customWidth="1"/>
    <col min="9735" max="9735" width="15.125" style="16" customWidth="1"/>
    <col min="9736" max="9736" width="3.25" style="16" customWidth="1"/>
    <col min="9737" max="9737" width="11.375" style="16" customWidth="1"/>
    <col min="9738" max="9738" width="14.25" style="16" customWidth="1"/>
    <col min="9739" max="9739" width="15.75" style="16" customWidth="1"/>
    <col min="9740" max="9984" width="8" style="16" customWidth="1"/>
    <col min="9985" max="9985" width="8.125" style="16" customWidth="1"/>
    <col min="9986" max="9986" width="22.625" style="16" customWidth="1"/>
    <col min="9987" max="9987" width="11.5" style="16" customWidth="1"/>
    <col min="9988" max="9988" width="1" style="16" customWidth="1"/>
    <col min="9989" max="9989" width="7.5" style="16" customWidth="1"/>
    <col min="9990" max="9990" width="15.5" style="16" customWidth="1"/>
    <col min="9991" max="9991" width="15.125" style="16" customWidth="1"/>
    <col min="9992" max="9992" width="3.25" style="16" customWidth="1"/>
    <col min="9993" max="9993" width="11.375" style="16" customWidth="1"/>
    <col min="9994" max="9994" width="14.25" style="16" customWidth="1"/>
    <col min="9995" max="9995" width="15.75" style="16" customWidth="1"/>
    <col min="9996" max="10240" width="8" style="16" customWidth="1"/>
    <col min="10241" max="10241" width="8.125" style="16" customWidth="1"/>
    <col min="10242" max="10242" width="22.625" style="16" customWidth="1"/>
    <col min="10243" max="10243" width="11.5" style="16" customWidth="1"/>
    <col min="10244" max="10244" width="1" style="16" customWidth="1"/>
    <col min="10245" max="10245" width="7.5" style="16" customWidth="1"/>
    <col min="10246" max="10246" width="15.5" style="16" customWidth="1"/>
    <col min="10247" max="10247" width="15.125" style="16" customWidth="1"/>
    <col min="10248" max="10248" width="3.25" style="16" customWidth="1"/>
    <col min="10249" max="10249" width="11.375" style="16" customWidth="1"/>
    <col min="10250" max="10250" width="14.25" style="16" customWidth="1"/>
    <col min="10251" max="10251" width="15.75" style="16" customWidth="1"/>
    <col min="10252" max="10496" width="8" style="16" customWidth="1"/>
    <col min="10497" max="10497" width="8.125" style="16" customWidth="1"/>
    <col min="10498" max="10498" width="22.625" style="16" customWidth="1"/>
    <col min="10499" max="10499" width="11.5" style="16" customWidth="1"/>
    <col min="10500" max="10500" width="1" style="16" customWidth="1"/>
    <col min="10501" max="10501" width="7.5" style="16" customWidth="1"/>
    <col min="10502" max="10502" width="15.5" style="16" customWidth="1"/>
    <col min="10503" max="10503" width="15.125" style="16" customWidth="1"/>
    <col min="10504" max="10504" width="3.25" style="16" customWidth="1"/>
    <col min="10505" max="10505" width="11.375" style="16" customWidth="1"/>
    <col min="10506" max="10506" width="14.25" style="16" customWidth="1"/>
    <col min="10507" max="10507" width="15.75" style="16" customWidth="1"/>
    <col min="10508" max="10752" width="8" style="16" customWidth="1"/>
    <col min="10753" max="10753" width="8.125" style="16" customWidth="1"/>
    <col min="10754" max="10754" width="22.625" style="16" customWidth="1"/>
    <col min="10755" max="10755" width="11.5" style="16" customWidth="1"/>
    <col min="10756" max="10756" width="1" style="16" customWidth="1"/>
    <col min="10757" max="10757" width="7.5" style="16" customWidth="1"/>
    <col min="10758" max="10758" width="15.5" style="16" customWidth="1"/>
    <col min="10759" max="10759" width="15.125" style="16" customWidth="1"/>
    <col min="10760" max="10760" width="3.25" style="16" customWidth="1"/>
    <col min="10761" max="10761" width="11.375" style="16" customWidth="1"/>
    <col min="10762" max="10762" width="14.25" style="16" customWidth="1"/>
    <col min="10763" max="10763" width="15.75" style="16" customWidth="1"/>
    <col min="10764" max="11008" width="8" style="16" customWidth="1"/>
    <col min="11009" max="11009" width="8.125" style="16" customWidth="1"/>
    <col min="11010" max="11010" width="22.625" style="16" customWidth="1"/>
    <col min="11011" max="11011" width="11.5" style="16" customWidth="1"/>
    <col min="11012" max="11012" width="1" style="16" customWidth="1"/>
    <col min="11013" max="11013" width="7.5" style="16" customWidth="1"/>
    <col min="11014" max="11014" width="15.5" style="16" customWidth="1"/>
    <col min="11015" max="11015" width="15.125" style="16" customWidth="1"/>
    <col min="11016" max="11016" width="3.25" style="16" customWidth="1"/>
    <col min="11017" max="11017" width="11.375" style="16" customWidth="1"/>
    <col min="11018" max="11018" width="14.25" style="16" customWidth="1"/>
    <col min="11019" max="11019" width="15.75" style="16" customWidth="1"/>
    <col min="11020" max="11264" width="8" style="16" customWidth="1"/>
    <col min="11265" max="11265" width="8.125" style="16" customWidth="1"/>
    <col min="11266" max="11266" width="22.625" style="16" customWidth="1"/>
    <col min="11267" max="11267" width="11.5" style="16" customWidth="1"/>
    <col min="11268" max="11268" width="1" style="16" customWidth="1"/>
    <col min="11269" max="11269" width="7.5" style="16" customWidth="1"/>
    <col min="11270" max="11270" width="15.5" style="16" customWidth="1"/>
    <col min="11271" max="11271" width="15.125" style="16" customWidth="1"/>
    <col min="11272" max="11272" width="3.25" style="16" customWidth="1"/>
    <col min="11273" max="11273" width="11.375" style="16" customWidth="1"/>
    <col min="11274" max="11274" width="14.25" style="16" customWidth="1"/>
    <col min="11275" max="11275" width="15.75" style="16" customWidth="1"/>
    <col min="11276" max="11520" width="8" style="16" customWidth="1"/>
    <col min="11521" max="11521" width="8.125" style="16" customWidth="1"/>
    <col min="11522" max="11522" width="22.625" style="16" customWidth="1"/>
    <col min="11523" max="11523" width="11.5" style="16" customWidth="1"/>
    <col min="11524" max="11524" width="1" style="16" customWidth="1"/>
    <col min="11525" max="11525" width="7.5" style="16" customWidth="1"/>
    <col min="11526" max="11526" width="15.5" style="16" customWidth="1"/>
    <col min="11527" max="11527" width="15.125" style="16" customWidth="1"/>
    <col min="11528" max="11528" width="3.25" style="16" customWidth="1"/>
    <col min="11529" max="11529" width="11.375" style="16" customWidth="1"/>
    <col min="11530" max="11530" width="14.25" style="16" customWidth="1"/>
    <col min="11531" max="11531" width="15.75" style="16" customWidth="1"/>
    <col min="11532" max="11776" width="8" style="16" customWidth="1"/>
    <col min="11777" max="11777" width="8.125" style="16" customWidth="1"/>
    <col min="11778" max="11778" width="22.625" style="16" customWidth="1"/>
    <col min="11779" max="11779" width="11.5" style="16" customWidth="1"/>
    <col min="11780" max="11780" width="1" style="16" customWidth="1"/>
    <col min="11781" max="11781" width="7.5" style="16" customWidth="1"/>
    <col min="11782" max="11782" width="15.5" style="16" customWidth="1"/>
    <col min="11783" max="11783" width="15.125" style="16" customWidth="1"/>
    <col min="11784" max="11784" width="3.25" style="16" customWidth="1"/>
    <col min="11785" max="11785" width="11.375" style="16" customWidth="1"/>
    <col min="11786" max="11786" width="14.25" style="16" customWidth="1"/>
    <col min="11787" max="11787" width="15.75" style="16" customWidth="1"/>
    <col min="11788" max="12032" width="8" style="16" customWidth="1"/>
    <col min="12033" max="12033" width="8.125" style="16" customWidth="1"/>
    <col min="12034" max="12034" width="22.625" style="16" customWidth="1"/>
    <col min="12035" max="12035" width="11.5" style="16" customWidth="1"/>
    <col min="12036" max="12036" width="1" style="16" customWidth="1"/>
    <col min="12037" max="12037" width="7.5" style="16" customWidth="1"/>
    <col min="12038" max="12038" width="15.5" style="16" customWidth="1"/>
    <col min="12039" max="12039" width="15.125" style="16" customWidth="1"/>
    <col min="12040" max="12040" width="3.25" style="16" customWidth="1"/>
    <col min="12041" max="12041" width="11.375" style="16" customWidth="1"/>
    <col min="12042" max="12042" width="14.25" style="16" customWidth="1"/>
    <col min="12043" max="12043" width="15.75" style="16" customWidth="1"/>
    <col min="12044" max="12288" width="8" style="16" customWidth="1"/>
    <col min="12289" max="12289" width="8.125" style="16" customWidth="1"/>
    <col min="12290" max="12290" width="22.625" style="16" customWidth="1"/>
    <col min="12291" max="12291" width="11.5" style="16" customWidth="1"/>
    <col min="12292" max="12292" width="1" style="16" customWidth="1"/>
    <col min="12293" max="12293" width="7.5" style="16" customWidth="1"/>
    <col min="12294" max="12294" width="15.5" style="16" customWidth="1"/>
    <col min="12295" max="12295" width="15.125" style="16" customWidth="1"/>
    <col min="12296" max="12296" width="3.25" style="16" customWidth="1"/>
    <col min="12297" max="12297" width="11.375" style="16" customWidth="1"/>
    <col min="12298" max="12298" width="14.25" style="16" customWidth="1"/>
    <col min="12299" max="12299" width="15.75" style="16" customWidth="1"/>
    <col min="12300" max="12544" width="8" style="16" customWidth="1"/>
    <col min="12545" max="12545" width="8.125" style="16" customWidth="1"/>
    <col min="12546" max="12546" width="22.625" style="16" customWidth="1"/>
    <col min="12547" max="12547" width="11.5" style="16" customWidth="1"/>
    <col min="12548" max="12548" width="1" style="16" customWidth="1"/>
    <col min="12549" max="12549" width="7.5" style="16" customWidth="1"/>
    <col min="12550" max="12550" width="15.5" style="16" customWidth="1"/>
    <col min="12551" max="12551" width="15.125" style="16" customWidth="1"/>
    <col min="12552" max="12552" width="3.25" style="16" customWidth="1"/>
    <col min="12553" max="12553" width="11.375" style="16" customWidth="1"/>
    <col min="12554" max="12554" width="14.25" style="16" customWidth="1"/>
    <col min="12555" max="12555" width="15.75" style="16" customWidth="1"/>
    <col min="12556" max="12800" width="8" style="16" customWidth="1"/>
    <col min="12801" max="12801" width="8.125" style="16" customWidth="1"/>
    <col min="12802" max="12802" width="22.625" style="16" customWidth="1"/>
    <col min="12803" max="12803" width="11.5" style="16" customWidth="1"/>
    <col min="12804" max="12804" width="1" style="16" customWidth="1"/>
    <col min="12805" max="12805" width="7.5" style="16" customWidth="1"/>
    <col min="12806" max="12806" width="15.5" style="16" customWidth="1"/>
    <col min="12807" max="12807" width="15.125" style="16" customWidth="1"/>
    <col min="12808" max="12808" width="3.25" style="16" customWidth="1"/>
    <col min="12809" max="12809" width="11.375" style="16" customWidth="1"/>
    <col min="12810" max="12810" width="14.25" style="16" customWidth="1"/>
    <col min="12811" max="12811" width="15.75" style="16" customWidth="1"/>
    <col min="12812" max="13056" width="8" style="16" customWidth="1"/>
    <col min="13057" max="13057" width="8.125" style="16" customWidth="1"/>
    <col min="13058" max="13058" width="22.625" style="16" customWidth="1"/>
    <col min="13059" max="13059" width="11.5" style="16" customWidth="1"/>
    <col min="13060" max="13060" width="1" style="16" customWidth="1"/>
    <col min="13061" max="13061" width="7.5" style="16" customWidth="1"/>
    <col min="13062" max="13062" width="15.5" style="16" customWidth="1"/>
    <col min="13063" max="13063" width="15.125" style="16" customWidth="1"/>
    <col min="13064" max="13064" width="3.25" style="16" customWidth="1"/>
    <col min="13065" max="13065" width="11.375" style="16" customWidth="1"/>
    <col min="13066" max="13066" width="14.25" style="16" customWidth="1"/>
    <col min="13067" max="13067" width="15.75" style="16" customWidth="1"/>
    <col min="13068" max="13312" width="8" style="16" customWidth="1"/>
    <col min="13313" max="13313" width="8.125" style="16" customWidth="1"/>
    <col min="13314" max="13314" width="22.625" style="16" customWidth="1"/>
    <col min="13315" max="13315" width="11.5" style="16" customWidth="1"/>
    <col min="13316" max="13316" width="1" style="16" customWidth="1"/>
    <col min="13317" max="13317" width="7.5" style="16" customWidth="1"/>
    <col min="13318" max="13318" width="15.5" style="16" customWidth="1"/>
    <col min="13319" max="13319" width="15.125" style="16" customWidth="1"/>
    <col min="13320" max="13320" width="3.25" style="16" customWidth="1"/>
    <col min="13321" max="13321" width="11.375" style="16" customWidth="1"/>
    <col min="13322" max="13322" width="14.25" style="16" customWidth="1"/>
    <col min="13323" max="13323" width="15.75" style="16" customWidth="1"/>
    <col min="13324" max="13568" width="8" style="16" customWidth="1"/>
    <col min="13569" max="13569" width="8.125" style="16" customWidth="1"/>
    <col min="13570" max="13570" width="22.625" style="16" customWidth="1"/>
    <col min="13571" max="13571" width="11.5" style="16" customWidth="1"/>
    <col min="13572" max="13572" width="1" style="16" customWidth="1"/>
    <col min="13573" max="13573" width="7.5" style="16" customWidth="1"/>
    <col min="13574" max="13574" width="15.5" style="16" customWidth="1"/>
    <col min="13575" max="13575" width="15.125" style="16" customWidth="1"/>
    <col min="13576" max="13576" width="3.25" style="16" customWidth="1"/>
    <col min="13577" max="13577" width="11.375" style="16" customWidth="1"/>
    <col min="13578" max="13578" width="14.25" style="16" customWidth="1"/>
    <col min="13579" max="13579" width="15.75" style="16" customWidth="1"/>
    <col min="13580" max="13824" width="8" style="16" customWidth="1"/>
    <col min="13825" max="13825" width="8.125" style="16" customWidth="1"/>
    <col min="13826" max="13826" width="22.625" style="16" customWidth="1"/>
    <col min="13827" max="13827" width="11.5" style="16" customWidth="1"/>
    <col min="13828" max="13828" width="1" style="16" customWidth="1"/>
    <col min="13829" max="13829" width="7.5" style="16" customWidth="1"/>
    <col min="13830" max="13830" width="15.5" style="16" customWidth="1"/>
    <col min="13831" max="13831" width="15.125" style="16" customWidth="1"/>
    <col min="13832" max="13832" width="3.25" style="16" customWidth="1"/>
    <col min="13833" max="13833" width="11.375" style="16" customWidth="1"/>
    <col min="13834" max="13834" width="14.25" style="16" customWidth="1"/>
    <col min="13835" max="13835" width="15.75" style="16" customWidth="1"/>
    <col min="13836" max="14080" width="8" style="16" customWidth="1"/>
    <col min="14081" max="14081" width="8.125" style="16" customWidth="1"/>
    <col min="14082" max="14082" width="22.625" style="16" customWidth="1"/>
    <col min="14083" max="14083" width="11.5" style="16" customWidth="1"/>
    <col min="14084" max="14084" width="1" style="16" customWidth="1"/>
    <col min="14085" max="14085" width="7.5" style="16" customWidth="1"/>
    <col min="14086" max="14086" width="15.5" style="16" customWidth="1"/>
    <col min="14087" max="14087" width="15.125" style="16" customWidth="1"/>
    <col min="14088" max="14088" width="3.25" style="16" customWidth="1"/>
    <col min="14089" max="14089" width="11.375" style="16" customWidth="1"/>
    <col min="14090" max="14090" width="14.25" style="16" customWidth="1"/>
    <col min="14091" max="14091" width="15.75" style="16" customWidth="1"/>
    <col min="14092" max="14336" width="8" style="16" customWidth="1"/>
    <col min="14337" max="14337" width="8.125" style="16" customWidth="1"/>
    <col min="14338" max="14338" width="22.625" style="16" customWidth="1"/>
    <col min="14339" max="14339" width="11.5" style="16" customWidth="1"/>
    <col min="14340" max="14340" width="1" style="16" customWidth="1"/>
    <col min="14341" max="14341" width="7.5" style="16" customWidth="1"/>
    <col min="14342" max="14342" width="15.5" style="16" customWidth="1"/>
    <col min="14343" max="14343" width="15.125" style="16" customWidth="1"/>
    <col min="14344" max="14344" width="3.25" style="16" customWidth="1"/>
    <col min="14345" max="14345" width="11.375" style="16" customWidth="1"/>
    <col min="14346" max="14346" width="14.25" style="16" customWidth="1"/>
    <col min="14347" max="14347" width="15.75" style="16" customWidth="1"/>
    <col min="14348" max="14592" width="8" style="16" customWidth="1"/>
    <col min="14593" max="14593" width="8.125" style="16" customWidth="1"/>
    <col min="14594" max="14594" width="22.625" style="16" customWidth="1"/>
    <col min="14595" max="14595" width="11.5" style="16" customWidth="1"/>
    <col min="14596" max="14596" width="1" style="16" customWidth="1"/>
    <col min="14597" max="14597" width="7.5" style="16" customWidth="1"/>
    <col min="14598" max="14598" width="15.5" style="16" customWidth="1"/>
    <col min="14599" max="14599" width="15.125" style="16" customWidth="1"/>
    <col min="14600" max="14600" width="3.25" style="16" customWidth="1"/>
    <col min="14601" max="14601" width="11.375" style="16" customWidth="1"/>
    <col min="14602" max="14602" width="14.25" style="16" customWidth="1"/>
    <col min="14603" max="14603" width="15.75" style="16" customWidth="1"/>
    <col min="14604" max="14848" width="8" style="16" customWidth="1"/>
    <col min="14849" max="14849" width="8.125" style="16" customWidth="1"/>
    <col min="14850" max="14850" width="22.625" style="16" customWidth="1"/>
    <col min="14851" max="14851" width="11.5" style="16" customWidth="1"/>
    <col min="14852" max="14852" width="1" style="16" customWidth="1"/>
    <col min="14853" max="14853" width="7.5" style="16" customWidth="1"/>
    <col min="14854" max="14854" width="15.5" style="16" customWidth="1"/>
    <col min="14855" max="14855" width="15.125" style="16" customWidth="1"/>
    <col min="14856" max="14856" width="3.25" style="16" customWidth="1"/>
    <col min="14857" max="14857" width="11.375" style="16" customWidth="1"/>
    <col min="14858" max="14858" width="14.25" style="16" customWidth="1"/>
    <col min="14859" max="14859" width="15.75" style="16" customWidth="1"/>
    <col min="14860" max="15104" width="8" style="16" customWidth="1"/>
    <col min="15105" max="15105" width="8.125" style="16" customWidth="1"/>
    <col min="15106" max="15106" width="22.625" style="16" customWidth="1"/>
    <col min="15107" max="15107" width="11.5" style="16" customWidth="1"/>
    <col min="15108" max="15108" width="1" style="16" customWidth="1"/>
    <col min="15109" max="15109" width="7.5" style="16" customWidth="1"/>
    <col min="15110" max="15110" width="15.5" style="16" customWidth="1"/>
    <col min="15111" max="15111" width="15.125" style="16" customWidth="1"/>
    <col min="15112" max="15112" width="3.25" style="16" customWidth="1"/>
    <col min="15113" max="15113" width="11.375" style="16" customWidth="1"/>
    <col min="15114" max="15114" width="14.25" style="16" customWidth="1"/>
    <col min="15115" max="15115" width="15.75" style="16" customWidth="1"/>
    <col min="15116" max="15360" width="8" style="16" customWidth="1"/>
    <col min="15361" max="15361" width="8.125" style="16" customWidth="1"/>
    <col min="15362" max="15362" width="22.625" style="16" customWidth="1"/>
    <col min="15363" max="15363" width="11.5" style="16" customWidth="1"/>
    <col min="15364" max="15364" width="1" style="16" customWidth="1"/>
    <col min="15365" max="15365" width="7.5" style="16" customWidth="1"/>
    <col min="15366" max="15366" width="15.5" style="16" customWidth="1"/>
    <col min="15367" max="15367" width="15.125" style="16" customWidth="1"/>
    <col min="15368" max="15368" width="3.25" style="16" customWidth="1"/>
    <col min="15369" max="15369" width="11.375" style="16" customWidth="1"/>
    <col min="15370" max="15370" width="14.25" style="16" customWidth="1"/>
    <col min="15371" max="15371" width="15.75" style="16" customWidth="1"/>
    <col min="15372" max="15616" width="8" style="16" customWidth="1"/>
    <col min="15617" max="15617" width="8.125" style="16" customWidth="1"/>
    <col min="15618" max="15618" width="22.625" style="16" customWidth="1"/>
    <col min="15619" max="15619" width="11.5" style="16" customWidth="1"/>
    <col min="15620" max="15620" width="1" style="16" customWidth="1"/>
    <col min="15621" max="15621" width="7.5" style="16" customWidth="1"/>
    <col min="15622" max="15622" width="15.5" style="16" customWidth="1"/>
    <col min="15623" max="15623" width="15.125" style="16" customWidth="1"/>
    <col min="15624" max="15624" width="3.25" style="16" customWidth="1"/>
    <col min="15625" max="15625" width="11.375" style="16" customWidth="1"/>
    <col min="15626" max="15626" width="14.25" style="16" customWidth="1"/>
    <col min="15627" max="15627" width="15.75" style="16" customWidth="1"/>
    <col min="15628" max="15872" width="8" style="16" customWidth="1"/>
    <col min="15873" max="15873" width="8.125" style="16" customWidth="1"/>
    <col min="15874" max="15874" width="22.625" style="16" customWidth="1"/>
    <col min="15875" max="15875" width="11.5" style="16" customWidth="1"/>
    <col min="15876" max="15876" width="1" style="16" customWidth="1"/>
    <col min="15877" max="15877" width="7.5" style="16" customWidth="1"/>
    <col min="15878" max="15878" width="15.5" style="16" customWidth="1"/>
    <col min="15879" max="15879" width="15.125" style="16" customWidth="1"/>
    <col min="15880" max="15880" width="3.25" style="16" customWidth="1"/>
    <col min="15881" max="15881" width="11.375" style="16" customWidth="1"/>
    <col min="15882" max="15882" width="14.25" style="16" customWidth="1"/>
    <col min="15883" max="15883" width="15.75" style="16" customWidth="1"/>
    <col min="15884" max="16128" width="8" style="16" customWidth="1"/>
    <col min="16129" max="16129" width="8.125" style="16" customWidth="1"/>
    <col min="16130" max="16130" width="22.625" style="16" customWidth="1"/>
    <col min="16131" max="16131" width="11.5" style="16" customWidth="1"/>
    <col min="16132" max="16132" width="1" style="16" customWidth="1"/>
    <col min="16133" max="16133" width="7.5" style="16" customWidth="1"/>
    <col min="16134" max="16134" width="15.5" style="16" customWidth="1"/>
    <col min="16135" max="16135" width="15.125" style="16" customWidth="1"/>
    <col min="16136" max="16136" width="3.25" style="16" customWidth="1"/>
    <col min="16137" max="16137" width="11.375" style="16" customWidth="1"/>
    <col min="16138" max="16138" width="14.25" style="16" customWidth="1"/>
    <col min="16139" max="16139" width="15.75" style="16" customWidth="1"/>
    <col min="16140" max="16384" width="8" style="16" customWidth="1"/>
  </cols>
  <sheetData>
    <row r="1" spans="1:11" ht="42" customHeight="1">
      <c r="A1" s="332" t="s">
        <v>226</v>
      </c>
      <c r="B1" s="332" t="s">
        <v>110</v>
      </c>
      <c r="C1" s="332" t="s">
        <v>110</v>
      </c>
      <c r="D1" s="332" t="s">
        <v>110</v>
      </c>
      <c r="E1" s="332" t="s">
        <v>110</v>
      </c>
      <c r="F1" s="332" t="s">
        <v>110</v>
      </c>
      <c r="G1" s="332" t="s">
        <v>110</v>
      </c>
      <c r="H1" s="332" t="s">
        <v>110</v>
      </c>
      <c r="I1" s="332" t="s">
        <v>110</v>
      </c>
      <c r="J1" s="332" t="s">
        <v>110</v>
      </c>
      <c r="K1" s="332" t="s">
        <v>110</v>
      </c>
    </row>
    <row r="2" spans="1:11" ht="14.25" customHeight="1" thickBot="1">
      <c r="A2" s="333" t="s">
        <v>714</v>
      </c>
      <c r="B2" s="333" t="s">
        <v>110</v>
      </c>
      <c r="C2" s="333" t="s">
        <v>110</v>
      </c>
      <c r="D2" s="333" t="s">
        <v>110</v>
      </c>
      <c r="E2" s="333" t="s">
        <v>110</v>
      </c>
      <c r="F2" s="333" t="s">
        <v>110</v>
      </c>
      <c r="G2" s="333" t="s">
        <v>110</v>
      </c>
      <c r="H2" s="333" t="s">
        <v>110</v>
      </c>
      <c r="I2" s="334" t="s">
        <v>111</v>
      </c>
      <c r="J2" s="334" t="s">
        <v>110</v>
      </c>
      <c r="K2" s="334" t="s">
        <v>110</v>
      </c>
    </row>
    <row r="3" spans="1:11" ht="13.5" customHeight="1">
      <c r="A3" s="260" t="s">
        <v>112</v>
      </c>
      <c r="B3" s="262" t="s">
        <v>853</v>
      </c>
      <c r="C3" s="262" t="s">
        <v>854</v>
      </c>
      <c r="D3" s="335" t="s">
        <v>133</v>
      </c>
      <c r="E3" s="335" t="s">
        <v>110</v>
      </c>
      <c r="F3" s="262" t="s">
        <v>855</v>
      </c>
      <c r="G3" s="262" t="s">
        <v>164</v>
      </c>
      <c r="H3" s="335" t="s">
        <v>856</v>
      </c>
      <c r="I3" s="335" t="s">
        <v>110</v>
      </c>
      <c r="J3" s="262" t="s">
        <v>857</v>
      </c>
      <c r="K3" s="265" t="s">
        <v>858</v>
      </c>
    </row>
    <row r="4" spans="1:11" ht="13.5" customHeight="1">
      <c r="A4" s="261">
        <v>1</v>
      </c>
      <c r="B4" s="263" t="s">
        <v>859</v>
      </c>
      <c r="C4" s="263" t="s">
        <v>860</v>
      </c>
      <c r="D4" s="337" t="s">
        <v>223</v>
      </c>
      <c r="E4" s="337" t="s">
        <v>110</v>
      </c>
      <c r="F4" s="264">
        <v>1026.9269999999999</v>
      </c>
      <c r="G4" s="263">
        <v>338</v>
      </c>
      <c r="H4" s="337">
        <v>310</v>
      </c>
      <c r="I4" s="337" t="s">
        <v>110</v>
      </c>
      <c r="J4" s="263">
        <v>-28</v>
      </c>
      <c r="K4" s="266">
        <v>-28753.96</v>
      </c>
    </row>
    <row r="5" spans="1:11" ht="13.5" customHeight="1">
      <c r="A5" s="261">
        <v>2</v>
      </c>
      <c r="B5" s="263" t="s">
        <v>861</v>
      </c>
      <c r="C5" s="263" t="s">
        <v>860</v>
      </c>
      <c r="D5" s="337" t="s">
        <v>223</v>
      </c>
      <c r="E5" s="337" t="s">
        <v>110</v>
      </c>
      <c r="F5" s="264">
        <v>6839.5873000000001</v>
      </c>
      <c r="G5" s="263">
        <v>351</v>
      </c>
      <c r="H5" s="337">
        <v>330</v>
      </c>
      <c r="I5" s="337" t="s">
        <v>110</v>
      </c>
      <c r="J5" s="263">
        <v>-21</v>
      </c>
      <c r="K5" s="266">
        <v>-143631.32999999999</v>
      </c>
    </row>
    <row r="6" spans="1:11" ht="13.5" customHeight="1">
      <c r="A6" s="261">
        <v>3</v>
      </c>
      <c r="B6" s="263" t="s">
        <v>934</v>
      </c>
      <c r="C6" s="263" t="s">
        <v>110</v>
      </c>
      <c r="D6" s="337" t="s">
        <v>935</v>
      </c>
      <c r="E6" s="337" t="s">
        <v>110</v>
      </c>
      <c r="F6" s="264">
        <v>159673.35</v>
      </c>
      <c r="G6" s="263">
        <v>5</v>
      </c>
      <c r="H6" s="337">
        <v>10</v>
      </c>
      <c r="I6" s="337" t="s">
        <v>110</v>
      </c>
      <c r="J6" s="263">
        <v>5</v>
      </c>
      <c r="K6" s="266">
        <v>798366.75</v>
      </c>
    </row>
    <row r="7" spans="1:11" ht="13.5" customHeight="1">
      <c r="A7" s="261">
        <v>4</v>
      </c>
      <c r="B7" s="263" t="s">
        <v>862</v>
      </c>
      <c r="C7" s="263" t="s">
        <v>110</v>
      </c>
      <c r="D7" s="337" t="s">
        <v>222</v>
      </c>
      <c r="E7" s="337" t="s">
        <v>110</v>
      </c>
      <c r="F7" s="264">
        <v>10.101000000000001</v>
      </c>
      <c r="G7" s="263">
        <v>303</v>
      </c>
      <c r="H7" s="337">
        <v>800</v>
      </c>
      <c r="I7" s="337" t="s">
        <v>110</v>
      </c>
      <c r="J7" s="263">
        <v>497</v>
      </c>
      <c r="K7" s="266">
        <v>5020.2</v>
      </c>
    </row>
    <row r="8" spans="1:11" ht="13.5" customHeight="1">
      <c r="A8" s="261">
        <v>5</v>
      </c>
      <c r="B8" s="263" t="s">
        <v>863</v>
      </c>
      <c r="C8" s="263" t="s">
        <v>110</v>
      </c>
      <c r="D8" s="337" t="s">
        <v>222</v>
      </c>
      <c r="E8" s="337" t="s">
        <v>110</v>
      </c>
      <c r="F8" s="264">
        <v>1321.866</v>
      </c>
      <c r="G8" s="263">
        <v>224</v>
      </c>
      <c r="H8" s="337">
        <v>1500</v>
      </c>
      <c r="I8" s="337" t="s">
        <v>110</v>
      </c>
      <c r="J8" s="263">
        <v>1276</v>
      </c>
      <c r="K8" s="266">
        <v>1686701.02</v>
      </c>
    </row>
    <row r="9" spans="1:11" ht="13.5" customHeight="1">
      <c r="A9" s="261">
        <v>6</v>
      </c>
      <c r="B9" s="263" t="s">
        <v>864</v>
      </c>
      <c r="C9" s="263" t="s">
        <v>110</v>
      </c>
      <c r="D9" s="337" t="s">
        <v>222</v>
      </c>
      <c r="E9" s="337" t="s">
        <v>110</v>
      </c>
      <c r="F9" s="264">
        <v>202.16470000000001</v>
      </c>
      <c r="G9" s="263">
        <v>590</v>
      </c>
      <c r="H9" s="337">
        <v>440</v>
      </c>
      <c r="I9" s="337" t="s">
        <v>110</v>
      </c>
      <c r="J9" s="263">
        <v>-150</v>
      </c>
      <c r="K9" s="266">
        <v>-30324.71</v>
      </c>
    </row>
    <row r="10" spans="1:11" ht="13.5" customHeight="1">
      <c r="A10" s="261">
        <v>7</v>
      </c>
      <c r="B10" s="263" t="s">
        <v>865</v>
      </c>
      <c r="C10" s="263" t="s">
        <v>110</v>
      </c>
      <c r="D10" s="337" t="s">
        <v>222</v>
      </c>
      <c r="E10" s="337" t="s">
        <v>110</v>
      </c>
      <c r="F10" s="264">
        <v>194.4</v>
      </c>
      <c r="G10" s="263">
        <v>180</v>
      </c>
      <c r="H10" s="337">
        <v>360</v>
      </c>
      <c r="I10" s="337" t="s">
        <v>110</v>
      </c>
      <c r="J10" s="263">
        <v>180</v>
      </c>
      <c r="K10" s="266">
        <v>34992</v>
      </c>
    </row>
    <row r="11" spans="1:11" ht="13.5" customHeight="1">
      <c r="A11" s="261">
        <v>8</v>
      </c>
      <c r="B11" s="263" t="s">
        <v>866</v>
      </c>
      <c r="C11" s="263" t="s">
        <v>110</v>
      </c>
      <c r="D11" s="337" t="s">
        <v>222</v>
      </c>
      <c r="E11" s="337" t="s">
        <v>110</v>
      </c>
      <c r="F11" s="264">
        <v>2540.9670000000001</v>
      </c>
      <c r="G11" s="263">
        <v>204</v>
      </c>
      <c r="H11" s="337">
        <v>349</v>
      </c>
      <c r="I11" s="337" t="s">
        <v>110</v>
      </c>
      <c r="J11" s="263">
        <v>145</v>
      </c>
      <c r="K11" s="266">
        <v>368440.22</v>
      </c>
    </row>
    <row r="12" spans="1:11" ht="13.5" customHeight="1">
      <c r="A12" s="261">
        <v>9</v>
      </c>
      <c r="B12" s="263" t="s">
        <v>867</v>
      </c>
      <c r="C12" s="263" t="s">
        <v>110</v>
      </c>
      <c r="D12" s="337" t="s">
        <v>222</v>
      </c>
      <c r="E12" s="337" t="s">
        <v>110</v>
      </c>
      <c r="F12" s="264">
        <v>872.8836</v>
      </c>
      <c r="G12" s="263">
        <v>253</v>
      </c>
      <c r="H12" s="337">
        <v>382</v>
      </c>
      <c r="I12" s="337" t="s">
        <v>110</v>
      </c>
      <c r="J12" s="263">
        <v>129</v>
      </c>
      <c r="K12" s="266">
        <v>112601.98</v>
      </c>
    </row>
    <row r="13" spans="1:11" ht="13.5" customHeight="1">
      <c r="A13" s="261">
        <v>10</v>
      </c>
      <c r="B13" s="263" t="s">
        <v>868</v>
      </c>
      <c r="C13" s="263" t="s">
        <v>110</v>
      </c>
      <c r="D13" s="337" t="s">
        <v>222</v>
      </c>
      <c r="E13" s="337" t="s">
        <v>110</v>
      </c>
      <c r="F13" s="264">
        <v>1549.2946999999999</v>
      </c>
      <c r="G13" s="263">
        <v>560</v>
      </c>
      <c r="H13" s="337">
        <v>620</v>
      </c>
      <c r="I13" s="337" t="s">
        <v>110</v>
      </c>
      <c r="J13" s="263">
        <v>60</v>
      </c>
      <c r="K13" s="266">
        <v>92957.68</v>
      </c>
    </row>
    <row r="14" spans="1:11" ht="13.5" customHeight="1">
      <c r="A14" s="261">
        <v>11</v>
      </c>
      <c r="B14" s="263" t="s">
        <v>869</v>
      </c>
      <c r="C14" s="263" t="s">
        <v>110</v>
      </c>
      <c r="D14" s="337" t="s">
        <v>222</v>
      </c>
      <c r="E14" s="337" t="s">
        <v>110</v>
      </c>
      <c r="F14" s="264">
        <v>27.1005</v>
      </c>
      <c r="G14" s="263">
        <v>275</v>
      </c>
      <c r="H14" s="337">
        <v>409</v>
      </c>
      <c r="I14" s="337" t="s">
        <v>110</v>
      </c>
      <c r="J14" s="263">
        <v>134</v>
      </c>
      <c r="K14" s="266">
        <v>3631.47</v>
      </c>
    </row>
    <row r="15" spans="1:11" ht="13.5" customHeight="1">
      <c r="A15" s="261">
        <v>12</v>
      </c>
      <c r="B15" s="263" t="s">
        <v>870</v>
      </c>
      <c r="C15" s="263" t="s">
        <v>871</v>
      </c>
      <c r="D15" s="337" t="s">
        <v>222</v>
      </c>
      <c r="E15" s="337" t="s">
        <v>110</v>
      </c>
      <c r="F15" s="264">
        <v>4888.2659999999996</v>
      </c>
      <c r="G15" s="263">
        <v>39.83</v>
      </c>
      <c r="H15" s="337">
        <v>80</v>
      </c>
      <c r="I15" s="337" t="s">
        <v>110</v>
      </c>
      <c r="J15" s="263">
        <v>40.17</v>
      </c>
      <c r="K15" s="266">
        <v>196361.65</v>
      </c>
    </row>
    <row r="16" spans="1:11" ht="13.5" customHeight="1">
      <c r="A16" s="261">
        <v>13</v>
      </c>
      <c r="B16" s="263" t="s">
        <v>872</v>
      </c>
      <c r="C16" s="263" t="s">
        <v>110</v>
      </c>
      <c r="D16" s="337" t="s">
        <v>222</v>
      </c>
      <c r="E16" s="337" t="s">
        <v>110</v>
      </c>
      <c r="F16" s="264">
        <v>592.35400000000004</v>
      </c>
      <c r="G16" s="263">
        <v>11.35</v>
      </c>
      <c r="H16" s="337">
        <v>50</v>
      </c>
      <c r="I16" s="337" t="s">
        <v>110</v>
      </c>
      <c r="J16" s="263">
        <v>38.65</v>
      </c>
      <c r="K16" s="266">
        <v>22894.48</v>
      </c>
    </row>
    <row r="17" spans="1:11" ht="13.5" customHeight="1">
      <c r="A17" s="261">
        <v>14</v>
      </c>
      <c r="B17" s="263" t="s">
        <v>936</v>
      </c>
      <c r="C17" s="263" t="s">
        <v>110</v>
      </c>
      <c r="D17" s="337" t="s">
        <v>222</v>
      </c>
      <c r="E17" s="337" t="s">
        <v>110</v>
      </c>
      <c r="F17" s="264">
        <v>2938.53</v>
      </c>
      <c r="G17" s="263">
        <v>20.3</v>
      </c>
      <c r="H17" s="337">
        <v>60</v>
      </c>
      <c r="I17" s="337" t="s">
        <v>110</v>
      </c>
      <c r="J17" s="263">
        <v>39.700000000000003</v>
      </c>
      <c r="K17" s="266">
        <v>116659.64</v>
      </c>
    </row>
    <row r="18" spans="1:11">
      <c r="A18" s="261">
        <v>15</v>
      </c>
      <c r="B18" s="263" t="s">
        <v>873</v>
      </c>
      <c r="C18" s="263" t="s">
        <v>110</v>
      </c>
      <c r="D18" s="337" t="s">
        <v>143</v>
      </c>
      <c r="E18" s="337" t="s">
        <v>110</v>
      </c>
      <c r="F18" s="264">
        <v>293.8</v>
      </c>
      <c r="G18" s="263">
        <v>6922</v>
      </c>
      <c r="H18" s="337">
        <v>6530</v>
      </c>
      <c r="I18" s="337" t="s">
        <v>110</v>
      </c>
      <c r="J18" s="263">
        <v>-392</v>
      </c>
      <c r="K18" s="266">
        <v>-115169.60000000001</v>
      </c>
    </row>
    <row r="19" spans="1:11">
      <c r="A19" s="261">
        <v>16</v>
      </c>
      <c r="B19" s="263" t="s">
        <v>874</v>
      </c>
      <c r="C19" s="263" t="s">
        <v>110</v>
      </c>
      <c r="D19" s="337" t="s">
        <v>143</v>
      </c>
      <c r="E19" s="337" t="s">
        <v>110</v>
      </c>
      <c r="F19" s="264">
        <v>306</v>
      </c>
      <c r="G19" s="263">
        <v>6922</v>
      </c>
      <c r="H19" s="337">
        <v>5490</v>
      </c>
      <c r="I19" s="337" t="s">
        <v>110</v>
      </c>
      <c r="J19" s="263">
        <v>-1432</v>
      </c>
      <c r="K19" s="266">
        <v>-438192</v>
      </c>
    </row>
    <row r="20" spans="1:11">
      <c r="A20" s="261">
        <v>17</v>
      </c>
      <c r="B20" s="263" t="s">
        <v>930</v>
      </c>
      <c r="C20" s="263" t="s">
        <v>110</v>
      </c>
      <c r="D20" s="337" t="s">
        <v>143</v>
      </c>
      <c r="E20" s="337" t="s">
        <v>110</v>
      </c>
      <c r="F20" s="264">
        <v>19.399999999999999</v>
      </c>
      <c r="G20" s="263">
        <v>6922</v>
      </c>
      <c r="H20" s="337">
        <v>6740</v>
      </c>
      <c r="I20" s="337" t="s">
        <v>110</v>
      </c>
      <c r="J20" s="263">
        <v>-182</v>
      </c>
      <c r="K20" s="266">
        <v>-3530.8</v>
      </c>
    </row>
    <row r="21" spans="1:11" ht="13.5" customHeight="1">
      <c r="A21" s="261">
        <v>18</v>
      </c>
      <c r="B21" s="263" t="s">
        <v>931</v>
      </c>
      <c r="C21" s="263" t="s">
        <v>110</v>
      </c>
      <c r="D21" s="337" t="s">
        <v>143</v>
      </c>
      <c r="E21" s="337" t="s">
        <v>110</v>
      </c>
      <c r="F21" s="264">
        <v>10</v>
      </c>
      <c r="G21" s="263">
        <v>8065</v>
      </c>
      <c r="H21" s="337">
        <v>5090</v>
      </c>
      <c r="I21" s="337" t="s">
        <v>110</v>
      </c>
      <c r="J21" s="263">
        <v>-2975</v>
      </c>
      <c r="K21" s="266">
        <v>-29750</v>
      </c>
    </row>
    <row r="22" spans="1:11">
      <c r="A22" s="261">
        <v>19</v>
      </c>
      <c r="B22" s="263" t="s">
        <v>932</v>
      </c>
      <c r="C22" s="263" t="s">
        <v>110</v>
      </c>
      <c r="D22" s="337" t="s">
        <v>143</v>
      </c>
      <c r="E22" s="337" t="s">
        <v>110</v>
      </c>
      <c r="F22" s="264">
        <v>2982.2046</v>
      </c>
      <c r="G22" s="263">
        <v>3914</v>
      </c>
      <c r="H22" s="337">
        <v>2730</v>
      </c>
      <c r="I22" s="337" t="s">
        <v>110</v>
      </c>
      <c r="J22" s="263">
        <v>-1184</v>
      </c>
      <c r="K22" s="266">
        <v>-3530930.25</v>
      </c>
    </row>
    <row r="23" spans="1:11" ht="13.5" customHeight="1">
      <c r="A23" s="261">
        <v>20</v>
      </c>
      <c r="B23" s="263" t="s">
        <v>933</v>
      </c>
      <c r="C23" s="263" t="s">
        <v>110</v>
      </c>
      <c r="D23" s="337" t="s">
        <v>222</v>
      </c>
      <c r="E23" s="337" t="s">
        <v>110</v>
      </c>
      <c r="F23" s="264">
        <v>32560.84</v>
      </c>
      <c r="G23" s="263">
        <v>157.63999999999999</v>
      </c>
      <c r="H23" s="337">
        <v>130</v>
      </c>
      <c r="I23" s="337" t="s">
        <v>110</v>
      </c>
      <c r="J23" s="263">
        <v>-27.64</v>
      </c>
      <c r="K23" s="266">
        <v>-899981.62</v>
      </c>
    </row>
    <row r="24" spans="1:11">
      <c r="A24" s="261" t="s">
        <v>110</v>
      </c>
      <c r="B24" s="263" t="s">
        <v>110</v>
      </c>
      <c r="C24" s="263" t="s">
        <v>110</v>
      </c>
      <c r="D24" s="337" t="s">
        <v>110</v>
      </c>
      <c r="E24" s="337" t="s">
        <v>110</v>
      </c>
      <c r="F24" s="264" t="s">
        <v>110</v>
      </c>
      <c r="G24" s="263" t="s">
        <v>110</v>
      </c>
      <c r="H24" s="337" t="s">
        <v>110</v>
      </c>
      <c r="I24" s="337" t="s">
        <v>110</v>
      </c>
      <c r="J24" s="263" t="s">
        <v>110</v>
      </c>
      <c r="K24" s="266" t="s">
        <v>110</v>
      </c>
    </row>
    <row r="25" spans="1:11">
      <c r="A25" s="261" t="s">
        <v>110</v>
      </c>
      <c r="B25" s="263" t="s">
        <v>110</v>
      </c>
      <c r="C25" s="263" t="s">
        <v>110</v>
      </c>
      <c r="D25" s="337" t="s">
        <v>110</v>
      </c>
      <c r="E25" s="337" t="s">
        <v>110</v>
      </c>
      <c r="F25" s="264" t="s">
        <v>110</v>
      </c>
      <c r="G25" s="263" t="s">
        <v>110</v>
      </c>
      <c r="H25" s="337" t="s">
        <v>110</v>
      </c>
      <c r="I25" s="337" t="s">
        <v>110</v>
      </c>
      <c r="J25" s="263" t="s">
        <v>110</v>
      </c>
      <c r="K25" s="266" t="s">
        <v>110</v>
      </c>
    </row>
    <row r="26" spans="1:11">
      <c r="A26" s="261" t="s">
        <v>110</v>
      </c>
      <c r="B26" s="263" t="s">
        <v>110</v>
      </c>
      <c r="C26" s="263" t="s">
        <v>110</v>
      </c>
      <c r="D26" s="337" t="s">
        <v>110</v>
      </c>
      <c r="E26" s="337" t="s">
        <v>110</v>
      </c>
      <c r="F26" s="264" t="s">
        <v>110</v>
      </c>
      <c r="G26" s="263" t="s">
        <v>110</v>
      </c>
      <c r="H26" s="337" t="s">
        <v>110</v>
      </c>
      <c r="I26" s="337" t="s">
        <v>110</v>
      </c>
      <c r="J26" s="263" t="s">
        <v>110</v>
      </c>
      <c r="K26" s="266" t="s">
        <v>110</v>
      </c>
    </row>
    <row r="27" spans="1:11" ht="14.25" thickBot="1">
      <c r="A27" s="349" t="s">
        <v>875</v>
      </c>
      <c r="B27" s="350" t="s">
        <v>110</v>
      </c>
      <c r="C27" s="350" t="s">
        <v>110</v>
      </c>
      <c r="D27" s="350" t="s">
        <v>110</v>
      </c>
      <c r="E27" s="350" t="s">
        <v>110</v>
      </c>
      <c r="F27" s="350" t="s">
        <v>110</v>
      </c>
      <c r="G27" s="350" t="s">
        <v>110</v>
      </c>
      <c r="H27" s="350" t="s">
        <v>110</v>
      </c>
      <c r="I27" s="350" t="s">
        <v>110</v>
      </c>
      <c r="J27" s="350" t="s">
        <v>110</v>
      </c>
      <c r="K27" s="267">
        <v>-1781637.18</v>
      </c>
    </row>
    <row r="28" spans="1:11">
      <c r="A28" s="333" t="s">
        <v>288</v>
      </c>
      <c r="B28" s="333" t="s">
        <v>110</v>
      </c>
      <c r="C28" s="333" t="s">
        <v>110</v>
      </c>
      <c r="D28" s="333" t="s">
        <v>110</v>
      </c>
      <c r="E28" s="338" t="s">
        <v>289</v>
      </c>
      <c r="F28" s="338" t="s">
        <v>110</v>
      </c>
      <c r="G28" s="338" t="s">
        <v>110</v>
      </c>
      <c r="H28" s="338" t="s">
        <v>110</v>
      </c>
      <c r="I28" s="334" t="s">
        <v>290</v>
      </c>
      <c r="J28" s="334" t="s">
        <v>110</v>
      </c>
      <c r="K28" s="334" t="s">
        <v>110</v>
      </c>
    </row>
  </sheetData>
  <mergeCells count="55">
    <mergeCell ref="A28:D28"/>
    <mergeCell ref="E28:H28"/>
    <mergeCell ref="I28:K28"/>
    <mergeCell ref="D5:E5"/>
    <mergeCell ref="H5:I5"/>
    <mergeCell ref="D6:E6"/>
    <mergeCell ref="H6:I6"/>
    <mergeCell ref="H22:I22"/>
    <mergeCell ref="D14:E14"/>
    <mergeCell ref="H14:I14"/>
    <mergeCell ref="D15:E15"/>
    <mergeCell ref="H15:I15"/>
    <mergeCell ref="D16:E16"/>
    <mergeCell ref="H16:I16"/>
    <mergeCell ref="D20:E20"/>
    <mergeCell ref="H20:I20"/>
    <mergeCell ref="D21:E21"/>
    <mergeCell ref="H21:I21"/>
    <mergeCell ref="D22:E22"/>
    <mergeCell ref="D26:E26"/>
    <mergeCell ref="H26:I26"/>
    <mergeCell ref="A27:J27"/>
    <mergeCell ref="D23:E23"/>
    <mergeCell ref="H23:I23"/>
    <mergeCell ref="D24:E24"/>
    <mergeCell ref="H24:I24"/>
    <mergeCell ref="D25:E25"/>
    <mergeCell ref="H25:I25"/>
    <mergeCell ref="D17:E17"/>
    <mergeCell ref="H17:I17"/>
    <mergeCell ref="D18:E18"/>
    <mergeCell ref="H18:I18"/>
    <mergeCell ref="D19:E19"/>
    <mergeCell ref="H19:I19"/>
    <mergeCell ref="H12:I12"/>
    <mergeCell ref="D13:E13"/>
    <mergeCell ref="H13:I13"/>
    <mergeCell ref="D8:E8"/>
    <mergeCell ref="H8:I8"/>
    <mergeCell ref="D9:E9"/>
    <mergeCell ref="H9:I9"/>
    <mergeCell ref="D10:E10"/>
    <mergeCell ref="H10:I10"/>
    <mergeCell ref="D11:E11"/>
    <mergeCell ref="H11:I11"/>
    <mergeCell ref="D12:E12"/>
    <mergeCell ref="D7:E7"/>
    <mergeCell ref="H7:I7"/>
    <mergeCell ref="A1:K1"/>
    <mergeCell ref="A2:H2"/>
    <mergeCell ref="I2:K2"/>
    <mergeCell ref="D3:E3"/>
    <mergeCell ref="H3:I3"/>
    <mergeCell ref="D4:E4"/>
    <mergeCell ref="H4:I4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sqref="A1:G42"/>
    </sheetView>
  </sheetViews>
  <sheetFormatPr defaultRowHeight="13.5"/>
  <cols>
    <col min="1" max="1" width="9.375" style="16" customWidth="1"/>
    <col min="2" max="2" width="19.375" style="16" customWidth="1"/>
    <col min="3" max="3" width="9.375" style="16" customWidth="1"/>
    <col min="4" max="4" width="12.875" style="16" customWidth="1"/>
    <col min="5" max="5" width="5.75" style="16" customWidth="1"/>
    <col min="6" max="6" width="9.125" style="16" customWidth="1"/>
    <col min="7" max="7" width="18.875" style="16" customWidth="1"/>
    <col min="8" max="256" width="8" style="16" customWidth="1"/>
    <col min="257" max="257" width="9.375" style="16" customWidth="1"/>
    <col min="258" max="258" width="19.375" style="16" customWidth="1"/>
    <col min="259" max="259" width="9.375" style="16" customWidth="1"/>
    <col min="260" max="260" width="12.875" style="16" customWidth="1"/>
    <col min="261" max="261" width="5.75" style="16" customWidth="1"/>
    <col min="262" max="262" width="9.125" style="16" customWidth="1"/>
    <col min="263" max="263" width="18.875" style="16" customWidth="1"/>
    <col min="264" max="512" width="8" style="16" customWidth="1"/>
    <col min="513" max="513" width="9.375" style="16" customWidth="1"/>
    <col min="514" max="514" width="19.375" style="16" customWidth="1"/>
    <col min="515" max="515" width="9.375" style="16" customWidth="1"/>
    <col min="516" max="516" width="12.875" style="16" customWidth="1"/>
    <col min="517" max="517" width="5.75" style="16" customWidth="1"/>
    <col min="518" max="518" width="9.125" style="16" customWidth="1"/>
    <col min="519" max="519" width="18.875" style="16" customWidth="1"/>
    <col min="520" max="768" width="8" style="16" customWidth="1"/>
    <col min="769" max="769" width="9.375" style="16" customWidth="1"/>
    <col min="770" max="770" width="19.375" style="16" customWidth="1"/>
    <col min="771" max="771" width="9.375" style="16" customWidth="1"/>
    <col min="772" max="772" width="12.875" style="16" customWidth="1"/>
    <col min="773" max="773" width="5.75" style="16" customWidth="1"/>
    <col min="774" max="774" width="9.125" style="16" customWidth="1"/>
    <col min="775" max="775" width="18.875" style="16" customWidth="1"/>
    <col min="776" max="1024" width="8" style="16" customWidth="1"/>
    <col min="1025" max="1025" width="9.375" style="16" customWidth="1"/>
    <col min="1026" max="1026" width="19.375" style="16" customWidth="1"/>
    <col min="1027" max="1027" width="9.375" style="16" customWidth="1"/>
    <col min="1028" max="1028" width="12.875" style="16" customWidth="1"/>
    <col min="1029" max="1029" width="5.75" style="16" customWidth="1"/>
    <col min="1030" max="1030" width="9.125" style="16" customWidth="1"/>
    <col min="1031" max="1031" width="18.875" style="16" customWidth="1"/>
    <col min="1032" max="1280" width="8" style="16" customWidth="1"/>
    <col min="1281" max="1281" width="9.375" style="16" customWidth="1"/>
    <col min="1282" max="1282" width="19.375" style="16" customWidth="1"/>
    <col min="1283" max="1283" width="9.375" style="16" customWidth="1"/>
    <col min="1284" max="1284" width="12.875" style="16" customWidth="1"/>
    <col min="1285" max="1285" width="5.75" style="16" customWidth="1"/>
    <col min="1286" max="1286" width="9.125" style="16" customWidth="1"/>
    <col min="1287" max="1287" width="18.875" style="16" customWidth="1"/>
    <col min="1288" max="1536" width="8" style="16" customWidth="1"/>
    <col min="1537" max="1537" width="9.375" style="16" customWidth="1"/>
    <col min="1538" max="1538" width="19.375" style="16" customWidth="1"/>
    <col min="1539" max="1539" width="9.375" style="16" customWidth="1"/>
    <col min="1540" max="1540" width="12.875" style="16" customWidth="1"/>
    <col min="1541" max="1541" width="5.75" style="16" customWidth="1"/>
    <col min="1542" max="1542" width="9.125" style="16" customWidth="1"/>
    <col min="1543" max="1543" width="18.875" style="16" customWidth="1"/>
    <col min="1544" max="1792" width="8" style="16" customWidth="1"/>
    <col min="1793" max="1793" width="9.375" style="16" customWidth="1"/>
    <col min="1794" max="1794" width="19.375" style="16" customWidth="1"/>
    <col min="1795" max="1795" width="9.375" style="16" customWidth="1"/>
    <col min="1796" max="1796" width="12.875" style="16" customWidth="1"/>
    <col min="1797" max="1797" width="5.75" style="16" customWidth="1"/>
    <col min="1798" max="1798" width="9.125" style="16" customWidth="1"/>
    <col min="1799" max="1799" width="18.875" style="16" customWidth="1"/>
    <col min="1800" max="2048" width="8" style="16" customWidth="1"/>
    <col min="2049" max="2049" width="9.375" style="16" customWidth="1"/>
    <col min="2050" max="2050" width="19.375" style="16" customWidth="1"/>
    <col min="2051" max="2051" width="9.375" style="16" customWidth="1"/>
    <col min="2052" max="2052" width="12.875" style="16" customWidth="1"/>
    <col min="2053" max="2053" width="5.75" style="16" customWidth="1"/>
    <col min="2054" max="2054" width="9.125" style="16" customWidth="1"/>
    <col min="2055" max="2055" width="18.875" style="16" customWidth="1"/>
    <col min="2056" max="2304" width="8" style="16" customWidth="1"/>
    <col min="2305" max="2305" width="9.375" style="16" customWidth="1"/>
    <col min="2306" max="2306" width="19.375" style="16" customWidth="1"/>
    <col min="2307" max="2307" width="9.375" style="16" customWidth="1"/>
    <col min="2308" max="2308" width="12.875" style="16" customWidth="1"/>
    <col min="2309" max="2309" width="5.75" style="16" customWidth="1"/>
    <col min="2310" max="2310" width="9.125" style="16" customWidth="1"/>
    <col min="2311" max="2311" width="18.875" style="16" customWidth="1"/>
    <col min="2312" max="2560" width="8" style="16" customWidth="1"/>
    <col min="2561" max="2561" width="9.375" style="16" customWidth="1"/>
    <col min="2562" max="2562" width="19.375" style="16" customWidth="1"/>
    <col min="2563" max="2563" width="9.375" style="16" customWidth="1"/>
    <col min="2564" max="2564" width="12.875" style="16" customWidth="1"/>
    <col min="2565" max="2565" width="5.75" style="16" customWidth="1"/>
    <col min="2566" max="2566" width="9.125" style="16" customWidth="1"/>
    <col min="2567" max="2567" width="18.875" style="16" customWidth="1"/>
    <col min="2568" max="2816" width="8" style="16" customWidth="1"/>
    <col min="2817" max="2817" width="9.375" style="16" customWidth="1"/>
    <col min="2818" max="2818" width="19.375" style="16" customWidth="1"/>
    <col min="2819" max="2819" width="9.375" style="16" customWidth="1"/>
    <col min="2820" max="2820" width="12.875" style="16" customWidth="1"/>
    <col min="2821" max="2821" width="5.75" style="16" customWidth="1"/>
    <col min="2822" max="2822" width="9.125" style="16" customWidth="1"/>
    <col min="2823" max="2823" width="18.875" style="16" customWidth="1"/>
    <col min="2824" max="3072" width="8" style="16" customWidth="1"/>
    <col min="3073" max="3073" width="9.375" style="16" customWidth="1"/>
    <col min="3074" max="3074" width="19.375" style="16" customWidth="1"/>
    <col min="3075" max="3075" width="9.375" style="16" customWidth="1"/>
    <col min="3076" max="3076" width="12.875" style="16" customWidth="1"/>
    <col min="3077" max="3077" width="5.75" style="16" customWidth="1"/>
    <col min="3078" max="3078" width="9.125" style="16" customWidth="1"/>
    <col min="3079" max="3079" width="18.875" style="16" customWidth="1"/>
    <col min="3080" max="3328" width="8" style="16" customWidth="1"/>
    <col min="3329" max="3329" width="9.375" style="16" customWidth="1"/>
    <col min="3330" max="3330" width="19.375" style="16" customWidth="1"/>
    <col min="3331" max="3331" width="9.375" style="16" customWidth="1"/>
    <col min="3332" max="3332" width="12.875" style="16" customWidth="1"/>
    <col min="3333" max="3333" width="5.75" style="16" customWidth="1"/>
    <col min="3334" max="3334" width="9.125" style="16" customWidth="1"/>
    <col min="3335" max="3335" width="18.875" style="16" customWidth="1"/>
    <col min="3336" max="3584" width="8" style="16" customWidth="1"/>
    <col min="3585" max="3585" width="9.375" style="16" customWidth="1"/>
    <col min="3586" max="3586" width="19.375" style="16" customWidth="1"/>
    <col min="3587" max="3587" width="9.375" style="16" customWidth="1"/>
    <col min="3588" max="3588" width="12.875" style="16" customWidth="1"/>
    <col min="3589" max="3589" width="5.75" style="16" customWidth="1"/>
    <col min="3590" max="3590" width="9.125" style="16" customWidth="1"/>
    <col min="3591" max="3591" width="18.875" style="16" customWidth="1"/>
    <col min="3592" max="3840" width="8" style="16" customWidth="1"/>
    <col min="3841" max="3841" width="9.375" style="16" customWidth="1"/>
    <col min="3842" max="3842" width="19.375" style="16" customWidth="1"/>
    <col min="3843" max="3843" width="9.375" style="16" customWidth="1"/>
    <col min="3844" max="3844" width="12.875" style="16" customWidth="1"/>
    <col min="3845" max="3845" width="5.75" style="16" customWidth="1"/>
    <col min="3846" max="3846" width="9.125" style="16" customWidth="1"/>
    <col min="3847" max="3847" width="18.875" style="16" customWidth="1"/>
    <col min="3848" max="4096" width="8" style="16" customWidth="1"/>
    <col min="4097" max="4097" width="9.375" style="16" customWidth="1"/>
    <col min="4098" max="4098" width="19.375" style="16" customWidth="1"/>
    <col min="4099" max="4099" width="9.375" style="16" customWidth="1"/>
    <col min="4100" max="4100" width="12.875" style="16" customWidth="1"/>
    <col min="4101" max="4101" width="5.75" style="16" customWidth="1"/>
    <col min="4102" max="4102" width="9.125" style="16" customWidth="1"/>
    <col min="4103" max="4103" width="18.875" style="16" customWidth="1"/>
    <col min="4104" max="4352" width="8" style="16" customWidth="1"/>
    <col min="4353" max="4353" width="9.375" style="16" customWidth="1"/>
    <col min="4354" max="4354" width="19.375" style="16" customWidth="1"/>
    <col min="4355" max="4355" width="9.375" style="16" customWidth="1"/>
    <col min="4356" max="4356" width="12.875" style="16" customWidth="1"/>
    <col min="4357" max="4357" width="5.75" style="16" customWidth="1"/>
    <col min="4358" max="4358" width="9.125" style="16" customWidth="1"/>
    <col min="4359" max="4359" width="18.875" style="16" customWidth="1"/>
    <col min="4360" max="4608" width="8" style="16" customWidth="1"/>
    <col min="4609" max="4609" width="9.375" style="16" customWidth="1"/>
    <col min="4610" max="4610" width="19.375" style="16" customWidth="1"/>
    <col min="4611" max="4611" width="9.375" style="16" customWidth="1"/>
    <col min="4612" max="4612" width="12.875" style="16" customWidth="1"/>
    <col min="4613" max="4613" width="5.75" style="16" customWidth="1"/>
    <col min="4614" max="4614" width="9.125" style="16" customWidth="1"/>
    <col min="4615" max="4615" width="18.875" style="16" customWidth="1"/>
    <col min="4616" max="4864" width="8" style="16" customWidth="1"/>
    <col min="4865" max="4865" width="9.375" style="16" customWidth="1"/>
    <col min="4866" max="4866" width="19.375" style="16" customWidth="1"/>
    <col min="4867" max="4867" width="9.375" style="16" customWidth="1"/>
    <col min="4868" max="4868" width="12.875" style="16" customWidth="1"/>
    <col min="4869" max="4869" width="5.75" style="16" customWidth="1"/>
    <col min="4870" max="4870" width="9.125" style="16" customWidth="1"/>
    <col min="4871" max="4871" width="18.875" style="16" customWidth="1"/>
    <col min="4872" max="5120" width="8" style="16" customWidth="1"/>
    <col min="5121" max="5121" width="9.375" style="16" customWidth="1"/>
    <col min="5122" max="5122" width="19.375" style="16" customWidth="1"/>
    <col min="5123" max="5123" width="9.375" style="16" customWidth="1"/>
    <col min="5124" max="5124" width="12.875" style="16" customWidth="1"/>
    <col min="5125" max="5125" width="5.75" style="16" customWidth="1"/>
    <col min="5126" max="5126" width="9.125" style="16" customWidth="1"/>
    <col min="5127" max="5127" width="18.875" style="16" customWidth="1"/>
    <col min="5128" max="5376" width="8" style="16" customWidth="1"/>
    <col min="5377" max="5377" width="9.375" style="16" customWidth="1"/>
    <col min="5378" max="5378" width="19.375" style="16" customWidth="1"/>
    <col min="5379" max="5379" width="9.375" style="16" customWidth="1"/>
    <col min="5380" max="5380" width="12.875" style="16" customWidth="1"/>
    <col min="5381" max="5381" width="5.75" style="16" customWidth="1"/>
    <col min="5382" max="5382" width="9.125" style="16" customWidth="1"/>
    <col min="5383" max="5383" width="18.875" style="16" customWidth="1"/>
    <col min="5384" max="5632" width="8" style="16" customWidth="1"/>
    <col min="5633" max="5633" width="9.375" style="16" customWidth="1"/>
    <col min="5634" max="5634" width="19.375" style="16" customWidth="1"/>
    <col min="5635" max="5635" width="9.375" style="16" customWidth="1"/>
    <col min="5636" max="5636" width="12.875" style="16" customWidth="1"/>
    <col min="5637" max="5637" width="5.75" style="16" customWidth="1"/>
    <col min="5638" max="5638" width="9.125" style="16" customWidth="1"/>
    <col min="5639" max="5639" width="18.875" style="16" customWidth="1"/>
    <col min="5640" max="5888" width="8" style="16" customWidth="1"/>
    <col min="5889" max="5889" width="9.375" style="16" customWidth="1"/>
    <col min="5890" max="5890" width="19.375" style="16" customWidth="1"/>
    <col min="5891" max="5891" width="9.375" style="16" customWidth="1"/>
    <col min="5892" max="5892" width="12.875" style="16" customWidth="1"/>
    <col min="5893" max="5893" width="5.75" style="16" customWidth="1"/>
    <col min="5894" max="5894" width="9.125" style="16" customWidth="1"/>
    <col min="5895" max="5895" width="18.875" style="16" customWidth="1"/>
    <col min="5896" max="6144" width="8" style="16" customWidth="1"/>
    <col min="6145" max="6145" width="9.375" style="16" customWidth="1"/>
    <col min="6146" max="6146" width="19.375" style="16" customWidth="1"/>
    <col min="6147" max="6147" width="9.375" style="16" customWidth="1"/>
    <col min="6148" max="6148" width="12.875" style="16" customWidth="1"/>
    <col min="6149" max="6149" width="5.75" style="16" customWidth="1"/>
    <col min="6150" max="6150" width="9.125" style="16" customWidth="1"/>
    <col min="6151" max="6151" width="18.875" style="16" customWidth="1"/>
    <col min="6152" max="6400" width="8" style="16" customWidth="1"/>
    <col min="6401" max="6401" width="9.375" style="16" customWidth="1"/>
    <col min="6402" max="6402" width="19.375" style="16" customWidth="1"/>
    <col min="6403" max="6403" width="9.375" style="16" customWidth="1"/>
    <col min="6404" max="6404" width="12.875" style="16" customWidth="1"/>
    <col min="6405" max="6405" width="5.75" style="16" customWidth="1"/>
    <col min="6406" max="6406" width="9.125" style="16" customWidth="1"/>
    <col min="6407" max="6407" width="18.875" style="16" customWidth="1"/>
    <col min="6408" max="6656" width="8" style="16" customWidth="1"/>
    <col min="6657" max="6657" width="9.375" style="16" customWidth="1"/>
    <col min="6658" max="6658" width="19.375" style="16" customWidth="1"/>
    <col min="6659" max="6659" width="9.375" style="16" customWidth="1"/>
    <col min="6660" max="6660" width="12.875" style="16" customWidth="1"/>
    <col min="6661" max="6661" width="5.75" style="16" customWidth="1"/>
    <col min="6662" max="6662" width="9.125" style="16" customWidth="1"/>
    <col min="6663" max="6663" width="18.875" style="16" customWidth="1"/>
    <col min="6664" max="6912" width="8" style="16" customWidth="1"/>
    <col min="6913" max="6913" width="9.375" style="16" customWidth="1"/>
    <col min="6914" max="6914" width="19.375" style="16" customWidth="1"/>
    <col min="6915" max="6915" width="9.375" style="16" customWidth="1"/>
    <col min="6916" max="6916" width="12.875" style="16" customWidth="1"/>
    <col min="6917" max="6917" width="5.75" style="16" customWidth="1"/>
    <col min="6918" max="6918" width="9.125" style="16" customWidth="1"/>
    <col min="6919" max="6919" width="18.875" style="16" customWidth="1"/>
    <col min="6920" max="7168" width="8" style="16" customWidth="1"/>
    <col min="7169" max="7169" width="9.375" style="16" customWidth="1"/>
    <col min="7170" max="7170" width="19.375" style="16" customWidth="1"/>
    <col min="7171" max="7171" width="9.375" style="16" customWidth="1"/>
    <col min="7172" max="7172" width="12.875" style="16" customWidth="1"/>
    <col min="7173" max="7173" width="5.75" style="16" customWidth="1"/>
    <col min="7174" max="7174" width="9.125" style="16" customWidth="1"/>
    <col min="7175" max="7175" width="18.875" style="16" customWidth="1"/>
    <col min="7176" max="7424" width="8" style="16" customWidth="1"/>
    <col min="7425" max="7425" width="9.375" style="16" customWidth="1"/>
    <col min="7426" max="7426" width="19.375" style="16" customWidth="1"/>
    <col min="7427" max="7427" width="9.375" style="16" customWidth="1"/>
    <col min="7428" max="7428" width="12.875" style="16" customWidth="1"/>
    <col min="7429" max="7429" width="5.75" style="16" customWidth="1"/>
    <col min="7430" max="7430" width="9.125" style="16" customWidth="1"/>
    <col min="7431" max="7431" width="18.875" style="16" customWidth="1"/>
    <col min="7432" max="7680" width="8" style="16" customWidth="1"/>
    <col min="7681" max="7681" width="9.375" style="16" customWidth="1"/>
    <col min="7682" max="7682" width="19.375" style="16" customWidth="1"/>
    <col min="7683" max="7683" width="9.375" style="16" customWidth="1"/>
    <col min="7684" max="7684" width="12.875" style="16" customWidth="1"/>
    <col min="7685" max="7685" width="5.75" style="16" customWidth="1"/>
    <col min="7686" max="7686" width="9.125" style="16" customWidth="1"/>
    <col min="7687" max="7687" width="18.875" style="16" customWidth="1"/>
    <col min="7688" max="7936" width="8" style="16" customWidth="1"/>
    <col min="7937" max="7937" width="9.375" style="16" customWidth="1"/>
    <col min="7938" max="7938" width="19.375" style="16" customWidth="1"/>
    <col min="7939" max="7939" width="9.375" style="16" customWidth="1"/>
    <col min="7940" max="7940" width="12.875" style="16" customWidth="1"/>
    <col min="7941" max="7941" width="5.75" style="16" customWidth="1"/>
    <col min="7942" max="7942" width="9.125" style="16" customWidth="1"/>
    <col min="7943" max="7943" width="18.875" style="16" customWidth="1"/>
    <col min="7944" max="8192" width="8" style="16" customWidth="1"/>
    <col min="8193" max="8193" width="9.375" style="16" customWidth="1"/>
    <col min="8194" max="8194" width="19.375" style="16" customWidth="1"/>
    <col min="8195" max="8195" width="9.375" style="16" customWidth="1"/>
    <col min="8196" max="8196" width="12.875" style="16" customWidth="1"/>
    <col min="8197" max="8197" width="5.75" style="16" customWidth="1"/>
    <col min="8198" max="8198" width="9.125" style="16" customWidth="1"/>
    <col min="8199" max="8199" width="18.875" style="16" customWidth="1"/>
    <col min="8200" max="8448" width="8" style="16" customWidth="1"/>
    <col min="8449" max="8449" width="9.375" style="16" customWidth="1"/>
    <col min="8450" max="8450" width="19.375" style="16" customWidth="1"/>
    <col min="8451" max="8451" width="9.375" style="16" customWidth="1"/>
    <col min="8452" max="8452" width="12.875" style="16" customWidth="1"/>
    <col min="8453" max="8453" width="5.75" style="16" customWidth="1"/>
    <col min="8454" max="8454" width="9.125" style="16" customWidth="1"/>
    <col min="8455" max="8455" width="18.875" style="16" customWidth="1"/>
    <col min="8456" max="8704" width="8" style="16" customWidth="1"/>
    <col min="8705" max="8705" width="9.375" style="16" customWidth="1"/>
    <col min="8706" max="8706" width="19.375" style="16" customWidth="1"/>
    <col min="8707" max="8707" width="9.375" style="16" customWidth="1"/>
    <col min="8708" max="8708" width="12.875" style="16" customWidth="1"/>
    <col min="8709" max="8709" width="5.75" style="16" customWidth="1"/>
    <col min="8710" max="8710" width="9.125" style="16" customWidth="1"/>
    <col min="8711" max="8711" width="18.875" style="16" customWidth="1"/>
    <col min="8712" max="8960" width="8" style="16" customWidth="1"/>
    <col min="8961" max="8961" width="9.375" style="16" customWidth="1"/>
    <col min="8962" max="8962" width="19.375" style="16" customWidth="1"/>
    <col min="8963" max="8963" width="9.375" style="16" customWidth="1"/>
    <col min="8964" max="8964" width="12.875" style="16" customWidth="1"/>
    <col min="8965" max="8965" width="5.75" style="16" customWidth="1"/>
    <col min="8966" max="8966" width="9.125" style="16" customWidth="1"/>
    <col min="8967" max="8967" width="18.875" style="16" customWidth="1"/>
    <col min="8968" max="9216" width="8" style="16" customWidth="1"/>
    <col min="9217" max="9217" width="9.375" style="16" customWidth="1"/>
    <col min="9218" max="9218" width="19.375" style="16" customWidth="1"/>
    <col min="9219" max="9219" width="9.375" style="16" customWidth="1"/>
    <col min="9220" max="9220" width="12.875" style="16" customWidth="1"/>
    <col min="9221" max="9221" width="5.75" style="16" customWidth="1"/>
    <col min="9222" max="9222" width="9.125" style="16" customWidth="1"/>
    <col min="9223" max="9223" width="18.875" style="16" customWidth="1"/>
    <col min="9224" max="9472" width="8" style="16" customWidth="1"/>
    <col min="9473" max="9473" width="9.375" style="16" customWidth="1"/>
    <col min="9474" max="9474" width="19.375" style="16" customWidth="1"/>
    <col min="9475" max="9475" width="9.375" style="16" customWidth="1"/>
    <col min="9476" max="9476" width="12.875" style="16" customWidth="1"/>
    <col min="9477" max="9477" width="5.75" style="16" customWidth="1"/>
    <col min="9478" max="9478" width="9.125" style="16" customWidth="1"/>
    <col min="9479" max="9479" width="18.875" style="16" customWidth="1"/>
    <col min="9480" max="9728" width="8" style="16" customWidth="1"/>
    <col min="9729" max="9729" width="9.375" style="16" customWidth="1"/>
    <col min="9730" max="9730" width="19.375" style="16" customWidth="1"/>
    <col min="9731" max="9731" width="9.375" style="16" customWidth="1"/>
    <col min="9732" max="9732" width="12.875" style="16" customWidth="1"/>
    <col min="9733" max="9733" width="5.75" style="16" customWidth="1"/>
    <col min="9734" max="9734" width="9.125" style="16" customWidth="1"/>
    <col min="9735" max="9735" width="18.875" style="16" customWidth="1"/>
    <col min="9736" max="9984" width="8" style="16" customWidth="1"/>
    <col min="9985" max="9985" width="9.375" style="16" customWidth="1"/>
    <col min="9986" max="9986" width="19.375" style="16" customWidth="1"/>
    <col min="9987" max="9987" width="9.375" style="16" customWidth="1"/>
    <col min="9988" max="9988" width="12.875" style="16" customWidth="1"/>
    <col min="9989" max="9989" width="5.75" style="16" customWidth="1"/>
    <col min="9990" max="9990" width="9.125" style="16" customWidth="1"/>
    <col min="9991" max="9991" width="18.875" style="16" customWidth="1"/>
    <col min="9992" max="10240" width="8" style="16" customWidth="1"/>
    <col min="10241" max="10241" width="9.375" style="16" customWidth="1"/>
    <col min="10242" max="10242" width="19.375" style="16" customWidth="1"/>
    <col min="10243" max="10243" width="9.375" style="16" customWidth="1"/>
    <col min="10244" max="10244" width="12.875" style="16" customWidth="1"/>
    <col min="10245" max="10245" width="5.75" style="16" customWidth="1"/>
    <col min="10246" max="10246" width="9.125" style="16" customWidth="1"/>
    <col min="10247" max="10247" width="18.875" style="16" customWidth="1"/>
    <col min="10248" max="10496" width="8" style="16" customWidth="1"/>
    <col min="10497" max="10497" width="9.375" style="16" customWidth="1"/>
    <col min="10498" max="10498" width="19.375" style="16" customWidth="1"/>
    <col min="10499" max="10499" width="9.375" style="16" customWidth="1"/>
    <col min="10500" max="10500" width="12.875" style="16" customWidth="1"/>
    <col min="10501" max="10501" width="5.75" style="16" customWidth="1"/>
    <col min="10502" max="10502" width="9.125" style="16" customWidth="1"/>
    <col min="10503" max="10503" width="18.875" style="16" customWidth="1"/>
    <col min="10504" max="10752" width="8" style="16" customWidth="1"/>
    <col min="10753" max="10753" width="9.375" style="16" customWidth="1"/>
    <col min="10754" max="10754" width="19.375" style="16" customWidth="1"/>
    <col min="10755" max="10755" width="9.375" style="16" customWidth="1"/>
    <col min="10756" max="10756" width="12.875" style="16" customWidth="1"/>
    <col min="10757" max="10757" width="5.75" style="16" customWidth="1"/>
    <col min="10758" max="10758" width="9.125" style="16" customWidth="1"/>
    <col min="10759" max="10759" width="18.875" style="16" customWidth="1"/>
    <col min="10760" max="11008" width="8" style="16" customWidth="1"/>
    <col min="11009" max="11009" width="9.375" style="16" customWidth="1"/>
    <col min="11010" max="11010" width="19.375" style="16" customWidth="1"/>
    <col min="11011" max="11011" width="9.375" style="16" customWidth="1"/>
    <col min="11012" max="11012" width="12.875" style="16" customWidth="1"/>
    <col min="11013" max="11013" width="5.75" style="16" customWidth="1"/>
    <col min="11014" max="11014" width="9.125" style="16" customWidth="1"/>
    <col min="11015" max="11015" width="18.875" style="16" customWidth="1"/>
    <col min="11016" max="11264" width="8" style="16" customWidth="1"/>
    <col min="11265" max="11265" width="9.375" style="16" customWidth="1"/>
    <col min="11266" max="11266" width="19.375" style="16" customWidth="1"/>
    <col min="11267" max="11267" width="9.375" style="16" customWidth="1"/>
    <col min="11268" max="11268" width="12.875" style="16" customWidth="1"/>
    <col min="11269" max="11269" width="5.75" style="16" customWidth="1"/>
    <col min="11270" max="11270" width="9.125" style="16" customWidth="1"/>
    <col min="11271" max="11271" width="18.875" style="16" customWidth="1"/>
    <col min="11272" max="11520" width="8" style="16" customWidth="1"/>
    <col min="11521" max="11521" width="9.375" style="16" customWidth="1"/>
    <col min="11522" max="11522" width="19.375" style="16" customWidth="1"/>
    <col min="11523" max="11523" width="9.375" style="16" customWidth="1"/>
    <col min="11524" max="11524" width="12.875" style="16" customWidth="1"/>
    <col min="11525" max="11525" width="5.75" style="16" customWidth="1"/>
    <col min="11526" max="11526" width="9.125" style="16" customWidth="1"/>
    <col min="11527" max="11527" width="18.875" style="16" customWidth="1"/>
    <col min="11528" max="11776" width="8" style="16" customWidth="1"/>
    <col min="11777" max="11777" width="9.375" style="16" customWidth="1"/>
    <col min="11778" max="11778" width="19.375" style="16" customWidth="1"/>
    <col min="11779" max="11779" width="9.375" style="16" customWidth="1"/>
    <col min="11780" max="11780" width="12.875" style="16" customWidth="1"/>
    <col min="11781" max="11781" width="5.75" style="16" customWidth="1"/>
    <col min="11782" max="11782" width="9.125" style="16" customWidth="1"/>
    <col min="11783" max="11783" width="18.875" style="16" customWidth="1"/>
    <col min="11784" max="12032" width="8" style="16" customWidth="1"/>
    <col min="12033" max="12033" width="9.375" style="16" customWidth="1"/>
    <col min="12034" max="12034" width="19.375" style="16" customWidth="1"/>
    <col min="12035" max="12035" width="9.375" style="16" customWidth="1"/>
    <col min="12036" max="12036" width="12.875" style="16" customWidth="1"/>
    <col min="12037" max="12037" width="5.75" style="16" customWidth="1"/>
    <col min="12038" max="12038" width="9.125" style="16" customWidth="1"/>
    <col min="12039" max="12039" width="18.875" style="16" customWidth="1"/>
    <col min="12040" max="12288" width="8" style="16" customWidth="1"/>
    <col min="12289" max="12289" width="9.375" style="16" customWidth="1"/>
    <col min="12290" max="12290" width="19.375" style="16" customWidth="1"/>
    <col min="12291" max="12291" width="9.375" style="16" customWidth="1"/>
    <col min="12292" max="12292" width="12.875" style="16" customWidth="1"/>
    <col min="12293" max="12293" width="5.75" style="16" customWidth="1"/>
    <col min="12294" max="12294" width="9.125" style="16" customWidth="1"/>
    <col min="12295" max="12295" width="18.875" style="16" customWidth="1"/>
    <col min="12296" max="12544" width="8" style="16" customWidth="1"/>
    <col min="12545" max="12545" width="9.375" style="16" customWidth="1"/>
    <col min="12546" max="12546" width="19.375" style="16" customWidth="1"/>
    <col min="12547" max="12547" width="9.375" style="16" customWidth="1"/>
    <col min="12548" max="12548" width="12.875" style="16" customWidth="1"/>
    <col min="12549" max="12549" width="5.75" style="16" customWidth="1"/>
    <col min="12550" max="12550" width="9.125" style="16" customWidth="1"/>
    <col min="12551" max="12551" width="18.875" style="16" customWidth="1"/>
    <col min="12552" max="12800" width="8" style="16" customWidth="1"/>
    <col min="12801" max="12801" width="9.375" style="16" customWidth="1"/>
    <col min="12802" max="12802" width="19.375" style="16" customWidth="1"/>
    <col min="12803" max="12803" width="9.375" style="16" customWidth="1"/>
    <col min="12804" max="12804" width="12.875" style="16" customWidth="1"/>
    <col min="12805" max="12805" width="5.75" style="16" customWidth="1"/>
    <col min="12806" max="12806" width="9.125" style="16" customWidth="1"/>
    <col min="12807" max="12807" width="18.875" style="16" customWidth="1"/>
    <col min="12808" max="13056" width="8" style="16" customWidth="1"/>
    <col min="13057" max="13057" width="9.375" style="16" customWidth="1"/>
    <col min="13058" max="13058" width="19.375" style="16" customWidth="1"/>
    <col min="13059" max="13059" width="9.375" style="16" customWidth="1"/>
    <col min="13060" max="13060" width="12.875" style="16" customWidth="1"/>
    <col min="13061" max="13061" width="5.75" style="16" customWidth="1"/>
    <col min="13062" max="13062" width="9.125" style="16" customWidth="1"/>
    <col min="13063" max="13063" width="18.875" style="16" customWidth="1"/>
    <col min="13064" max="13312" width="8" style="16" customWidth="1"/>
    <col min="13313" max="13313" width="9.375" style="16" customWidth="1"/>
    <col min="13314" max="13314" width="19.375" style="16" customWidth="1"/>
    <col min="13315" max="13315" width="9.375" style="16" customWidth="1"/>
    <col min="13316" max="13316" width="12.875" style="16" customWidth="1"/>
    <col min="13317" max="13317" width="5.75" style="16" customWidth="1"/>
    <col min="13318" max="13318" width="9.125" style="16" customWidth="1"/>
    <col min="13319" max="13319" width="18.875" style="16" customWidth="1"/>
    <col min="13320" max="13568" width="8" style="16" customWidth="1"/>
    <col min="13569" max="13569" width="9.375" style="16" customWidth="1"/>
    <col min="13570" max="13570" width="19.375" style="16" customWidth="1"/>
    <col min="13571" max="13571" width="9.375" style="16" customWidth="1"/>
    <col min="13572" max="13572" width="12.875" style="16" customWidth="1"/>
    <col min="13573" max="13573" width="5.75" style="16" customWidth="1"/>
    <col min="13574" max="13574" width="9.125" style="16" customWidth="1"/>
    <col min="13575" max="13575" width="18.875" style="16" customWidth="1"/>
    <col min="13576" max="13824" width="8" style="16" customWidth="1"/>
    <col min="13825" max="13825" width="9.375" style="16" customWidth="1"/>
    <col min="13826" max="13826" width="19.375" style="16" customWidth="1"/>
    <col min="13827" max="13827" width="9.375" style="16" customWidth="1"/>
    <col min="13828" max="13828" width="12.875" style="16" customWidth="1"/>
    <col min="13829" max="13829" width="5.75" style="16" customWidth="1"/>
    <col min="13830" max="13830" width="9.125" style="16" customWidth="1"/>
    <col min="13831" max="13831" width="18.875" style="16" customWidth="1"/>
    <col min="13832" max="14080" width="8" style="16" customWidth="1"/>
    <col min="14081" max="14081" width="9.375" style="16" customWidth="1"/>
    <col min="14082" max="14082" width="19.375" style="16" customWidth="1"/>
    <col min="14083" max="14083" width="9.375" style="16" customWidth="1"/>
    <col min="14084" max="14084" width="12.875" style="16" customWidth="1"/>
    <col min="14085" max="14085" width="5.75" style="16" customWidth="1"/>
    <col min="14086" max="14086" width="9.125" style="16" customWidth="1"/>
    <col min="14087" max="14087" width="18.875" style="16" customWidth="1"/>
    <col min="14088" max="14336" width="8" style="16" customWidth="1"/>
    <col min="14337" max="14337" width="9.375" style="16" customWidth="1"/>
    <col min="14338" max="14338" width="19.375" style="16" customWidth="1"/>
    <col min="14339" max="14339" width="9.375" style="16" customWidth="1"/>
    <col min="14340" max="14340" width="12.875" style="16" customWidth="1"/>
    <col min="14341" max="14341" width="5.75" style="16" customWidth="1"/>
    <col min="14342" max="14342" width="9.125" style="16" customWidth="1"/>
    <col min="14343" max="14343" width="18.875" style="16" customWidth="1"/>
    <col min="14344" max="14592" width="8" style="16" customWidth="1"/>
    <col min="14593" max="14593" width="9.375" style="16" customWidth="1"/>
    <col min="14594" max="14594" width="19.375" style="16" customWidth="1"/>
    <col min="14595" max="14595" width="9.375" style="16" customWidth="1"/>
    <col min="14596" max="14596" width="12.875" style="16" customWidth="1"/>
    <col min="14597" max="14597" width="5.75" style="16" customWidth="1"/>
    <col min="14598" max="14598" width="9.125" style="16" customWidth="1"/>
    <col min="14599" max="14599" width="18.875" style="16" customWidth="1"/>
    <col min="14600" max="14848" width="8" style="16" customWidth="1"/>
    <col min="14849" max="14849" width="9.375" style="16" customWidth="1"/>
    <col min="14850" max="14850" width="19.375" style="16" customWidth="1"/>
    <col min="14851" max="14851" width="9.375" style="16" customWidth="1"/>
    <col min="14852" max="14852" width="12.875" style="16" customWidth="1"/>
    <col min="14853" max="14853" width="5.75" style="16" customWidth="1"/>
    <col min="14854" max="14854" width="9.125" style="16" customWidth="1"/>
    <col min="14855" max="14855" width="18.875" style="16" customWidth="1"/>
    <col min="14856" max="15104" width="8" style="16" customWidth="1"/>
    <col min="15105" max="15105" width="9.375" style="16" customWidth="1"/>
    <col min="15106" max="15106" width="19.375" style="16" customWidth="1"/>
    <col min="15107" max="15107" width="9.375" style="16" customWidth="1"/>
    <col min="15108" max="15108" width="12.875" style="16" customWidth="1"/>
    <col min="15109" max="15109" width="5.75" style="16" customWidth="1"/>
    <col min="15110" max="15110" width="9.125" style="16" customWidth="1"/>
    <col min="15111" max="15111" width="18.875" style="16" customWidth="1"/>
    <col min="15112" max="15360" width="8" style="16" customWidth="1"/>
    <col min="15361" max="15361" width="9.375" style="16" customWidth="1"/>
    <col min="15362" max="15362" width="19.375" style="16" customWidth="1"/>
    <col min="15363" max="15363" width="9.375" style="16" customWidth="1"/>
    <col min="15364" max="15364" width="12.875" style="16" customWidth="1"/>
    <col min="15365" max="15365" width="5.75" style="16" customWidth="1"/>
    <col min="15366" max="15366" width="9.125" style="16" customWidth="1"/>
    <col min="15367" max="15367" width="18.875" style="16" customWidth="1"/>
    <col min="15368" max="15616" width="8" style="16" customWidth="1"/>
    <col min="15617" max="15617" width="9.375" style="16" customWidth="1"/>
    <col min="15618" max="15618" width="19.375" style="16" customWidth="1"/>
    <col min="15619" max="15619" width="9.375" style="16" customWidth="1"/>
    <col min="15620" max="15620" width="12.875" style="16" customWidth="1"/>
    <col min="15621" max="15621" width="5.75" style="16" customWidth="1"/>
    <col min="15622" max="15622" width="9.125" style="16" customWidth="1"/>
    <col min="15623" max="15623" width="18.875" style="16" customWidth="1"/>
    <col min="15624" max="15872" width="8" style="16" customWidth="1"/>
    <col min="15873" max="15873" width="9.375" style="16" customWidth="1"/>
    <col min="15874" max="15874" width="19.375" style="16" customWidth="1"/>
    <col min="15875" max="15875" width="9.375" style="16" customWidth="1"/>
    <col min="15876" max="15876" width="12.875" style="16" customWidth="1"/>
    <col min="15877" max="15877" width="5.75" style="16" customWidth="1"/>
    <col min="15878" max="15878" width="9.125" style="16" customWidth="1"/>
    <col min="15879" max="15879" width="18.875" style="16" customWidth="1"/>
    <col min="15880" max="16128" width="8" style="16" customWidth="1"/>
    <col min="16129" max="16129" width="9.375" style="16" customWidth="1"/>
    <col min="16130" max="16130" width="19.375" style="16" customWidth="1"/>
    <col min="16131" max="16131" width="9.375" style="16" customWidth="1"/>
    <col min="16132" max="16132" width="12.875" style="16" customWidth="1"/>
    <col min="16133" max="16133" width="5.75" style="16" customWidth="1"/>
    <col min="16134" max="16134" width="9.125" style="16" customWidth="1"/>
    <col min="16135" max="16135" width="18.875" style="16" customWidth="1"/>
    <col min="16136" max="16384" width="8" style="16" customWidth="1"/>
  </cols>
  <sheetData>
    <row r="1" spans="1:7" ht="36" customHeight="1">
      <c r="A1" s="332" t="s">
        <v>843</v>
      </c>
      <c r="B1" s="332" t="s">
        <v>110</v>
      </c>
      <c r="C1" s="332" t="s">
        <v>110</v>
      </c>
      <c r="D1" s="332" t="s">
        <v>110</v>
      </c>
      <c r="E1" s="332" t="s">
        <v>110</v>
      </c>
      <c r="F1" s="332" t="s">
        <v>110</v>
      </c>
      <c r="G1" s="332" t="s">
        <v>110</v>
      </c>
    </row>
    <row r="2" spans="1:7" ht="29.25" customHeight="1" thickBot="1">
      <c r="A2" s="333" t="s">
        <v>714</v>
      </c>
      <c r="B2" s="333" t="s">
        <v>110</v>
      </c>
      <c r="C2" s="333" t="s">
        <v>110</v>
      </c>
      <c r="D2" s="333" t="s">
        <v>110</v>
      </c>
      <c r="E2" s="333" t="s">
        <v>110</v>
      </c>
      <c r="F2" s="334" t="s">
        <v>111</v>
      </c>
      <c r="G2" s="334" t="s">
        <v>110</v>
      </c>
    </row>
    <row r="3" spans="1:7" ht="18" customHeight="1">
      <c r="A3" s="268" t="s">
        <v>112</v>
      </c>
      <c r="B3" s="335" t="s">
        <v>844</v>
      </c>
      <c r="C3" s="335" t="s">
        <v>110</v>
      </c>
      <c r="D3" s="271" t="s">
        <v>133</v>
      </c>
      <c r="E3" s="335" t="s">
        <v>294</v>
      </c>
      <c r="F3" s="335" t="s">
        <v>110</v>
      </c>
      <c r="G3" s="274" t="s">
        <v>299</v>
      </c>
    </row>
    <row r="4" spans="1:7" ht="16.5" customHeight="1">
      <c r="A4" s="269">
        <v>1</v>
      </c>
      <c r="B4" s="336" t="s">
        <v>248</v>
      </c>
      <c r="C4" s="336" t="s">
        <v>110</v>
      </c>
      <c r="D4" s="272" t="s">
        <v>110</v>
      </c>
      <c r="E4" s="337" t="s">
        <v>110</v>
      </c>
      <c r="F4" s="337" t="s">
        <v>110</v>
      </c>
      <c r="G4" s="275" t="s">
        <v>110</v>
      </c>
    </row>
    <row r="5" spans="1:7" ht="16.5" customHeight="1">
      <c r="A5" s="269">
        <v>1</v>
      </c>
      <c r="B5" s="336" t="s">
        <v>845</v>
      </c>
      <c r="C5" s="336" t="s">
        <v>110</v>
      </c>
      <c r="D5" s="273" t="s">
        <v>846</v>
      </c>
      <c r="E5" s="347">
        <v>1</v>
      </c>
      <c r="F5" s="347" t="s">
        <v>110</v>
      </c>
      <c r="G5" s="275" t="s">
        <v>110</v>
      </c>
    </row>
    <row r="6" spans="1:7" ht="16.5" customHeight="1">
      <c r="A6" s="269">
        <v>2</v>
      </c>
      <c r="B6" s="336" t="s">
        <v>847</v>
      </c>
      <c r="C6" s="336" t="s">
        <v>110</v>
      </c>
      <c r="D6" s="273" t="s">
        <v>846</v>
      </c>
      <c r="E6" s="347">
        <v>1</v>
      </c>
      <c r="F6" s="347" t="s">
        <v>110</v>
      </c>
      <c r="G6" s="275">
        <v>1768692.16</v>
      </c>
    </row>
    <row r="7" spans="1:7" ht="16.5" customHeight="1">
      <c r="A7" s="269">
        <v>3</v>
      </c>
      <c r="B7" s="336" t="s">
        <v>848</v>
      </c>
      <c r="C7" s="336" t="s">
        <v>110</v>
      </c>
      <c r="D7" s="273" t="s">
        <v>846</v>
      </c>
      <c r="E7" s="347">
        <v>1</v>
      </c>
      <c r="F7" s="347" t="s">
        <v>110</v>
      </c>
      <c r="G7" s="275">
        <v>1035979.67</v>
      </c>
    </row>
    <row r="8" spans="1:7" ht="16.5" customHeight="1">
      <c r="A8" s="269">
        <v>4</v>
      </c>
      <c r="B8" s="336" t="s">
        <v>849</v>
      </c>
      <c r="C8" s="336" t="s">
        <v>110</v>
      </c>
      <c r="D8" s="273" t="s">
        <v>846</v>
      </c>
      <c r="E8" s="347">
        <v>1</v>
      </c>
      <c r="F8" s="347" t="s">
        <v>110</v>
      </c>
      <c r="G8" s="275">
        <v>4457071.12</v>
      </c>
    </row>
    <row r="9" spans="1:7" ht="16.5" customHeight="1">
      <c r="A9" s="269">
        <v>5</v>
      </c>
      <c r="B9" s="336" t="s">
        <v>850</v>
      </c>
      <c r="C9" s="336" t="s">
        <v>110</v>
      </c>
      <c r="D9" s="273" t="s">
        <v>846</v>
      </c>
      <c r="E9" s="347">
        <v>1</v>
      </c>
      <c r="F9" s="347" t="s">
        <v>110</v>
      </c>
      <c r="G9" s="275" t="s">
        <v>110</v>
      </c>
    </row>
    <row r="10" spans="1:7" ht="16.5" customHeight="1">
      <c r="A10" s="269">
        <v>6</v>
      </c>
      <c r="B10" s="336" t="s">
        <v>851</v>
      </c>
      <c r="C10" s="336" t="s">
        <v>110</v>
      </c>
      <c r="D10" s="273" t="s">
        <v>846</v>
      </c>
      <c r="E10" s="347">
        <v>1</v>
      </c>
      <c r="F10" s="347" t="s">
        <v>110</v>
      </c>
      <c r="G10" s="275" t="s">
        <v>110</v>
      </c>
    </row>
    <row r="11" spans="1:7" ht="29.25" customHeight="1">
      <c r="A11" s="269">
        <v>7</v>
      </c>
      <c r="B11" s="336" t="s">
        <v>852</v>
      </c>
      <c r="C11" s="336" t="s">
        <v>110</v>
      </c>
      <c r="D11" s="273" t="s">
        <v>846</v>
      </c>
      <c r="E11" s="347">
        <v>1</v>
      </c>
      <c r="F11" s="347" t="s">
        <v>110</v>
      </c>
      <c r="G11" s="275" t="s">
        <v>110</v>
      </c>
    </row>
    <row r="12" spans="1:7" ht="16.5" customHeight="1">
      <c r="A12" s="269">
        <v>8</v>
      </c>
      <c r="B12" s="336" t="s">
        <v>151</v>
      </c>
      <c r="C12" s="336" t="s">
        <v>110</v>
      </c>
      <c r="D12" s="273" t="s">
        <v>846</v>
      </c>
      <c r="E12" s="347">
        <v>1</v>
      </c>
      <c r="F12" s="347" t="s">
        <v>110</v>
      </c>
      <c r="G12" s="275" t="s">
        <v>110</v>
      </c>
    </row>
    <row r="13" spans="1:7" ht="16.5" customHeight="1">
      <c r="A13" s="269" t="s">
        <v>110</v>
      </c>
      <c r="B13" s="337" t="s">
        <v>138</v>
      </c>
      <c r="C13" s="337" t="s">
        <v>110</v>
      </c>
      <c r="D13" s="273" t="s">
        <v>152</v>
      </c>
      <c r="E13" s="337" t="s">
        <v>110</v>
      </c>
      <c r="F13" s="337" t="s">
        <v>110</v>
      </c>
      <c r="G13" s="275">
        <v>7261742.9500000002</v>
      </c>
    </row>
    <row r="14" spans="1:7" ht="16.5" customHeight="1">
      <c r="A14" s="269" t="s">
        <v>110</v>
      </c>
      <c r="B14" s="336" t="s">
        <v>110</v>
      </c>
      <c r="C14" s="336" t="s">
        <v>110</v>
      </c>
      <c r="D14" s="273" t="s">
        <v>110</v>
      </c>
      <c r="E14" s="347" t="s">
        <v>110</v>
      </c>
      <c r="F14" s="347" t="s">
        <v>110</v>
      </c>
      <c r="G14" s="275" t="s">
        <v>110</v>
      </c>
    </row>
    <row r="15" spans="1:7" ht="16.5" customHeight="1">
      <c r="A15" s="269" t="s">
        <v>110</v>
      </c>
      <c r="B15" s="336" t="s">
        <v>110</v>
      </c>
      <c r="C15" s="336" t="s">
        <v>110</v>
      </c>
      <c r="D15" s="273" t="s">
        <v>110</v>
      </c>
      <c r="E15" s="347" t="s">
        <v>110</v>
      </c>
      <c r="F15" s="347" t="s">
        <v>110</v>
      </c>
      <c r="G15" s="275" t="s">
        <v>110</v>
      </c>
    </row>
    <row r="16" spans="1:7" ht="16.5" customHeight="1">
      <c r="A16" s="269" t="s">
        <v>110</v>
      </c>
      <c r="B16" s="336" t="s">
        <v>110</v>
      </c>
      <c r="C16" s="336" t="s">
        <v>110</v>
      </c>
      <c r="D16" s="273" t="s">
        <v>110</v>
      </c>
      <c r="E16" s="347" t="s">
        <v>110</v>
      </c>
      <c r="F16" s="347" t="s">
        <v>110</v>
      </c>
      <c r="G16" s="275" t="s">
        <v>110</v>
      </c>
    </row>
    <row r="17" spans="1:7" ht="16.5" customHeight="1">
      <c r="A17" s="269" t="s">
        <v>110</v>
      </c>
      <c r="B17" s="336" t="s">
        <v>110</v>
      </c>
      <c r="C17" s="336" t="s">
        <v>110</v>
      </c>
      <c r="D17" s="273" t="s">
        <v>110</v>
      </c>
      <c r="E17" s="347" t="s">
        <v>110</v>
      </c>
      <c r="F17" s="347" t="s">
        <v>110</v>
      </c>
      <c r="G17" s="275" t="s">
        <v>110</v>
      </c>
    </row>
    <row r="18" spans="1:7" ht="16.5" customHeight="1">
      <c r="A18" s="269" t="s">
        <v>110</v>
      </c>
      <c r="B18" s="336" t="s">
        <v>110</v>
      </c>
      <c r="C18" s="336" t="s">
        <v>110</v>
      </c>
      <c r="D18" s="273" t="s">
        <v>110</v>
      </c>
      <c r="E18" s="347" t="s">
        <v>110</v>
      </c>
      <c r="F18" s="347" t="s">
        <v>110</v>
      </c>
      <c r="G18" s="275" t="s">
        <v>110</v>
      </c>
    </row>
    <row r="19" spans="1:7" ht="16.5" customHeight="1">
      <c r="A19" s="269" t="s">
        <v>110</v>
      </c>
      <c r="B19" s="336" t="s">
        <v>110</v>
      </c>
      <c r="C19" s="336" t="s">
        <v>110</v>
      </c>
      <c r="D19" s="273" t="s">
        <v>110</v>
      </c>
      <c r="E19" s="347" t="s">
        <v>110</v>
      </c>
      <c r="F19" s="347" t="s">
        <v>110</v>
      </c>
      <c r="G19" s="275" t="s">
        <v>110</v>
      </c>
    </row>
    <row r="20" spans="1:7" ht="16.5" customHeight="1">
      <c r="A20" s="269" t="s">
        <v>110</v>
      </c>
      <c r="B20" s="336" t="s">
        <v>110</v>
      </c>
      <c r="C20" s="336" t="s">
        <v>110</v>
      </c>
      <c r="D20" s="273" t="s">
        <v>110</v>
      </c>
      <c r="E20" s="347" t="s">
        <v>110</v>
      </c>
      <c r="F20" s="347" t="s">
        <v>110</v>
      </c>
      <c r="G20" s="275" t="s">
        <v>110</v>
      </c>
    </row>
    <row r="21" spans="1:7" ht="16.5" customHeight="1">
      <c r="A21" s="269" t="s">
        <v>110</v>
      </c>
      <c r="B21" s="336" t="s">
        <v>110</v>
      </c>
      <c r="C21" s="336" t="s">
        <v>110</v>
      </c>
      <c r="D21" s="273" t="s">
        <v>110</v>
      </c>
      <c r="E21" s="347" t="s">
        <v>110</v>
      </c>
      <c r="F21" s="347" t="s">
        <v>110</v>
      </c>
      <c r="G21" s="275" t="s">
        <v>110</v>
      </c>
    </row>
    <row r="22" spans="1:7" ht="16.5" customHeight="1">
      <c r="A22" s="269" t="s">
        <v>110</v>
      </c>
      <c r="B22" s="336" t="s">
        <v>110</v>
      </c>
      <c r="C22" s="336" t="s">
        <v>110</v>
      </c>
      <c r="D22" s="273" t="s">
        <v>110</v>
      </c>
      <c r="E22" s="347" t="s">
        <v>110</v>
      </c>
      <c r="F22" s="347" t="s">
        <v>110</v>
      </c>
      <c r="G22" s="275" t="s">
        <v>110</v>
      </c>
    </row>
    <row r="23" spans="1:7" ht="16.5" customHeight="1">
      <c r="A23" s="269" t="s">
        <v>110</v>
      </c>
      <c r="B23" s="336" t="s">
        <v>110</v>
      </c>
      <c r="C23" s="336" t="s">
        <v>110</v>
      </c>
      <c r="D23" s="273" t="s">
        <v>110</v>
      </c>
      <c r="E23" s="347" t="s">
        <v>110</v>
      </c>
      <c r="F23" s="347" t="s">
        <v>110</v>
      </c>
      <c r="G23" s="275" t="s">
        <v>110</v>
      </c>
    </row>
    <row r="24" spans="1:7" ht="16.5" customHeight="1">
      <c r="A24" s="269" t="s">
        <v>110</v>
      </c>
      <c r="B24" s="336" t="s">
        <v>110</v>
      </c>
      <c r="C24" s="336" t="s">
        <v>110</v>
      </c>
      <c r="D24" s="273" t="s">
        <v>110</v>
      </c>
      <c r="E24" s="347" t="s">
        <v>110</v>
      </c>
      <c r="F24" s="347" t="s">
        <v>110</v>
      </c>
      <c r="G24" s="275" t="s">
        <v>110</v>
      </c>
    </row>
    <row r="25" spans="1:7" ht="16.5" customHeight="1">
      <c r="A25" s="269" t="s">
        <v>110</v>
      </c>
      <c r="B25" s="336" t="s">
        <v>110</v>
      </c>
      <c r="C25" s="336" t="s">
        <v>110</v>
      </c>
      <c r="D25" s="273" t="s">
        <v>110</v>
      </c>
      <c r="E25" s="347" t="s">
        <v>110</v>
      </c>
      <c r="F25" s="347" t="s">
        <v>110</v>
      </c>
      <c r="G25" s="275" t="s">
        <v>110</v>
      </c>
    </row>
    <row r="26" spans="1:7" ht="16.5" customHeight="1">
      <c r="A26" s="269" t="s">
        <v>110</v>
      </c>
      <c r="B26" s="336" t="s">
        <v>110</v>
      </c>
      <c r="C26" s="336" t="s">
        <v>110</v>
      </c>
      <c r="D26" s="273" t="s">
        <v>110</v>
      </c>
      <c r="E26" s="347" t="s">
        <v>110</v>
      </c>
      <c r="F26" s="347" t="s">
        <v>110</v>
      </c>
      <c r="G26" s="275" t="s">
        <v>110</v>
      </c>
    </row>
    <row r="27" spans="1:7" ht="16.5" customHeight="1">
      <c r="A27" s="269" t="s">
        <v>110</v>
      </c>
      <c r="B27" s="336" t="s">
        <v>110</v>
      </c>
      <c r="C27" s="336" t="s">
        <v>110</v>
      </c>
      <c r="D27" s="273" t="s">
        <v>110</v>
      </c>
      <c r="E27" s="347" t="s">
        <v>110</v>
      </c>
      <c r="F27" s="347" t="s">
        <v>110</v>
      </c>
      <c r="G27" s="275" t="s">
        <v>110</v>
      </c>
    </row>
    <row r="28" spans="1:7" ht="16.5" customHeight="1">
      <c r="A28" s="269" t="s">
        <v>110</v>
      </c>
      <c r="B28" s="336" t="s">
        <v>110</v>
      </c>
      <c r="C28" s="336" t="s">
        <v>110</v>
      </c>
      <c r="D28" s="273" t="s">
        <v>110</v>
      </c>
      <c r="E28" s="347" t="s">
        <v>110</v>
      </c>
      <c r="F28" s="347" t="s">
        <v>110</v>
      </c>
      <c r="G28" s="275" t="s">
        <v>110</v>
      </c>
    </row>
    <row r="29" spans="1:7" ht="16.5" customHeight="1">
      <c r="A29" s="269" t="s">
        <v>110</v>
      </c>
      <c r="B29" s="336" t="s">
        <v>110</v>
      </c>
      <c r="C29" s="336" t="s">
        <v>110</v>
      </c>
      <c r="D29" s="273" t="s">
        <v>110</v>
      </c>
      <c r="E29" s="347" t="s">
        <v>110</v>
      </c>
      <c r="F29" s="347" t="s">
        <v>110</v>
      </c>
      <c r="G29" s="275" t="s">
        <v>110</v>
      </c>
    </row>
    <row r="30" spans="1:7" ht="16.5" customHeight="1">
      <c r="A30" s="269" t="s">
        <v>110</v>
      </c>
      <c r="B30" s="336" t="s">
        <v>110</v>
      </c>
      <c r="C30" s="336" t="s">
        <v>110</v>
      </c>
      <c r="D30" s="273" t="s">
        <v>110</v>
      </c>
      <c r="E30" s="347" t="s">
        <v>110</v>
      </c>
      <c r="F30" s="347" t="s">
        <v>110</v>
      </c>
      <c r="G30" s="275" t="s">
        <v>110</v>
      </c>
    </row>
    <row r="31" spans="1:7" ht="16.5" customHeight="1">
      <c r="A31" s="269" t="s">
        <v>110</v>
      </c>
      <c r="B31" s="336" t="s">
        <v>110</v>
      </c>
      <c r="C31" s="336" t="s">
        <v>110</v>
      </c>
      <c r="D31" s="273" t="s">
        <v>110</v>
      </c>
      <c r="E31" s="347" t="s">
        <v>110</v>
      </c>
      <c r="F31" s="347" t="s">
        <v>110</v>
      </c>
      <c r="G31" s="275" t="s">
        <v>110</v>
      </c>
    </row>
    <row r="32" spans="1:7" ht="16.5" customHeight="1">
      <c r="A32" s="269" t="s">
        <v>110</v>
      </c>
      <c r="B32" s="336" t="s">
        <v>110</v>
      </c>
      <c r="C32" s="336" t="s">
        <v>110</v>
      </c>
      <c r="D32" s="273" t="s">
        <v>110</v>
      </c>
      <c r="E32" s="347" t="s">
        <v>110</v>
      </c>
      <c r="F32" s="347" t="s">
        <v>110</v>
      </c>
      <c r="G32" s="275" t="s">
        <v>110</v>
      </c>
    </row>
    <row r="33" spans="1:7" ht="16.5" customHeight="1">
      <c r="A33" s="269" t="s">
        <v>110</v>
      </c>
      <c r="B33" s="336" t="s">
        <v>110</v>
      </c>
      <c r="C33" s="336" t="s">
        <v>110</v>
      </c>
      <c r="D33" s="273" t="s">
        <v>110</v>
      </c>
      <c r="E33" s="347" t="s">
        <v>110</v>
      </c>
      <c r="F33" s="347" t="s">
        <v>110</v>
      </c>
      <c r="G33" s="275" t="s">
        <v>110</v>
      </c>
    </row>
    <row r="34" spans="1:7" ht="16.5" customHeight="1">
      <c r="A34" s="269" t="s">
        <v>110</v>
      </c>
      <c r="B34" s="336" t="s">
        <v>110</v>
      </c>
      <c r="C34" s="336" t="s">
        <v>110</v>
      </c>
      <c r="D34" s="273" t="s">
        <v>110</v>
      </c>
      <c r="E34" s="347" t="s">
        <v>110</v>
      </c>
      <c r="F34" s="347" t="s">
        <v>110</v>
      </c>
      <c r="G34" s="275" t="s">
        <v>110</v>
      </c>
    </row>
    <row r="35" spans="1:7" ht="16.5" customHeight="1">
      <c r="A35" s="269" t="s">
        <v>110</v>
      </c>
      <c r="B35" s="336" t="s">
        <v>110</v>
      </c>
      <c r="C35" s="336" t="s">
        <v>110</v>
      </c>
      <c r="D35" s="273" t="s">
        <v>110</v>
      </c>
      <c r="E35" s="347" t="s">
        <v>110</v>
      </c>
      <c r="F35" s="347" t="s">
        <v>110</v>
      </c>
      <c r="G35" s="275" t="s">
        <v>110</v>
      </c>
    </row>
    <row r="36" spans="1:7" ht="16.5" customHeight="1">
      <c r="A36" s="269" t="s">
        <v>110</v>
      </c>
      <c r="B36" s="336" t="s">
        <v>110</v>
      </c>
      <c r="C36" s="336" t="s">
        <v>110</v>
      </c>
      <c r="D36" s="273" t="s">
        <v>110</v>
      </c>
      <c r="E36" s="347" t="s">
        <v>110</v>
      </c>
      <c r="F36" s="347" t="s">
        <v>110</v>
      </c>
      <c r="G36" s="275" t="s">
        <v>110</v>
      </c>
    </row>
    <row r="37" spans="1:7" ht="16.5" customHeight="1">
      <c r="A37" s="269" t="s">
        <v>110</v>
      </c>
      <c r="B37" s="336" t="s">
        <v>110</v>
      </c>
      <c r="C37" s="336" t="s">
        <v>110</v>
      </c>
      <c r="D37" s="273" t="s">
        <v>110</v>
      </c>
      <c r="E37" s="347" t="s">
        <v>110</v>
      </c>
      <c r="F37" s="347" t="s">
        <v>110</v>
      </c>
      <c r="G37" s="275" t="s">
        <v>110</v>
      </c>
    </row>
    <row r="38" spans="1:7" ht="16.5" customHeight="1">
      <c r="A38" s="269" t="s">
        <v>110</v>
      </c>
      <c r="B38" s="336" t="s">
        <v>110</v>
      </c>
      <c r="C38" s="336" t="s">
        <v>110</v>
      </c>
      <c r="D38" s="273" t="s">
        <v>110</v>
      </c>
      <c r="E38" s="347" t="s">
        <v>110</v>
      </c>
      <c r="F38" s="347" t="s">
        <v>110</v>
      </c>
      <c r="G38" s="275" t="s">
        <v>110</v>
      </c>
    </row>
    <row r="39" spans="1:7" ht="16.5" customHeight="1">
      <c r="A39" s="269" t="s">
        <v>110</v>
      </c>
      <c r="B39" s="336" t="s">
        <v>110</v>
      </c>
      <c r="C39" s="336" t="s">
        <v>110</v>
      </c>
      <c r="D39" s="273" t="s">
        <v>110</v>
      </c>
      <c r="E39" s="347" t="s">
        <v>110</v>
      </c>
      <c r="F39" s="347" t="s">
        <v>110</v>
      </c>
      <c r="G39" s="275" t="s">
        <v>110</v>
      </c>
    </row>
    <row r="40" spans="1:7" ht="16.5" customHeight="1">
      <c r="A40" s="269" t="s">
        <v>110</v>
      </c>
      <c r="B40" s="336" t="s">
        <v>110</v>
      </c>
      <c r="C40" s="336" t="s">
        <v>110</v>
      </c>
      <c r="D40" s="273" t="s">
        <v>110</v>
      </c>
      <c r="E40" s="347" t="s">
        <v>110</v>
      </c>
      <c r="F40" s="347" t="s">
        <v>110</v>
      </c>
      <c r="G40" s="275" t="s">
        <v>110</v>
      </c>
    </row>
    <row r="41" spans="1:7" ht="16.5" customHeight="1" thickBot="1">
      <c r="A41" s="270" t="s">
        <v>110</v>
      </c>
      <c r="B41" s="339" t="s">
        <v>110</v>
      </c>
      <c r="C41" s="339" t="s">
        <v>110</v>
      </c>
      <c r="D41" s="277" t="s">
        <v>110</v>
      </c>
      <c r="E41" s="348" t="s">
        <v>110</v>
      </c>
      <c r="F41" s="348" t="s">
        <v>110</v>
      </c>
      <c r="G41" s="276" t="s">
        <v>110</v>
      </c>
    </row>
    <row r="42" spans="1:7" ht="16.5" customHeight="1">
      <c r="A42" s="333" t="s">
        <v>288</v>
      </c>
      <c r="B42" s="333" t="s">
        <v>110</v>
      </c>
      <c r="C42" s="338" t="s">
        <v>289</v>
      </c>
      <c r="D42" s="338" t="s">
        <v>110</v>
      </c>
      <c r="E42" s="338" t="s">
        <v>110</v>
      </c>
      <c r="F42" s="334" t="s">
        <v>924</v>
      </c>
      <c r="G42" s="334" t="s">
        <v>110</v>
      </c>
    </row>
  </sheetData>
  <mergeCells count="84">
    <mergeCell ref="B23:C23"/>
    <mergeCell ref="E23:F23"/>
    <mergeCell ref="B24:C24"/>
    <mergeCell ref="E24:F24"/>
    <mergeCell ref="B25:C25"/>
    <mergeCell ref="E25:F25"/>
    <mergeCell ref="B37:C37"/>
    <mergeCell ref="E37:F37"/>
    <mergeCell ref="A1:G1"/>
    <mergeCell ref="A2:E2"/>
    <mergeCell ref="F2:G2"/>
    <mergeCell ref="B3:C3"/>
    <mergeCell ref="E3:F3"/>
    <mergeCell ref="B8:C8"/>
    <mergeCell ref="E8:F8"/>
    <mergeCell ref="B9:C9"/>
    <mergeCell ref="E9:F9"/>
    <mergeCell ref="B14:C14"/>
    <mergeCell ref="E14:F14"/>
    <mergeCell ref="B15:C15"/>
    <mergeCell ref="E15:F15"/>
    <mergeCell ref="B20:C20"/>
    <mergeCell ref="B35:C35"/>
    <mergeCell ref="E35:F35"/>
    <mergeCell ref="B36:C36"/>
    <mergeCell ref="B26:C26"/>
    <mergeCell ref="E26:F26"/>
    <mergeCell ref="B27:C27"/>
    <mergeCell ref="E27:F27"/>
    <mergeCell ref="B28:C28"/>
    <mergeCell ref="E28:F28"/>
    <mergeCell ref="B32:C32"/>
    <mergeCell ref="E32:F32"/>
    <mergeCell ref="B33:C33"/>
    <mergeCell ref="E33:F33"/>
    <mergeCell ref="B34:C34"/>
    <mergeCell ref="E34:F34"/>
    <mergeCell ref="E36:F36"/>
    <mergeCell ref="B38:C38"/>
    <mergeCell ref="E38:F38"/>
    <mergeCell ref="B39:C39"/>
    <mergeCell ref="E39:F39"/>
    <mergeCell ref="B40:C40"/>
    <mergeCell ref="E40:F40"/>
    <mergeCell ref="B41:C41"/>
    <mergeCell ref="E41:F41"/>
    <mergeCell ref="A42:B42"/>
    <mergeCell ref="C42:E42"/>
    <mergeCell ref="F42:G42"/>
    <mergeCell ref="B29:C29"/>
    <mergeCell ref="E29:F29"/>
    <mergeCell ref="B30:C30"/>
    <mergeCell ref="E30:F30"/>
    <mergeCell ref="B31:C31"/>
    <mergeCell ref="E31:F31"/>
    <mergeCell ref="B22:C22"/>
    <mergeCell ref="E22:F22"/>
    <mergeCell ref="B17:C17"/>
    <mergeCell ref="E17:F17"/>
    <mergeCell ref="B18:C18"/>
    <mergeCell ref="E18:F18"/>
    <mergeCell ref="B19:C19"/>
    <mergeCell ref="E19:F19"/>
    <mergeCell ref="E20:F20"/>
    <mergeCell ref="B21:C21"/>
    <mergeCell ref="E21:F21"/>
    <mergeCell ref="B16:C16"/>
    <mergeCell ref="E16:F16"/>
    <mergeCell ref="B11:C11"/>
    <mergeCell ref="E11:F11"/>
    <mergeCell ref="B12:C12"/>
    <mergeCell ref="E12:F12"/>
    <mergeCell ref="B13:C13"/>
    <mergeCell ref="E13:F13"/>
    <mergeCell ref="B4:C4"/>
    <mergeCell ref="E4:F4"/>
    <mergeCell ref="B10:C10"/>
    <mergeCell ref="E10:F10"/>
    <mergeCell ref="B5:C5"/>
    <mergeCell ref="E5:F5"/>
    <mergeCell ref="B6:C6"/>
    <mergeCell ref="E6:F6"/>
    <mergeCell ref="B7:C7"/>
    <mergeCell ref="E7:F7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22" workbookViewId="0">
      <selection activeCell="A4" sqref="A4:XFD35"/>
    </sheetView>
  </sheetViews>
  <sheetFormatPr defaultRowHeight="13.5"/>
  <cols>
    <col min="5" max="5" width="11.625" customWidth="1"/>
  </cols>
  <sheetData>
    <row r="1" spans="1:7" ht="30.75" customHeight="1">
      <c r="A1" s="332" t="s">
        <v>228</v>
      </c>
      <c r="B1" s="332" t="s">
        <v>110</v>
      </c>
      <c r="C1" s="332" t="s">
        <v>110</v>
      </c>
      <c r="D1" s="332" t="s">
        <v>110</v>
      </c>
      <c r="E1" s="332" t="s">
        <v>110</v>
      </c>
      <c r="F1" s="332" t="s">
        <v>110</v>
      </c>
      <c r="G1" s="332" t="s">
        <v>110</v>
      </c>
    </row>
    <row r="2" spans="1:7" ht="14.25" thickBot="1">
      <c r="A2" s="333" t="s">
        <v>163</v>
      </c>
      <c r="B2" s="333" t="s">
        <v>110</v>
      </c>
      <c r="C2" s="333" t="s">
        <v>110</v>
      </c>
      <c r="D2" s="333" t="s">
        <v>110</v>
      </c>
      <c r="E2" s="334" t="s">
        <v>111</v>
      </c>
      <c r="F2" s="334" t="s">
        <v>110</v>
      </c>
      <c r="G2" s="334" t="s">
        <v>110</v>
      </c>
    </row>
    <row r="3" spans="1:7" ht="20.25" customHeight="1">
      <c r="A3" s="55" t="s">
        <v>112</v>
      </c>
      <c r="B3" s="335" t="s">
        <v>229</v>
      </c>
      <c r="C3" s="335" t="s">
        <v>110</v>
      </c>
      <c r="D3" s="335" t="s">
        <v>230</v>
      </c>
      <c r="E3" s="335" t="s">
        <v>110</v>
      </c>
      <c r="F3" s="58" t="s">
        <v>231</v>
      </c>
      <c r="G3" s="61" t="s">
        <v>232</v>
      </c>
    </row>
    <row r="4" spans="1:7" ht="33.75" customHeight="1">
      <c r="A4" s="56" t="s">
        <v>233</v>
      </c>
      <c r="B4" s="336" t="s">
        <v>234</v>
      </c>
      <c r="C4" s="336" t="s">
        <v>110</v>
      </c>
      <c r="D4" s="336" t="s">
        <v>234</v>
      </c>
      <c r="E4" s="336" t="s">
        <v>110</v>
      </c>
      <c r="F4" s="59" t="s">
        <v>110</v>
      </c>
      <c r="G4" s="62">
        <v>1803577.37</v>
      </c>
    </row>
    <row r="5" spans="1:7" ht="33.75" customHeight="1">
      <c r="A5" s="56" t="s">
        <v>114</v>
      </c>
      <c r="B5" s="336" t="s">
        <v>235</v>
      </c>
      <c r="C5" s="336" t="s">
        <v>110</v>
      </c>
      <c r="D5" s="336" t="s">
        <v>236</v>
      </c>
      <c r="E5" s="336" t="s">
        <v>110</v>
      </c>
      <c r="F5" s="59" t="s">
        <v>237</v>
      </c>
      <c r="G5" s="62">
        <v>1600483.93</v>
      </c>
    </row>
    <row r="6" spans="1:7" ht="33.75" customHeight="1">
      <c r="A6" s="56" t="s">
        <v>233</v>
      </c>
      <c r="B6" s="336" t="s">
        <v>115</v>
      </c>
      <c r="C6" s="336" t="s">
        <v>110</v>
      </c>
      <c r="D6" s="336" t="s">
        <v>115</v>
      </c>
      <c r="E6" s="336" t="s">
        <v>110</v>
      </c>
      <c r="F6" s="59" t="s">
        <v>110</v>
      </c>
      <c r="G6" s="62">
        <v>250776.33</v>
      </c>
    </row>
    <row r="7" spans="1:7" ht="33.75" customHeight="1">
      <c r="A7" s="56" t="s">
        <v>238</v>
      </c>
      <c r="B7" s="336" t="s">
        <v>116</v>
      </c>
      <c r="C7" s="336" t="s">
        <v>110</v>
      </c>
      <c r="D7" s="336" t="s">
        <v>116</v>
      </c>
      <c r="E7" s="336" t="s">
        <v>110</v>
      </c>
      <c r="F7" s="59" t="s">
        <v>110</v>
      </c>
      <c r="G7" s="62">
        <v>64438.25</v>
      </c>
    </row>
    <row r="8" spans="1:7" ht="33.75" customHeight="1">
      <c r="A8" s="56" t="s">
        <v>239</v>
      </c>
      <c r="B8" s="336" t="s">
        <v>240</v>
      </c>
      <c r="C8" s="336" t="s">
        <v>110</v>
      </c>
      <c r="D8" s="336" t="s">
        <v>241</v>
      </c>
      <c r="E8" s="336" t="s">
        <v>110</v>
      </c>
      <c r="F8" s="59" t="s">
        <v>110</v>
      </c>
      <c r="G8" s="62">
        <v>1200722.19</v>
      </c>
    </row>
    <row r="9" spans="1:7" ht="33.75" customHeight="1">
      <c r="A9" s="56" t="s">
        <v>242</v>
      </c>
      <c r="B9" s="336" t="s">
        <v>243</v>
      </c>
      <c r="C9" s="336" t="s">
        <v>110</v>
      </c>
      <c r="D9" s="336" t="s">
        <v>117</v>
      </c>
      <c r="E9" s="336" t="s">
        <v>110</v>
      </c>
      <c r="F9" s="59" t="s">
        <v>110</v>
      </c>
      <c r="G9" s="62">
        <v>8333.64</v>
      </c>
    </row>
    <row r="10" spans="1:7" ht="33.75" customHeight="1">
      <c r="A10" s="56" t="s">
        <v>244</v>
      </c>
      <c r="B10" s="336" t="s">
        <v>245</v>
      </c>
      <c r="C10" s="336" t="s">
        <v>110</v>
      </c>
      <c r="D10" s="336" t="s">
        <v>245</v>
      </c>
      <c r="E10" s="336" t="s">
        <v>110</v>
      </c>
      <c r="F10" s="59" t="s">
        <v>110</v>
      </c>
      <c r="G10" s="62" t="s">
        <v>110</v>
      </c>
    </row>
    <row r="11" spans="1:7" ht="33.75" customHeight="1">
      <c r="A11" s="56" t="s">
        <v>118</v>
      </c>
      <c r="B11" s="336" t="s">
        <v>246</v>
      </c>
      <c r="C11" s="336" t="s">
        <v>110</v>
      </c>
      <c r="D11" s="336" t="s">
        <v>247</v>
      </c>
      <c r="E11" s="336" t="s">
        <v>110</v>
      </c>
      <c r="F11" s="59" t="s">
        <v>110</v>
      </c>
      <c r="G11" s="62">
        <v>25133.66</v>
      </c>
    </row>
    <row r="12" spans="1:7" ht="33.75" customHeight="1">
      <c r="A12" s="56" t="s">
        <v>119</v>
      </c>
      <c r="B12" s="336" t="s">
        <v>248</v>
      </c>
      <c r="C12" s="336" t="s">
        <v>110</v>
      </c>
      <c r="D12" s="336" t="s">
        <v>249</v>
      </c>
      <c r="E12" s="336" t="s">
        <v>110</v>
      </c>
      <c r="F12" s="59" t="s">
        <v>110</v>
      </c>
      <c r="G12" s="62" t="s">
        <v>110</v>
      </c>
    </row>
    <row r="13" spans="1:7" ht="33.75" customHeight="1">
      <c r="A13" s="56" t="s">
        <v>120</v>
      </c>
      <c r="B13" s="336" t="s">
        <v>115</v>
      </c>
      <c r="C13" s="336" t="s">
        <v>110</v>
      </c>
      <c r="D13" s="336" t="s">
        <v>250</v>
      </c>
      <c r="E13" s="336" t="s">
        <v>110</v>
      </c>
      <c r="F13" s="59" t="s">
        <v>110</v>
      </c>
      <c r="G13" s="62" t="s">
        <v>110</v>
      </c>
    </row>
    <row r="14" spans="1:7" ht="33.75" customHeight="1">
      <c r="A14" s="56" t="s">
        <v>251</v>
      </c>
      <c r="B14" s="336" t="s">
        <v>116</v>
      </c>
      <c r="C14" s="336" t="s">
        <v>110</v>
      </c>
      <c r="D14" s="336" t="s">
        <v>252</v>
      </c>
      <c r="E14" s="336" t="s">
        <v>110</v>
      </c>
      <c r="F14" s="59" t="s">
        <v>110</v>
      </c>
      <c r="G14" s="62" t="s">
        <v>110</v>
      </c>
    </row>
    <row r="15" spans="1:7" ht="33.75" customHeight="1">
      <c r="A15" s="56" t="s">
        <v>253</v>
      </c>
      <c r="B15" s="336" t="s">
        <v>243</v>
      </c>
      <c r="C15" s="336" t="s">
        <v>110</v>
      </c>
      <c r="D15" s="336" t="s">
        <v>254</v>
      </c>
      <c r="E15" s="336" t="s">
        <v>110</v>
      </c>
      <c r="F15" s="59" t="s">
        <v>110</v>
      </c>
      <c r="G15" s="62" t="s">
        <v>110</v>
      </c>
    </row>
    <row r="16" spans="1:7" ht="33.75" customHeight="1">
      <c r="A16" s="56" t="s">
        <v>121</v>
      </c>
      <c r="B16" s="336" t="s">
        <v>255</v>
      </c>
      <c r="C16" s="336" t="s">
        <v>110</v>
      </c>
      <c r="D16" s="336" t="s">
        <v>256</v>
      </c>
      <c r="E16" s="336" t="s">
        <v>110</v>
      </c>
      <c r="F16" s="59" t="s">
        <v>110</v>
      </c>
      <c r="G16" s="62">
        <v>25133.66</v>
      </c>
    </row>
    <row r="17" spans="1:7" ht="33.75" customHeight="1">
      <c r="A17" s="56" t="s">
        <v>257</v>
      </c>
      <c r="B17" s="336" t="s">
        <v>128</v>
      </c>
      <c r="C17" s="336" t="s">
        <v>110</v>
      </c>
      <c r="D17" s="336" t="s">
        <v>258</v>
      </c>
      <c r="E17" s="336" t="s">
        <v>110</v>
      </c>
      <c r="F17" s="59" t="s">
        <v>259</v>
      </c>
      <c r="G17" s="62">
        <v>23449.45</v>
      </c>
    </row>
    <row r="18" spans="1:7" ht="33.75" customHeight="1">
      <c r="A18" s="56" t="s">
        <v>260</v>
      </c>
      <c r="B18" s="336" t="s">
        <v>261</v>
      </c>
      <c r="C18" s="336" t="s">
        <v>110</v>
      </c>
      <c r="D18" s="336" t="s">
        <v>258</v>
      </c>
      <c r="E18" s="336" t="s">
        <v>110</v>
      </c>
      <c r="F18" s="59" t="s">
        <v>262</v>
      </c>
      <c r="G18" s="62">
        <v>1684.21</v>
      </c>
    </row>
    <row r="19" spans="1:7" ht="33.75" customHeight="1">
      <c r="A19" s="56" t="s">
        <v>122</v>
      </c>
      <c r="B19" s="336" t="s">
        <v>263</v>
      </c>
      <c r="C19" s="336" t="s">
        <v>110</v>
      </c>
      <c r="D19" s="336" t="s">
        <v>110</v>
      </c>
      <c r="E19" s="336" t="s">
        <v>110</v>
      </c>
      <c r="F19" s="59" t="s">
        <v>110</v>
      </c>
      <c r="G19" s="62" t="s">
        <v>110</v>
      </c>
    </row>
    <row r="20" spans="1:7" ht="33.75" customHeight="1">
      <c r="A20" s="56" t="s">
        <v>125</v>
      </c>
      <c r="B20" s="336" t="s">
        <v>124</v>
      </c>
      <c r="C20" s="336" t="s">
        <v>110</v>
      </c>
      <c r="D20" s="336" t="s">
        <v>258</v>
      </c>
      <c r="E20" s="336" t="s">
        <v>110</v>
      </c>
      <c r="F20" s="59" t="s">
        <v>264</v>
      </c>
      <c r="G20" s="62">
        <v>45344.24</v>
      </c>
    </row>
    <row r="21" spans="1:7" ht="33.75" customHeight="1">
      <c r="A21" s="56" t="s">
        <v>127</v>
      </c>
      <c r="B21" s="336" t="s">
        <v>126</v>
      </c>
      <c r="C21" s="336" t="s">
        <v>110</v>
      </c>
      <c r="D21" s="336" t="s">
        <v>258</v>
      </c>
      <c r="E21" s="336" t="s">
        <v>110</v>
      </c>
      <c r="F21" s="59" t="s">
        <v>265</v>
      </c>
      <c r="G21" s="62">
        <v>38633.300000000003</v>
      </c>
    </row>
    <row r="22" spans="1:7" ht="33.75" customHeight="1">
      <c r="A22" s="56" t="s">
        <v>129</v>
      </c>
      <c r="B22" s="336" t="s">
        <v>123</v>
      </c>
      <c r="C22" s="336" t="s">
        <v>110</v>
      </c>
      <c r="D22" s="336" t="s">
        <v>258</v>
      </c>
      <c r="E22" s="336" t="s">
        <v>110</v>
      </c>
      <c r="F22" s="59" t="s">
        <v>266</v>
      </c>
      <c r="G22" s="62">
        <v>30212.22</v>
      </c>
    </row>
    <row r="23" spans="1:7" ht="33.75" customHeight="1">
      <c r="A23" s="56" t="s">
        <v>131</v>
      </c>
      <c r="B23" s="336" t="s">
        <v>267</v>
      </c>
      <c r="C23" s="336" t="s">
        <v>110</v>
      </c>
      <c r="D23" s="336" t="s">
        <v>110</v>
      </c>
      <c r="E23" s="336" t="s">
        <v>110</v>
      </c>
      <c r="F23" s="59" t="s">
        <v>110</v>
      </c>
      <c r="G23" s="62" t="s">
        <v>110</v>
      </c>
    </row>
    <row r="24" spans="1:7" ht="33.75" customHeight="1">
      <c r="A24" s="56" t="s">
        <v>268</v>
      </c>
      <c r="B24" s="336" t="s">
        <v>269</v>
      </c>
      <c r="C24" s="336" t="s">
        <v>110</v>
      </c>
      <c r="D24" s="336" t="s">
        <v>270</v>
      </c>
      <c r="E24" s="336" t="s">
        <v>110</v>
      </c>
      <c r="F24" s="59" t="s">
        <v>271</v>
      </c>
      <c r="G24" s="62">
        <v>2087.77</v>
      </c>
    </row>
    <row r="25" spans="1:7" ht="33.75" customHeight="1">
      <c r="A25" s="56" t="s">
        <v>272</v>
      </c>
      <c r="B25" s="336" t="s">
        <v>273</v>
      </c>
      <c r="C25" s="336" t="s">
        <v>110</v>
      </c>
      <c r="D25" s="336" t="s">
        <v>274</v>
      </c>
      <c r="E25" s="336" t="s">
        <v>110</v>
      </c>
      <c r="F25" s="59" t="s">
        <v>110</v>
      </c>
      <c r="G25" s="62">
        <v>1741895.12</v>
      </c>
    </row>
    <row r="26" spans="1:7" ht="33.75" customHeight="1">
      <c r="A26" s="56" t="s">
        <v>275</v>
      </c>
      <c r="B26" s="336" t="s">
        <v>276</v>
      </c>
      <c r="C26" s="336" t="s">
        <v>110</v>
      </c>
      <c r="D26" s="336" t="s">
        <v>277</v>
      </c>
      <c r="E26" s="336" t="s">
        <v>110</v>
      </c>
      <c r="F26" s="59" t="s">
        <v>110</v>
      </c>
      <c r="G26" s="62" t="s">
        <v>110</v>
      </c>
    </row>
    <row r="27" spans="1:7" ht="33.75" customHeight="1">
      <c r="A27" s="56" t="s">
        <v>278</v>
      </c>
      <c r="B27" s="336" t="s">
        <v>130</v>
      </c>
      <c r="C27" s="336" t="s">
        <v>110</v>
      </c>
      <c r="D27" s="336" t="s">
        <v>279</v>
      </c>
      <c r="E27" s="336" t="s">
        <v>110</v>
      </c>
      <c r="F27" s="59" t="s">
        <v>280</v>
      </c>
      <c r="G27" s="62">
        <v>61682.25</v>
      </c>
    </row>
    <row r="28" spans="1:7" ht="33.75" customHeight="1">
      <c r="A28" s="56" t="s">
        <v>281</v>
      </c>
      <c r="B28" s="336" t="s">
        <v>282</v>
      </c>
      <c r="C28" s="336" t="s">
        <v>110</v>
      </c>
      <c r="D28" s="336" t="s">
        <v>283</v>
      </c>
      <c r="E28" s="336" t="s">
        <v>110</v>
      </c>
      <c r="F28" s="59" t="s">
        <v>110</v>
      </c>
      <c r="G28" s="62" t="s">
        <v>110</v>
      </c>
    </row>
    <row r="29" spans="1:7" ht="33.75" customHeight="1">
      <c r="A29" s="56" t="s">
        <v>284</v>
      </c>
      <c r="B29" s="336" t="s">
        <v>285</v>
      </c>
      <c r="C29" s="336" t="s">
        <v>110</v>
      </c>
      <c r="D29" s="336" t="s">
        <v>286</v>
      </c>
      <c r="E29" s="336" t="s">
        <v>110</v>
      </c>
      <c r="F29" s="59" t="s">
        <v>110</v>
      </c>
      <c r="G29" s="62">
        <v>1803577.37</v>
      </c>
    </row>
    <row r="30" spans="1:7" ht="33.75" customHeight="1">
      <c r="A30" s="56" t="s">
        <v>110</v>
      </c>
      <c r="B30" s="336" t="s">
        <v>110</v>
      </c>
      <c r="C30" s="336" t="s">
        <v>110</v>
      </c>
      <c r="D30" s="337" t="s">
        <v>110</v>
      </c>
      <c r="E30" s="337" t="s">
        <v>110</v>
      </c>
      <c r="F30" s="59" t="s">
        <v>110</v>
      </c>
      <c r="G30" s="62" t="s">
        <v>110</v>
      </c>
    </row>
    <row r="31" spans="1:7" ht="33.75" customHeight="1">
      <c r="A31" s="56" t="s">
        <v>238</v>
      </c>
      <c r="B31" s="336" t="s">
        <v>132</v>
      </c>
      <c r="C31" s="336" t="s">
        <v>110</v>
      </c>
      <c r="D31" s="336" t="s">
        <v>287</v>
      </c>
      <c r="E31" s="336" t="s">
        <v>110</v>
      </c>
      <c r="F31" s="59" t="s">
        <v>110</v>
      </c>
      <c r="G31" s="62">
        <v>1803577.37</v>
      </c>
    </row>
    <row r="32" spans="1:7" ht="33.75" customHeight="1">
      <c r="A32" s="56" t="s">
        <v>110</v>
      </c>
      <c r="B32" s="336" t="s">
        <v>110</v>
      </c>
      <c r="C32" s="336" t="s">
        <v>110</v>
      </c>
      <c r="D32" s="336" t="s">
        <v>110</v>
      </c>
      <c r="E32" s="336" t="s">
        <v>110</v>
      </c>
      <c r="F32" s="59" t="s">
        <v>110</v>
      </c>
      <c r="G32" s="62" t="s">
        <v>110</v>
      </c>
    </row>
    <row r="33" spans="1:7" ht="33.75" customHeight="1">
      <c r="A33" s="56" t="s">
        <v>110</v>
      </c>
      <c r="B33" s="336" t="s">
        <v>110</v>
      </c>
      <c r="C33" s="336" t="s">
        <v>110</v>
      </c>
      <c r="D33" s="336" t="s">
        <v>110</v>
      </c>
      <c r="E33" s="336" t="s">
        <v>110</v>
      </c>
      <c r="F33" s="59" t="s">
        <v>110</v>
      </c>
      <c r="G33" s="62" t="s">
        <v>110</v>
      </c>
    </row>
    <row r="34" spans="1:7" ht="33.75" customHeight="1">
      <c r="A34" s="56" t="s">
        <v>110</v>
      </c>
      <c r="B34" s="336" t="s">
        <v>110</v>
      </c>
      <c r="C34" s="336" t="s">
        <v>110</v>
      </c>
      <c r="D34" s="336" t="s">
        <v>110</v>
      </c>
      <c r="E34" s="336" t="s">
        <v>110</v>
      </c>
      <c r="F34" s="59" t="s">
        <v>110</v>
      </c>
      <c r="G34" s="62" t="s">
        <v>110</v>
      </c>
    </row>
    <row r="35" spans="1:7" ht="33.75" customHeight="1" thickBot="1">
      <c r="A35" s="57" t="s">
        <v>110</v>
      </c>
      <c r="B35" s="339" t="s">
        <v>110</v>
      </c>
      <c r="C35" s="339" t="s">
        <v>110</v>
      </c>
      <c r="D35" s="339" t="s">
        <v>110</v>
      </c>
      <c r="E35" s="339" t="s">
        <v>110</v>
      </c>
      <c r="F35" s="60" t="s">
        <v>110</v>
      </c>
      <c r="G35" s="63" t="s">
        <v>110</v>
      </c>
    </row>
    <row r="36" spans="1:7">
      <c r="A36" s="333" t="s">
        <v>288</v>
      </c>
      <c r="B36" s="333" t="s">
        <v>110</v>
      </c>
      <c r="C36" s="338" t="s">
        <v>289</v>
      </c>
      <c r="D36" s="338" t="s">
        <v>110</v>
      </c>
      <c r="E36" s="334" t="s">
        <v>290</v>
      </c>
      <c r="F36" s="334" t="s">
        <v>110</v>
      </c>
      <c r="G36" s="334" t="s">
        <v>110</v>
      </c>
    </row>
  </sheetData>
  <mergeCells count="72">
    <mergeCell ref="B4:C4"/>
    <mergeCell ref="D4:E4"/>
    <mergeCell ref="A1:G1"/>
    <mergeCell ref="A2:D2"/>
    <mergeCell ref="E2:G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A36:B36"/>
    <mergeCell ref="C36:D36"/>
    <mergeCell ref="E36:G36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8"/>
  <sheetViews>
    <sheetView topLeftCell="A157" workbookViewId="0">
      <selection activeCell="A148" sqref="A148:XFD148"/>
    </sheetView>
  </sheetViews>
  <sheetFormatPr defaultRowHeight="13.5"/>
  <sheetData>
    <row r="1" spans="1:15" ht="29.25" customHeight="1">
      <c r="A1" s="340" t="s">
        <v>291</v>
      </c>
      <c r="B1" s="340" t="s">
        <v>110</v>
      </c>
      <c r="C1" s="340" t="s">
        <v>110</v>
      </c>
      <c r="D1" s="340" t="s">
        <v>110</v>
      </c>
      <c r="E1" s="340" t="s">
        <v>110</v>
      </c>
      <c r="F1" s="340" t="s">
        <v>110</v>
      </c>
      <c r="G1" s="340" t="s">
        <v>110</v>
      </c>
      <c r="H1" s="340" t="s">
        <v>110</v>
      </c>
      <c r="I1" s="340" t="s">
        <v>110</v>
      </c>
      <c r="J1" s="340" t="s">
        <v>110</v>
      </c>
      <c r="K1" s="340" t="s">
        <v>110</v>
      </c>
      <c r="L1" s="340" t="s">
        <v>110</v>
      </c>
      <c r="M1" s="340" t="s">
        <v>110</v>
      </c>
      <c r="N1" s="340" t="s">
        <v>110</v>
      </c>
      <c r="O1" s="340" t="s">
        <v>110</v>
      </c>
    </row>
    <row r="2" spans="1:15" ht="14.25" thickBot="1">
      <c r="A2" s="341" t="s">
        <v>163</v>
      </c>
      <c r="B2" s="341" t="s">
        <v>110</v>
      </c>
      <c r="C2" s="341" t="s">
        <v>110</v>
      </c>
      <c r="D2" s="341" t="s">
        <v>110</v>
      </c>
      <c r="E2" s="341" t="s">
        <v>110</v>
      </c>
      <c r="F2" s="341" t="s">
        <v>110</v>
      </c>
      <c r="G2" s="341" t="s">
        <v>110</v>
      </c>
      <c r="H2" s="341" t="s">
        <v>110</v>
      </c>
      <c r="I2" s="341" t="s">
        <v>110</v>
      </c>
      <c r="J2" s="341" t="s">
        <v>110</v>
      </c>
      <c r="K2" s="334" t="s">
        <v>213</v>
      </c>
      <c r="L2" s="334" t="s">
        <v>110</v>
      </c>
      <c r="M2" s="334" t="s">
        <v>110</v>
      </c>
      <c r="N2" s="334" t="s">
        <v>110</v>
      </c>
      <c r="O2" s="334" t="s">
        <v>110</v>
      </c>
    </row>
    <row r="3" spans="1:15">
      <c r="A3" s="342" t="s">
        <v>112</v>
      </c>
      <c r="B3" s="335" t="s">
        <v>292</v>
      </c>
      <c r="C3" s="335" t="s">
        <v>293</v>
      </c>
      <c r="D3" s="335" t="s">
        <v>294</v>
      </c>
      <c r="E3" s="335" t="s">
        <v>110</v>
      </c>
      <c r="F3" s="335" t="s">
        <v>110</v>
      </c>
      <c r="G3" s="335" t="s">
        <v>295</v>
      </c>
      <c r="H3" s="335" t="s">
        <v>110</v>
      </c>
      <c r="I3" s="335" t="s">
        <v>296</v>
      </c>
      <c r="J3" s="335" t="s">
        <v>110</v>
      </c>
      <c r="K3" s="335" t="s">
        <v>110</v>
      </c>
      <c r="L3" s="335" t="s">
        <v>110</v>
      </c>
      <c r="M3" s="335" t="s">
        <v>110</v>
      </c>
      <c r="N3" s="335" t="s">
        <v>110</v>
      </c>
      <c r="O3" s="345" t="s">
        <v>297</v>
      </c>
    </row>
    <row r="4" spans="1:15">
      <c r="A4" s="343" t="s">
        <v>110</v>
      </c>
      <c r="B4" s="344" t="s">
        <v>110</v>
      </c>
      <c r="C4" s="344" t="s">
        <v>110</v>
      </c>
      <c r="D4" s="73" t="s">
        <v>133</v>
      </c>
      <c r="E4" s="344" t="s">
        <v>134</v>
      </c>
      <c r="F4" s="344" t="s">
        <v>110</v>
      </c>
      <c r="G4" s="73" t="s">
        <v>298</v>
      </c>
      <c r="H4" s="73" t="s">
        <v>299</v>
      </c>
      <c r="I4" s="73" t="s">
        <v>300</v>
      </c>
      <c r="J4" s="344" t="s">
        <v>301</v>
      </c>
      <c r="K4" s="344" t="s">
        <v>110</v>
      </c>
      <c r="L4" s="73" t="s">
        <v>302</v>
      </c>
      <c r="M4" s="73" t="s">
        <v>303</v>
      </c>
      <c r="N4" s="73" t="s">
        <v>304</v>
      </c>
      <c r="O4" s="346" t="s">
        <v>110</v>
      </c>
    </row>
    <row r="5" spans="1:15">
      <c r="A5" s="64" t="s">
        <v>110</v>
      </c>
      <c r="B5" s="68" t="s">
        <v>110</v>
      </c>
      <c r="C5" s="75" t="s">
        <v>305</v>
      </c>
      <c r="D5" s="68" t="s">
        <v>110</v>
      </c>
      <c r="E5" s="347" t="s">
        <v>110</v>
      </c>
      <c r="F5" s="347" t="s">
        <v>110</v>
      </c>
      <c r="G5" s="69" t="s">
        <v>110</v>
      </c>
      <c r="H5" s="69">
        <v>24743.17</v>
      </c>
      <c r="I5" s="69">
        <v>9736.83</v>
      </c>
      <c r="J5" s="347">
        <v>13726.24</v>
      </c>
      <c r="K5" s="347" t="s">
        <v>110</v>
      </c>
      <c r="L5" s="69">
        <v>1280.08</v>
      </c>
      <c r="M5" s="69">
        <v>194855.2</v>
      </c>
      <c r="N5" s="69" t="s">
        <v>110</v>
      </c>
      <c r="O5" s="71">
        <v>118.1572</v>
      </c>
    </row>
    <row r="6" spans="1:15">
      <c r="A6" s="64">
        <v>1</v>
      </c>
      <c r="B6" s="68" t="s">
        <v>306</v>
      </c>
      <c r="C6" s="66" t="s">
        <v>307</v>
      </c>
      <c r="D6" s="68" t="s">
        <v>157</v>
      </c>
      <c r="E6" s="347">
        <v>4</v>
      </c>
      <c r="F6" s="347" t="s">
        <v>110</v>
      </c>
      <c r="G6" s="69">
        <v>100.09</v>
      </c>
      <c r="H6" s="69">
        <v>400.36</v>
      </c>
      <c r="I6" s="69">
        <v>116.72</v>
      </c>
      <c r="J6" s="347">
        <v>240.44</v>
      </c>
      <c r="K6" s="347" t="s">
        <v>110</v>
      </c>
      <c r="L6" s="69">
        <v>43.2</v>
      </c>
      <c r="M6" s="69">
        <v>2080</v>
      </c>
      <c r="N6" s="69" t="s">
        <v>110</v>
      </c>
      <c r="O6" s="71">
        <v>1.4159999999999999</v>
      </c>
    </row>
    <row r="7" spans="1:15">
      <c r="A7" s="64" t="s">
        <v>110</v>
      </c>
      <c r="B7" s="68" t="s">
        <v>154</v>
      </c>
      <c r="C7" s="66" t="s">
        <v>307</v>
      </c>
      <c r="D7" s="68" t="s">
        <v>157</v>
      </c>
      <c r="E7" s="347">
        <v>4</v>
      </c>
      <c r="F7" s="347" t="s">
        <v>110</v>
      </c>
      <c r="G7" s="69">
        <v>520</v>
      </c>
      <c r="H7" s="69">
        <v>2080</v>
      </c>
      <c r="I7" s="69" t="s">
        <v>110</v>
      </c>
      <c r="J7" s="347" t="s">
        <v>110</v>
      </c>
      <c r="K7" s="347" t="s">
        <v>110</v>
      </c>
      <c r="L7" s="69" t="s">
        <v>110</v>
      </c>
      <c r="M7" s="69">
        <v>2080</v>
      </c>
      <c r="N7" s="69" t="s">
        <v>110</v>
      </c>
      <c r="O7" s="71" t="s">
        <v>110</v>
      </c>
    </row>
    <row r="8" spans="1:15">
      <c r="A8" s="64">
        <v>2</v>
      </c>
      <c r="B8" s="68" t="s">
        <v>308</v>
      </c>
      <c r="C8" s="66" t="s">
        <v>159</v>
      </c>
      <c r="D8" s="68" t="s">
        <v>157</v>
      </c>
      <c r="E8" s="347">
        <v>6</v>
      </c>
      <c r="F8" s="347" t="s">
        <v>110</v>
      </c>
      <c r="G8" s="69">
        <v>156.15</v>
      </c>
      <c r="H8" s="69">
        <v>936.9</v>
      </c>
      <c r="I8" s="69">
        <v>252.12</v>
      </c>
      <c r="J8" s="347">
        <v>570.17999999999995</v>
      </c>
      <c r="K8" s="347" t="s">
        <v>110</v>
      </c>
      <c r="L8" s="69">
        <v>114.6</v>
      </c>
      <c r="M8" s="69">
        <v>4500</v>
      </c>
      <c r="N8" s="69" t="s">
        <v>110</v>
      </c>
      <c r="O8" s="71">
        <v>3.06</v>
      </c>
    </row>
    <row r="9" spans="1:15">
      <c r="A9" s="64" t="s">
        <v>110</v>
      </c>
      <c r="B9" s="68" t="s">
        <v>154</v>
      </c>
      <c r="C9" s="66" t="s">
        <v>159</v>
      </c>
      <c r="D9" s="68" t="s">
        <v>157</v>
      </c>
      <c r="E9" s="347">
        <v>6</v>
      </c>
      <c r="F9" s="347" t="s">
        <v>110</v>
      </c>
      <c r="G9" s="69">
        <v>750</v>
      </c>
      <c r="H9" s="69">
        <v>4500</v>
      </c>
      <c r="I9" s="69" t="s">
        <v>110</v>
      </c>
      <c r="J9" s="347" t="s">
        <v>110</v>
      </c>
      <c r="K9" s="347" t="s">
        <v>110</v>
      </c>
      <c r="L9" s="69" t="s">
        <v>110</v>
      </c>
      <c r="M9" s="69">
        <v>4500</v>
      </c>
      <c r="N9" s="69" t="s">
        <v>110</v>
      </c>
      <c r="O9" s="71" t="s">
        <v>110</v>
      </c>
    </row>
    <row r="10" spans="1:15" ht="24">
      <c r="A10" s="64">
        <v>3</v>
      </c>
      <c r="B10" s="68" t="s">
        <v>309</v>
      </c>
      <c r="C10" s="66" t="s">
        <v>310</v>
      </c>
      <c r="D10" s="68" t="s">
        <v>157</v>
      </c>
      <c r="E10" s="347">
        <v>2</v>
      </c>
      <c r="F10" s="347" t="s">
        <v>110</v>
      </c>
      <c r="G10" s="69">
        <v>190.39</v>
      </c>
      <c r="H10" s="69">
        <v>380.78</v>
      </c>
      <c r="I10" s="69">
        <v>106.44</v>
      </c>
      <c r="J10" s="347">
        <v>229.5</v>
      </c>
      <c r="K10" s="347" t="s">
        <v>110</v>
      </c>
      <c r="L10" s="69">
        <v>44.84</v>
      </c>
      <c r="M10" s="69">
        <v>1960</v>
      </c>
      <c r="N10" s="69" t="s">
        <v>110</v>
      </c>
      <c r="O10" s="71">
        <v>1.292</v>
      </c>
    </row>
    <row r="11" spans="1:15" ht="24">
      <c r="A11" s="64" t="s">
        <v>110</v>
      </c>
      <c r="B11" s="68" t="s">
        <v>154</v>
      </c>
      <c r="C11" s="66" t="s">
        <v>310</v>
      </c>
      <c r="D11" s="68" t="s">
        <v>157</v>
      </c>
      <c r="E11" s="347">
        <v>2</v>
      </c>
      <c r="F11" s="347" t="s">
        <v>110</v>
      </c>
      <c r="G11" s="69">
        <v>980</v>
      </c>
      <c r="H11" s="69">
        <v>1960</v>
      </c>
      <c r="I11" s="69" t="s">
        <v>110</v>
      </c>
      <c r="J11" s="347" t="s">
        <v>110</v>
      </c>
      <c r="K11" s="347" t="s">
        <v>110</v>
      </c>
      <c r="L11" s="69" t="s">
        <v>110</v>
      </c>
      <c r="M11" s="69">
        <v>1960</v>
      </c>
      <c r="N11" s="69" t="s">
        <v>110</v>
      </c>
      <c r="O11" s="71" t="s">
        <v>110</v>
      </c>
    </row>
    <row r="12" spans="1:15" ht="24">
      <c r="A12" s="64">
        <v>4</v>
      </c>
      <c r="B12" s="68" t="s">
        <v>306</v>
      </c>
      <c r="C12" s="66" t="s">
        <v>311</v>
      </c>
      <c r="D12" s="68" t="s">
        <v>157</v>
      </c>
      <c r="E12" s="347">
        <v>2</v>
      </c>
      <c r="F12" s="347" t="s">
        <v>110</v>
      </c>
      <c r="G12" s="69">
        <v>100.09</v>
      </c>
      <c r="H12" s="69">
        <v>200.18</v>
      </c>
      <c r="I12" s="69">
        <v>58.36</v>
      </c>
      <c r="J12" s="347">
        <v>120.22</v>
      </c>
      <c r="K12" s="347" t="s">
        <v>110</v>
      </c>
      <c r="L12" s="69">
        <v>21.6</v>
      </c>
      <c r="M12" s="69">
        <v>400</v>
      </c>
      <c r="N12" s="69" t="s">
        <v>110</v>
      </c>
      <c r="O12" s="71">
        <v>0.70799999999999996</v>
      </c>
    </row>
    <row r="13" spans="1:15" ht="24">
      <c r="A13" s="64" t="s">
        <v>110</v>
      </c>
      <c r="B13" s="68" t="s">
        <v>154</v>
      </c>
      <c r="C13" s="66" t="s">
        <v>311</v>
      </c>
      <c r="D13" s="68" t="s">
        <v>157</v>
      </c>
      <c r="E13" s="347">
        <v>2</v>
      </c>
      <c r="F13" s="347" t="s">
        <v>110</v>
      </c>
      <c r="G13" s="69">
        <v>200</v>
      </c>
      <c r="H13" s="69">
        <v>400</v>
      </c>
      <c r="I13" s="69" t="s">
        <v>110</v>
      </c>
      <c r="J13" s="347" t="s">
        <v>110</v>
      </c>
      <c r="K13" s="347" t="s">
        <v>110</v>
      </c>
      <c r="L13" s="69" t="s">
        <v>110</v>
      </c>
      <c r="M13" s="69">
        <v>400</v>
      </c>
      <c r="N13" s="69" t="s">
        <v>110</v>
      </c>
      <c r="O13" s="71" t="s">
        <v>110</v>
      </c>
    </row>
    <row r="14" spans="1:15" ht="24">
      <c r="A14" s="64">
        <v>5</v>
      </c>
      <c r="B14" s="68" t="s">
        <v>308</v>
      </c>
      <c r="C14" s="66" t="s">
        <v>312</v>
      </c>
      <c r="D14" s="68" t="s">
        <v>157</v>
      </c>
      <c r="E14" s="347">
        <v>3</v>
      </c>
      <c r="F14" s="347" t="s">
        <v>110</v>
      </c>
      <c r="G14" s="69">
        <v>156.15</v>
      </c>
      <c r="H14" s="69">
        <v>468.45</v>
      </c>
      <c r="I14" s="69">
        <v>126.06</v>
      </c>
      <c r="J14" s="347">
        <v>285.08999999999997</v>
      </c>
      <c r="K14" s="347" t="s">
        <v>110</v>
      </c>
      <c r="L14" s="69">
        <v>57.3</v>
      </c>
      <c r="M14" s="69">
        <v>930</v>
      </c>
      <c r="N14" s="69" t="s">
        <v>110</v>
      </c>
      <c r="O14" s="71">
        <v>1.53</v>
      </c>
    </row>
    <row r="15" spans="1:15" ht="24">
      <c r="A15" s="64" t="s">
        <v>110</v>
      </c>
      <c r="B15" s="68" t="s">
        <v>154</v>
      </c>
      <c r="C15" s="66" t="s">
        <v>312</v>
      </c>
      <c r="D15" s="68" t="s">
        <v>157</v>
      </c>
      <c r="E15" s="347">
        <v>3</v>
      </c>
      <c r="F15" s="347" t="s">
        <v>110</v>
      </c>
      <c r="G15" s="69">
        <v>310</v>
      </c>
      <c r="H15" s="69">
        <v>930</v>
      </c>
      <c r="I15" s="69" t="s">
        <v>110</v>
      </c>
      <c r="J15" s="347" t="s">
        <v>110</v>
      </c>
      <c r="K15" s="347" t="s">
        <v>110</v>
      </c>
      <c r="L15" s="69" t="s">
        <v>110</v>
      </c>
      <c r="M15" s="69">
        <v>930</v>
      </c>
      <c r="N15" s="69" t="s">
        <v>110</v>
      </c>
      <c r="O15" s="71" t="s">
        <v>110</v>
      </c>
    </row>
    <row r="16" spans="1:15" ht="24">
      <c r="A16" s="64">
        <v>6</v>
      </c>
      <c r="B16" s="68" t="s">
        <v>309</v>
      </c>
      <c r="C16" s="66" t="s">
        <v>313</v>
      </c>
      <c r="D16" s="68" t="s">
        <v>157</v>
      </c>
      <c r="E16" s="347">
        <v>1</v>
      </c>
      <c r="F16" s="347" t="s">
        <v>110</v>
      </c>
      <c r="G16" s="69">
        <v>190.39</v>
      </c>
      <c r="H16" s="69">
        <v>190.39</v>
      </c>
      <c r="I16" s="69">
        <v>53.22</v>
      </c>
      <c r="J16" s="347">
        <v>114.75</v>
      </c>
      <c r="K16" s="347" t="s">
        <v>110</v>
      </c>
      <c r="L16" s="69">
        <v>22.42</v>
      </c>
      <c r="M16" s="69">
        <v>380</v>
      </c>
      <c r="N16" s="69" t="s">
        <v>110</v>
      </c>
      <c r="O16" s="71">
        <v>0.64600000000000002</v>
      </c>
    </row>
    <row r="17" spans="1:15" ht="24">
      <c r="A17" s="64" t="s">
        <v>110</v>
      </c>
      <c r="B17" s="68" t="s">
        <v>154</v>
      </c>
      <c r="C17" s="66" t="s">
        <v>313</v>
      </c>
      <c r="D17" s="68" t="s">
        <v>157</v>
      </c>
      <c r="E17" s="347">
        <v>1</v>
      </c>
      <c r="F17" s="347" t="s">
        <v>110</v>
      </c>
      <c r="G17" s="69">
        <v>380</v>
      </c>
      <c r="H17" s="69">
        <v>380</v>
      </c>
      <c r="I17" s="69" t="s">
        <v>110</v>
      </c>
      <c r="J17" s="347" t="s">
        <v>110</v>
      </c>
      <c r="K17" s="347" t="s">
        <v>110</v>
      </c>
      <c r="L17" s="69" t="s">
        <v>110</v>
      </c>
      <c r="M17" s="69">
        <v>380</v>
      </c>
      <c r="N17" s="69" t="s">
        <v>110</v>
      </c>
      <c r="O17" s="71" t="s">
        <v>110</v>
      </c>
    </row>
    <row r="18" spans="1:15" ht="24">
      <c r="A18" s="64">
        <v>7</v>
      </c>
      <c r="B18" s="68" t="s">
        <v>306</v>
      </c>
      <c r="C18" s="66" t="s">
        <v>314</v>
      </c>
      <c r="D18" s="68" t="s">
        <v>157</v>
      </c>
      <c r="E18" s="347">
        <v>2</v>
      </c>
      <c r="F18" s="347" t="s">
        <v>110</v>
      </c>
      <c r="G18" s="69">
        <v>100.09</v>
      </c>
      <c r="H18" s="69">
        <v>200.18</v>
      </c>
      <c r="I18" s="69">
        <v>58.36</v>
      </c>
      <c r="J18" s="347">
        <v>120.22</v>
      </c>
      <c r="K18" s="347" t="s">
        <v>110</v>
      </c>
      <c r="L18" s="69">
        <v>21.6</v>
      </c>
      <c r="M18" s="69">
        <v>640</v>
      </c>
      <c r="N18" s="69" t="s">
        <v>110</v>
      </c>
      <c r="O18" s="71">
        <v>0.70799999999999996</v>
      </c>
    </row>
    <row r="19" spans="1:15" ht="24">
      <c r="A19" s="64" t="s">
        <v>110</v>
      </c>
      <c r="B19" s="68" t="s">
        <v>154</v>
      </c>
      <c r="C19" s="66" t="s">
        <v>314</v>
      </c>
      <c r="D19" s="68" t="s">
        <v>157</v>
      </c>
      <c r="E19" s="347">
        <v>2</v>
      </c>
      <c r="F19" s="347" t="s">
        <v>110</v>
      </c>
      <c r="G19" s="69">
        <v>320</v>
      </c>
      <c r="H19" s="69">
        <v>640</v>
      </c>
      <c r="I19" s="69" t="s">
        <v>110</v>
      </c>
      <c r="J19" s="347" t="s">
        <v>110</v>
      </c>
      <c r="K19" s="347" t="s">
        <v>110</v>
      </c>
      <c r="L19" s="69" t="s">
        <v>110</v>
      </c>
      <c r="M19" s="69">
        <v>640</v>
      </c>
      <c r="N19" s="69" t="s">
        <v>110</v>
      </c>
      <c r="O19" s="71" t="s">
        <v>110</v>
      </c>
    </row>
    <row r="20" spans="1:15" ht="24">
      <c r="A20" s="64">
        <v>8</v>
      </c>
      <c r="B20" s="68" t="s">
        <v>308</v>
      </c>
      <c r="C20" s="66" t="s">
        <v>315</v>
      </c>
      <c r="D20" s="68" t="s">
        <v>157</v>
      </c>
      <c r="E20" s="347">
        <v>3</v>
      </c>
      <c r="F20" s="347" t="s">
        <v>110</v>
      </c>
      <c r="G20" s="69">
        <v>156.15</v>
      </c>
      <c r="H20" s="69">
        <v>468.45</v>
      </c>
      <c r="I20" s="69">
        <v>126.06</v>
      </c>
      <c r="J20" s="347">
        <v>285.08999999999997</v>
      </c>
      <c r="K20" s="347" t="s">
        <v>110</v>
      </c>
      <c r="L20" s="69">
        <v>57.3</v>
      </c>
      <c r="M20" s="69">
        <v>1410</v>
      </c>
      <c r="N20" s="69" t="s">
        <v>110</v>
      </c>
      <c r="O20" s="71">
        <v>1.53</v>
      </c>
    </row>
    <row r="21" spans="1:15" ht="24">
      <c r="A21" s="64" t="s">
        <v>110</v>
      </c>
      <c r="B21" s="68" t="s">
        <v>154</v>
      </c>
      <c r="C21" s="66" t="s">
        <v>315</v>
      </c>
      <c r="D21" s="68" t="s">
        <v>157</v>
      </c>
      <c r="E21" s="347">
        <v>3</v>
      </c>
      <c r="F21" s="347" t="s">
        <v>110</v>
      </c>
      <c r="G21" s="69">
        <v>470</v>
      </c>
      <c r="H21" s="69">
        <v>1410</v>
      </c>
      <c r="I21" s="69" t="s">
        <v>110</v>
      </c>
      <c r="J21" s="347" t="s">
        <v>110</v>
      </c>
      <c r="K21" s="347" t="s">
        <v>110</v>
      </c>
      <c r="L21" s="69" t="s">
        <v>110</v>
      </c>
      <c r="M21" s="69">
        <v>1410</v>
      </c>
      <c r="N21" s="69" t="s">
        <v>110</v>
      </c>
      <c r="O21" s="71" t="s">
        <v>110</v>
      </c>
    </row>
    <row r="22" spans="1:15" ht="24">
      <c r="A22" s="64">
        <v>9</v>
      </c>
      <c r="B22" s="68" t="s">
        <v>309</v>
      </c>
      <c r="C22" s="66" t="s">
        <v>316</v>
      </c>
      <c r="D22" s="68" t="s">
        <v>157</v>
      </c>
      <c r="E22" s="347">
        <v>1</v>
      </c>
      <c r="F22" s="347" t="s">
        <v>110</v>
      </c>
      <c r="G22" s="69">
        <v>190.39</v>
      </c>
      <c r="H22" s="69">
        <v>190.39</v>
      </c>
      <c r="I22" s="69">
        <v>53.22</v>
      </c>
      <c r="J22" s="347">
        <v>114.75</v>
      </c>
      <c r="K22" s="347" t="s">
        <v>110</v>
      </c>
      <c r="L22" s="69">
        <v>22.42</v>
      </c>
      <c r="M22" s="69">
        <v>590</v>
      </c>
      <c r="N22" s="69" t="s">
        <v>110</v>
      </c>
      <c r="O22" s="71">
        <v>0.64600000000000002</v>
      </c>
    </row>
    <row r="23" spans="1:15" ht="24">
      <c r="A23" s="64" t="s">
        <v>110</v>
      </c>
      <c r="B23" s="68" t="s">
        <v>154</v>
      </c>
      <c r="C23" s="66" t="s">
        <v>316</v>
      </c>
      <c r="D23" s="68" t="s">
        <v>157</v>
      </c>
      <c r="E23" s="347">
        <v>1</v>
      </c>
      <c r="F23" s="347" t="s">
        <v>110</v>
      </c>
      <c r="G23" s="69">
        <v>590</v>
      </c>
      <c r="H23" s="69">
        <v>590</v>
      </c>
      <c r="I23" s="69" t="s">
        <v>110</v>
      </c>
      <c r="J23" s="347" t="s">
        <v>110</v>
      </c>
      <c r="K23" s="347" t="s">
        <v>110</v>
      </c>
      <c r="L23" s="69" t="s">
        <v>110</v>
      </c>
      <c r="M23" s="69">
        <v>590</v>
      </c>
      <c r="N23" s="69" t="s">
        <v>110</v>
      </c>
      <c r="O23" s="71" t="s">
        <v>110</v>
      </c>
    </row>
    <row r="24" spans="1:15" ht="24">
      <c r="A24" s="64">
        <v>10</v>
      </c>
      <c r="B24" s="68" t="s">
        <v>306</v>
      </c>
      <c r="C24" s="66" t="s">
        <v>317</v>
      </c>
      <c r="D24" s="68" t="s">
        <v>157</v>
      </c>
      <c r="E24" s="347">
        <v>37</v>
      </c>
      <c r="F24" s="347" t="s">
        <v>110</v>
      </c>
      <c r="G24" s="69">
        <v>100.09</v>
      </c>
      <c r="H24" s="69">
        <v>3703.33</v>
      </c>
      <c r="I24" s="69">
        <v>1079.6600000000001</v>
      </c>
      <c r="J24" s="347">
        <v>2224.0700000000002</v>
      </c>
      <c r="K24" s="347" t="s">
        <v>110</v>
      </c>
      <c r="L24" s="69">
        <v>399.6</v>
      </c>
      <c r="M24" s="69">
        <v>8510</v>
      </c>
      <c r="N24" s="69" t="s">
        <v>110</v>
      </c>
      <c r="O24" s="71">
        <v>13.098000000000001</v>
      </c>
    </row>
    <row r="25" spans="1:15" ht="24.75" thickBot="1">
      <c r="A25" s="65" t="s">
        <v>110</v>
      </c>
      <c r="B25" s="74" t="s">
        <v>154</v>
      </c>
      <c r="C25" s="67" t="s">
        <v>317</v>
      </c>
      <c r="D25" s="74" t="s">
        <v>157</v>
      </c>
      <c r="E25" s="348">
        <v>37</v>
      </c>
      <c r="F25" s="348" t="s">
        <v>110</v>
      </c>
      <c r="G25" s="70">
        <v>230</v>
      </c>
      <c r="H25" s="70">
        <v>8510</v>
      </c>
      <c r="I25" s="70" t="s">
        <v>110</v>
      </c>
      <c r="J25" s="348" t="s">
        <v>110</v>
      </c>
      <c r="K25" s="348" t="s">
        <v>110</v>
      </c>
      <c r="L25" s="70" t="s">
        <v>110</v>
      </c>
      <c r="M25" s="70">
        <v>8510</v>
      </c>
      <c r="N25" s="70" t="s">
        <v>110</v>
      </c>
      <c r="O25" s="72" t="s">
        <v>110</v>
      </c>
    </row>
    <row r="26" spans="1:15">
      <c r="A26" s="341" t="s">
        <v>288</v>
      </c>
      <c r="B26" s="341" t="s">
        <v>110</v>
      </c>
      <c r="C26" s="341" t="s">
        <v>110</v>
      </c>
      <c r="D26" s="341" t="s">
        <v>110</v>
      </c>
      <c r="E26" s="341" t="s">
        <v>110</v>
      </c>
      <c r="F26" s="338" t="s">
        <v>289</v>
      </c>
      <c r="G26" s="338" t="s">
        <v>110</v>
      </c>
      <c r="H26" s="338" t="s">
        <v>110</v>
      </c>
      <c r="I26" s="338" t="s">
        <v>110</v>
      </c>
      <c r="J26" s="338" t="s">
        <v>110</v>
      </c>
      <c r="K26" s="334" t="s">
        <v>290</v>
      </c>
      <c r="L26" s="334" t="s">
        <v>110</v>
      </c>
      <c r="M26" s="334" t="s">
        <v>110</v>
      </c>
      <c r="N26" s="334" t="s">
        <v>110</v>
      </c>
      <c r="O26" s="334" t="s">
        <v>110</v>
      </c>
    </row>
    <row r="27" spans="1:15" ht="24.75" customHeight="1">
      <c r="A27" s="340" t="s">
        <v>291</v>
      </c>
      <c r="B27" s="340" t="s">
        <v>110</v>
      </c>
      <c r="C27" s="340" t="s">
        <v>110</v>
      </c>
      <c r="D27" s="340" t="s">
        <v>110</v>
      </c>
      <c r="E27" s="340" t="s">
        <v>110</v>
      </c>
      <c r="F27" s="340" t="s">
        <v>110</v>
      </c>
      <c r="G27" s="340" t="s">
        <v>110</v>
      </c>
      <c r="H27" s="340" t="s">
        <v>110</v>
      </c>
      <c r="I27" s="340" t="s">
        <v>110</v>
      </c>
      <c r="J27" s="340" t="s">
        <v>110</v>
      </c>
      <c r="K27" s="340" t="s">
        <v>110</v>
      </c>
      <c r="L27" s="340" t="s">
        <v>110</v>
      </c>
      <c r="M27" s="340" t="s">
        <v>110</v>
      </c>
      <c r="N27" s="340" t="s">
        <v>110</v>
      </c>
      <c r="O27" s="340" t="s">
        <v>110</v>
      </c>
    </row>
    <row r="28" spans="1:15" ht="14.25" thickBot="1">
      <c r="A28" s="341" t="s">
        <v>163</v>
      </c>
      <c r="B28" s="341" t="s">
        <v>110</v>
      </c>
      <c r="C28" s="341" t="s">
        <v>110</v>
      </c>
      <c r="D28" s="341" t="s">
        <v>110</v>
      </c>
      <c r="E28" s="341" t="s">
        <v>110</v>
      </c>
      <c r="F28" s="341" t="s">
        <v>110</v>
      </c>
      <c r="G28" s="341" t="s">
        <v>110</v>
      </c>
      <c r="H28" s="341" t="s">
        <v>110</v>
      </c>
      <c r="I28" s="341" t="s">
        <v>110</v>
      </c>
      <c r="J28" s="341" t="s">
        <v>110</v>
      </c>
      <c r="K28" s="334" t="s">
        <v>214</v>
      </c>
      <c r="L28" s="334" t="s">
        <v>110</v>
      </c>
      <c r="M28" s="334" t="s">
        <v>110</v>
      </c>
      <c r="N28" s="334" t="s">
        <v>110</v>
      </c>
      <c r="O28" s="334" t="s">
        <v>110</v>
      </c>
    </row>
    <row r="29" spans="1:15">
      <c r="A29" s="342" t="s">
        <v>112</v>
      </c>
      <c r="B29" s="335" t="s">
        <v>292</v>
      </c>
      <c r="C29" s="335" t="s">
        <v>293</v>
      </c>
      <c r="D29" s="335" t="s">
        <v>294</v>
      </c>
      <c r="E29" s="335" t="s">
        <v>110</v>
      </c>
      <c r="F29" s="335" t="s">
        <v>110</v>
      </c>
      <c r="G29" s="335" t="s">
        <v>295</v>
      </c>
      <c r="H29" s="335" t="s">
        <v>110</v>
      </c>
      <c r="I29" s="335" t="s">
        <v>296</v>
      </c>
      <c r="J29" s="335" t="s">
        <v>110</v>
      </c>
      <c r="K29" s="335" t="s">
        <v>110</v>
      </c>
      <c r="L29" s="335" t="s">
        <v>110</v>
      </c>
      <c r="M29" s="335" t="s">
        <v>110</v>
      </c>
      <c r="N29" s="335" t="s">
        <v>110</v>
      </c>
      <c r="O29" s="345" t="s">
        <v>297</v>
      </c>
    </row>
    <row r="30" spans="1:15">
      <c r="A30" s="343" t="s">
        <v>110</v>
      </c>
      <c r="B30" s="344" t="s">
        <v>110</v>
      </c>
      <c r="C30" s="344" t="s">
        <v>110</v>
      </c>
      <c r="D30" s="73" t="s">
        <v>133</v>
      </c>
      <c r="E30" s="344" t="s">
        <v>134</v>
      </c>
      <c r="F30" s="344" t="s">
        <v>110</v>
      </c>
      <c r="G30" s="73" t="s">
        <v>298</v>
      </c>
      <c r="H30" s="73" t="s">
        <v>299</v>
      </c>
      <c r="I30" s="73" t="s">
        <v>300</v>
      </c>
      <c r="J30" s="344" t="s">
        <v>301</v>
      </c>
      <c r="K30" s="344" t="s">
        <v>110</v>
      </c>
      <c r="L30" s="73" t="s">
        <v>302</v>
      </c>
      <c r="M30" s="73" t="s">
        <v>303</v>
      </c>
      <c r="N30" s="73" t="s">
        <v>304</v>
      </c>
      <c r="O30" s="346" t="s">
        <v>110</v>
      </c>
    </row>
    <row r="31" spans="1:15" ht="24">
      <c r="A31" s="64">
        <v>11</v>
      </c>
      <c r="B31" s="68" t="s">
        <v>318</v>
      </c>
      <c r="C31" s="66" t="s">
        <v>319</v>
      </c>
      <c r="D31" s="68" t="s">
        <v>157</v>
      </c>
      <c r="E31" s="347">
        <v>15</v>
      </c>
      <c r="F31" s="347" t="s">
        <v>110</v>
      </c>
      <c r="G31" s="69">
        <v>85.42</v>
      </c>
      <c r="H31" s="69">
        <v>1281.3</v>
      </c>
      <c r="I31" s="69">
        <v>379.5</v>
      </c>
      <c r="J31" s="347">
        <v>739.8</v>
      </c>
      <c r="K31" s="347" t="s">
        <v>110</v>
      </c>
      <c r="L31" s="69">
        <v>162</v>
      </c>
      <c r="M31" s="69">
        <v>2700</v>
      </c>
      <c r="N31" s="69" t="s">
        <v>110</v>
      </c>
      <c r="O31" s="71">
        <v>4.6050000000000004</v>
      </c>
    </row>
    <row r="32" spans="1:15" ht="24">
      <c r="A32" s="64" t="s">
        <v>110</v>
      </c>
      <c r="B32" s="68" t="s">
        <v>154</v>
      </c>
      <c r="C32" s="66" t="s">
        <v>319</v>
      </c>
      <c r="D32" s="68" t="s">
        <v>157</v>
      </c>
      <c r="E32" s="347">
        <v>15</v>
      </c>
      <c r="F32" s="347" t="s">
        <v>110</v>
      </c>
      <c r="G32" s="69">
        <v>180</v>
      </c>
      <c r="H32" s="69">
        <v>2700</v>
      </c>
      <c r="I32" s="69" t="s">
        <v>110</v>
      </c>
      <c r="J32" s="347" t="s">
        <v>110</v>
      </c>
      <c r="K32" s="347" t="s">
        <v>110</v>
      </c>
      <c r="L32" s="69" t="s">
        <v>110</v>
      </c>
      <c r="M32" s="69">
        <v>2700</v>
      </c>
      <c r="N32" s="69" t="s">
        <v>110</v>
      </c>
      <c r="O32" s="71" t="s">
        <v>110</v>
      </c>
    </row>
    <row r="33" spans="1:15" ht="24">
      <c r="A33" s="64">
        <v>12</v>
      </c>
      <c r="B33" s="68" t="s">
        <v>320</v>
      </c>
      <c r="C33" s="66" t="s">
        <v>321</v>
      </c>
      <c r="D33" s="68" t="s">
        <v>157</v>
      </c>
      <c r="E33" s="347">
        <v>29</v>
      </c>
      <c r="F33" s="347" t="s">
        <v>110</v>
      </c>
      <c r="G33" s="69">
        <v>77.11</v>
      </c>
      <c r="H33" s="69">
        <v>2236.19</v>
      </c>
      <c r="I33" s="69">
        <v>695.71</v>
      </c>
      <c r="J33" s="347">
        <v>1227.28</v>
      </c>
      <c r="K33" s="347" t="s">
        <v>110</v>
      </c>
      <c r="L33" s="69">
        <v>313.2</v>
      </c>
      <c r="M33" s="69">
        <v>4350</v>
      </c>
      <c r="N33" s="69" t="s">
        <v>110</v>
      </c>
      <c r="O33" s="71">
        <v>8.4390000000000001</v>
      </c>
    </row>
    <row r="34" spans="1:15" ht="24">
      <c r="A34" s="64" t="s">
        <v>110</v>
      </c>
      <c r="B34" s="68" t="s">
        <v>154</v>
      </c>
      <c r="C34" s="66" t="s">
        <v>321</v>
      </c>
      <c r="D34" s="68" t="s">
        <v>157</v>
      </c>
      <c r="E34" s="347">
        <v>29</v>
      </c>
      <c r="F34" s="347" t="s">
        <v>110</v>
      </c>
      <c r="G34" s="69">
        <v>150</v>
      </c>
      <c r="H34" s="69">
        <v>4350</v>
      </c>
      <c r="I34" s="69" t="s">
        <v>110</v>
      </c>
      <c r="J34" s="347" t="s">
        <v>110</v>
      </c>
      <c r="K34" s="347" t="s">
        <v>110</v>
      </c>
      <c r="L34" s="69" t="s">
        <v>110</v>
      </c>
      <c r="M34" s="69">
        <v>4350</v>
      </c>
      <c r="N34" s="69" t="s">
        <v>110</v>
      </c>
      <c r="O34" s="71" t="s">
        <v>110</v>
      </c>
    </row>
    <row r="35" spans="1:15" ht="24">
      <c r="A35" s="64">
        <v>13</v>
      </c>
      <c r="B35" s="68" t="s">
        <v>322</v>
      </c>
      <c r="C35" s="66" t="s">
        <v>323</v>
      </c>
      <c r="D35" s="68" t="s">
        <v>157</v>
      </c>
      <c r="E35" s="347">
        <v>22</v>
      </c>
      <c r="F35" s="347" t="s">
        <v>110</v>
      </c>
      <c r="G35" s="69">
        <v>38.74</v>
      </c>
      <c r="H35" s="69">
        <v>852.28</v>
      </c>
      <c r="I35" s="69">
        <v>373.34</v>
      </c>
      <c r="J35" s="347">
        <v>478.94</v>
      </c>
      <c r="K35" s="347" t="s">
        <v>110</v>
      </c>
      <c r="L35" s="69" t="s">
        <v>110</v>
      </c>
      <c r="M35" s="69">
        <v>2420</v>
      </c>
      <c r="N35" s="69" t="s">
        <v>110</v>
      </c>
      <c r="O35" s="71">
        <v>4.532</v>
      </c>
    </row>
    <row r="36" spans="1:15" ht="24">
      <c r="A36" s="64" t="s">
        <v>110</v>
      </c>
      <c r="B36" s="68" t="s">
        <v>154</v>
      </c>
      <c r="C36" s="66" t="s">
        <v>323</v>
      </c>
      <c r="D36" s="68" t="s">
        <v>157</v>
      </c>
      <c r="E36" s="347">
        <v>22</v>
      </c>
      <c r="F36" s="347" t="s">
        <v>110</v>
      </c>
      <c r="G36" s="69">
        <v>110</v>
      </c>
      <c r="H36" s="69">
        <v>2420</v>
      </c>
      <c r="I36" s="69" t="s">
        <v>110</v>
      </c>
      <c r="J36" s="347" t="s">
        <v>110</v>
      </c>
      <c r="K36" s="347" t="s">
        <v>110</v>
      </c>
      <c r="L36" s="69" t="s">
        <v>110</v>
      </c>
      <c r="M36" s="69">
        <v>2420</v>
      </c>
      <c r="N36" s="69" t="s">
        <v>110</v>
      </c>
      <c r="O36" s="71" t="s">
        <v>110</v>
      </c>
    </row>
    <row r="37" spans="1:15" ht="36">
      <c r="A37" s="64">
        <v>14</v>
      </c>
      <c r="B37" s="68" t="s">
        <v>324</v>
      </c>
      <c r="C37" s="66" t="s">
        <v>325</v>
      </c>
      <c r="D37" s="68" t="s">
        <v>166</v>
      </c>
      <c r="E37" s="347">
        <v>10.8</v>
      </c>
      <c r="F37" s="347" t="s">
        <v>110</v>
      </c>
      <c r="G37" s="69">
        <v>877.3</v>
      </c>
      <c r="H37" s="69">
        <v>9474.84</v>
      </c>
      <c r="I37" s="69">
        <v>3977.96</v>
      </c>
      <c r="J37" s="347">
        <v>5496.88</v>
      </c>
      <c r="K37" s="347" t="s">
        <v>110</v>
      </c>
      <c r="L37" s="69" t="s">
        <v>110</v>
      </c>
      <c r="M37" s="69">
        <v>57812.4</v>
      </c>
      <c r="N37" s="69" t="s">
        <v>110</v>
      </c>
      <c r="O37" s="71">
        <v>48.276000000000003</v>
      </c>
    </row>
    <row r="38" spans="1:15" ht="24">
      <c r="A38" s="64" t="s">
        <v>110</v>
      </c>
      <c r="B38" s="68" t="s">
        <v>154</v>
      </c>
      <c r="C38" s="66" t="s">
        <v>160</v>
      </c>
      <c r="D38" s="68" t="s">
        <v>157</v>
      </c>
      <c r="E38" s="347">
        <v>109.08</v>
      </c>
      <c r="F38" s="347" t="s">
        <v>110</v>
      </c>
      <c r="G38" s="69">
        <v>530</v>
      </c>
      <c r="H38" s="69">
        <v>57812.4</v>
      </c>
      <c r="I38" s="69" t="s">
        <v>110</v>
      </c>
      <c r="J38" s="347" t="s">
        <v>110</v>
      </c>
      <c r="K38" s="347" t="s">
        <v>110</v>
      </c>
      <c r="L38" s="69" t="s">
        <v>110</v>
      </c>
      <c r="M38" s="69">
        <v>57812.4</v>
      </c>
      <c r="N38" s="69" t="s">
        <v>110</v>
      </c>
      <c r="O38" s="71" t="s">
        <v>110</v>
      </c>
    </row>
    <row r="39" spans="1:15" ht="36">
      <c r="A39" s="64">
        <v>15</v>
      </c>
      <c r="B39" s="68" t="s">
        <v>326</v>
      </c>
      <c r="C39" s="66" t="s">
        <v>327</v>
      </c>
      <c r="D39" s="68" t="s">
        <v>166</v>
      </c>
      <c r="E39" s="347">
        <v>3.8</v>
      </c>
      <c r="F39" s="347" t="s">
        <v>110</v>
      </c>
      <c r="G39" s="69">
        <v>598.20000000000005</v>
      </c>
      <c r="H39" s="69">
        <v>2273.16</v>
      </c>
      <c r="I39" s="69">
        <v>816.66</v>
      </c>
      <c r="J39" s="347">
        <v>1456.5</v>
      </c>
      <c r="K39" s="347" t="s">
        <v>110</v>
      </c>
      <c r="L39" s="69" t="s">
        <v>110</v>
      </c>
      <c r="M39" s="69">
        <v>31087.8</v>
      </c>
      <c r="N39" s="69" t="s">
        <v>110</v>
      </c>
      <c r="O39" s="71">
        <v>9.9103999999999992</v>
      </c>
    </row>
    <row r="40" spans="1:15">
      <c r="A40" s="64" t="s">
        <v>110</v>
      </c>
      <c r="B40" s="68" t="s">
        <v>154</v>
      </c>
      <c r="C40" s="66" t="s">
        <v>161</v>
      </c>
      <c r="D40" s="68" t="s">
        <v>157</v>
      </c>
      <c r="E40" s="347">
        <v>38.380000000000003</v>
      </c>
      <c r="F40" s="347" t="s">
        <v>110</v>
      </c>
      <c r="G40" s="69">
        <v>810</v>
      </c>
      <c r="H40" s="69">
        <v>31087.8</v>
      </c>
      <c r="I40" s="69" t="s">
        <v>110</v>
      </c>
      <c r="J40" s="347" t="s">
        <v>110</v>
      </c>
      <c r="K40" s="347" t="s">
        <v>110</v>
      </c>
      <c r="L40" s="69" t="s">
        <v>110</v>
      </c>
      <c r="M40" s="69">
        <v>31087.8</v>
      </c>
      <c r="N40" s="69" t="s">
        <v>110</v>
      </c>
      <c r="O40" s="71" t="s">
        <v>110</v>
      </c>
    </row>
    <row r="41" spans="1:15" ht="24">
      <c r="A41" s="64">
        <v>16</v>
      </c>
      <c r="B41" s="68" t="s">
        <v>328</v>
      </c>
      <c r="C41" s="66" t="s">
        <v>329</v>
      </c>
      <c r="D41" s="68" t="s">
        <v>330</v>
      </c>
      <c r="E41" s="347">
        <v>11</v>
      </c>
      <c r="F41" s="347" t="s">
        <v>110</v>
      </c>
      <c r="G41" s="69">
        <v>18.68</v>
      </c>
      <c r="H41" s="69">
        <v>205.48</v>
      </c>
      <c r="I41" s="69">
        <v>196.68</v>
      </c>
      <c r="J41" s="347">
        <v>8.8000000000000007</v>
      </c>
      <c r="K41" s="347" t="s">
        <v>110</v>
      </c>
      <c r="L41" s="69" t="s">
        <v>110</v>
      </c>
      <c r="M41" s="69">
        <v>69993</v>
      </c>
      <c r="N41" s="69" t="s">
        <v>110</v>
      </c>
      <c r="O41" s="71">
        <v>2.387</v>
      </c>
    </row>
    <row r="42" spans="1:15" ht="24">
      <c r="A42" s="64" t="s">
        <v>110</v>
      </c>
      <c r="B42" s="68" t="s">
        <v>154</v>
      </c>
      <c r="C42" s="66" t="s">
        <v>329</v>
      </c>
      <c r="D42" s="68" t="s">
        <v>157</v>
      </c>
      <c r="E42" s="347">
        <v>111.1</v>
      </c>
      <c r="F42" s="347" t="s">
        <v>110</v>
      </c>
      <c r="G42" s="69">
        <v>630</v>
      </c>
      <c r="H42" s="69">
        <v>69993</v>
      </c>
      <c r="I42" s="69" t="s">
        <v>110</v>
      </c>
      <c r="J42" s="347" t="s">
        <v>110</v>
      </c>
      <c r="K42" s="347" t="s">
        <v>110</v>
      </c>
      <c r="L42" s="69" t="s">
        <v>110</v>
      </c>
      <c r="M42" s="69">
        <v>69993</v>
      </c>
      <c r="N42" s="69" t="s">
        <v>110</v>
      </c>
      <c r="O42" s="71" t="s">
        <v>110</v>
      </c>
    </row>
    <row r="43" spans="1:15" ht="24">
      <c r="A43" s="64">
        <v>17</v>
      </c>
      <c r="B43" s="68" t="s">
        <v>331</v>
      </c>
      <c r="C43" s="66" t="s">
        <v>332</v>
      </c>
      <c r="D43" s="68" t="s">
        <v>330</v>
      </c>
      <c r="E43" s="347">
        <v>0.4</v>
      </c>
      <c r="F43" s="347" t="s">
        <v>110</v>
      </c>
      <c r="G43" s="69">
        <v>101.95</v>
      </c>
      <c r="H43" s="69">
        <v>40.78</v>
      </c>
      <c r="I43" s="69">
        <v>40.5</v>
      </c>
      <c r="J43" s="347">
        <v>0.28000000000000003</v>
      </c>
      <c r="K43" s="347" t="s">
        <v>110</v>
      </c>
      <c r="L43" s="69" t="s">
        <v>110</v>
      </c>
      <c r="M43" s="69">
        <v>188</v>
      </c>
      <c r="N43" s="69" t="s">
        <v>110</v>
      </c>
      <c r="O43" s="71">
        <v>0.49159999999999998</v>
      </c>
    </row>
    <row r="44" spans="1:15" ht="24">
      <c r="A44" s="64" t="s">
        <v>110</v>
      </c>
      <c r="B44" s="68" t="s">
        <v>154</v>
      </c>
      <c r="C44" s="66" t="s">
        <v>332</v>
      </c>
      <c r="D44" s="68" t="s">
        <v>157</v>
      </c>
      <c r="E44" s="347">
        <v>4</v>
      </c>
      <c r="F44" s="347" t="s">
        <v>110</v>
      </c>
      <c r="G44" s="69">
        <v>47</v>
      </c>
      <c r="H44" s="69">
        <v>188</v>
      </c>
      <c r="I44" s="69" t="s">
        <v>110</v>
      </c>
      <c r="J44" s="347" t="s">
        <v>110</v>
      </c>
      <c r="K44" s="347" t="s">
        <v>110</v>
      </c>
      <c r="L44" s="69" t="s">
        <v>110</v>
      </c>
      <c r="M44" s="69">
        <v>188</v>
      </c>
      <c r="N44" s="69" t="s">
        <v>110</v>
      </c>
      <c r="O44" s="71" t="s">
        <v>110</v>
      </c>
    </row>
    <row r="45" spans="1:15" ht="24">
      <c r="A45" s="64">
        <v>18</v>
      </c>
      <c r="B45" s="68" t="s">
        <v>333</v>
      </c>
      <c r="C45" s="66" t="s">
        <v>334</v>
      </c>
      <c r="D45" s="68" t="s">
        <v>330</v>
      </c>
      <c r="E45" s="347">
        <v>4.5999999999999996</v>
      </c>
      <c r="F45" s="347" t="s">
        <v>110</v>
      </c>
      <c r="G45" s="69">
        <v>127.7</v>
      </c>
      <c r="H45" s="69">
        <v>587.41999999999996</v>
      </c>
      <c r="I45" s="69">
        <v>582.59</v>
      </c>
      <c r="J45" s="347">
        <v>4.83</v>
      </c>
      <c r="K45" s="347" t="s">
        <v>110</v>
      </c>
      <c r="L45" s="69" t="s">
        <v>110</v>
      </c>
      <c r="M45" s="69">
        <v>3496</v>
      </c>
      <c r="N45" s="69" t="s">
        <v>110</v>
      </c>
      <c r="O45" s="71">
        <v>7.0701999999999998</v>
      </c>
    </row>
    <row r="46" spans="1:15" ht="24">
      <c r="A46" s="64" t="s">
        <v>110</v>
      </c>
      <c r="B46" s="68" t="s">
        <v>154</v>
      </c>
      <c r="C46" s="66" t="s">
        <v>334</v>
      </c>
      <c r="D46" s="68" t="s">
        <v>157</v>
      </c>
      <c r="E46" s="347">
        <v>46</v>
      </c>
      <c r="F46" s="347" t="s">
        <v>110</v>
      </c>
      <c r="G46" s="69">
        <v>76</v>
      </c>
      <c r="H46" s="69">
        <v>3496</v>
      </c>
      <c r="I46" s="69" t="s">
        <v>110</v>
      </c>
      <c r="J46" s="347" t="s">
        <v>110</v>
      </c>
      <c r="K46" s="347" t="s">
        <v>110</v>
      </c>
      <c r="L46" s="69" t="s">
        <v>110</v>
      </c>
      <c r="M46" s="69">
        <v>3496</v>
      </c>
      <c r="N46" s="69" t="s">
        <v>110</v>
      </c>
      <c r="O46" s="71" t="s">
        <v>110</v>
      </c>
    </row>
    <row r="47" spans="1:15" ht="24">
      <c r="A47" s="64">
        <v>19</v>
      </c>
      <c r="B47" s="68" t="s">
        <v>335</v>
      </c>
      <c r="C47" s="66" t="s">
        <v>336</v>
      </c>
      <c r="D47" s="68" t="s">
        <v>330</v>
      </c>
      <c r="E47" s="347">
        <v>0.6</v>
      </c>
      <c r="F47" s="347" t="s">
        <v>110</v>
      </c>
      <c r="G47" s="69">
        <v>187.76</v>
      </c>
      <c r="H47" s="69">
        <v>112.66</v>
      </c>
      <c r="I47" s="69">
        <v>111.38</v>
      </c>
      <c r="J47" s="347">
        <v>1.27</v>
      </c>
      <c r="K47" s="347" t="s">
        <v>110</v>
      </c>
      <c r="L47" s="69" t="s">
        <v>110</v>
      </c>
      <c r="M47" s="69">
        <v>600</v>
      </c>
      <c r="N47" s="69" t="s">
        <v>110</v>
      </c>
      <c r="O47" s="71">
        <v>1.3517999999999999</v>
      </c>
    </row>
    <row r="48" spans="1:15" ht="24">
      <c r="A48" s="64" t="s">
        <v>110</v>
      </c>
      <c r="B48" s="68" t="s">
        <v>154</v>
      </c>
      <c r="C48" s="66" t="s">
        <v>336</v>
      </c>
      <c r="D48" s="68" t="s">
        <v>157</v>
      </c>
      <c r="E48" s="347">
        <v>6</v>
      </c>
      <c r="F48" s="347" t="s">
        <v>110</v>
      </c>
      <c r="G48" s="69">
        <v>100</v>
      </c>
      <c r="H48" s="69">
        <v>600</v>
      </c>
      <c r="I48" s="69" t="s">
        <v>110</v>
      </c>
      <c r="J48" s="347" t="s">
        <v>110</v>
      </c>
      <c r="K48" s="347" t="s">
        <v>110</v>
      </c>
      <c r="L48" s="69" t="s">
        <v>110</v>
      </c>
      <c r="M48" s="69">
        <v>600</v>
      </c>
      <c r="N48" s="69" t="s">
        <v>110</v>
      </c>
      <c r="O48" s="71" t="s">
        <v>110</v>
      </c>
    </row>
    <row r="49" spans="1:15" ht="24">
      <c r="A49" s="64">
        <v>20</v>
      </c>
      <c r="B49" s="68" t="s">
        <v>337</v>
      </c>
      <c r="C49" s="66" t="s">
        <v>338</v>
      </c>
      <c r="D49" s="68" t="s">
        <v>330</v>
      </c>
      <c r="E49" s="347">
        <v>0.8</v>
      </c>
      <c r="F49" s="347" t="s">
        <v>110</v>
      </c>
      <c r="G49" s="69">
        <v>64.34</v>
      </c>
      <c r="H49" s="69">
        <v>51.47</v>
      </c>
      <c r="I49" s="69">
        <v>49.63</v>
      </c>
      <c r="J49" s="347">
        <v>1.84</v>
      </c>
      <c r="K49" s="347" t="s">
        <v>110</v>
      </c>
      <c r="L49" s="69" t="s">
        <v>110</v>
      </c>
      <c r="M49" s="69">
        <v>288</v>
      </c>
      <c r="N49" s="69" t="s">
        <v>110</v>
      </c>
      <c r="O49" s="71">
        <v>0.60240000000000005</v>
      </c>
    </row>
    <row r="50" spans="1:15" ht="24.75" thickBot="1">
      <c r="A50" s="65" t="s">
        <v>110</v>
      </c>
      <c r="B50" s="74" t="s">
        <v>154</v>
      </c>
      <c r="C50" s="67" t="s">
        <v>338</v>
      </c>
      <c r="D50" s="74" t="s">
        <v>157</v>
      </c>
      <c r="E50" s="348">
        <v>8</v>
      </c>
      <c r="F50" s="348" t="s">
        <v>110</v>
      </c>
      <c r="G50" s="70">
        <v>36</v>
      </c>
      <c r="H50" s="70">
        <v>288</v>
      </c>
      <c r="I50" s="70" t="s">
        <v>110</v>
      </c>
      <c r="J50" s="348" t="s">
        <v>110</v>
      </c>
      <c r="K50" s="348" t="s">
        <v>110</v>
      </c>
      <c r="L50" s="70" t="s">
        <v>110</v>
      </c>
      <c r="M50" s="70">
        <v>288</v>
      </c>
      <c r="N50" s="70" t="s">
        <v>110</v>
      </c>
      <c r="O50" s="72" t="s">
        <v>110</v>
      </c>
    </row>
    <row r="51" spans="1:15">
      <c r="A51" s="341" t="s">
        <v>288</v>
      </c>
      <c r="B51" s="341" t="s">
        <v>110</v>
      </c>
      <c r="C51" s="341" t="s">
        <v>110</v>
      </c>
      <c r="D51" s="341" t="s">
        <v>110</v>
      </c>
      <c r="E51" s="341" t="s">
        <v>110</v>
      </c>
      <c r="F51" s="338" t="s">
        <v>289</v>
      </c>
      <c r="G51" s="338" t="s">
        <v>110</v>
      </c>
      <c r="H51" s="338" t="s">
        <v>110</v>
      </c>
      <c r="I51" s="338" t="s">
        <v>110</v>
      </c>
      <c r="J51" s="338" t="s">
        <v>110</v>
      </c>
      <c r="K51" s="334" t="s">
        <v>290</v>
      </c>
      <c r="L51" s="334" t="s">
        <v>110</v>
      </c>
      <c r="M51" s="334" t="s">
        <v>110</v>
      </c>
      <c r="N51" s="334" t="s">
        <v>110</v>
      </c>
      <c r="O51" s="334" t="s">
        <v>110</v>
      </c>
    </row>
    <row r="52" spans="1:15" ht="32.25" customHeight="1">
      <c r="A52" s="340" t="s">
        <v>291</v>
      </c>
      <c r="B52" s="340" t="s">
        <v>110</v>
      </c>
      <c r="C52" s="340" t="s">
        <v>110</v>
      </c>
      <c r="D52" s="340" t="s">
        <v>110</v>
      </c>
      <c r="E52" s="340" t="s">
        <v>110</v>
      </c>
      <c r="F52" s="340" t="s">
        <v>110</v>
      </c>
      <c r="G52" s="340" t="s">
        <v>110</v>
      </c>
      <c r="H52" s="340" t="s">
        <v>110</v>
      </c>
      <c r="I52" s="340" t="s">
        <v>110</v>
      </c>
      <c r="J52" s="340" t="s">
        <v>110</v>
      </c>
      <c r="K52" s="340" t="s">
        <v>110</v>
      </c>
      <c r="L52" s="340" t="s">
        <v>110</v>
      </c>
      <c r="M52" s="340" t="s">
        <v>110</v>
      </c>
      <c r="N52" s="340" t="s">
        <v>110</v>
      </c>
      <c r="O52" s="340" t="s">
        <v>110</v>
      </c>
    </row>
    <row r="53" spans="1:15" ht="14.25" thickBot="1">
      <c r="A53" s="341" t="s">
        <v>163</v>
      </c>
      <c r="B53" s="341" t="s">
        <v>110</v>
      </c>
      <c r="C53" s="341" t="s">
        <v>110</v>
      </c>
      <c r="D53" s="341" t="s">
        <v>110</v>
      </c>
      <c r="E53" s="341" t="s">
        <v>110</v>
      </c>
      <c r="F53" s="341" t="s">
        <v>110</v>
      </c>
      <c r="G53" s="341" t="s">
        <v>110</v>
      </c>
      <c r="H53" s="341" t="s">
        <v>110</v>
      </c>
      <c r="I53" s="341" t="s">
        <v>110</v>
      </c>
      <c r="J53" s="341" t="s">
        <v>110</v>
      </c>
      <c r="K53" s="334" t="s">
        <v>215</v>
      </c>
      <c r="L53" s="334" t="s">
        <v>110</v>
      </c>
      <c r="M53" s="334" t="s">
        <v>110</v>
      </c>
      <c r="N53" s="334" t="s">
        <v>110</v>
      </c>
      <c r="O53" s="334" t="s">
        <v>110</v>
      </c>
    </row>
    <row r="54" spans="1:15">
      <c r="A54" s="342" t="s">
        <v>112</v>
      </c>
      <c r="B54" s="335" t="s">
        <v>292</v>
      </c>
      <c r="C54" s="335" t="s">
        <v>293</v>
      </c>
      <c r="D54" s="335" t="s">
        <v>294</v>
      </c>
      <c r="E54" s="335" t="s">
        <v>110</v>
      </c>
      <c r="F54" s="335" t="s">
        <v>110</v>
      </c>
      <c r="G54" s="335" t="s">
        <v>295</v>
      </c>
      <c r="H54" s="335" t="s">
        <v>110</v>
      </c>
      <c r="I54" s="335" t="s">
        <v>296</v>
      </c>
      <c r="J54" s="335" t="s">
        <v>110</v>
      </c>
      <c r="K54" s="335" t="s">
        <v>110</v>
      </c>
      <c r="L54" s="335" t="s">
        <v>110</v>
      </c>
      <c r="M54" s="335" t="s">
        <v>110</v>
      </c>
      <c r="N54" s="335" t="s">
        <v>110</v>
      </c>
      <c r="O54" s="345" t="s">
        <v>297</v>
      </c>
    </row>
    <row r="55" spans="1:15">
      <c r="A55" s="343" t="s">
        <v>110</v>
      </c>
      <c r="B55" s="344" t="s">
        <v>110</v>
      </c>
      <c r="C55" s="344" t="s">
        <v>110</v>
      </c>
      <c r="D55" s="73" t="s">
        <v>133</v>
      </c>
      <c r="E55" s="344" t="s">
        <v>134</v>
      </c>
      <c r="F55" s="344" t="s">
        <v>110</v>
      </c>
      <c r="G55" s="73" t="s">
        <v>298</v>
      </c>
      <c r="H55" s="73" t="s">
        <v>299</v>
      </c>
      <c r="I55" s="73" t="s">
        <v>300</v>
      </c>
      <c r="J55" s="344" t="s">
        <v>301</v>
      </c>
      <c r="K55" s="344" t="s">
        <v>110</v>
      </c>
      <c r="L55" s="73" t="s">
        <v>302</v>
      </c>
      <c r="M55" s="73" t="s">
        <v>303</v>
      </c>
      <c r="N55" s="73" t="s">
        <v>304</v>
      </c>
      <c r="O55" s="346" t="s">
        <v>110</v>
      </c>
    </row>
    <row r="56" spans="1:15" ht="24">
      <c r="A56" s="64">
        <v>21</v>
      </c>
      <c r="B56" s="68" t="s">
        <v>335</v>
      </c>
      <c r="C56" s="66" t="s">
        <v>339</v>
      </c>
      <c r="D56" s="68" t="s">
        <v>330</v>
      </c>
      <c r="E56" s="347">
        <v>2.6</v>
      </c>
      <c r="F56" s="347" t="s">
        <v>110</v>
      </c>
      <c r="G56" s="69">
        <v>187.76</v>
      </c>
      <c r="H56" s="69">
        <v>488.18</v>
      </c>
      <c r="I56" s="69">
        <v>482.66</v>
      </c>
      <c r="J56" s="347">
        <v>5.51</v>
      </c>
      <c r="K56" s="347" t="s">
        <v>110</v>
      </c>
      <c r="L56" s="69" t="s">
        <v>110</v>
      </c>
      <c r="M56" s="69">
        <v>520</v>
      </c>
      <c r="N56" s="69" t="s">
        <v>110</v>
      </c>
      <c r="O56" s="71">
        <v>5.8578000000000001</v>
      </c>
    </row>
    <row r="57" spans="1:15" ht="24">
      <c r="A57" s="64" t="s">
        <v>110</v>
      </c>
      <c r="B57" s="68" t="s">
        <v>154</v>
      </c>
      <c r="C57" s="66" t="s">
        <v>339</v>
      </c>
      <c r="D57" s="68" t="s">
        <v>157</v>
      </c>
      <c r="E57" s="347">
        <v>26</v>
      </c>
      <c r="F57" s="347" t="s">
        <v>110</v>
      </c>
      <c r="G57" s="69">
        <v>20</v>
      </c>
      <c r="H57" s="69">
        <v>520</v>
      </c>
      <c r="I57" s="69" t="s">
        <v>110</v>
      </c>
      <c r="J57" s="347" t="s">
        <v>110</v>
      </c>
      <c r="K57" s="347" t="s">
        <v>110</v>
      </c>
      <c r="L57" s="69" t="s">
        <v>110</v>
      </c>
      <c r="M57" s="69">
        <v>520</v>
      </c>
      <c r="N57" s="69" t="s">
        <v>110</v>
      </c>
      <c r="O57" s="71" t="s">
        <v>110</v>
      </c>
    </row>
    <row r="58" spans="1:15">
      <c r="A58" s="64" t="s">
        <v>110</v>
      </c>
      <c r="B58" s="68" t="s">
        <v>110</v>
      </c>
      <c r="C58" s="75" t="s">
        <v>340</v>
      </c>
      <c r="D58" s="68" t="s">
        <v>110</v>
      </c>
      <c r="E58" s="347" t="s">
        <v>110</v>
      </c>
      <c r="F58" s="347" t="s">
        <v>110</v>
      </c>
      <c r="G58" s="69" t="s">
        <v>110</v>
      </c>
      <c r="H58" s="69">
        <v>1590.39</v>
      </c>
      <c r="I58" s="69">
        <v>1460.94</v>
      </c>
      <c r="J58" s="347">
        <v>129.47</v>
      </c>
      <c r="K58" s="347" t="s">
        <v>110</v>
      </c>
      <c r="L58" s="69" t="s">
        <v>110</v>
      </c>
      <c r="M58" s="69">
        <v>2462.8000000000002</v>
      </c>
      <c r="N58" s="69" t="s">
        <v>110</v>
      </c>
      <c r="O58" s="71">
        <v>17.7302</v>
      </c>
    </row>
    <row r="59" spans="1:15" ht="24">
      <c r="A59" s="64">
        <v>1</v>
      </c>
      <c r="B59" s="68" t="s">
        <v>333</v>
      </c>
      <c r="C59" s="66" t="s">
        <v>341</v>
      </c>
      <c r="D59" s="68" t="s">
        <v>330</v>
      </c>
      <c r="E59" s="347">
        <v>1.1000000000000001</v>
      </c>
      <c r="F59" s="347" t="s">
        <v>110</v>
      </c>
      <c r="G59" s="69">
        <v>127.7</v>
      </c>
      <c r="H59" s="69">
        <v>140.47</v>
      </c>
      <c r="I59" s="69">
        <v>139.32</v>
      </c>
      <c r="J59" s="347">
        <v>1.1599999999999999</v>
      </c>
      <c r="K59" s="347" t="s">
        <v>110</v>
      </c>
      <c r="L59" s="69" t="s">
        <v>110</v>
      </c>
      <c r="M59" s="69">
        <v>154</v>
      </c>
      <c r="N59" s="69" t="s">
        <v>110</v>
      </c>
      <c r="O59" s="71">
        <v>1.6907000000000001</v>
      </c>
    </row>
    <row r="60" spans="1:15" ht="24">
      <c r="A60" s="64" t="s">
        <v>110</v>
      </c>
      <c r="B60" s="68" t="s">
        <v>154</v>
      </c>
      <c r="C60" s="66" t="s">
        <v>341</v>
      </c>
      <c r="D60" s="68" t="s">
        <v>157</v>
      </c>
      <c r="E60" s="347">
        <v>11</v>
      </c>
      <c r="F60" s="347" t="s">
        <v>110</v>
      </c>
      <c r="G60" s="69">
        <v>14</v>
      </c>
      <c r="H60" s="69">
        <v>154</v>
      </c>
      <c r="I60" s="69" t="s">
        <v>110</v>
      </c>
      <c r="J60" s="347" t="s">
        <v>110</v>
      </c>
      <c r="K60" s="347" t="s">
        <v>110</v>
      </c>
      <c r="L60" s="69" t="s">
        <v>110</v>
      </c>
      <c r="M60" s="69">
        <v>154</v>
      </c>
      <c r="N60" s="69" t="s">
        <v>110</v>
      </c>
      <c r="O60" s="71" t="s">
        <v>110</v>
      </c>
    </row>
    <row r="61" spans="1:15" ht="24">
      <c r="A61" s="64">
        <v>2</v>
      </c>
      <c r="B61" s="68" t="s">
        <v>342</v>
      </c>
      <c r="C61" s="66" t="s">
        <v>343</v>
      </c>
      <c r="D61" s="68" t="s">
        <v>330</v>
      </c>
      <c r="E61" s="347">
        <v>1.1000000000000001</v>
      </c>
      <c r="F61" s="347" t="s">
        <v>110</v>
      </c>
      <c r="G61" s="69">
        <v>153.21</v>
      </c>
      <c r="H61" s="69">
        <v>168.53</v>
      </c>
      <c r="I61" s="69">
        <v>167.15</v>
      </c>
      <c r="J61" s="347">
        <v>1.39</v>
      </c>
      <c r="K61" s="347" t="s">
        <v>110</v>
      </c>
      <c r="L61" s="69" t="s">
        <v>110</v>
      </c>
      <c r="M61" s="69">
        <v>198</v>
      </c>
      <c r="N61" s="69" t="s">
        <v>110</v>
      </c>
      <c r="O61" s="71">
        <v>2.0284</v>
      </c>
    </row>
    <row r="62" spans="1:15" ht="24">
      <c r="A62" s="64" t="s">
        <v>110</v>
      </c>
      <c r="B62" s="68" t="s">
        <v>154</v>
      </c>
      <c r="C62" s="66" t="s">
        <v>343</v>
      </c>
      <c r="D62" s="68" t="s">
        <v>157</v>
      </c>
      <c r="E62" s="347">
        <v>11</v>
      </c>
      <c r="F62" s="347" t="s">
        <v>110</v>
      </c>
      <c r="G62" s="69">
        <v>18</v>
      </c>
      <c r="H62" s="69">
        <v>198</v>
      </c>
      <c r="I62" s="69" t="s">
        <v>110</v>
      </c>
      <c r="J62" s="347" t="s">
        <v>110</v>
      </c>
      <c r="K62" s="347" t="s">
        <v>110</v>
      </c>
      <c r="L62" s="69" t="s">
        <v>110</v>
      </c>
      <c r="M62" s="69">
        <v>198</v>
      </c>
      <c r="N62" s="69" t="s">
        <v>110</v>
      </c>
      <c r="O62" s="71" t="s">
        <v>110</v>
      </c>
    </row>
    <row r="63" spans="1:15" ht="24">
      <c r="A63" s="64">
        <v>3</v>
      </c>
      <c r="B63" s="68" t="s">
        <v>335</v>
      </c>
      <c r="C63" s="66" t="s">
        <v>344</v>
      </c>
      <c r="D63" s="68" t="s">
        <v>330</v>
      </c>
      <c r="E63" s="347">
        <v>4.3</v>
      </c>
      <c r="F63" s="347" t="s">
        <v>110</v>
      </c>
      <c r="G63" s="69">
        <v>187.76</v>
      </c>
      <c r="H63" s="69">
        <v>807.37</v>
      </c>
      <c r="I63" s="69">
        <v>798.25</v>
      </c>
      <c r="J63" s="347">
        <v>9.1199999999999992</v>
      </c>
      <c r="K63" s="347" t="s">
        <v>110</v>
      </c>
      <c r="L63" s="69" t="s">
        <v>110</v>
      </c>
      <c r="M63" s="69">
        <v>860</v>
      </c>
      <c r="N63" s="69" t="s">
        <v>110</v>
      </c>
      <c r="O63" s="71">
        <v>9.6879000000000008</v>
      </c>
    </row>
    <row r="64" spans="1:15" ht="24">
      <c r="A64" s="64" t="s">
        <v>110</v>
      </c>
      <c r="B64" s="68" t="s">
        <v>154</v>
      </c>
      <c r="C64" s="66" t="s">
        <v>344</v>
      </c>
      <c r="D64" s="68" t="s">
        <v>157</v>
      </c>
      <c r="E64" s="347">
        <v>43</v>
      </c>
      <c r="F64" s="347" t="s">
        <v>110</v>
      </c>
      <c r="G64" s="69">
        <v>20</v>
      </c>
      <c r="H64" s="69">
        <v>860</v>
      </c>
      <c r="I64" s="69" t="s">
        <v>110</v>
      </c>
      <c r="J64" s="347" t="s">
        <v>110</v>
      </c>
      <c r="K64" s="347" t="s">
        <v>110</v>
      </c>
      <c r="L64" s="69" t="s">
        <v>110</v>
      </c>
      <c r="M64" s="69">
        <v>860</v>
      </c>
      <c r="N64" s="69" t="s">
        <v>110</v>
      </c>
      <c r="O64" s="71" t="s">
        <v>110</v>
      </c>
    </row>
    <row r="65" spans="1:15" ht="24">
      <c r="A65" s="64">
        <v>4</v>
      </c>
      <c r="B65" s="68" t="s">
        <v>335</v>
      </c>
      <c r="C65" s="66" t="s">
        <v>345</v>
      </c>
      <c r="D65" s="68" t="s">
        <v>330</v>
      </c>
      <c r="E65" s="347">
        <v>0.4</v>
      </c>
      <c r="F65" s="347" t="s">
        <v>110</v>
      </c>
      <c r="G65" s="69">
        <v>187.76</v>
      </c>
      <c r="H65" s="69">
        <v>75.099999999999994</v>
      </c>
      <c r="I65" s="69">
        <v>74.260000000000005</v>
      </c>
      <c r="J65" s="347">
        <v>0.85</v>
      </c>
      <c r="K65" s="347" t="s">
        <v>110</v>
      </c>
      <c r="L65" s="69" t="s">
        <v>110</v>
      </c>
      <c r="M65" s="69">
        <v>108</v>
      </c>
      <c r="N65" s="69" t="s">
        <v>110</v>
      </c>
      <c r="O65" s="71">
        <v>0.9012</v>
      </c>
    </row>
    <row r="66" spans="1:15" ht="24">
      <c r="A66" s="64" t="s">
        <v>110</v>
      </c>
      <c r="B66" s="68" t="s">
        <v>154</v>
      </c>
      <c r="C66" s="66" t="s">
        <v>345</v>
      </c>
      <c r="D66" s="68" t="s">
        <v>157</v>
      </c>
      <c r="E66" s="347">
        <v>4</v>
      </c>
      <c r="F66" s="347" t="s">
        <v>110</v>
      </c>
      <c r="G66" s="69">
        <v>27</v>
      </c>
      <c r="H66" s="69">
        <v>108</v>
      </c>
      <c r="I66" s="69" t="s">
        <v>110</v>
      </c>
      <c r="J66" s="347" t="s">
        <v>110</v>
      </c>
      <c r="K66" s="347" t="s">
        <v>110</v>
      </c>
      <c r="L66" s="69" t="s">
        <v>110</v>
      </c>
      <c r="M66" s="69">
        <v>108</v>
      </c>
      <c r="N66" s="69" t="s">
        <v>110</v>
      </c>
      <c r="O66" s="71" t="s">
        <v>110</v>
      </c>
    </row>
    <row r="67" spans="1:15" ht="24">
      <c r="A67" s="64">
        <v>5</v>
      </c>
      <c r="B67" s="68" t="s">
        <v>346</v>
      </c>
      <c r="C67" s="66" t="s">
        <v>347</v>
      </c>
      <c r="D67" s="68" t="s">
        <v>155</v>
      </c>
      <c r="E67" s="347">
        <v>0.4</v>
      </c>
      <c r="F67" s="347" t="s">
        <v>110</v>
      </c>
      <c r="G67" s="69">
        <v>183.04</v>
      </c>
      <c r="H67" s="69">
        <v>73.22</v>
      </c>
      <c r="I67" s="69">
        <v>51.78</v>
      </c>
      <c r="J67" s="347">
        <v>21.43</v>
      </c>
      <c r="K67" s="347" t="s">
        <v>110</v>
      </c>
      <c r="L67" s="69" t="s">
        <v>110</v>
      </c>
      <c r="M67" s="69">
        <v>108.8</v>
      </c>
      <c r="N67" s="69" t="s">
        <v>110</v>
      </c>
      <c r="O67" s="71">
        <v>0.62839999999999996</v>
      </c>
    </row>
    <row r="68" spans="1:15" ht="24">
      <c r="A68" s="64" t="s">
        <v>110</v>
      </c>
      <c r="B68" s="68" t="s">
        <v>154</v>
      </c>
      <c r="C68" s="66" t="s">
        <v>347</v>
      </c>
      <c r="D68" s="68" t="s">
        <v>156</v>
      </c>
      <c r="E68" s="347">
        <v>4</v>
      </c>
      <c r="F68" s="347" t="s">
        <v>110</v>
      </c>
      <c r="G68" s="69">
        <v>27.2</v>
      </c>
      <c r="H68" s="69">
        <v>108.8</v>
      </c>
      <c r="I68" s="69" t="s">
        <v>110</v>
      </c>
      <c r="J68" s="347" t="s">
        <v>110</v>
      </c>
      <c r="K68" s="347" t="s">
        <v>110</v>
      </c>
      <c r="L68" s="69" t="s">
        <v>110</v>
      </c>
      <c r="M68" s="69">
        <v>108.8</v>
      </c>
      <c r="N68" s="69" t="s">
        <v>110</v>
      </c>
      <c r="O68" s="71" t="s">
        <v>110</v>
      </c>
    </row>
    <row r="69" spans="1:15" ht="24">
      <c r="A69" s="64">
        <v>6</v>
      </c>
      <c r="B69" s="68" t="s">
        <v>348</v>
      </c>
      <c r="C69" s="66" t="s">
        <v>349</v>
      </c>
      <c r="D69" s="68" t="s">
        <v>155</v>
      </c>
      <c r="E69" s="347">
        <v>0.6</v>
      </c>
      <c r="F69" s="347" t="s">
        <v>110</v>
      </c>
      <c r="G69" s="69">
        <v>203.56</v>
      </c>
      <c r="H69" s="69">
        <v>122.14</v>
      </c>
      <c r="I69" s="69">
        <v>86.32</v>
      </c>
      <c r="J69" s="347">
        <v>35.82</v>
      </c>
      <c r="K69" s="347" t="s">
        <v>110</v>
      </c>
      <c r="L69" s="69" t="s">
        <v>110</v>
      </c>
      <c r="M69" s="69">
        <v>306</v>
      </c>
      <c r="N69" s="69" t="s">
        <v>110</v>
      </c>
      <c r="O69" s="71">
        <v>1.0476000000000001</v>
      </c>
    </row>
    <row r="70" spans="1:15" ht="24">
      <c r="A70" s="64" t="s">
        <v>110</v>
      </c>
      <c r="B70" s="68" t="s">
        <v>154</v>
      </c>
      <c r="C70" s="66" t="s">
        <v>349</v>
      </c>
      <c r="D70" s="68" t="s">
        <v>156</v>
      </c>
      <c r="E70" s="347">
        <v>6</v>
      </c>
      <c r="F70" s="347" t="s">
        <v>110</v>
      </c>
      <c r="G70" s="69">
        <v>51</v>
      </c>
      <c r="H70" s="69">
        <v>306</v>
      </c>
      <c r="I70" s="69" t="s">
        <v>110</v>
      </c>
      <c r="J70" s="347" t="s">
        <v>110</v>
      </c>
      <c r="K70" s="347" t="s">
        <v>110</v>
      </c>
      <c r="L70" s="69" t="s">
        <v>110</v>
      </c>
      <c r="M70" s="69">
        <v>306</v>
      </c>
      <c r="N70" s="69" t="s">
        <v>110</v>
      </c>
      <c r="O70" s="71" t="s">
        <v>110</v>
      </c>
    </row>
    <row r="71" spans="1:15" ht="24">
      <c r="A71" s="64">
        <v>7</v>
      </c>
      <c r="B71" s="68" t="s">
        <v>348</v>
      </c>
      <c r="C71" s="66" t="s">
        <v>350</v>
      </c>
      <c r="D71" s="68" t="s">
        <v>155</v>
      </c>
      <c r="E71" s="347">
        <v>1</v>
      </c>
      <c r="F71" s="347" t="s">
        <v>110</v>
      </c>
      <c r="G71" s="69">
        <v>203.56</v>
      </c>
      <c r="H71" s="69">
        <v>203.56</v>
      </c>
      <c r="I71" s="69">
        <v>143.86000000000001</v>
      </c>
      <c r="J71" s="347">
        <v>59.7</v>
      </c>
      <c r="K71" s="347" t="s">
        <v>110</v>
      </c>
      <c r="L71" s="69" t="s">
        <v>110</v>
      </c>
      <c r="M71" s="69">
        <v>728</v>
      </c>
      <c r="N71" s="69" t="s">
        <v>110</v>
      </c>
      <c r="O71" s="71">
        <v>1.746</v>
      </c>
    </row>
    <row r="72" spans="1:15" ht="24">
      <c r="A72" s="64" t="s">
        <v>110</v>
      </c>
      <c r="B72" s="68" t="s">
        <v>154</v>
      </c>
      <c r="C72" s="66" t="s">
        <v>350</v>
      </c>
      <c r="D72" s="68" t="s">
        <v>156</v>
      </c>
      <c r="E72" s="347">
        <v>10</v>
      </c>
      <c r="F72" s="347" t="s">
        <v>110</v>
      </c>
      <c r="G72" s="69">
        <v>72.8</v>
      </c>
      <c r="H72" s="69">
        <v>728</v>
      </c>
      <c r="I72" s="69" t="s">
        <v>110</v>
      </c>
      <c r="J72" s="347" t="s">
        <v>110</v>
      </c>
      <c r="K72" s="347" t="s">
        <v>110</v>
      </c>
      <c r="L72" s="69" t="s">
        <v>110</v>
      </c>
      <c r="M72" s="69">
        <v>728</v>
      </c>
      <c r="N72" s="69" t="s">
        <v>110</v>
      </c>
      <c r="O72" s="71" t="s">
        <v>110</v>
      </c>
    </row>
    <row r="73" spans="1:15">
      <c r="A73" s="64" t="s">
        <v>110</v>
      </c>
      <c r="B73" s="68" t="s">
        <v>110</v>
      </c>
      <c r="C73" s="75" t="s">
        <v>351</v>
      </c>
      <c r="D73" s="68" t="s">
        <v>110</v>
      </c>
      <c r="E73" s="347" t="s">
        <v>110</v>
      </c>
      <c r="F73" s="347" t="s">
        <v>110</v>
      </c>
      <c r="G73" s="69" t="s">
        <v>110</v>
      </c>
      <c r="H73" s="69">
        <v>42342.14</v>
      </c>
      <c r="I73" s="69">
        <v>25650.86</v>
      </c>
      <c r="J73" s="347">
        <v>14492.79</v>
      </c>
      <c r="K73" s="347" t="s">
        <v>110</v>
      </c>
      <c r="L73" s="69">
        <v>2198.5100000000002</v>
      </c>
      <c r="M73" s="69">
        <v>311316.67</v>
      </c>
      <c r="N73" s="69" t="s">
        <v>110</v>
      </c>
      <c r="O73" s="71">
        <v>337.01760000000002</v>
      </c>
    </row>
    <row r="74" spans="1:15" ht="48">
      <c r="A74" s="64">
        <v>1</v>
      </c>
      <c r="B74" s="68" t="s">
        <v>352</v>
      </c>
      <c r="C74" s="66" t="s">
        <v>353</v>
      </c>
      <c r="D74" s="68" t="s">
        <v>330</v>
      </c>
      <c r="E74" s="347">
        <v>34.6</v>
      </c>
      <c r="F74" s="347" t="s">
        <v>110</v>
      </c>
      <c r="G74" s="69">
        <v>168.9</v>
      </c>
      <c r="H74" s="69">
        <v>5843.94</v>
      </c>
      <c r="I74" s="69">
        <v>5677.86</v>
      </c>
      <c r="J74" s="347">
        <v>166.08</v>
      </c>
      <c r="K74" s="347" t="s">
        <v>110</v>
      </c>
      <c r="L74" s="69" t="s">
        <v>110</v>
      </c>
      <c r="M74" s="69">
        <v>34254</v>
      </c>
      <c r="N74" s="69" t="s">
        <v>110</v>
      </c>
      <c r="O74" s="71">
        <v>94.631</v>
      </c>
    </row>
    <row r="75" spans="1:15" ht="48.75" thickBot="1">
      <c r="A75" s="65" t="s">
        <v>110</v>
      </c>
      <c r="B75" s="74" t="s">
        <v>154</v>
      </c>
      <c r="C75" s="67" t="s">
        <v>353</v>
      </c>
      <c r="D75" s="74" t="s">
        <v>157</v>
      </c>
      <c r="E75" s="348">
        <v>346</v>
      </c>
      <c r="F75" s="348" t="s">
        <v>110</v>
      </c>
      <c r="G75" s="70">
        <v>99</v>
      </c>
      <c r="H75" s="70">
        <v>34254</v>
      </c>
      <c r="I75" s="70" t="s">
        <v>110</v>
      </c>
      <c r="J75" s="348" t="s">
        <v>110</v>
      </c>
      <c r="K75" s="348" t="s">
        <v>110</v>
      </c>
      <c r="L75" s="70" t="s">
        <v>110</v>
      </c>
      <c r="M75" s="70">
        <v>34254</v>
      </c>
      <c r="N75" s="70" t="s">
        <v>110</v>
      </c>
      <c r="O75" s="72" t="s">
        <v>110</v>
      </c>
    </row>
    <row r="76" spans="1:15">
      <c r="A76" s="341" t="s">
        <v>288</v>
      </c>
      <c r="B76" s="341" t="s">
        <v>110</v>
      </c>
      <c r="C76" s="341" t="s">
        <v>110</v>
      </c>
      <c r="D76" s="341" t="s">
        <v>110</v>
      </c>
      <c r="E76" s="341" t="s">
        <v>110</v>
      </c>
      <c r="F76" s="338" t="s">
        <v>289</v>
      </c>
      <c r="G76" s="338" t="s">
        <v>110</v>
      </c>
      <c r="H76" s="338" t="s">
        <v>110</v>
      </c>
      <c r="I76" s="338" t="s">
        <v>110</v>
      </c>
      <c r="J76" s="338" t="s">
        <v>110</v>
      </c>
      <c r="K76" s="334" t="s">
        <v>290</v>
      </c>
      <c r="L76" s="334" t="s">
        <v>110</v>
      </c>
      <c r="M76" s="334" t="s">
        <v>110</v>
      </c>
      <c r="N76" s="334" t="s">
        <v>110</v>
      </c>
      <c r="O76" s="334" t="s">
        <v>110</v>
      </c>
    </row>
    <row r="77" spans="1:15" ht="27" customHeight="1">
      <c r="A77" s="340" t="s">
        <v>291</v>
      </c>
      <c r="B77" s="340" t="s">
        <v>110</v>
      </c>
      <c r="C77" s="340" t="s">
        <v>110</v>
      </c>
      <c r="D77" s="340" t="s">
        <v>110</v>
      </c>
      <c r="E77" s="340" t="s">
        <v>110</v>
      </c>
      <c r="F77" s="340" t="s">
        <v>110</v>
      </c>
      <c r="G77" s="340" t="s">
        <v>110</v>
      </c>
      <c r="H77" s="340" t="s">
        <v>110</v>
      </c>
      <c r="I77" s="340" t="s">
        <v>110</v>
      </c>
      <c r="J77" s="340" t="s">
        <v>110</v>
      </c>
      <c r="K77" s="340" t="s">
        <v>110</v>
      </c>
      <c r="L77" s="340" t="s">
        <v>110</v>
      </c>
      <c r="M77" s="340" t="s">
        <v>110</v>
      </c>
      <c r="N77" s="340" t="s">
        <v>110</v>
      </c>
      <c r="O77" s="340" t="s">
        <v>110</v>
      </c>
    </row>
    <row r="78" spans="1:15" ht="14.25" thickBot="1">
      <c r="A78" s="341" t="s">
        <v>163</v>
      </c>
      <c r="B78" s="341" t="s">
        <v>110</v>
      </c>
      <c r="C78" s="341" t="s">
        <v>110</v>
      </c>
      <c r="D78" s="341" t="s">
        <v>110</v>
      </c>
      <c r="E78" s="341" t="s">
        <v>110</v>
      </c>
      <c r="F78" s="341" t="s">
        <v>110</v>
      </c>
      <c r="G78" s="341" t="s">
        <v>110</v>
      </c>
      <c r="H78" s="341" t="s">
        <v>110</v>
      </c>
      <c r="I78" s="341" t="s">
        <v>110</v>
      </c>
      <c r="J78" s="341" t="s">
        <v>110</v>
      </c>
      <c r="K78" s="334" t="s">
        <v>216</v>
      </c>
      <c r="L78" s="334" t="s">
        <v>110</v>
      </c>
      <c r="M78" s="334" t="s">
        <v>110</v>
      </c>
      <c r="N78" s="334" t="s">
        <v>110</v>
      </c>
      <c r="O78" s="334" t="s">
        <v>110</v>
      </c>
    </row>
    <row r="79" spans="1:15">
      <c r="A79" s="342" t="s">
        <v>112</v>
      </c>
      <c r="B79" s="335" t="s">
        <v>292</v>
      </c>
      <c r="C79" s="335" t="s">
        <v>293</v>
      </c>
      <c r="D79" s="335" t="s">
        <v>294</v>
      </c>
      <c r="E79" s="335" t="s">
        <v>110</v>
      </c>
      <c r="F79" s="335" t="s">
        <v>110</v>
      </c>
      <c r="G79" s="335" t="s">
        <v>295</v>
      </c>
      <c r="H79" s="335" t="s">
        <v>110</v>
      </c>
      <c r="I79" s="335" t="s">
        <v>296</v>
      </c>
      <c r="J79" s="335" t="s">
        <v>110</v>
      </c>
      <c r="K79" s="335" t="s">
        <v>110</v>
      </c>
      <c r="L79" s="335" t="s">
        <v>110</v>
      </c>
      <c r="M79" s="335" t="s">
        <v>110</v>
      </c>
      <c r="N79" s="335" t="s">
        <v>110</v>
      </c>
      <c r="O79" s="345" t="s">
        <v>297</v>
      </c>
    </row>
    <row r="80" spans="1:15">
      <c r="A80" s="343" t="s">
        <v>110</v>
      </c>
      <c r="B80" s="344" t="s">
        <v>110</v>
      </c>
      <c r="C80" s="344" t="s">
        <v>110</v>
      </c>
      <c r="D80" s="73" t="s">
        <v>133</v>
      </c>
      <c r="E80" s="344" t="s">
        <v>134</v>
      </c>
      <c r="F80" s="344" t="s">
        <v>110</v>
      </c>
      <c r="G80" s="73" t="s">
        <v>298</v>
      </c>
      <c r="H80" s="73" t="s">
        <v>299</v>
      </c>
      <c r="I80" s="73" t="s">
        <v>300</v>
      </c>
      <c r="J80" s="344" t="s">
        <v>301</v>
      </c>
      <c r="K80" s="344" t="s">
        <v>110</v>
      </c>
      <c r="L80" s="73" t="s">
        <v>302</v>
      </c>
      <c r="M80" s="73" t="s">
        <v>303</v>
      </c>
      <c r="N80" s="73" t="s">
        <v>304</v>
      </c>
      <c r="O80" s="346" t="s">
        <v>110</v>
      </c>
    </row>
    <row r="81" spans="1:15">
      <c r="A81" s="64">
        <v>2</v>
      </c>
      <c r="B81" s="68" t="s">
        <v>354</v>
      </c>
      <c r="C81" s="66" t="s">
        <v>355</v>
      </c>
      <c r="D81" s="68" t="s">
        <v>153</v>
      </c>
      <c r="E81" s="347">
        <v>167</v>
      </c>
      <c r="F81" s="347" t="s">
        <v>110</v>
      </c>
      <c r="G81" s="69">
        <v>105.31</v>
      </c>
      <c r="H81" s="69">
        <v>17586.77</v>
      </c>
      <c r="I81" s="69">
        <v>14408.76</v>
      </c>
      <c r="J81" s="347">
        <v>3052.76</v>
      </c>
      <c r="K81" s="347" t="s">
        <v>110</v>
      </c>
      <c r="L81" s="69">
        <v>125.25</v>
      </c>
      <c r="M81" s="69">
        <v>250500</v>
      </c>
      <c r="N81" s="69" t="s">
        <v>110</v>
      </c>
      <c r="O81" s="71">
        <v>174.84899999999999</v>
      </c>
    </row>
    <row r="82" spans="1:15">
      <c r="A82" s="64" t="s">
        <v>110</v>
      </c>
      <c r="B82" s="68" t="s">
        <v>154</v>
      </c>
      <c r="C82" s="66" t="s">
        <v>356</v>
      </c>
      <c r="D82" s="68" t="s">
        <v>153</v>
      </c>
      <c r="E82" s="347">
        <v>167</v>
      </c>
      <c r="F82" s="347" t="s">
        <v>110</v>
      </c>
      <c r="G82" s="69">
        <v>1500</v>
      </c>
      <c r="H82" s="69">
        <v>250500</v>
      </c>
      <c r="I82" s="69" t="s">
        <v>110</v>
      </c>
      <c r="J82" s="347" t="s">
        <v>110</v>
      </c>
      <c r="K82" s="347" t="s">
        <v>110</v>
      </c>
      <c r="L82" s="69" t="s">
        <v>110</v>
      </c>
      <c r="M82" s="69">
        <v>250500</v>
      </c>
      <c r="N82" s="69" t="s">
        <v>110</v>
      </c>
      <c r="O82" s="71" t="s">
        <v>110</v>
      </c>
    </row>
    <row r="83" spans="1:15" ht="48">
      <c r="A83" s="64">
        <v>3</v>
      </c>
      <c r="B83" s="68" t="s">
        <v>357</v>
      </c>
      <c r="C83" s="66" t="s">
        <v>358</v>
      </c>
      <c r="D83" s="68" t="s">
        <v>153</v>
      </c>
      <c r="E83" s="347">
        <v>2</v>
      </c>
      <c r="F83" s="347" t="s">
        <v>110</v>
      </c>
      <c r="G83" s="69">
        <v>281.8</v>
      </c>
      <c r="H83" s="69">
        <v>563.6</v>
      </c>
      <c r="I83" s="69">
        <v>327.27999999999997</v>
      </c>
      <c r="J83" s="347">
        <v>218.28</v>
      </c>
      <c r="K83" s="347" t="s">
        <v>110</v>
      </c>
      <c r="L83" s="69">
        <v>18.04</v>
      </c>
      <c r="M83" s="69">
        <v>1986</v>
      </c>
      <c r="N83" s="69" t="s">
        <v>110</v>
      </c>
      <c r="O83" s="71">
        <v>3.972</v>
      </c>
    </row>
    <row r="84" spans="1:15" ht="48">
      <c r="A84" s="64" t="s">
        <v>110</v>
      </c>
      <c r="B84" s="68" t="s">
        <v>154</v>
      </c>
      <c r="C84" s="66" t="s">
        <v>358</v>
      </c>
      <c r="D84" s="68" t="s">
        <v>153</v>
      </c>
      <c r="E84" s="347">
        <v>2</v>
      </c>
      <c r="F84" s="347" t="s">
        <v>110</v>
      </c>
      <c r="G84" s="69">
        <v>993</v>
      </c>
      <c r="H84" s="69">
        <v>1986</v>
      </c>
      <c r="I84" s="69" t="s">
        <v>110</v>
      </c>
      <c r="J84" s="347" t="s">
        <v>110</v>
      </c>
      <c r="K84" s="347" t="s">
        <v>110</v>
      </c>
      <c r="L84" s="69" t="s">
        <v>110</v>
      </c>
      <c r="M84" s="69">
        <v>1986</v>
      </c>
      <c r="N84" s="69" t="s">
        <v>110</v>
      </c>
      <c r="O84" s="71" t="s">
        <v>110</v>
      </c>
    </row>
    <row r="85" spans="1:15" ht="24">
      <c r="A85" s="64">
        <v>4</v>
      </c>
      <c r="B85" s="68" t="s">
        <v>309</v>
      </c>
      <c r="C85" s="66" t="s">
        <v>359</v>
      </c>
      <c r="D85" s="68" t="s">
        <v>157</v>
      </c>
      <c r="E85" s="347">
        <v>81</v>
      </c>
      <c r="F85" s="347" t="s">
        <v>110</v>
      </c>
      <c r="G85" s="69">
        <v>190.39</v>
      </c>
      <c r="H85" s="69">
        <v>15421.59</v>
      </c>
      <c r="I85" s="69">
        <v>4310.82</v>
      </c>
      <c r="J85" s="347">
        <v>9294.75</v>
      </c>
      <c r="K85" s="347" t="s">
        <v>110</v>
      </c>
      <c r="L85" s="69">
        <v>1816.02</v>
      </c>
      <c r="M85" s="69">
        <v>18630</v>
      </c>
      <c r="N85" s="69" t="s">
        <v>110</v>
      </c>
      <c r="O85" s="71">
        <v>52.326000000000001</v>
      </c>
    </row>
    <row r="86" spans="1:15" ht="24">
      <c r="A86" s="64" t="s">
        <v>110</v>
      </c>
      <c r="B86" s="68" t="s">
        <v>154</v>
      </c>
      <c r="C86" s="66" t="s">
        <v>359</v>
      </c>
      <c r="D86" s="68" t="s">
        <v>157</v>
      </c>
      <c r="E86" s="347">
        <v>81</v>
      </c>
      <c r="F86" s="347" t="s">
        <v>110</v>
      </c>
      <c r="G86" s="69">
        <v>230</v>
      </c>
      <c r="H86" s="69">
        <v>18630</v>
      </c>
      <c r="I86" s="69" t="s">
        <v>110</v>
      </c>
      <c r="J86" s="347" t="s">
        <v>110</v>
      </c>
      <c r="K86" s="347" t="s">
        <v>110</v>
      </c>
      <c r="L86" s="69" t="s">
        <v>110</v>
      </c>
      <c r="M86" s="69">
        <v>18630</v>
      </c>
      <c r="N86" s="69" t="s">
        <v>110</v>
      </c>
      <c r="O86" s="71" t="s">
        <v>110</v>
      </c>
    </row>
    <row r="87" spans="1:15" ht="24">
      <c r="A87" s="64">
        <v>5</v>
      </c>
      <c r="B87" s="68" t="s">
        <v>360</v>
      </c>
      <c r="C87" s="66" t="s">
        <v>361</v>
      </c>
      <c r="D87" s="68" t="s">
        <v>157</v>
      </c>
      <c r="E87" s="347">
        <v>6</v>
      </c>
      <c r="F87" s="347" t="s">
        <v>110</v>
      </c>
      <c r="G87" s="69">
        <v>320.94</v>
      </c>
      <c r="H87" s="69">
        <v>1925.64</v>
      </c>
      <c r="I87" s="69">
        <v>494.94</v>
      </c>
      <c r="J87" s="347">
        <v>1281.18</v>
      </c>
      <c r="K87" s="347" t="s">
        <v>110</v>
      </c>
      <c r="L87" s="69">
        <v>149.52000000000001</v>
      </c>
      <c r="M87" s="69">
        <v>2640</v>
      </c>
      <c r="N87" s="69" t="s">
        <v>110</v>
      </c>
      <c r="O87" s="71">
        <v>6.0060000000000002</v>
      </c>
    </row>
    <row r="88" spans="1:15" ht="24">
      <c r="A88" s="64" t="s">
        <v>110</v>
      </c>
      <c r="B88" s="68" t="s">
        <v>154</v>
      </c>
      <c r="C88" s="66" t="s">
        <v>361</v>
      </c>
      <c r="D88" s="68" t="s">
        <v>157</v>
      </c>
      <c r="E88" s="347">
        <v>6</v>
      </c>
      <c r="F88" s="347" t="s">
        <v>110</v>
      </c>
      <c r="G88" s="69">
        <v>440</v>
      </c>
      <c r="H88" s="69">
        <v>2640</v>
      </c>
      <c r="I88" s="69" t="s">
        <v>110</v>
      </c>
      <c r="J88" s="347" t="s">
        <v>110</v>
      </c>
      <c r="K88" s="347" t="s">
        <v>110</v>
      </c>
      <c r="L88" s="69" t="s">
        <v>110</v>
      </c>
      <c r="M88" s="69">
        <v>2640</v>
      </c>
      <c r="N88" s="69" t="s">
        <v>110</v>
      </c>
      <c r="O88" s="71" t="s">
        <v>110</v>
      </c>
    </row>
    <row r="89" spans="1:15" ht="24">
      <c r="A89" s="64">
        <v>6</v>
      </c>
      <c r="B89" s="68" t="s">
        <v>362</v>
      </c>
      <c r="C89" s="66" t="s">
        <v>363</v>
      </c>
      <c r="D89" s="68" t="s">
        <v>155</v>
      </c>
      <c r="E89" s="347">
        <v>3.4</v>
      </c>
      <c r="F89" s="347" t="s">
        <v>110</v>
      </c>
      <c r="G89" s="69">
        <v>64.86</v>
      </c>
      <c r="H89" s="69">
        <v>220.52</v>
      </c>
      <c r="I89" s="69">
        <v>201.42</v>
      </c>
      <c r="J89" s="347">
        <v>19.11</v>
      </c>
      <c r="K89" s="347" t="s">
        <v>110</v>
      </c>
      <c r="L89" s="69" t="s">
        <v>110</v>
      </c>
      <c r="M89" s="69">
        <v>531.45000000000005</v>
      </c>
      <c r="N89" s="69" t="s">
        <v>110</v>
      </c>
      <c r="O89" s="71">
        <v>2.4445999999999999</v>
      </c>
    </row>
    <row r="90" spans="1:15" ht="24">
      <c r="A90" s="64" t="s">
        <v>110</v>
      </c>
      <c r="B90" s="68" t="s">
        <v>154</v>
      </c>
      <c r="C90" s="66" t="s">
        <v>363</v>
      </c>
      <c r="D90" s="68" t="s">
        <v>156</v>
      </c>
      <c r="E90" s="347">
        <v>34.51</v>
      </c>
      <c r="F90" s="347" t="s">
        <v>110</v>
      </c>
      <c r="G90" s="69">
        <v>15.4</v>
      </c>
      <c r="H90" s="69">
        <v>531.45000000000005</v>
      </c>
      <c r="I90" s="69" t="s">
        <v>110</v>
      </c>
      <c r="J90" s="347" t="s">
        <v>110</v>
      </c>
      <c r="K90" s="347" t="s">
        <v>110</v>
      </c>
      <c r="L90" s="69" t="s">
        <v>110</v>
      </c>
      <c r="M90" s="69">
        <v>531.45000000000005</v>
      </c>
      <c r="N90" s="69" t="s">
        <v>110</v>
      </c>
      <c r="O90" s="71" t="s">
        <v>110</v>
      </c>
    </row>
    <row r="91" spans="1:15" ht="24">
      <c r="A91" s="64">
        <v>7</v>
      </c>
      <c r="B91" s="68" t="s">
        <v>364</v>
      </c>
      <c r="C91" s="66" t="s">
        <v>365</v>
      </c>
      <c r="D91" s="68" t="s">
        <v>155</v>
      </c>
      <c r="E91" s="347">
        <v>0.2</v>
      </c>
      <c r="F91" s="347" t="s">
        <v>110</v>
      </c>
      <c r="G91" s="69">
        <v>92.61</v>
      </c>
      <c r="H91" s="69">
        <v>18.52</v>
      </c>
      <c r="I91" s="69">
        <v>16.899999999999999</v>
      </c>
      <c r="J91" s="347">
        <v>1.63</v>
      </c>
      <c r="K91" s="347" t="s">
        <v>110</v>
      </c>
      <c r="L91" s="69" t="s">
        <v>110</v>
      </c>
      <c r="M91" s="69">
        <v>55.22</v>
      </c>
      <c r="N91" s="69" t="s">
        <v>110</v>
      </c>
      <c r="O91" s="71">
        <v>0.20499999999999999</v>
      </c>
    </row>
    <row r="92" spans="1:15" ht="24">
      <c r="A92" s="64" t="s">
        <v>110</v>
      </c>
      <c r="B92" s="68" t="s">
        <v>154</v>
      </c>
      <c r="C92" s="66" t="s">
        <v>365</v>
      </c>
      <c r="D92" s="68" t="s">
        <v>156</v>
      </c>
      <c r="E92" s="347">
        <v>2.0299999999999998</v>
      </c>
      <c r="F92" s="347" t="s">
        <v>110</v>
      </c>
      <c r="G92" s="69">
        <v>27.2</v>
      </c>
      <c r="H92" s="69">
        <v>55.22</v>
      </c>
      <c r="I92" s="69" t="s">
        <v>110</v>
      </c>
      <c r="J92" s="347" t="s">
        <v>110</v>
      </c>
      <c r="K92" s="347" t="s">
        <v>110</v>
      </c>
      <c r="L92" s="69" t="s">
        <v>110</v>
      </c>
      <c r="M92" s="69">
        <v>55.22</v>
      </c>
      <c r="N92" s="69" t="s">
        <v>110</v>
      </c>
      <c r="O92" s="71" t="s">
        <v>110</v>
      </c>
    </row>
    <row r="93" spans="1:15" ht="24">
      <c r="A93" s="64">
        <v>8</v>
      </c>
      <c r="B93" s="68" t="s">
        <v>309</v>
      </c>
      <c r="C93" s="66" t="s">
        <v>313</v>
      </c>
      <c r="D93" s="68" t="s">
        <v>157</v>
      </c>
      <c r="E93" s="347">
        <v>2</v>
      </c>
      <c r="F93" s="347" t="s">
        <v>110</v>
      </c>
      <c r="G93" s="69">
        <v>190.39</v>
      </c>
      <c r="H93" s="69">
        <v>380.78</v>
      </c>
      <c r="I93" s="69">
        <v>106.44</v>
      </c>
      <c r="J93" s="347">
        <v>229.5</v>
      </c>
      <c r="K93" s="347" t="s">
        <v>110</v>
      </c>
      <c r="L93" s="69">
        <v>44.84</v>
      </c>
      <c r="M93" s="69">
        <v>760</v>
      </c>
      <c r="N93" s="69" t="s">
        <v>110</v>
      </c>
      <c r="O93" s="71">
        <v>1.292</v>
      </c>
    </row>
    <row r="94" spans="1:15" ht="24">
      <c r="A94" s="64" t="s">
        <v>110</v>
      </c>
      <c r="B94" s="68" t="s">
        <v>154</v>
      </c>
      <c r="C94" s="66" t="s">
        <v>313</v>
      </c>
      <c r="D94" s="68" t="s">
        <v>157</v>
      </c>
      <c r="E94" s="347">
        <v>2</v>
      </c>
      <c r="F94" s="347" t="s">
        <v>110</v>
      </c>
      <c r="G94" s="69">
        <v>380</v>
      </c>
      <c r="H94" s="69">
        <v>760</v>
      </c>
      <c r="I94" s="69" t="s">
        <v>110</v>
      </c>
      <c r="J94" s="347" t="s">
        <v>110</v>
      </c>
      <c r="K94" s="347" t="s">
        <v>110</v>
      </c>
      <c r="L94" s="69" t="s">
        <v>110</v>
      </c>
      <c r="M94" s="69">
        <v>760</v>
      </c>
      <c r="N94" s="69" t="s">
        <v>110</v>
      </c>
      <c r="O94" s="71" t="s">
        <v>110</v>
      </c>
    </row>
    <row r="95" spans="1:15" ht="24">
      <c r="A95" s="64">
        <v>9</v>
      </c>
      <c r="B95" s="68" t="s">
        <v>309</v>
      </c>
      <c r="C95" s="66" t="s">
        <v>310</v>
      </c>
      <c r="D95" s="68" t="s">
        <v>157</v>
      </c>
      <c r="E95" s="347">
        <v>2</v>
      </c>
      <c r="F95" s="347" t="s">
        <v>110</v>
      </c>
      <c r="G95" s="69">
        <v>190.39</v>
      </c>
      <c r="H95" s="69">
        <v>380.78</v>
      </c>
      <c r="I95" s="69">
        <v>106.44</v>
      </c>
      <c r="J95" s="347">
        <v>229.5</v>
      </c>
      <c r="K95" s="347" t="s">
        <v>110</v>
      </c>
      <c r="L95" s="69">
        <v>44.84</v>
      </c>
      <c r="M95" s="69">
        <v>1960</v>
      </c>
      <c r="N95" s="69" t="s">
        <v>110</v>
      </c>
      <c r="O95" s="71">
        <v>1.292</v>
      </c>
    </row>
    <row r="96" spans="1:15" ht="24">
      <c r="A96" s="64" t="s">
        <v>110</v>
      </c>
      <c r="B96" s="68" t="s">
        <v>154</v>
      </c>
      <c r="C96" s="66" t="s">
        <v>310</v>
      </c>
      <c r="D96" s="68" t="s">
        <v>157</v>
      </c>
      <c r="E96" s="347">
        <v>2</v>
      </c>
      <c r="F96" s="347" t="s">
        <v>110</v>
      </c>
      <c r="G96" s="69">
        <v>980</v>
      </c>
      <c r="H96" s="69">
        <v>1960</v>
      </c>
      <c r="I96" s="69" t="s">
        <v>110</v>
      </c>
      <c r="J96" s="347" t="s">
        <v>110</v>
      </c>
      <c r="K96" s="347" t="s">
        <v>110</v>
      </c>
      <c r="L96" s="69" t="s">
        <v>110</v>
      </c>
      <c r="M96" s="69">
        <v>1960</v>
      </c>
      <c r="N96" s="69" t="s">
        <v>110</v>
      </c>
      <c r="O96" s="71" t="s">
        <v>110</v>
      </c>
    </row>
    <row r="97" spans="1:15">
      <c r="A97" s="64" t="s">
        <v>110</v>
      </c>
      <c r="B97" s="68" t="s">
        <v>110</v>
      </c>
      <c r="C97" s="75" t="s">
        <v>366</v>
      </c>
      <c r="D97" s="68" t="s">
        <v>110</v>
      </c>
      <c r="E97" s="347" t="s">
        <v>110</v>
      </c>
      <c r="F97" s="347" t="s">
        <v>110</v>
      </c>
      <c r="G97" s="69" t="s">
        <v>110</v>
      </c>
      <c r="H97" s="69">
        <v>254872.47</v>
      </c>
      <c r="I97" s="69">
        <v>213927.7</v>
      </c>
      <c r="J97" s="347">
        <v>36089.75</v>
      </c>
      <c r="K97" s="347" t="s">
        <v>110</v>
      </c>
      <c r="L97" s="69">
        <v>4855.05</v>
      </c>
      <c r="M97" s="69">
        <v>692087.52</v>
      </c>
      <c r="N97" s="69" t="s">
        <v>110</v>
      </c>
      <c r="O97" s="71">
        <v>2596.1595000000002</v>
      </c>
    </row>
    <row r="98" spans="1:15" ht="24">
      <c r="A98" s="64">
        <v>1</v>
      </c>
      <c r="B98" s="68" t="s">
        <v>367</v>
      </c>
      <c r="C98" s="66" t="s">
        <v>368</v>
      </c>
      <c r="D98" s="68" t="s">
        <v>155</v>
      </c>
      <c r="E98" s="347">
        <v>26</v>
      </c>
      <c r="F98" s="347" t="s">
        <v>110</v>
      </c>
      <c r="G98" s="69">
        <v>143.4</v>
      </c>
      <c r="H98" s="69">
        <v>3728.4</v>
      </c>
      <c r="I98" s="69">
        <v>3335.8</v>
      </c>
      <c r="J98" s="347">
        <v>325.52</v>
      </c>
      <c r="K98" s="347" t="s">
        <v>110</v>
      </c>
      <c r="L98" s="69">
        <v>67.08</v>
      </c>
      <c r="M98" s="69">
        <v>7743.84</v>
      </c>
      <c r="N98" s="69" t="s">
        <v>110</v>
      </c>
      <c r="O98" s="71">
        <v>40.481999999999999</v>
      </c>
    </row>
    <row r="99" spans="1:15" ht="24">
      <c r="A99" s="64" t="s">
        <v>110</v>
      </c>
      <c r="B99" s="68" t="s">
        <v>154</v>
      </c>
      <c r="C99" s="66" t="s">
        <v>368</v>
      </c>
      <c r="D99" s="68" t="s">
        <v>156</v>
      </c>
      <c r="E99" s="347">
        <v>265.2</v>
      </c>
      <c r="F99" s="347" t="s">
        <v>110</v>
      </c>
      <c r="G99" s="69">
        <v>29.2</v>
      </c>
      <c r="H99" s="69">
        <v>7743.84</v>
      </c>
      <c r="I99" s="69" t="s">
        <v>110</v>
      </c>
      <c r="J99" s="347" t="s">
        <v>110</v>
      </c>
      <c r="K99" s="347" t="s">
        <v>110</v>
      </c>
      <c r="L99" s="69" t="s">
        <v>110</v>
      </c>
      <c r="M99" s="69">
        <v>7743.84</v>
      </c>
      <c r="N99" s="69" t="s">
        <v>110</v>
      </c>
      <c r="O99" s="71" t="s">
        <v>110</v>
      </c>
    </row>
    <row r="100" spans="1:15" ht="24.75" thickBot="1">
      <c r="A100" s="65">
        <v>2</v>
      </c>
      <c r="B100" s="74" t="s">
        <v>369</v>
      </c>
      <c r="C100" s="67" t="s">
        <v>370</v>
      </c>
      <c r="D100" s="74" t="s">
        <v>155</v>
      </c>
      <c r="E100" s="348">
        <v>47</v>
      </c>
      <c r="F100" s="348" t="s">
        <v>110</v>
      </c>
      <c r="G100" s="70">
        <v>178.53</v>
      </c>
      <c r="H100" s="70">
        <v>8390.91</v>
      </c>
      <c r="I100" s="70">
        <v>7366.78</v>
      </c>
      <c r="J100" s="348">
        <v>854.93</v>
      </c>
      <c r="K100" s="348" t="s">
        <v>110</v>
      </c>
      <c r="L100" s="70">
        <v>169.2</v>
      </c>
      <c r="M100" s="70">
        <v>19511.580000000002</v>
      </c>
      <c r="N100" s="70" t="s">
        <v>110</v>
      </c>
      <c r="O100" s="72">
        <v>89.394000000000005</v>
      </c>
    </row>
    <row r="101" spans="1:15">
      <c r="A101" s="341" t="s">
        <v>288</v>
      </c>
      <c r="B101" s="341" t="s">
        <v>110</v>
      </c>
      <c r="C101" s="341" t="s">
        <v>110</v>
      </c>
      <c r="D101" s="341" t="s">
        <v>110</v>
      </c>
      <c r="E101" s="341" t="s">
        <v>110</v>
      </c>
      <c r="F101" s="338" t="s">
        <v>289</v>
      </c>
      <c r="G101" s="338" t="s">
        <v>110</v>
      </c>
      <c r="H101" s="338" t="s">
        <v>110</v>
      </c>
      <c r="I101" s="338" t="s">
        <v>110</v>
      </c>
      <c r="J101" s="338" t="s">
        <v>110</v>
      </c>
      <c r="K101" s="334" t="s">
        <v>290</v>
      </c>
      <c r="L101" s="334" t="s">
        <v>110</v>
      </c>
      <c r="M101" s="334" t="s">
        <v>110</v>
      </c>
      <c r="N101" s="334" t="s">
        <v>110</v>
      </c>
      <c r="O101" s="334" t="s">
        <v>110</v>
      </c>
    </row>
    <row r="102" spans="1:15" ht="27" customHeight="1">
      <c r="A102" s="340" t="s">
        <v>291</v>
      </c>
      <c r="B102" s="340" t="s">
        <v>110</v>
      </c>
      <c r="C102" s="340" t="s">
        <v>110</v>
      </c>
      <c r="D102" s="340" t="s">
        <v>110</v>
      </c>
      <c r="E102" s="340" t="s">
        <v>110</v>
      </c>
      <c r="F102" s="340" t="s">
        <v>110</v>
      </c>
      <c r="G102" s="340" t="s">
        <v>110</v>
      </c>
      <c r="H102" s="340" t="s">
        <v>110</v>
      </c>
      <c r="I102" s="340" t="s">
        <v>110</v>
      </c>
      <c r="J102" s="340" t="s">
        <v>110</v>
      </c>
      <c r="K102" s="340" t="s">
        <v>110</v>
      </c>
      <c r="L102" s="340" t="s">
        <v>110</v>
      </c>
      <c r="M102" s="340" t="s">
        <v>110</v>
      </c>
      <c r="N102" s="340" t="s">
        <v>110</v>
      </c>
      <c r="O102" s="340" t="s">
        <v>110</v>
      </c>
    </row>
    <row r="103" spans="1:15" ht="14.25" thickBot="1">
      <c r="A103" s="341" t="s">
        <v>163</v>
      </c>
      <c r="B103" s="341" t="s">
        <v>110</v>
      </c>
      <c r="C103" s="341" t="s">
        <v>110</v>
      </c>
      <c r="D103" s="341" t="s">
        <v>110</v>
      </c>
      <c r="E103" s="341" t="s">
        <v>110</v>
      </c>
      <c r="F103" s="341" t="s">
        <v>110</v>
      </c>
      <c r="G103" s="341" t="s">
        <v>110</v>
      </c>
      <c r="H103" s="341" t="s">
        <v>110</v>
      </c>
      <c r="I103" s="341" t="s">
        <v>110</v>
      </c>
      <c r="J103" s="341" t="s">
        <v>110</v>
      </c>
      <c r="K103" s="334" t="s">
        <v>217</v>
      </c>
      <c r="L103" s="334" t="s">
        <v>110</v>
      </c>
      <c r="M103" s="334" t="s">
        <v>110</v>
      </c>
      <c r="N103" s="334" t="s">
        <v>110</v>
      </c>
      <c r="O103" s="334" t="s">
        <v>110</v>
      </c>
    </row>
    <row r="104" spans="1:15">
      <c r="A104" s="342" t="s">
        <v>112</v>
      </c>
      <c r="B104" s="335" t="s">
        <v>292</v>
      </c>
      <c r="C104" s="335" t="s">
        <v>293</v>
      </c>
      <c r="D104" s="335" t="s">
        <v>294</v>
      </c>
      <c r="E104" s="335" t="s">
        <v>110</v>
      </c>
      <c r="F104" s="335" t="s">
        <v>110</v>
      </c>
      <c r="G104" s="335" t="s">
        <v>295</v>
      </c>
      <c r="H104" s="335" t="s">
        <v>110</v>
      </c>
      <c r="I104" s="335" t="s">
        <v>296</v>
      </c>
      <c r="J104" s="335" t="s">
        <v>110</v>
      </c>
      <c r="K104" s="335" t="s">
        <v>110</v>
      </c>
      <c r="L104" s="335" t="s">
        <v>110</v>
      </c>
      <c r="M104" s="335" t="s">
        <v>110</v>
      </c>
      <c r="N104" s="335" t="s">
        <v>110</v>
      </c>
      <c r="O104" s="345" t="s">
        <v>297</v>
      </c>
    </row>
    <row r="105" spans="1:15">
      <c r="A105" s="343" t="s">
        <v>110</v>
      </c>
      <c r="B105" s="344" t="s">
        <v>110</v>
      </c>
      <c r="C105" s="344" t="s">
        <v>110</v>
      </c>
      <c r="D105" s="73" t="s">
        <v>133</v>
      </c>
      <c r="E105" s="344" t="s">
        <v>134</v>
      </c>
      <c r="F105" s="344" t="s">
        <v>110</v>
      </c>
      <c r="G105" s="73" t="s">
        <v>298</v>
      </c>
      <c r="H105" s="73" t="s">
        <v>299</v>
      </c>
      <c r="I105" s="73" t="s">
        <v>300</v>
      </c>
      <c r="J105" s="344" t="s">
        <v>301</v>
      </c>
      <c r="K105" s="344" t="s">
        <v>110</v>
      </c>
      <c r="L105" s="73" t="s">
        <v>302</v>
      </c>
      <c r="M105" s="73" t="s">
        <v>303</v>
      </c>
      <c r="N105" s="73" t="s">
        <v>304</v>
      </c>
      <c r="O105" s="346" t="s">
        <v>110</v>
      </c>
    </row>
    <row r="106" spans="1:15" ht="24">
      <c r="A106" s="64" t="s">
        <v>110</v>
      </c>
      <c r="B106" s="68" t="s">
        <v>154</v>
      </c>
      <c r="C106" s="66" t="s">
        <v>370</v>
      </c>
      <c r="D106" s="68" t="s">
        <v>156</v>
      </c>
      <c r="E106" s="347">
        <v>479.4</v>
      </c>
      <c r="F106" s="347" t="s">
        <v>110</v>
      </c>
      <c r="G106" s="69">
        <v>40.700000000000003</v>
      </c>
      <c r="H106" s="69">
        <v>19511.580000000002</v>
      </c>
      <c r="I106" s="69" t="s">
        <v>110</v>
      </c>
      <c r="J106" s="347" t="s">
        <v>110</v>
      </c>
      <c r="K106" s="347" t="s">
        <v>110</v>
      </c>
      <c r="L106" s="69" t="s">
        <v>110</v>
      </c>
      <c r="M106" s="69">
        <v>19511.580000000002</v>
      </c>
      <c r="N106" s="69" t="s">
        <v>110</v>
      </c>
      <c r="O106" s="71" t="s">
        <v>110</v>
      </c>
    </row>
    <row r="107" spans="1:15" ht="24">
      <c r="A107" s="64">
        <v>3</v>
      </c>
      <c r="B107" s="68" t="s">
        <v>371</v>
      </c>
      <c r="C107" s="66" t="s">
        <v>372</v>
      </c>
      <c r="D107" s="68" t="s">
        <v>155</v>
      </c>
      <c r="E107" s="347">
        <v>21.5</v>
      </c>
      <c r="F107" s="347" t="s">
        <v>110</v>
      </c>
      <c r="G107" s="69">
        <v>189.67</v>
      </c>
      <c r="H107" s="69">
        <v>4077.91</v>
      </c>
      <c r="I107" s="69">
        <v>3502.57</v>
      </c>
      <c r="J107" s="347">
        <v>447.63</v>
      </c>
      <c r="K107" s="347" t="s">
        <v>110</v>
      </c>
      <c r="L107" s="69">
        <v>127.71</v>
      </c>
      <c r="M107" s="69">
        <v>12785.19</v>
      </c>
      <c r="N107" s="69" t="s">
        <v>110</v>
      </c>
      <c r="O107" s="71">
        <v>42.505499999999998</v>
      </c>
    </row>
    <row r="108" spans="1:15" ht="24">
      <c r="A108" s="64" t="s">
        <v>110</v>
      </c>
      <c r="B108" s="68" t="s">
        <v>154</v>
      </c>
      <c r="C108" s="66" t="s">
        <v>372</v>
      </c>
      <c r="D108" s="68" t="s">
        <v>156</v>
      </c>
      <c r="E108" s="347">
        <v>219.3</v>
      </c>
      <c r="F108" s="347" t="s">
        <v>110</v>
      </c>
      <c r="G108" s="69">
        <v>58.3</v>
      </c>
      <c r="H108" s="69">
        <v>12785.19</v>
      </c>
      <c r="I108" s="69" t="s">
        <v>110</v>
      </c>
      <c r="J108" s="347" t="s">
        <v>110</v>
      </c>
      <c r="K108" s="347" t="s">
        <v>110</v>
      </c>
      <c r="L108" s="69" t="s">
        <v>110</v>
      </c>
      <c r="M108" s="69">
        <v>12785.19</v>
      </c>
      <c r="N108" s="69" t="s">
        <v>110</v>
      </c>
      <c r="O108" s="71" t="s">
        <v>110</v>
      </c>
    </row>
    <row r="109" spans="1:15" ht="24">
      <c r="A109" s="64">
        <v>4</v>
      </c>
      <c r="B109" s="68" t="s">
        <v>373</v>
      </c>
      <c r="C109" s="66" t="s">
        <v>374</v>
      </c>
      <c r="D109" s="68" t="s">
        <v>155</v>
      </c>
      <c r="E109" s="347">
        <v>11.5</v>
      </c>
      <c r="F109" s="347" t="s">
        <v>110</v>
      </c>
      <c r="G109" s="69">
        <v>230.19</v>
      </c>
      <c r="H109" s="69">
        <v>2647.19</v>
      </c>
      <c r="I109" s="69">
        <v>2262.63</v>
      </c>
      <c r="J109" s="347">
        <v>302.57</v>
      </c>
      <c r="K109" s="347" t="s">
        <v>110</v>
      </c>
      <c r="L109" s="69">
        <v>82</v>
      </c>
      <c r="M109" s="69">
        <v>9583.41</v>
      </c>
      <c r="N109" s="69" t="s">
        <v>110</v>
      </c>
      <c r="O109" s="71">
        <v>27.462</v>
      </c>
    </row>
    <row r="110" spans="1:15" ht="24">
      <c r="A110" s="64" t="s">
        <v>110</v>
      </c>
      <c r="B110" s="68" t="s">
        <v>154</v>
      </c>
      <c r="C110" s="66" t="s">
        <v>374</v>
      </c>
      <c r="D110" s="68" t="s">
        <v>156</v>
      </c>
      <c r="E110" s="347">
        <v>117.3</v>
      </c>
      <c r="F110" s="347" t="s">
        <v>110</v>
      </c>
      <c r="G110" s="69">
        <v>81.7</v>
      </c>
      <c r="H110" s="69">
        <v>9583.41</v>
      </c>
      <c r="I110" s="69" t="s">
        <v>110</v>
      </c>
      <c r="J110" s="347" t="s">
        <v>110</v>
      </c>
      <c r="K110" s="347" t="s">
        <v>110</v>
      </c>
      <c r="L110" s="69" t="s">
        <v>110</v>
      </c>
      <c r="M110" s="69">
        <v>9583.41</v>
      </c>
      <c r="N110" s="69" t="s">
        <v>110</v>
      </c>
      <c r="O110" s="71" t="s">
        <v>110</v>
      </c>
    </row>
    <row r="111" spans="1:15" ht="24">
      <c r="A111" s="64">
        <v>5</v>
      </c>
      <c r="B111" s="68" t="s">
        <v>375</v>
      </c>
      <c r="C111" s="66" t="s">
        <v>376</v>
      </c>
      <c r="D111" s="68" t="s">
        <v>155</v>
      </c>
      <c r="E111" s="347">
        <v>6</v>
      </c>
      <c r="F111" s="347" t="s">
        <v>110</v>
      </c>
      <c r="G111" s="69">
        <v>246.55</v>
      </c>
      <c r="H111" s="69">
        <v>1479.3</v>
      </c>
      <c r="I111" s="69">
        <v>1204.8599999999999</v>
      </c>
      <c r="J111" s="347">
        <v>223.38</v>
      </c>
      <c r="K111" s="347" t="s">
        <v>110</v>
      </c>
      <c r="L111" s="69">
        <v>51.06</v>
      </c>
      <c r="M111" s="69">
        <v>6915.6</v>
      </c>
      <c r="N111" s="69" t="s">
        <v>110</v>
      </c>
      <c r="O111" s="71">
        <v>14.622</v>
      </c>
    </row>
    <row r="112" spans="1:15" ht="24">
      <c r="A112" s="64" t="s">
        <v>110</v>
      </c>
      <c r="B112" s="68" t="s">
        <v>154</v>
      </c>
      <c r="C112" s="66" t="s">
        <v>376</v>
      </c>
      <c r="D112" s="68" t="s">
        <v>156</v>
      </c>
      <c r="E112" s="347">
        <v>61.2</v>
      </c>
      <c r="F112" s="347" t="s">
        <v>110</v>
      </c>
      <c r="G112" s="69">
        <v>113</v>
      </c>
      <c r="H112" s="69">
        <v>6915.6</v>
      </c>
      <c r="I112" s="69" t="s">
        <v>110</v>
      </c>
      <c r="J112" s="347" t="s">
        <v>110</v>
      </c>
      <c r="K112" s="347" t="s">
        <v>110</v>
      </c>
      <c r="L112" s="69" t="s">
        <v>110</v>
      </c>
      <c r="M112" s="69">
        <v>6915.6</v>
      </c>
      <c r="N112" s="69" t="s">
        <v>110</v>
      </c>
      <c r="O112" s="71" t="s">
        <v>110</v>
      </c>
    </row>
    <row r="113" spans="1:15" ht="24">
      <c r="A113" s="64">
        <v>6</v>
      </c>
      <c r="B113" s="68" t="s">
        <v>377</v>
      </c>
      <c r="C113" s="66" t="s">
        <v>378</v>
      </c>
      <c r="D113" s="68" t="s">
        <v>155</v>
      </c>
      <c r="E113" s="347">
        <v>4.5</v>
      </c>
      <c r="F113" s="347" t="s">
        <v>110</v>
      </c>
      <c r="G113" s="69">
        <v>272.7</v>
      </c>
      <c r="H113" s="69">
        <v>1227.1500000000001</v>
      </c>
      <c r="I113" s="69">
        <v>955.58</v>
      </c>
      <c r="J113" s="347">
        <v>213.62</v>
      </c>
      <c r="K113" s="347" t="s">
        <v>110</v>
      </c>
      <c r="L113" s="69">
        <v>57.96</v>
      </c>
      <c r="M113" s="69">
        <v>6609.6</v>
      </c>
      <c r="N113" s="69" t="s">
        <v>110</v>
      </c>
      <c r="O113" s="71">
        <v>11.596500000000001</v>
      </c>
    </row>
    <row r="114" spans="1:15" ht="24">
      <c r="A114" s="64" t="s">
        <v>110</v>
      </c>
      <c r="B114" s="68" t="s">
        <v>154</v>
      </c>
      <c r="C114" s="66" t="s">
        <v>378</v>
      </c>
      <c r="D114" s="68" t="s">
        <v>156</v>
      </c>
      <c r="E114" s="347">
        <v>45.9</v>
      </c>
      <c r="F114" s="347" t="s">
        <v>110</v>
      </c>
      <c r="G114" s="69">
        <v>144</v>
      </c>
      <c r="H114" s="69">
        <v>6609.6</v>
      </c>
      <c r="I114" s="69" t="s">
        <v>110</v>
      </c>
      <c r="J114" s="347" t="s">
        <v>110</v>
      </c>
      <c r="K114" s="347" t="s">
        <v>110</v>
      </c>
      <c r="L114" s="69" t="s">
        <v>110</v>
      </c>
      <c r="M114" s="69">
        <v>6609.6</v>
      </c>
      <c r="N114" s="69" t="s">
        <v>110</v>
      </c>
      <c r="O114" s="71" t="s">
        <v>110</v>
      </c>
    </row>
    <row r="115" spans="1:15" ht="24">
      <c r="A115" s="64">
        <v>7</v>
      </c>
      <c r="B115" s="68" t="s">
        <v>379</v>
      </c>
      <c r="C115" s="66" t="s">
        <v>380</v>
      </c>
      <c r="D115" s="68" t="s">
        <v>155</v>
      </c>
      <c r="E115" s="347">
        <v>16</v>
      </c>
      <c r="F115" s="347" t="s">
        <v>110</v>
      </c>
      <c r="G115" s="69">
        <v>303.95999999999998</v>
      </c>
      <c r="H115" s="69">
        <v>4863.3599999999997</v>
      </c>
      <c r="I115" s="69">
        <v>3757.44</v>
      </c>
      <c r="J115" s="347">
        <v>826.24</v>
      </c>
      <c r="K115" s="347" t="s">
        <v>110</v>
      </c>
      <c r="L115" s="69">
        <v>279.68</v>
      </c>
      <c r="M115" s="69">
        <v>31660.799999999999</v>
      </c>
      <c r="N115" s="69" t="s">
        <v>110</v>
      </c>
      <c r="O115" s="71">
        <v>45.6</v>
      </c>
    </row>
    <row r="116" spans="1:15" ht="24">
      <c r="A116" s="64" t="s">
        <v>110</v>
      </c>
      <c r="B116" s="68" t="s">
        <v>154</v>
      </c>
      <c r="C116" s="66" t="s">
        <v>380</v>
      </c>
      <c r="D116" s="68" t="s">
        <v>156</v>
      </c>
      <c r="E116" s="347">
        <v>163.19999999999999</v>
      </c>
      <c r="F116" s="347" t="s">
        <v>110</v>
      </c>
      <c r="G116" s="69">
        <v>194</v>
      </c>
      <c r="H116" s="69">
        <v>31660.799999999999</v>
      </c>
      <c r="I116" s="69" t="s">
        <v>110</v>
      </c>
      <c r="J116" s="347" t="s">
        <v>110</v>
      </c>
      <c r="K116" s="347" t="s">
        <v>110</v>
      </c>
      <c r="L116" s="69" t="s">
        <v>110</v>
      </c>
      <c r="M116" s="69">
        <v>31660.799999999999</v>
      </c>
      <c r="N116" s="69" t="s">
        <v>110</v>
      </c>
      <c r="O116" s="71" t="s">
        <v>110</v>
      </c>
    </row>
    <row r="117" spans="1:15" ht="24">
      <c r="A117" s="64">
        <v>8</v>
      </c>
      <c r="B117" s="68" t="s">
        <v>381</v>
      </c>
      <c r="C117" s="66" t="s">
        <v>382</v>
      </c>
      <c r="D117" s="68" t="s">
        <v>155</v>
      </c>
      <c r="E117" s="347">
        <v>14.8</v>
      </c>
      <c r="F117" s="347" t="s">
        <v>110</v>
      </c>
      <c r="G117" s="69">
        <v>338.63</v>
      </c>
      <c r="H117" s="69">
        <v>5011.72</v>
      </c>
      <c r="I117" s="69">
        <v>3876.71</v>
      </c>
      <c r="J117" s="347">
        <v>824.8</v>
      </c>
      <c r="K117" s="347" t="s">
        <v>110</v>
      </c>
      <c r="L117" s="69">
        <v>310.20999999999998</v>
      </c>
      <c r="M117" s="69">
        <v>49212.959999999999</v>
      </c>
      <c r="N117" s="69" t="s">
        <v>110</v>
      </c>
      <c r="O117" s="71">
        <v>47.049199999999999</v>
      </c>
    </row>
    <row r="118" spans="1:15" ht="24">
      <c r="A118" s="64" t="s">
        <v>110</v>
      </c>
      <c r="B118" s="68" t="s">
        <v>154</v>
      </c>
      <c r="C118" s="66" t="s">
        <v>382</v>
      </c>
      <c r="D118" s="68" t="s">
        <v>156</v>
      </c>
      <c r="E118" s="347">
        <v>150.96</v>
      </c>
      <c r="F118" s="347" t="s">
        <v>110</v>
      </c>
      <c r="G118" s="69">
        <v>326</v>
      </c>
      <c r="H118" s="69">
        <v>49212.959999999999</v>
      </c>
      <c r="I118" s="69" t="s">
        <v>110</v>
      </c>
      <c r="J118" s="347" t="s">
        <v>110</v>
      </c>
      <c r="K118" s="347" t="s">
        <v>110</v>
      </c>
      <c r="L118" s="69" t="s">
        <v>110</v>
      </c>
      <c r="M118" s="69">
        <v>49212.959999999999</v>
      </c>
      <c r="N118" s="69" t="s">
        <v>110</v>
      </c>
      <c r="O118" s="71" t="s">
        <v>110</v>
      </c>
    </row>
    <row r="119" spans="1:15" ht="24">
      <c r="A119" s="64">
        <v>9</v>
      </c>
      <c r="B119" s="68" t="s">
        <v>383</v>
      </c>
      <c r="C119" s="66" t="s">
        <v>384</v>
      </c>
      <c r="D119" s="68" t="s">
        <v>155</v>
      </c>
      <c r="E119" s="347">
        <v>8</v>
      </c>
      <c r="F119" s="347" t="s">
        <v>110</v>
      </c>
      <c r="G119" s="69">
        <v>199.94</v>
      </c>
      <c r="H119" s="69">
        <v>1599.52</v>
      </c>
      <c r="I119" s="69">
        <v>1285.44</v>
      </c>
      <c r="J119" s="347">
        <v>313.27999999999997</v>
      </c>
      <c r="K119" s="347" t="s">
        <v>110</v>
      </c>
      <c r="L119" s="69">
        <v>0.8</v>
      </c>
      <c r="M119" s="69">
        <v>1724.48</v>
      </c>
      <c r="N119" s="69" t="s">
        <v>110</v>
      </c>
      <c r="O119" s="71">
        <v>15.6</v>
      </c>
    </row>
    <row r="120" spans="1:15" ht="24">
      <c r="A120" s="64" t="s">
        <v>110</v>
      </c>
      <c r="B120" s="68" t="s">
        <v>154</v>
      </c>
      <c r="C120" s="66" t="s">
        <v>384</v>
      </c>
      <c r="D120" s="68" t="s">
        <v>156</v>
      </c>
      <c r="E120" s="347">
        <v>68.16</v>
      </c>
      <c r="F120" s="347" t="s">
        <v>110</v>
      </c>
      <c r="G120" s="69">
        <v>25.3</v>
      </c>
      <c r="H120" s="69">
        <v>1724.45</v>
      </c>
      <c r="I120" s="69" t="s">
        <v>110</v>
      </c>
      <c r="J120" s="347" t="s">
        <v>110</v>
      </c>
      <c r="K120" s="347" t="s">
        <v>110</v>
      </c>
      <c r="L120" s="69" t="s">
        <v>110</v>
      </c>
      <c r="M120" s="69">
        <v>1724.45</v>
      </c>
      <c r="N120" s="69" t="s">
        <v>110</v>
      </c>
      <c r="O120" s="71" t="s">
        <v>110</v>
      </c>
    </row>
    <row r="121" spans="1:15" ht="24">
      <c r="A121" s="64">
        <v>10</v>
      </c>
      <c r="B121" s="68" t="s">
        <v>385</v>
      </c>
      <c r="C121" s="66" t="s">
        <v>386</v>
      </c>
      <c r="D121" s="68" t="s">
        <v>155</v>
      </c>
      <c r="E121" s="347">
        <v>9</v>
      </c>
      <c r="F121" s="347" t="s">
        <v>110</v>
      </c>
      <c r="G121" s="69">
        <v>331.7</v>
      </c>
      <c r="H121" s="69">
        <v>2985.3</v>
      </c>
      <c r="I121" s="69">
        <v>2200.3200000000002</v>
      </c>
      <c r="J121" s="347">
        <v>784.98</v>
      </c>
      <c r="K121" s="347" t="s">
        <v>110</v>
      </c>
      <c r="L121" s="69" t="s">
        <v>110</v>
      </c>
      <c r="M121" s="69">
        <v>6568.2</v>
      </c>
      <c r="N121" s="69" t="s">
        <v>110</v>
      </c>
      <c r="O121" s="71">
        <v>26.702999999999999</v>
      </c>
    </row>
    <row r="122" spans="1:15" ht="24">
      <c r="A122" s="64" t="s">
        <v>110</v>
      </c>
      <c r="B122" s="68" t="s">
        <v>154</v>
      </c>
      <c r="C122" s="66" t="s">
        <v>386</v>
      </c>
      <c r="D122" s="68" t="s">
        <v>156</v>
      </c>
      <c r="E122" s="347">
        <v>80.099999999999994</v>
      </c>
      <c r="F122" s="347" t="s">
        <v>110</v>
      </c>
      <c r="G122" s="69">
        <v>82</v>
      </c>
      <c r="H122" s="69">
        <v>6568.2</v>
      </c>
      <c r="I122" s="69" t="s">
        <v>110</v>
      </c>
      <c r="J122" s="347" t="s">
        <v>110</v>
      </c>
      <c r="K122" s="347" t="s">
        <v>110</v>
      </c>
      <c r="L122" s="69" t="s">
        <v>110</v>
      </c>
      <c r="M122" s="69">
        <v>6568.2</v>
      </c>
      <c r="N122" s="69" t="s">
        <v>110</v>
      </c>
      <c r="O122" s="71" t="s">
        <v>110</v>
      </c>
    </row>
    <row r="123" spans="1:15" ht="36">
      <c r="A123" s="64">
        <v>11</v>
      </c>
      <c r="B123" s="68" t="s">
        <v>387</v>
      </c>
      <c r="C123" s="66" t="s">
        <v>388</v>
      </c>
      <c r="D123" s="68" t="s">
        <v>144</v>
      </c>
      <c r="E123" s="347">
        <v>3.1105800000000001</v>
      </c>
      <c r="F123" s="347" t="s">
        <v>110</v>
      </c>
      <c r="G123" s="69">
        <v>42.71</v>
      </c>
      <c r="H123" s="69">
        <v>132.85</v>
      </c>
      <c r="I123" s="69">
        <v>58.01</v>
      </c>
      <c r="J123" s="347">
        <v>74.84</v>
      </c>
      <c r="K123" s="347" t="s">
        <v>110</v>
      </c>
      <c r="L123" s="69" t="s">
        <v>110</v>
      </c>
      <c r="M123" s="69" t="s">
        <v>110</v>
      </c>
      <c r="N123" s="69" t="s">
        <v>110</v>
      </c>
      <c r="O123" s="71">
        <v>0.70299999999999996</v>
      </c>
    </row>
    <row r="124" spans="1:15" ht="24">
      <c r="A124" s="64">
        <v>12</v>
      </c>
      <c r="B124" s="68" t="s">
        <v>389</v>
      </c>
      <c r="C124" s="66" t="s">
        <v>390</v>
      </c>
      <c r="D124" s="68" t="s">
        <v>155</v>
      </c>
      <c r="E124" s="347">
        <v>85</v>
      </c>
      <c r="F124" s="347" t="s">
        <v>110</v>
      </c>
      <c r="G124" s="69">
        <v>228.15</v>
      </c>
      <c r="H124" s="69">
        <v>19392.75</v>
      </c>
      <c r="I124" s="69">
        <v>16451.75</v>
      </c>
      <c r="J124" s="347">
        <v>2489.65</v>
      </c>
      <c r="K124" s="347" t="s">
        <v>110</v>
      </c>
      <c r="L124" s="69">
        <v>451.35</v>
      </c>
      <c r="M124" s="69">
        <v>28177.5</v>
      </c>
      <c r="N124" s="69" t="s">
        <v>110</v>
      </c>
      <c r="O124" s="71">
        <v>199.66499999999999</v>
      </c>
    </row>
    <row r="125" spans="1:15" ht="24">
      <c r="A125" s="64" t="s">
        <v>110</v>
      </c>
      <c r="B125" s="68" t="s">
        <v>154</v>
      </c>
      <c r="C125" s="66" t="s">
        <v>390</v>
      </c>
      <c r="D125" s="68" t="s">
        <v>156</v>
      </c>
      <c r="E125" s="347">
        <v>867</v>
      </c>
      <c r="F125" s="347" t="s">
        <v>110</v>
      </c>
      <c r="G125" s="69">
        <v>32.5</v>
      </c>
      <c r="H125" s="69">
        <v>28177.5</v>
      </c>
      <c r="I125" s="69" t="s">
        <v>110</v>
      </c>
      <c r="J125" s="347" t="s">
        <v>110</v>
      </c>
      <c r="K125" s="347" t="s">
        <v>110</v>
      </c>
      <c r="L125" s="69" t="s">
        <v>110</v>
      </c>
      <c r="M125" s="69">
        <v>28177.5</v>
      </c>
      <c r="N125" s="69" t="s">
        <v>110</v>
      </c>
      <c r="O125" s="71" t="s">
        <v>110</v>
      </c>
    </row>
    <row r="126" spans="1:15" ht="24.75" thickBot="1">
      <c r="A126" s="65">
        <v>13</v>
      </c>
      <c r="B126" s="74" t="s">
        <v>387</v>
      </c>
      <c r="C126" s="67" t="s">
        <v>391</v>
      </c>
      <c r="D126" s="74" t="s">
        <v>144</v>
      </c>
      <c r="E126" s="348">
        <v>17.359549999999999</v>
      </c>
      <c r="F126" s="348" t="s">
        <v>110</v>
      </c>
      <c r="G126" s="70">
        <v>42.71</v>
      </c>
      <c r="H126" s="70">
        <v>741.43</v>
      </c>
      <c r="I126" s="70">
        <v>323.76</v>
      </c>
      <c r="J126" s="348">
        <v>417.67</v>
      </c>
      <c r="K126" s="348" t="s">
        <v>110</v>
      </c>
      <c r="L126" s="70" t="s">
        <v>110</v>
      </c>
      <c r="M126" s="70" t="s">
        <v>110</v>
      </c>
      <c r="N126" s="70" t="s">
        <v>110</v>
      </c>
      <c r="O126" s="72">
        <v>3.9232999999999998</v>
      </c>
    </row>
    <row r="127" spans="1:15">
      <c r="A127" s="341" t="s">
        <v>288</v>
      </c>
      <c r="B127" s="341" t="s">
        <v>110</v>
      </c>
      <c r="C127" s="341" t="s">
        <v>110</v>
      </c>
      <c r="D127" s="341" t="s">
        <v>110</v>
      </c>
      <c r="E127" s="341" t="s">
        <v>110</v>
      </c>
      <c r="F127" s="338" t="s">
        <v>289</v>
      </c>
      <c r="G127" s="338" t="s">
        <v>110</v>
      </c>
      <c r="H127" s="338" t="s">
        <v>110</v>
      </c>
      <c r="I127" s="338" t="s">
        <v>110</v>
      </c>
      <c r="J127" s="338" t="s">
        <v>110</v>
      </c>
      <c r="K127" s="334" t="s">
        <v>290</v>
      </c>
      <c r="L127" s="334" t="s">
        <v>110</v>
      </c>
      <c r="M127" s="334" t="s">
        <v>110</v>
      </c>
      <c r="N127" s="334" t="s">
        <v>110</v>
      </c>
      <c r="O127" s="334" t="s">
        <v>110</v>
      </c>
    </row>
    <row r="128" spans="1:15" ht="29.25" customHeight="1">
      <c r="A128" s="340" t="s">
        <v>291</v>
      </c>
      <c r="B128" s="340" t="s">
        <v>110</v>
      </c>
      <c r="C128" s="340" t="s">
        <v>110</v>
      </c>
      <c r="D128" s="340" t="s">
        <v>110</v>
      </c>
      <c r="E128" s="340" t="s">
        <v>110</v>
      </c>
      <c r="F128" s="340" t="s">
        <v>110</v>
      </c>
      <c r="G128" s="340" t="s">
        <v>110</v>
      </c>
      <c r="H128" s="340" t="s">
        <v>110</v>
      </c>
      <c r="I128" s="340" t="s">
        <v>110</v>
      </c>
      <c r="J128" s="340" t="s">
        <v>110</v>
      </c>
      <c r="K128" s="340" t="s">
        <v>110</v>
      </c>
      <c r="L128" s="340" t="s">
        <v>110</v>
      </c>
      <c r="M128" s="340" t="s">
        <v>110</v>
      </c>
      <c r="N128" s="340" t="s">
        <v>110</v>
      </c>
      <c r="O128" s="340" t="s">
        <v>110</v>
      </c>
    </row>
    <row r="129" spans="1:15" ht="14.25" thickBot="1">
      <c r="A129" s="341" t="s">
        <v>163</v>
      </c>
      <c r="B129" s="341" t="s">
        <v>110</v>
      </c>
      <c r="C129" s="341" t="s">
        <v>110</v>
      </c>
      <c r="D129" s="341" t="s">
        <v>110</v>
      </c>
      <c r="E129" s="341" t="s">
        <v>110</v>
      </c>
      <c r="F129" s="341" t="s">
        <v>110</v>
      </c>
      <c r="G129" s="341" t="s">
        <v>110</v>
      </c>
      <c r="H129" s="341" t="s">
        <v>110</v>
      </c>
      <c r="I129" s="341" t="s">
        <v>110</v>
      </c>
      <c r="J129" s="341" t="s">
        <v>110</v>
      </c>
      <c r="K129" s="334" t="s">
        <v>218</v>
      </c>
      <c r="L129" s="334" t="s">
        <v>110</v>
      </c>
      <c r="M129" s="334" t="s">
        <v>110</v>
      </c>
      <c r="N129" s="334" t="s">
        <v>110</v>
      </c>
      <c r="O129" s="334" t="s">
        <v>110</v>
      </c>
    </row>
    <row r="130" spans="1:15">
      <c r="A130" s="342" t="s">
        <v>112</v>
      </c>
      <c r="B130" s="335" t="s">
        <v>292</v>
      </c>
      <c r="C130" s="335" t="s">
        <v>293</v>
      </c>
      <c r="D130" s="335" t="s">
        <v>294</v>
      </c>
      <c r="E130" s="335" t="s">
        <v>110</v>
      </c>
      <c r="F130" s="335" t="s">
        <v>110</v>
      </c>
      <c r="G130" s="335" t="s">
        <v>295</v>
      </c>
      <c r="H130" s="335" t="s">
        <v>110</v>
      </c>
      <c r="I130" s="335" t="s">
        <v>296</v>
      </c>
      <c r="J130" s="335" t="s">
        <v>110</v>
      </c>
      <c r="K130" s="335" t="s">
        <v>110</v>
      </c>
      <c r="L130" s="335" t="s">
        <v>110</v>
      </c>
      <c r="M130" s="335" t="s">
        <v>110</v>
      </c>
      <c r="N130" s="335" t="s">
        <v>110</v>
      </c>
      <c r="O130" s="345" t="s">
        <v>297</v>
      </c>
    </row>
    <row r="131" spans="1:15">
      <c r="A131" s="343" t="s">
        <v>110</v>
      </c>
      <c r="B131" s="344" t="s">
        <v>110</v>
      </c>
      <c r="C131" s="344" t="s">
        <v>110</v>
      </c>
      <c r="D131" s="73" t="s">
        <v>133</v>
      </c>
      <c r="E131" s="344" t="s">
        <v>134</v>
      </c>
      <c r="F131" s="344" t="s">
        <v>110</v>
      </c>
      <c r="G131" s="73" t="s">
        <v>298</v>
      </c>
      <c r="H131" s="73" t="s">
        <v>299</v>
      </c>
      <c r="I131" s="73" t="s">
        <v>300</v>
      </c>
      <c r="J131" s="344" t="s">
        <v>301</v>
      </c>
      <c r="K131" s="344" t="s">
        <v>110</v>
      </c>
      <c r="L131" s="73" t="s">
        <v>302</v>
      </c>
      <c r="M131" s="73" t="s">
        <v>303</v>
      </c>
      <c r="N131" s="73" t="s">
        <v>304</v>
      </c>
      <c r="O131" s="346" t="s">
        <v>110</v>
      </c>
    </row>
    <row r="132" spans="1:15">
      <c r="A132" s="64" t="s">
        <v>110</v>
      </c>
      <c r="B132" s="68" t="s">
        <v>110</v>
      </c>
      <c r="C132" s="66" t="s">
        <v>392</v>
      </c>
      <c r="D132" s="68" t="s">
        <v>110</v>
      </c>
      <c r="E132" s="347" t="s">
        <v>110</v>
      </c>
      <c r="F132" s="347" t="s">
        <v>110</v>
      </c>
      <c r="G132" s="69" t="s">
        <v>110</v>
      </c>
      <c r="H132" s="69" t="s">
        <v>110</v>
      </c>
      <c r="I132" s="69" t="s">
        <v>110</v>
      </c>
      <c r="J132" s="347" t="s">
        <v>110</v>
      </c>
      <c r="K132" s="347" t="s">
        <v>110</v>
      </c>
      <c r="L132" s="69" t="s">
        <v>110</v>
      </c>
      <c r="M132" s="69" t="s">
        <v>110</v>
      </c>
      <c r="N132" s="69" t="s">
        <v>110</v>
      </c>
      <c r="O132" s="71" t="s">
        <v>110</v>
      </c>
    </row>
    <row r="133" spans="1:15" ht="24">
      <c r="A133" s="64">
        <v>14</v>
      </c>
      <c r="B133" s="68" t="s">
        <v>393</v>
      </c>
      <c r="C133" s="66" t="s">
        <v>394</v>
      </c>
      <c r="D133" s="68" t="s">
        <v>155</v>
      </c>
      <c r="E133" s="347">
        <v>264</v>
      </c>
      <c r="F133" s="347" t="s">
        <v>110</v>
      </c>
      <c r="G133" s="69">
        <v>274.22000000000003</v>
      </c>
      <c r="H133" s="69">
        <v>72394.080000000002</v>
      </c>
      <c r="I133" s="69">
        <v>61369.440000000002</v>
      </c>
      <c r="J133" s="347">
        <v>8962.7999999999993</v>
      </c>
      <c r="K133" s="347" t="s">
        <v>110</v>
      </c>
      <c r="L133" s="69">
        <v>2061.84</v>
      </c>
      <c r="M133" s="69">
        <v>141372</v>
      </c>
      <c r="N133" s="69" t="s">
        <v>110</v>
      </c>
      <c r="O133" s="71">
        <v>744.74400000000003</v>
      </c>
    </row>
    <row r="134" spans="1:15" ht="24">
      <c r="A134" s="64" t="s">
        <v>110</v>
      </c>
      <c r="B134" s="68" t="s">
        <v>154</v>
      </c>
      <c r="C134" s="66" t="s">
        <v>394</v>
      </c>
      <c r="D134" s="68" t="s">
        <v>156</v>
      </c>
      <c r="E134" s="347">
        <v>2692.8</v>
      </c>
      <c r="F134" s="347" t="s">
        <v>110</v>
      </c>
      <c r="G134" s="69">
        <v>52.5</v>
      </c>
      <c r="H134" s="69">
        <v>141372</v>
      </c>
      <c r="I134" s="69" t="s">
        <v>110</v>
      </c>
      <c r="J134" s="347" t="s">
        <v>110</v>
      </c>
      <c r="K134" s="347" t="s">
        <v>110</v>
      </c>
      <c r="L134" s="69" t="s">
        <v>110</v>
      </c>
      <c r="M134" s="69">
        <v>141372</v>
      </c>
      <c r="N134" s="69" t="s">
        <v>110</v>
      </c>
      <c r="O134" s="71" t="s">
        <v>110</v>
      </c>
    </row>
    <row r="135" spans="1:15" ht="36">
      <c r="A135" s="64">
        <v>15</v>
      </c>
      <c r="B135" s="68" t="s">
        <v>387</v>
      </c>
      <c r="C135" s="66" t="s">
        <v>388</v>
      </c>
      <c r="D135" s="68" t="s">
        <v>144</v>
      </c>
      <c r="E135" s="347">
        <v>82.948800000000006</v>
      </c>
      <c r="F135" s="347" t="s">
        <v>110</v>
      </c>
      <c r="G135" s="69">
        <v>42.71</v>
      </c>
      <c r="H135" s="69">
        <v>3542.74</v>
      </c>
      <c r="I135" s="69">
        <v>1547</v>
      </c>
      <c r="J135" s="347">
        <v>1995.75</v>
      </c>
      <c r="K135" s="347" t="s">
        <v>110</v>
      </c>
      <c r="L135" s="69" t="s">
        <v>110</v>
      </c>
      <c r="M135" s="69" t="s">
        <v>110</v>
      </c>
      <c r="N135" s="69" t="s">
        <v>110</v>
      </c>
      <c r="O135" s="71">
        <v>18.746400000000001</v>
      </c>
    </row>
    <row r="136" spans="1:15" ht="24">
      <c r="A136" s="64">
        <v>16</v>
      </c>
      <c r="B136" s="68" t="s">
        <v>395</v>
      </c>
      <c r="C136" s="66" t="s">
        <v>396</v>
      </c>
      <c r="D136" s="68" t="s">
        <v>155</v>
      </c>
      <c r="E136" s="347">
        <v>83</v>
      </c>
      <c r="F136" s="347" t="s">
        <v>110</v>
      </c>
      <c r="G136" s="69">
        <v>342.54</v>
      </c>
      <c r="H136" s="69">
        <v>28430.82</v>
      </c>
      <c r="I136" s="69">
        <v>24517.37</v>
      </c>
      <c r="J136" s="347">
        <v>2745.64</v>
      </c>
      <c r="K136" s="347" t="s">
        <v>110</v>
      </c>
      <c r="L136" s="69">
        <v>1167.81</v>
      </c>
      <c r="M136" s="69">
        <v>74162.16</v>
      </c>
      <c r="N136" s="69" t="s">
        <v>110</v>
      </c>
      <c r="O136" s="71">
        <v>297.55500000000001</v>
      </c>
    </row>
    <row r="137" spans="1:15" ht="24">
      <c r="A137" s="64" t="s">
        <v>110</v>
      </c>
      <c r="B137" s="68" t="s">
        <v>154</v>
      </c>
      <c r="C137" s="66" t="s">
        <v>396</v>
      </c>
      <c r="D137" s="68" t="s">
        <v>156</v>
      </c>
      <c r="E137" s="347">
        <v>846.6</v>
      </c>
      <c r="F137" s="347" t="s">
        <v>110</v>
      </c>
      <c r="G137" s="69">
        <v>87.6</v>
      </c>
      <c r="H137" s="69">
        <v>74162.16</v>
      </c>
      <c r="I137" s="69" t="s">
        <v>110</v>
      </c>
      <c r="J137" s="347" t="s">
        <v>110</v>
      </c>
      <c r="K137" s="347" t="s">
        <v>110</v>
      </c>
      <c r="L137" s="69" t="s">
        <v>110</v>
      </c>
      <c r="M137" s="69">
        <v>74162.16</v>
      </c>
      <c r="N137" s="69" t="s">
        <v>110</v>
      </c>
      <c r="O137" s="71" t="s">
        <v>110</v>
      </c>
    </row>
    <row r="138" spans="1:15" ht="36">
      <c r="A138" s="64">
        <v>17</v>
      </c>
      <c r="B138" s="68" t="s">
        <v>387</v>
      </c>
      <c r="C138" s="66" t="s">
        <v>388</v>
      </c>
      <c r="D138" s="68" t="s">
        <v>144</v>
      </c>
      <c r="E138" s="347">
        <v>39.117899999999999</v>
      </c>
      <c r="F138" s="347" t="s">
        <v>110</v>
      </c>
      <c r="G138" s="69">
        <v>42.71</v>
      </c>
      <c r="H138" s="69">
        <v>1670.73</v>
      </c>
      <c r="I138" s="69">
        <v>729.55</v>
      </c>
      <c r="J138" s="347">
        <v>941.18</v>
      </c>
      <c r="K138" s="347" t="s">
        <v>110</v>
      </c>
      <c r="L138" s="69" t="s">
        <v>110</v>
      </c>
      <c r="M138" s="69" t="s">
        <v>110</v>
      </c>
      <c r="N138" s="69" t="s">
        <v>110</v>
      </c>
      <c r="O138" s="71">
        <v>8.8406000000000002</v>
      </c>
    </row>
    <row r="139" spans="1:15" ht="36">
      <c r="A139" s="64">
        <v>18</v>
      </c>
      <c r="B139" s="68" t="s">
        <v>397</v>
      </c>
      <c r="C139" s="66" t="s">
        <v>398</v>
      </c>
      <c r="D139" s="68" t="s">
        <v>155</v>
      </c>
      <c r="E139" s="347">
        <v>4</v>
      </c>
      <c r="F139" s="347" t="s">
        <v>110</v>
      </c>
      <c r="G139" s="69">
        <v>172.71</v>
      </c>
      <c r="H139" s="69">
        <v>690.84</v>
      </c>
      <c r="I139" s="69">
        <v>576.44000000000005</v>
      </c>
      <c r="J139" s="347">
        <v>114</v>
      </c>
      <c r="K139" s="347" t="s">
        <v>110</v>
      </c>
      <c r="L139" s="69">
        <v>0.4</v>
      </c>
      <c r="M139" s="69">
        <v>2126.3200000000002</v>
      </c>
      <c r="N139" s="69" t="s">
        <v>110</v>
      </c>
      <c r="O139" s="71">
        <v>6.9960000000000004</v>
      </c>
    </row>
    <row r="140" spans="1:15" ht="36">
      <c r="A140" s="64" t="s">
        <v>110</v>
      </c>
      <c r="B140" s="68" t="s">
        <v>154</v>
      </c>
      <c r="C140" s="66" t="s">
        <v>398</v>
      </c>
      <c r="D140" s="68" t="s">
        <v>156</v>
      </c>
      <c r="E140" s="347">
        <v>38.520000000000003</v>
      </c>
      <c r="F140" s="347" t="s">
        <v>110</v>
      </c>
      <c r="G140" s="69">
        <v>55.2</v>
      </c>
      <c r="H140" s="69">
        <v>2126.3000000000002</v>
      </c>
      <c r="I140" s="69" t="s">
        <v>110</v>
      </c>
      <c r="J140" s="347" t="s">
        <v>110</v>
      </c>
      <c r="K140" s="347" t="s">
        <v>110</v>
      </c>
      <c r="L140" s="69" t="s">
        <v>110</v>
      </c>
      <c r="M140" s="69">
        <v>2126.3000000000002</v>
      </c>
      <c r="N140" s="69" t="s">
        <v>110</v>
      </c>
      <c r="O140" s="71" t="s">
        <v>110</v>
      </c>
    </row>
    <row r="141" spans="1:15" ht="36">
      <c r="A141" s="64">
        <v>19</v>
      </c>
      <c r="B141" s="68" t="s">
        <v>383</v>
      </c>
      <c r="C141" s="66" t="s">
        <v>399</v>
      </c>
      <c r="D141" s="68" t="s">
        <v>155</v>
      </c>
      <c r="E141" s="347">
        <v>2.5</v>
      </c>
      <c r="F141" s="347" t="s">
        <v>110</v>
      </c>
      <c r="G141" s="69">
        <v>199.94</v>
      </c>
      <c r="H141" s="69">
        <v>499.85</v>
      </c>
      <c r="I141" s="69">
        <v>401.7</v>
      </c>
      <c r="J141" s="347">
        <v>97.9</v>
      </c>
      <c r="K141" s="347" t="s">
        <v>110</v>
      </c>
      <c r="L141" s="69">
        <v>0.25</v>
      </c>
      <c r="M141" s="69">
        <v>1292.9000000000001</v>
      </c>
      <c r="N141" s="69" t="s">
        <v>110</v>
      </c>
      <c r="O141" s="71">
        <v>4.875</v>
      </c>
    </row>
    <row r="142" spans="1:15" ht="36">
      <c r="A142" s="64" t="s">
        <v>110</v>
      </c>
      <c r="B142" s="68" t="s">
        <v>154</v>
      </c>
      <c r="C142" s="66" t="s">
        <v>399</v>
      </c>
      <c r="D142" s="68" t="s">
        <v>156</v>
      </c>
      <c r="E142" s="347">
        <v>21.3</v>
      </c>
      <c r="F142" s="347" t="s">
        <v>110</v>
      </c>
      <c r="G142" s="69">
        <v>60.7</v>
      </c>
      <c r="H142" s="69">
        <v>1292.9100000000001</v>
      </c>
      <c r="I142" s="69" t="s">
        <v>110</v>
      </c>
      <c r="J142" s="347" t="s">
        <v>110</v>
      </c>
      <c r="K142" s="347" t="s">
        <v>110</v>
      </c>
      <c r="L142" s="69" t="s">
        <v>110</v>
      </c>
      <c r="M142" s="69">
        <v>1292.9100000000001</v>
      </c>
      <c r="N142" s="69" t="s">
        <v>110</v>
      </c>
      <c r="O142" s="71" t="s">
        <v>110</v>
      </c>
    </row>
    <row r="143" spans="1:15" ht="36">
      <c r="A143" s="64">
        <v>20</v>
      </c>
      <c r="B143" s="68" t="s">
        <v>383</v>
      </c>
      <c r="C143" s="66" t="s">
        <v>400</v>
      </c>
      <c r="D143" s="68" t="s">
        <v>155</v>
      </c>
      <c r="E143" s="347">
        <v>25</v>
      </c>
      <c r="F143" s="347" t="s">
        <v>110</v>
      </c>
      <c r="G143" s="69">
        <v>199.94</v>
      </c>
      <c r="H143" s="69">
        <v>4998.5</v>
      </c>
      <c r="I143" s="69">
        <v>4017</v>
      </c>
      <c r="J143" s="347">
        <v>979</v>
      </c>
      <c r="K143" s="347" t="s">
        <v>110</v>
      </c>
      <c r="L143" s="69">
        <v>2.5</v>
      </c>
      <c r="M143" s="69">
        <v>15719.5</v>
      </c>
      <c r="N143" s="69" t="s">
        <v>110</v>
      </c>
      <c r="O143" s="71">
        <v>48.75</v>
      </c>
    </row>
    <row r="144" spans="1:15" ht="36">
      <c r="A144" s="64" t="s">
        <v>110</v>
      </c>
      <c r="B144" s="68" t="s">
        <v>154</v>
      </c>
      <c r="C144" s="66" t="s">
        <v>400</v>
      </c>
      <c r="D144" s="68" t="s">
        <v>156</v>
      </c>
      <c r="E144" s="347">
        <v>213</v>
      </c>
      <c r="F144" s="347" t="s">
        <v>110</v>
      </c>
      <c r="G144" s="69">
        <v>73.8</v>
      </c>
      <c r="H144" s="69">
        <v>15719.4</v>
      </c>
      <c r="I144" s="69" t="s">
        <v>110</v>
      </c>
      <c r="J144" s="347" t="s">
        <v>110</v>
      </c>
      <c r="K144" s="347" t="s">
        <v>110</v>
      </c>
      <c r="L144" s="69" t="s">
        <v>110</v>
      </c>
      <c r="M144" s="69">
        <v>15719.4</v>
      </c>
      <c r="N144" s="69" t="s">
        <v>110</v>
      </c>
      <c r="O144" s="71" t="s">
        <v>110</v>
      </c>
    </row>
    <row r="145" spans="1:15" ht="36">
      <c r="A145" s="64">
        <v>21</v>
      </c>
      <c r="B145" s="68" t="s">
        <v>401</v>
      </c>
      <c r="C145" s="66" t="s">
        <v>402</v>
      </c>
      <c r="D145" s="68" t="s">
        <v>155</v>
      </c>
      <c r="E145" s="347">
        <v>24</v>
      </c>
      <c r="F145" s="347" t="s">
        <v>110</v>
      </c>
      <c r="G145" s="69">
        <v>268.64999999999998</v>
      </c>
      <c r="H145" s="69">
        <v>6447.6</v>
      </c>
      <c r="I145" s="69">
        <v>5436.24</v>
      </c>
      <c r="J145" s="347">
        <v>1008.96</v>
      </c>
      <c r="K145" s="347" t="s">
        <v>110</v>
      </c>
      <c r="L145" s="69">
        <v>2.4</v>
      </c>
      <c r="M145" s="69">
        <v>17614.32</v>
      </c>
      <c r="N145" s="69" t="s">
        <v>110</v>
      </c>
      <c r="O145" s="71">
        <v>65.975999999999999</v>
      </c>
    </row>
    <row r="146" spans="1:15" ht="36.75" thickBot="1">
      <c r="A146" s="65" t="s">
        <v>110</v>
      </c>
      <c r="B146" s="74" t="s">
        <v>154</v>
      </c>
      <c r="C146" s="67" t="s">
        <v>402</v>
      </c>
      <c r="D146" s="74" t="s">
        <v>156</v>
      </c>
      <c r="E146" s="348">
        <v>227.28</v>
      </c>
      <c r="F146" s="348" t="s">
        <v>110</v>
      </c>
      <c r="G146" s="70">
        <v>77.5</v>
      </c>
      <c r="H146" s="70">
        <v>17614.2</v>
      </c>
      <c r="I146" s="70" t="s">
        <v>110</v>
      </c>
      <c r="J146" s="348" t="s">
        <v>110</v>
      </c>
      <c r="K146" s="348" t="s">
        <v>110</v>
      </c>
      <c r="L146" s="70" t="s">
        <v>110</v>
      </c>
      <c r="M146" s="70">
        <v>17614.2</v>
      </c>
      <c r="N146" s="70" t="s">
        <v>110</v>
      </c>
      <c r="O146" s="72" t="s">
        <v>110</v>
      </c>
    </row>
    <row r="147" spans="1:15">
      <c r="A147" s="341" t="s">
        <v>288</v>
      </c>
      <c r="B147" s="341" t="s">
        <v>110</v>
      </c>
      <c r="C147" s="341" t="s">
        <v>110</v>
      </c>
      <c r="D147" s="341" t="s">
        <v>110</v>
      </c>
      <c r="E147" s="341" t="s">
        <v>110</v>
      </c>
      <c r="F147" s="338" t="s">
        <v>289</v>
      </c>
      <c r="G147" s="338" t="s">
        <v>110</v>
      </c>
      <c r="H147" s="338" t="s">
        <v>110</v>
      </c>
      <c r="I147" s="338" t="s">
        <v>110</v>
      </c>
      <c r="J147" s="338" t="s">
        <v>110</v>
      </c>
      <c r="K147" s="334" t="s">
        <v>290</v>
      </c>
      <c r="L147" s="334" t="s">
        <v>110</v>
      </c>
      <c r="M147" s="334" t="s">
        <v>110</v>
      </c>
      <c r="N147" s="334" t="s">
        <v>110</v>
      </c>
      <c r="O147" s="334" t="s">
        <v>110</v>
      </c>
    </row>
    <row r="148" spans="1:15" ht="36.75" customHeight="1">
      <c r="A148" s="340" t="s">
        <v>291</v>
      </c>
      <c r="B148" s="340" t="s">
        <v>110</v>
      </c>
      <c r="C148" s="340" t="s">
        <v>110</v>
      </c>
      <c r="D148" s="340" t="s">
        <v>110</v>
      </c>
      <c r="E148" s="340" t="s">
        <v>110</v>
      </c>
      <c r="F148" s="340" t="s">
        <v>110</v>
      </c>
      <c r="G148" s="340" t="s">
        <v>110</v>
      </c>
      <c r="H148" s="340" t="s">
        <v>110</v>
      </c>
      <c r="I148" s="340" t="s">
        <v>110</v>
      </c>
      <c r="J148" s="340" t="s">
        <v>110</v>
      </c>
      <c r="K148" s="340" t="s">
        <v>110</v>
      </c>
      <c r="L148" s="340" t="s">
        <v>110</v>
      </c>
      <c r="M148" s="340" t="s">
        <v>110</v>
      </c>
      <c r="N148" s="340" t="s">
        <v>110</v>
      </c>
      <c r="O148" s="340" t="s">
        <v>110</v>
      </c>
    </row>
    <row r="149" spans="1:15" ht="14.25" thickBot="1">
      <c r="A149" s="341" t="s">
        <v>163</v>
      </c>
      <c r="B149" s="341" t="s">
        <v>110</v>
      </c>
      <c r="C149" s="341" t="s">
        <v>110</v>
      </c>
      <c r="D149" s="341" t="s">
        <v>110</v>
      </c>
      <c r="E149" s="341" t="s">
        <v>110</v>
      </c>
      <c r="F149" s="341" t="s">
        <v>110</v>
      </c>
      <c r="G149" s="341" t="s">
        <v>110</v>
      </c>
      <c r="H149" s="341" t="s">
        <v>110</v>
      </c>
      <c r="I149" s="341" t="s">
        <v>110</v>
      </c>
      <c r="J149" s="341" t="s">
        <v>110</v>
      </c>
      <c r="K149" s="334" t="s">
        <v>219</v>
      </c>
      <c r="L149" s="334" t="s">
        <v>110</v>
      </c>
      <c r="M149" s="334" t="s">
        <v>110</v>
      </c>
      <c r="N149" s="334" t="s">
        <v>110</v>
      </c>
      <c r="O149" s="334" t="s">
        <v>110</v>
      </c>
    </row>
    <row r="150" spans="1:15">
      <c r="A150" s="342" t="s">
        <v>112</v>
      </c>
      <c r="B150" s="335" t="s">
        <v>292</v>
      </c>
      <c r="C150" s="335" t="s">
        <v>293</v>
      </c>
      <c r="D150" s="335" t="s">
        <v>294</v>
      </c>
      <c r="E150" s="335" t="s">
        <v>110</v>
      </c>
      <c r="F150" s="335" t="s">
        <v>110</v>
      </c>
      <c r="G150" s="335" t="s">
        <v>295</v>
      </c>
      <c r="H150" s="335" t="s">
        <v>110</v>
      </c>
      <c r="I150" s="335" t="s">
        <v>296</v>
      </c>
      <c r="J150" s="335" t="s">
        <v>110</v>
      </c>
      <c r="K150" s="335" t="s">
        <v>110</v>
      </c>
      <c r="L150" s="335" t="s">
        <v>110</v>
      </c>
      <c r="M150" s="335" t="s">
        <v>110</v>
      </c>
      <c r="N150" s="335" t="s">
        <v>110</v>
      </c>
      <c r="O150" s="345" t="s">
        <v>297</v>
      </c>
    </row>
    <row r="151" spans="1:15">
      <c r="A151" s="343" t="s">
        <v>110</v>
      </c>
      <c r="B151" s="344" t="s">
        <v>110</v>
      </c>
      <c r="C151" s="344" t="s">
        <v>110</v>
      </c>
      <c r="D151" s="73" t="s">
        <v>133</v>
      </c>
      <c r="E151" s="344" t="s">
        <v>134</v>
      </c>
      <c r="F151" s="344" t="s">
        <v>110</v>
      </c>
      <c r="G151" s="73" t="s">
        <v>298</v>
      </c>
      <c r="H151" s="73" t="s">
        <v>299</v>
      </c>
      <c r="I151" s="73" t="s">
        <v>300</v>
      </c>
      <c r="J151" s="344" t="s">
        <v>301</v>
      </c>
      <c r="K151" s="344" t="s">
        <v>110</v>
      </c>
      <c r="L151" s="73" t="s">
        <v>302</v>
      </c>
      <c r="M151" s="73" t="s">
        <v>303</v>
      </c>
      <c r="N151" s="73" t="s">
        <v>304</v>
      </c>
      <c r="O151" s="346" t="s">
        <v>110</v>
      </c>
    </row>
    <row r="152" spans="1:15" ht="36">
      <c r="A152" s="64">
        <v>22</v>
      </c>
      <c r="B152" s="68" t="s">
        <v>401</v>
      </c>
      <c r="C152" s="66" t="s">
        <v>403</v>
      </c>
      <c r="D152" s="68" t="s">
        <v>155</v>
      </c>
      <c r="E152" s="347">
        <v>80</v>
      </c>
      <c r="F152" s="347" t="s">
        <v>110</v>
      </c>
      <c r="G152" s="69">
        <v>268.64999999999998</v>
      </c>
      <c r="H152" s="69">
        <v>21492</v>
      </c>
      <c r="I152" s="69">
        <v>18120.8</v>
      </c>
      <c r="J152" s="347">
        <v>3363.2</v>
      </c>
      <c r="K152" s="347" t="s">
        <v>110</v>
      </c>
      <c r="L152" s="69">
        <v>8</v>
      </c>
      <c r="M152" s="69">
        <v>60759.199999999997</v>
      </c>
      <c r="N152" s="69" t="s">
        <v>110</v>
      </c>
      <c r="O152" s="71">
        <v>219.92</v>
      </c>
    </row>
    <row r="153" spans="1:15" ht="36">
      <c r="A153" s="64" t="s">
        <v>110</v>
      </c>
      <c r="B153" s="68" t="s">
        <v>154</v>
      </c>
      <c r="C153" s="66" t="s">
        <v>403</v>
      </c>
      <c r="D153" s="68" t="s">
        <v>156</v>
      </c>
      <c r="E153" s="347">
        <v>757.6</v>
      </c>
      <c r="F153" s="347" t="s">
        <v>110</v>
      </c>
      <c r="G153" s="69">
        <v>80.2</v>
      </c>
      <c r="H153" s="69">
        <v>60759.519999999997</v>
      </c>
      <c r="I153" s="69" t="s">
        <v>110</v>
      </c>
      <c r="J153" s="347" t="s">
        <v>110</v>
      </c>
      <c r="K153" s="347" t="s">
        <v>110</v>
      </c>
      <c r="L153" s="69" t="s">
        <v>110</v>
      </c>
      <c r="M153" s="69">
        <v>60759.519999999997</v>
      </c>
      <c r="N153" s="69" t="s">
        <v>110</v>
      </c>
      <c r="O153" s="71" t="s">
        <v>110</v>
      </c>
    </row>
    <row r="154" spans="1:15" ht="36">
      <c r="A154" s="64">
        <v>23</v>
      </c>
      <c r="B154" s="68" t="s">
        <v>404</v>
      </c>
      <c r="C154" s="66" t="s">
        <v>405</v>
      </c>
      <c r="D154" s="68" t="s">
        <v>155</v>
      </c>
      <c r="E154" s="347">
        <v>92</v>
      </c>
      <c r="F154" s="347" t="s">
        <v>110</v>
      </c>
      <c r="G154" s="69">
        <v>372.44</v>
      </c>
      <c r="H154" s="69">
        <v>34264.480000000003</v>
      </c>
      <c r="I154" s="69">
        <v>29186.080000000002</v>
      </c>
      <c r="J154" s="347">
        <v>5069.2</v>
      </c>
      <c r="K154" s="347" t="s">
        <v>110</v>
      </c>
      <c r="L154" s="69">
        <v>9.1999999999999993</v>
      </c>
      <c r="M154" s="69">
        <v>71725.960000000006</v>
      </c>
      <c r="N154" s="69" t="s">
        <v>110</v>
      </c>
      <c r="O154" s="71">
        <v>354.2</v>
      </c>
    </row>
    <row r="155" spans="1:15" ht="36">
      <c r="A155" s="64" t="s">
        <v>110</v>
      </c>
      <c r="B155" s="68" t="s">
        <v>154</v>
      </c>
      <c r="C155" s="66" t="s">
        <v>405</v>
      </c>
      <c r="D155" s="68" t="s">
        <v>156</v>
      </c>
      <c r="E155" s="347">
        <v>869.4</v>
      </c>
      <c r="F155" s="347" t="s">
        <v>110</v>
      </c>
      <c r="G155" s="69">
        <v>82.5</v>
      </c>
      <c r="H155" s="69">
        <v>71725.5</v>
      </c>
      <c r="I155" s="69" t="s">
        <v>110</v>
      </c>
      <c r="J155" s="347" t="s">
        <v>110</v>
      </c>
      <c r="K155" s="347" t="s">
        <v>110</v>
      </c>
      <c r="L155" s="69" t="s">
        <v>110</v>
      </c>
      <c r="M155" s="69">
        <v>71725.5</v>
      </c>
      <c r="N155" s="69" t="s">
        <v>110</v>
      </c>
      <c r="O155" s="71" t="s">
        <v>110</v>
      </c>
    </row>
    <row r="156" spans="1:15" ht="36">
      <c r="A156" s="64">
        <v>24</v>
      </c>
      <c r="B156" s="68" t="s">
        <v>406</v>
      </c>
      <c r="C156" s="66" t="s">
        <v>407</v>
      </c>
      <c r="D156" s="68" t="s">
        <v>155</v>
      </c>
      <c r="E156" s="347">
        <v>51</v>
      </c>
      <c r="F156" s="347" t="s">
        <v>110</v>
      </c>
      <c r="G156" s="69">
        <v>427.54</v>
      </c>
      <c r="H156" s="69">
        <v>21804.54</v>
      </c>
      <c r="I156" s="69">
        <v>19356.03</v>
      </c>
      <c r="J156" s="347">
        <v>2443.41</v>
      </c>
      <c r="K156" s="347" t="s">
        <v>110</v>
      </c>
      <c r="L156" s="69">
        <v>5.0999999999999996</v>
      </c>
      <c r="M156" s="69">
        <v>114584.25</v>
      </c>
      <c r="N156" s="69" t="s">
        <v>110</v>
      </c>
      <c r="O156" s="71">
        <v>234.90600000000001</v>
      </c>
    </row>
    <row r="157" spans="1:15" ht="36">
      <c r="A157" s="64" t="s">
        <v>110</v>
      </c>
      <c r="B157" s="68" t="s">
        <v>154</v>
      </c>
      <c r="C157" s="66" t="s">
        <v>407</v>
      </c>
      <c r="D157" s="68" t="s">
        <v>156</v>
      </c>
      <c r="E157" s="347">
        <v>482.46</v>
      </c>
      <c r="F157" s="347" t="s">
        <v>110</v>
      </c>
      <c r="G157" s="69">
        <v>237.5</v>
      </c>
      <c r="H157" s="69">
        <v>114584.25</v>
      </c>
      <c r="I157" s="69" t="s">
        <v>110</v>
      </c>
      <c r="J157" s="347" t="s">
        <v>110</v>
      </c>
      <c r="K157" s="347" t="s">
        <v>110</v>
      </c>
      <c r="L157" s="69" t="s">
        <v>110</v>
      </c>
      <c r="M157" s="69">
        <v>114584.25</v>
      </c>
      <c r="N157" s="69" t="s">
        <v>110</v>
      </c>
      <c r="O157" s="71" t="s">
        <v>110</v>
      </c>
    </row>
    <row r="158" spans="1:15" ht="36">
      <c r="A158" s="64">
        <v>25</v>
      </c>
      <c r="B158" s="68" t="s">
        <v>408</v>
      </c>
      <c r="C158" s="66" t="s">
        <v>409</v>
      </c>
      <c r="D158" s="68" t="s">
        <v>155</v>
      </c>
      <c r="E158" s="347">
        <v>5</v>
      </c>
      <c r="F158" s="347" t="s">
        <v>110</v>
      </c>
      <c r="G158" s="69">
        <v>471.7</v>
      </c>
      <c r="H158" s="69">
        <v>2358.5</v>
      </c>
      <c r="I158" s="69">
        <v>2088.4</v>
      </c>
      <c r="J158" s="347">
        <v>269.60000000000002</v>
      </c>
      <c r="K158" s="347" t="s">
        <v>110</v>
      </c>
      <c r="L158" s="69">
        <v>0.5</v>
      </c>
      <c r="M158" s="69">
        <v>12237.75</v>
      </c>
      <c r="N158" s="69" t="s">
        <v>110</v>
      </c>
      <c r="O158" s="71">
        <v>25.344999999999999</v>
      </c>
    </row>
    <row r="159" spans="1:15" ht="36">
      <c r="A159" s="64" t="s">
        <v>110</v>
      </c>
      <c r="B159" s="68" t="s">
        <v>154</v>
      </c>
      <c r="C159" s="66" t="s">
        <v>409</v>
      </c>
      <c r="D159" s="68" t="s">
        <v>156</v>
      </c>
      <c r="E159" s="347">
        <v>47.25</v>
      </c>
      <c r="F159" s="347" t="s">
        <v>110</v>
      </c>
      <c r="G159" s="69">
        <v>259</v>
      </c>
      <c r="H159" s="69">
        <v>12237.75</v>
      </c>
      <c r="I159" s="69" t="s">
        <v>110</v>
      </c>
      <c r="J159" s="347" t="s">
        <v>110</v>
      </c>
      <c r="K159" s="347" t="s">
        <v>110</v>
      </c>
      <c r="L159" s="69" t="s">
        <v>110</v>
      </c>
      <c r="M159" s="69">
        <v>12237.75</v>
      </c>
      <c r="N159" s="69" t="s">
        <v>110</v>
      </c>
      <c r="O159" s="71" t="s">
        <v>110</v>
      </c>
    </row>
    <row r="160" spans="1:15">
      <c r="A160" s="64" t="s">
        <v>110</v>
      </c>
      <c r="B160" s="68" t="s">
        <v>110</v>
      </c>
      <c r="C160" s="66" t="s">
        <v>110</v>
      </c>
      <c r="D160" s="68" t="s">
        <v>110</v>
      </c>
      <c r="E160" s="347" t="s">
        <v>110</v>
      </c>
      <c r="F160" s="347" t="s">
        <v>110</v>
      </c>
      <c r="G160" s="69" t="s">
        <v>110</v>
      </c>
      <c r="H160" s="69" t="s">
        <v>110</v>
      </c>
      <c r="I160" s="69" t="s">
        <v>110</v>
      </c>
      <c r="J160" s="347" t="s">
        <v>110</v>
      </c>
      <c r="K160" s="347" t="s">
        <v>110</v>
      </c>
      <c r="L160" s="69" t="s">
        <v>110</v>
      </c>
      <c r="M160" s="69" t="s">
        <v>110</v>
      </c>
      <c r="N160" s="69" t="s">
        <v>110</v>
      </c>
      <c r="O160" s="71" t="s">
        <v>110</v>
      </c>
    </row>
    <row r="161" spans="1:15">
      <c r="A161" s="64" t="s">
        <v>110</v>
      </c>
      <c r="B161" s="68" t="s">
        <v>110</v>
      </c>
      <c r="C161" s="66" t="s">
        <v>110</v>
      </c>
      <c r="D161" s="68" t="s">
        <v>110</v>
      </c>
      <c r="E161" s="347" t="s">
        <v>110</v>
      </c>
      <c r="F161" s="347" t="s">
        <v>110</v>
      </c>
      <c r="G161" s="69" t="s">
        <v>110</v>
      </c>
      <c r="H161" s="69" t="s">
        <v>110</v>
      </c>
      <c r="I161" s="69" t="s">
        <v>110</v>
      </c>
      <c r="J161" s="347" t="s">
        <v>110</v>
      </c>
      <c r="K161" s="347" t="s">
        <v>110</v>
      </c>
      <c r="L161" s="69" t="s">
        <v>110</v>
      </c>
      <c r="M161" s="69" t="s">
        <v>110</v>
      </c>
      <c r="N161" s="69" t="s">
        <v>110</v>
      </c>
      <c r="O161" s="71" t="s">
        <v>110</v>
      </c>
    </row>
    <row r="162" spans="1:15">
      <c r="A162" s="64" t="s">
        <v>110</v>
      </c>
      <c r="B162" s="68" t="s">
        <v>110</v>
      </c>
      <c r="C162" s="66" t="s">
        <v>110</v>
      </c>
      <c r="D162" s="68" t="s">
        <v>110</v>
      </c>
      <c r="E162" s="347" t="s">
        <v>110</v>
      </c>
      <c r="F162" s="347" t="s">
        <v>110</v>
      </c>
      <c r="G162" s="69" t="s">
        <v>110</v>
      </c>
      <c r="H162" s="69" t="s">
        <v>110</v>
      </c>
      <c r="I162" s="69" t="s">
        <v>110</v>
      </c>
      <c r="J162" s="347" t="s">
        <v>110</v>
      </c>
      <c r="K162" s="347" t="s">
        <v>110</v>
      </c>
      <c r="L162" s="69" t="s">
        <v>110</v>
      </c>
      <c r="M162" s="69" t="s">
        <v>110</v>
      </c>
      <c r="N162" s="69" t="s">
        <v>110</v>
      </c>
      <c r="O162" s="71" t="s">
        <v>110</v>
      </c>
    </row>
    <row r="163" spans="1:15">
      <c r="A163" s="64" t="s">
        <v>110</v>
      </c>
      <c r="B163" s="68" t="s">
        <v>110</v>
      </c>
      <c r="C163" s="66" t="s">
        <v>110</v>
      </c>
      <c r="D163" s="68" t="s">
        <v>110</v>
      </c>
      <c r="E163" s="347" t="s">
        <v>110</v>
      </c>
      <c r="F163" s="347" t="s">
        <v>110</v>
      </c>
      <c r="G163" s="69" t="s">
        <v>110</v>
      </c>
      <c r="H163" s="69" t="s">
        <v>110</v>
      </c>
      <c r="I163" s="69" t="s">
        <v>110</v>
      </c>
      <c r="J163" s="347" t="s">
        <v>110</v>
      </c>
      <c r="K163" s="347" t="s">
        <v>110</v>
      </c>
      <c r="L163" s="69" t="s">
        <v>110</v>
      </c>
      <c r="M163" s="69" t="s">
        <v>110</v>
      </c>
      <c r="N163" s="69" t="s">
        <v>110</v>
      </c>
      <c r="O163" s="71" t="s">
        <v>110</v>
      </c>
    </row>
    <row r="164" spans="1:15">
      <c r="A164" s="64" t="s">
        <v>110</v>
      </c>
      <c r="B164" s="68" t="s">
        <v>110</v>
      </c>
      <c r="C164" s="66" t="s">
        <v>110</v>
      </c>
      <c r="D164" s="68" t="s">
        <v>110</v>
      </c>
      <c r="E164" s="347" t="s">
        <v>110</v>
      </c>
      <c r="F164" s="347" t="s">
        <v>110</v>
      </c>
      <c r="G164" s="69" t="s">
        <v>110</v>
      </c>
      <c r="H164" s="69" t="s">
        <v>110</v>
      </c>
      <c r="I164" s="69" t="s">
        <v>110</v>
      </c>
      <c r="J164" s="347" t="s">
        <v>110</v>
      </c>
      <c r="K164" s="347" t="s">
        <v>110</v>
      </c>
      <c r="L164" s="69" t="s">
        <v>110</v>
      </c>
      <c r="M164" s="69" t="s">
        <v>110</v>
      </c>
      <c r="N164" s="69" t="s">
        <v>110</v>
      </c>
      <c r="O164" s="71" t="s">
        <v>110</v>
      </c>
    </row>
    <row r="165" spans="1:15">
      <c r="A165" s="64" t="s">
        <v>110</v>
      </c>
      <c r="B165" s="68" t="s">
        <v>110</v>
      </c>
      <c r="C165" s="66" t="s">
        <v>110</v>
      </c>
      <c r="D165" s="68" t="s">
        <v>110</v>
      </c>
      <c r="E165" s="347" t="s">
        <v>110</v>
      </c>
      <c r="F165" s="347" t="s">
        <v>110</v>
      </c>
      <c r="G165" s="69" t="s">
        <v>110</v>
      </c>
      <c r="H165" s="69" t="s">
        <v>110</v>
      </c>
      <c r="I165" s="69" t="s">
        <v>110</v>
      </c>
      <c r="J165" s="347" t="s">
        <v>110</v>
      </c>
      <c r="K165" s="347" t="s">
        <v>110</v>
      </c>
      <c r="L165" s="69" t="s">
        <v>110</v>
      </c>
      <c r="M165" s="69" t="s">
        <v>110</v>
      </c>
      <c r="N165" s="69" t="s">
        <v>110</v>
      </c>
      <c r="O165" s="71" t="s">
        <v>110</v>
      </c>
    </row>
    <row r="166" spans="1:15">
      <c r="A166" s="64" t="s">
        <v>110</v>
      </c>
      <c r="B166" s="68" t="s">
        <v>110</v>
      </c>
      <c r="C166" s="66" t="s">
        <v>110</v>
      </c>
      <c r="D166" s="68" t="s">
        <v>110</v>
      </c>
      <c r="E166" s="347" t="s">
        <v>110</v>
      </c>
      <c r="F166" s="347" t="s">
        <v>110</v>
      </c>
      <c r="G166" s="69" t="s">
        <v>110</v>
      </c>
      <c r="H166" s="69" t="s">
        <v>110</v>
      </c>
      <c r="I166" s="69" t="s">
        <v>110</v>
      </c>
      <c r="J166" s="347" t="s">
        <v>110</v>
      </c>
      <c r="K166" s="347" t="s">
        <v>110</v>
      </c>
      <c r="L166" s="69" t="s">
        <v>110</v>
      </c>
      <c r="M166" s="69" t="s">
        <v>110</v>
      </c>
      <c r="N166" s="69" t="s">
        <v>110</v>
      </c>
      <c r="O166" s="71" t="s">
        <v>110</v>
      </c>
    </row>
    <row r="167" spans="1:15" ht="14.25" thickBot="1">
      <c r="A167" s="349" t="s">
        <v>135</v>
      </c>
      <c r="B167" s="350" t="s">
        <v>110</v>
      </c>
      <c r="C167" s="350" t="s">
        <v>110</v>
      </c>
      <c r="D167" s="350" t="s">
        <v>110</v>
      </c>
      <c r="E167" s="350" t="s">
        <v>110</v>
      </c>
      <c r="F167" s="350" t="s">
        <v>110</v>
      </c>
      <c r="G167" s="350" t="s">
        <v>110</v>
      </c>
      <c r="H167" s="70">
        <v>1524270.36</v>
      </c>
      <c r="I167" s="70">
        <v>250776.33</v>
      </c>
      <c r="J167" s="348">
        <v>64438.25</v>
      </c>
      <c r="K167" s="348" t="s">
        <v>110</v>
      </c>
      <c r="L167" s="70">
        <v>8333.64</v>
      </c>
      <c r="M167" s="70">
        <v>1200722.19</v>
      </c>
      <c r="N167" s="70" t="s">
        <v>110</v>
      </c>
      <c r="O167" s="72">
        <v>3069.0645</v>
      </c>
    </row>
    <row r="168" spans="1:15">
      <c r="A168" s="341" t="s">
        <v>288</v>
      </c>
      <c r="B168" s="341" t="s">
        <v>110</v>
      </c>
      <c r="C168" s="341" t="s">
        <v>110</v>
      </c>
      <c r="D168" s="341" t="s">
        <v>110</v>
      </c>
      <c r="E168" s="341" t="s">
        <v>110</v>
      </c>
      <c r="F168" s="338" t="s">
        <v>289</v>
      </c>
      <c r="G168" s="338" t="s">
        <v>110</v>
      </c>
      <c r="H168" s="338" t="s">
        <v>110</v>
      </c>
      <c r="I168" s="338" t="s">
        <v>110</v>
      </c>
      <c r="J168" s="338" t="s">
        <v>110</v>
      </c>
      <c r="K168" s="334" t="s">
        <v>290</v>
      </c>
      <c r="L168" s="334" t="s">
        <v>110</v>
      </c>
      <c r="M168" s="334" t="s">
        <v>110</v>
      </c>
      <c r="N168" s="334" t="s">
        <v>110</v>
      </c>
      <c r="O168" s="334" t="s">
        <v>110</v>
      </c>
    </row>
  </sheetData>
  <mergeCells count="371"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7:F7"/>
    <mergeCell ref="J7:K7"/>
    <mergeCell ref="E8:F8"/>
    <mergeCell ref="J8:K8"/>
    <mergeCell ref="E9:F9"/>
    <mergeCell ref="J9:K9"/>
    <mergeCell ref="E4:F4"/>
    <mergeCell ref="J4:K4"/>
    <mergeCell ref="E5:F5"/>
    <mergeCell ref="J5:K5"/>
    <mergeCell ref="E6:F6"/>
    <mergeCell ref="J6:K6"/>
    <mergeCell ref="E13:F13"/>
    <mergeCell ref="J13:K13"/>
    <mergeCell ref="E14:F14"/>
    <mergeCell ref="J14:K14"/>
    <mergeCell ref="E15:F15"/>
    <mergeCell ref="J15:K15"/>
    <mergeCell ref="E10:F10"/>
    <mergeCell ref="J10:K10"/>
    <mergeCell ref="E11:F11"/>
    <mergeCell ref="J11:K11"/>
    <mergeCell ref="E12:F12"/>
    <mergeCell ref="J12:K12"/>
    <mergeCell ref="E19:F19"/>
    <mergeCell ref="J19:K19"/>
    <mergeCell ref="E20:F20"/>
    <mergeCell ref="J20:K20"/>
    <mergeCell ref="E21:F21"/>
    <mergeCell ref="J21:K21"/>
    <mergeCell ref="E16:F16"/>
    <mergeCell ref="J16:K16"/>
    <mergeCell ref="E17:F17"/>
    <mergeCell ref="J17:K17"/>
    <mergeCell ref="E18:F18"/>
    <mergeCell ref="J18:K18"/>
    <mergeCell ref="E25:F25"/>
    <mergeCell ref="J25:K25"/>
    <mergeCell ref="A26:E26"/>
    <mergeCell ref="F26:J26"/>
    <mergeCell ref="K26:O26"/>
    <mergeCell ref="A27:O27"/>
    <mergeCell ref="E22:F22"/>
    <mergeCell ref="J22:K22"/>
    <mergeCell ref="E23:F23"/>
    <mergeCell ref="J23:K23"/>
    <mergeCell ref="E24:F24"/>
    <mergeCell ref="J24:K24"/>
    <mergeCell ref="J30:K30"/>
    <mergeCell ref="E31:F31"/>
    <mergeCell ref="J31:K31"/>
    <mergeCell ref="E32:F32"/>
    <mergeCell ref="J32:K32"/>
    <mergeCell ref="E33:F33"/>
    <mergeCell ref="J33:K33"/>
    <mergeCell ref="A28:J28"/>
    <mergeCell ref="K28:O28"/>
    <mergeCell ref="A29:A30"/>
    <mergeCell ref="B29:B30"/>
    <mergeCell ref="C29:C30"/>
    <mergeCell ref="D29:F29"/>
    <mergeCell ref="G29:H29"/>
    <mergeCell ref="I29:N29"/>
    <mergeCell ref="O29:O30"/>
    <mergeCell ref="E30:F30"/>
    <mergeCell ref="E37:F37"/>
    <mergeCell ref="J37:K37"/>
    <mergeCell ref="E38:F38"/>
    <mergeCell ref="J38:K38"/>
    <mergeCell ref="E39:F39"/>
    <mergeCell ref="J39:K39"/>
    <mergeCell ref="E34:F34"/>
    <mergeCell ref="J34:K34"/>
    <mergeCell ref="E35:F35"/>
    <mergeCell ref="J35:K35"/>
    <mergeCell ref="E36:F36"/>
    <mergeCell ref="J36:K36"/>
    <mergeCell ref="E43:F43"/>
    <mergeCell ref="J43:K43"/>
    <mergeCell ref="E44:F44"/>
    <mergeCell ref="J44:K44"/>
    <mergeCell ref="E45:F45"/>
    <mergeCell ref="J45:K45"/>
    <mergeCell ref="E40:F40"/>
    <mergeCell ref="J40:K40"/>
    <mergeCell ref="E41:F41"/>
    <mergeCell ref="J41:K41"/>
    <mergeCell ref="E42:F42"/>
    <mergeCell ref="J42:K42"/>
    <mergeCell ref="E49:F49"/>
    <mergeCell ref="J49:K49"/>
    <mergeCell ref="E50:F50"/>
    <mergeCell ref="J50:K50"/>
    <mergeCell ref="A51:E51"/>
    <mergeCell ref="F51:J51"/>
    <mergeCell ref="K51:O51"/>
    <mergeCell ref="E46:F46"/>
    <mergeCell ref="J46:K46"/>
    <mergeCell ref="E47:F47"/>
    <mergeCell ref="J47:K47"/>
    <mergeCell ref="E48:F48"/>
    <mergeCell ref="J48:K48"/>
    <mergeCell ref="A52:O52"/>
    <mergeCell ref="A53:J53"/>
    <mergeCell ref="K53:O53"/>
    <mergeCell ref="A54:A55"/>
    <mergeCell ref="B54:B55"/>
    <mergeCell ref="C54:C55"/>
    <mergeCell ref="D54:F54"/>
    <mergeCell ref="G54:H54"/>
    <mergeCell ref="I54:N54"/>
    <mergeCell ref="O54:O55"/>
    <mergeCell ref="E58:F58"/>
    <mergeCell ref="J58:K58"/>
    <mergeCell ref="E59:F59"/>
    <mergeCell ref="J59:K59"/>
    <mergeCell ref="E60:F60"/>
    <mergeCell ref="J60:K60"/>
    <mergeCell ref="E55:F55"/>
    <mergeCell ref="J55:K55"/>
    <mergeCell ref="E56:F56"/>
    <mergeCell ref="J56:K56"/>
    <mergeCell ref="E57:F57"/>
    <mergeCell ref="J57:K57"/>
    <mergeCell ref="E64:F64"/>
    <mergeCell ref="J64:K64"/>
    <mergeCell ref="E65:F65"/>
    <mergeCell ref="J65:K65"/>
    <mergeCell ref="E66:F66"/>
    <mergeCell ref="J66:K66"/>
    <mergeCell ref="E61:F61"/>
    <mergeCell ref="J61:K61"/>
    <mergeCell ref="E62:F62"/>
    <mergeCell ref="J62:K62"/>
    <mergeCell ref="E63:F63"/>
    <mergeCell ref="J63:K63"/>
    <mergeCell ref="E70:F70"/>
    <mergeCell ref="J70:K70"/>
    <mergeCell ref="E71:F71"/>
    <mergeCell ref="J71:K71"/>
    <mergeCell ref="E72:F72"/>
    <mergeCell ref="J72:K72"/>
    <mergeCell ref="E67:F67"/>
    <mergeCell ref="J67:K67"/>
    <mergeCell ref="E68:F68"/>
    <mergeCell ref="J68:K68"/>
    <mergeCell ref="E69:F69"/>
    <mergeCell ref="J69:K69"/>
    <mergeCell ref="A76:E76"/>
    <mergeCell ref="F76:J76"/>
    <mergeCell ref="K76:O76"/>
    <mergeCell ref="A77:O77"/>
    <mergeCell ref="A78:J78"/>
    <mergeCell ref="K78:O78"/>
    <mergeCell ref="E73:F73"/>
    <mergeCell ref="J73:K73"/>
    <mergeCell ref="E74:F74"/>
    <mergeCell ref="J74:K74"/>
    <mergeCell ref="E75:F75"/>
    <mergeCell ref="J75:K75"/>
    <mergeCell ref="O79:O80"/>
    <mergeCell ref="E80:F80"/>
    <mergeCell ref="J80:K80"/>
    <mergeCell ref="E81:F81"/>
    <mergeCell ref="J81:K81"/>
    <mergeCell ref="E82:F82"/>
    <mergeCell ref="J82:K82"/>
    <mergeCell ref="A79:A80"/>
    <mergeCell ref="B79:B80"/>
    <mergeCell ref="C79:C80"/>
    <mergeCell ref="D79:F79"/>
    <mergeCell ref="G79:H79"/>
    <mergeCell ref="I79:N79"/>
    <mergeCell ref="E86:F86"/>
    <mergeCell ref="J86:K86"/>
    <mergeCell ref="E87:F87"/>
    <mergeCell ref="J87:K87"/>
    <mergeCell ref="E88:F88"/>
    <mergeCell ref="J88:K88"/>
    <mergeCell ref="E83:F83"/>
    <mergeCell ref="J83:K83"/>
    <mergeCell ref="E84:F84"/>
    <mergeCell ref="J84:K84"/>
    <mergeCell ref="E85:F85"/>
    <mergeCell ref="J85:K85"/>
    <mergeCell ref="E92:F92"/>
    <mergeCell ref="J92:K92"/>
    <mergeCell ref="E93:F93"/>
    <mergeCell ref="J93:K93"/>
    <mergeCell ref="E94:F94"/>
    <mergeCell ref="J94:K94"/>
    <mergeCell ref="E89:F89"/>
    <mergeCell ref="J89:K89"/>
    <mergeCell ref="E90:F90"/>
    <mergeCell ref="J90:K90"/>
    <mergeCell ref="E91:F91"/>
    <mergeCell ref="J91:K91"/>
    <mergeCell ref="E98:F98"/>
    <mergeCell ref="J98:K98"/>
    <mergeCell ref="E99:F99"/>
    <mergeCell ref="J99:K99"/>
    <mergeCell ref="E100:F100"/>
    <mergeCell ref="J100:K100"/>
    <mergeCell ref="E95:F95"/>
    <mergeCell ref="J95:K95"/>
    <mergeCell ref="E96:F96"/>
    <mergeCell ref="J96:K96"/>
    <mergeCell ref="E97:F97"/>
    <mergeCell ref="J97:K97"/>
    <mergeCell ref="A104:A105"/>
    <mergeCell ref="B104:B105"/>
    <mergeCell ref="C104:C105"/>
    <mergeCell ref="D104:F104"/>
    <mergeCell ref="G104:H104"/>
    <mergeCell ref="I104:N104"/>
    <mergeCell ref="A101:E101"/>
    <mergeCell ref="F101:J101"/>
    <mergeCell ref="K101:O101"/>
    <mergeCell ref="A102:O102"/>
    <mergeCell ref="A103:J103"/>
    <mergeCell ref="K103:O103"/>
    <mergeCell ref="E108:F108"/>
    <mergeCell ref="J108:K108"/>
    <mergeCell ref="E109:F109"/>
    <mergeCell ref="J109:K109"/>
    <mergeCell ref="E110:F110"/>
    <mergeCell ref="J110:K110"/>
    <mergeCell ref="O104:O105"/>
    <mergeCell ref="E105:F105"/>
    <mergeCell ref="J105:K105"/>
    <mergeCell ref="E106:F106"/>
    <mergeCell ref="J106:K106"/>
    <mergeCell ref="E107:F107"/>
    <mergeCell ref="J107:K107"/>
    <mergeCell ref="E114:F114"/>
    <mergeCell ref="J114:K114"/>
    <mergeCell ref="E115:F115"/>
    <mergeCell ref="J115:K115"/>
    <mergeCell ref="E116:F116"/>
    <mergeCell ref="J116:K116"/>
    <mergeCell ref="E111:F111"/>
    <mergeCell ref="J111:K111"/>
    <mergeCell ref="E112:F112"/>
    <mergeCell ref="J112:K112"/>
    <mergeCell ref="E113:F113"/>
    <mergeCell ref="J113:K113"/>
    <mergeCell ref="E120:F120"/>
    <mergeCell ref="J120:K120"/>
    <mergeCell ref="E121:F121"/>
    <mergeCell ref="J121:K121"/>
    <mergeCell ref="E122:F122"/>
    <mergeCell ref="J122:K122"/>
    <mergeCell ref="E117:F117"/>
    <mergeCell ref="J117:K117"/>
    <mergeCell ref="E118:F118"/>
    <mergeCell ref="J118:K118"/>
    <mergeCell ref="E119:F119"/>
    <mergeCell ref="J119:K119"/>
    <mergeCell ref="E126:F126"/>
    <mergeCell ref="J126:K126"/>
    <mergeCell ref="A127:E127"/>
    <mergeCell ref="F127:J127"/>
    <mergeCell ref="K127:O127"/>
    <mergeCell ref="A128:O128"/>
    <mergeCell ref="E123:F123"/>
    <mergeCell ref="J123:K123"/>
    <mergeCell ref="E124:F124"/>
    <mergeCell ref="J124:K124"/>
    <mergeCell ref="E125:F125"/>
    <mergeCell ref="J125:K125"/>
    <mergeCell ref="J131:K131"/>
    <mergeCell ref="E132:F132"/>
    <mergeCell ref="J132:K132"/>
    <mergeCell ref="E133:F133"/>
    <mergeCell ref="J133:K133"/>
    <mergeCell ref="E134:F134"/>
    <mergeCell ref="J134:K134"/>
    <mergeCell ref="A129:J129"/>
    <mergeCell ref="K129:O129"/>
    <mergeCell ref="A130:A131"/>
    <mergeCell ref="B130:B131"/>
    <mergeCell ref="C130:C131"/>
    <mergeCell ref="D130:F130"/>
    <mergeCell ref="G130:H130"/>
    <mergeCell ref="I130:N130"/>
    <mergeCell ref="O130:O131"/>
    <mergeCell ref="E131:F131"/>
    <mergeCell ref="E138:F138"/>
    <mergeCell ref="J138:K138"/>
    <mergeCell ref="E139:F139"/>
    <mergeCell ref="J139:K139"/>
    <mergeCell ref="E140:F140"/>
    <mergeCell ref="J140:K140"/>
    <mergeCell ref="E135:F135"/>
    <mergeCell ref="J135:K135"/>
    <mergeCell ref="E136:F136"/>
    <mergeCell ref="J136:K136"/>
    <mergeCell ref="E137:F137"/>
    <mergeCell ref="J137:K137"/>
    <mergeCell ref="E144:F144"/>
    <mergeCell ref="J144:K144"/>
    <mergeCell ref="E145:F145"/>
    <mergeCell ref="J145:K145"/>
    <mergeCell ref="E146:F146"/>
    <mergeCell ref="J146:K146"/>
    <mergeCell ref="E141:F141"/>
    <mergeCell ref="J141:K141"/>
    <mergeCell ref="E142:F142"/>
    <mergeCell ref="J142:K142"/>
    <mergeCell ref="E143:F143"/>
    <mergeCell ref="J143:K143"/>
    <mergeCell ref="A150:A151"/>
    <mergeCell ref="B150:B151"/>
    <mergeCell ref="C150:C151"/>
    <mergeCell ref="D150:F150"/>
    <mergeCell ref="G150:H150"/>
    <mergeCell ref="I150:N150"/>
    <mergeCell ref="A147:E147"/>
    <mergeCell ref="F147:J147"/>
    <mergeCell ref="K147:O147"/>
    <mergeCell ref="A148:O148"/>
    <mergeCell ref="A149:J149"/>
    <mergeCell ref="K149:O149"/>
    <mergeCell ref="E154:F154"/>
    <mergeCell ref="J154:K154"/>
    <mergeCell ref="E155:F155"/>
    <mergeCell ref="J155:K155"/>
    <mergeCell ref="E156:F156"/>
    <mergeCell ref="J156:K156"/>
    <mergeCell ref="O150:O151"/>
    <mergeCell ref="E151:F151"/>
    <mergeCell ref="J151:K151"/>
    <mergeCell ref="E152:F152"/>
    <mergeCell ref="J152:K152"/>
    <mergeCell ref="E153:F153"/>
    <mergeCell ref="J153:K153"/>
    <mergeCell ref="E160:F160"/>
    <mergeCell ref="J160:K160"/>
    <mergeCell ref="E161:F161"/>
    <mergeCell ref="J161:K161"/>
    <mergeCell ref="E162:F162"/>
    <mergeCell ref="J162:K162"/>
    <mergeCell ref="E157:F157"/>
    <mergeCell ref="J157:K157"/>
    <mergeCell ref="E158:F158"/>
    <mergeCell ref="J158:K158"/>
    <mergeCell ref="E159:F159"/>
    <mergeCell ref="J159:K159"/>
    <mergeCell ref="E166:F166"/>
    <mergeCell ref="J166:K166"/>
    <mergeCell ref="A167:G167"/>
    <mergeCell ref="J167:K167"/>
    <mergeCell ref="A168:E168"/>
    <mergeCell ref="F168:J168"/>
    <mergeCell ref="K168:O168"/>
    <mergeCell ref="E163:F163"/>
    <mergeCell ref="J163:K163"/>
    <mergeCell ref="E164:F164"/>
    <mergeCell ref="J164:K164"/>
    <mergeCell ref="E165:F165"/>
    <mergeCell ref="J165:K165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opLeftCell="A52" workbookViewId="0">
      <selection activeCell="F6" sqref="F6"/>
    </sheetView>
  </sheetViews>
  <sheetFormatPr defaultRowHeight="13.5"/>
  <cols>
    <col min="2" max="2" width="20.75" customWidth="1"/>
    <col min="3" max="3" width="22.125" customWidth="1"/>
  </cols>
  <sheetData>
    <row r="1" spans="1:25" ht="20.25">
      <c r="A1" s="76" t="s">
        <v>410</v>
      </c>
      <c r="B1" s="77"/>
      <c r="C1" s="78"/>
      <c r="D1" s="79"/>
      <c r="E1" s="80"/>
      <c r="F1" s="81"/>
      <c r="G1" s="82"/>
      <c r="H1" s="83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</row>
    <row r="2" spans="1:25" ht="20.25">
      <c r="A2" s="354" t="s">
        <v>411</v>
      </c>
      <c r="B2" s="354"/>
      <c r="C2" s="354"/>
      <c r="D2" s="354"/>
      <c r="E2" s="354"/>
      <c r="F2" s="354"/>
      <c r="G2" s="354"/>
      <c r="H2" s="354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</row>
    <row r="3" spans="1:25">
      <c r="A3" s="355">
        <v>0</v>
      </c>
      <c r="B3" s="355"/>
      <c r="C3" s="355"/>
      <c r="D3" s="355"/>
      <c r="E3" s="355"/>
      <c r="F3" s="86"/>
      <c r="G3" s="87"/>
      <c r="H3" s="88"/>
      <c r="I3" s="87" t="s">
        <v>412</v>
      </c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</row>
    <row r="4" spans="1:25">
      <c r="A4" s="361" t="s">
        <v>112</v>
      </c>
      <c r="B4" s="351" t="s">
        <v>413</v>
      </c>
      <c r="C4" s="351" t="s">
        <v>414</v>
      </c>
      <c r="D4" s="362" t="s">
        <v>133</v>
      </c>
      <c r="E4" s="356" t="s">
        <v>134</v>
      </c>
      <c r="F4" s="357" t="s">
        <v>298</v>
      </c>
      <c r="G4" s="359" t="s">
        <v>135</v>
      </c>
      <c r="H4" s="351" t="s">
        <v>415</v>
      </c>
      <c r="I4" s="352" t="s">
        <v>113</v>
      </c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spans="1:25" ht="13.5" customHeight="1">
      <c r="A5" s="361"/>
      <c r="B5" s="351"/>
      <c r="C5" s="351"/>
      <c r="D5" s="363"/>
      <c r="E5" s="356"/>
      <c r="F5" s="358"/>
      <c r="G5" s="360"/>
      <c r="H5" s="351"/>
      <c r="I5" s="353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 s="135" customFormat="1" ht="37.5" customHeight="1">
      <c r="A6" s="90">
        <v>1</v>
      </c>
      <c r="B6" s="134" t="s">
        <v>416</v>
      </c>
      <c r="C6" s="91" t="s">
        <v>417</v>
      </c>
      <c r="D6" s="102" t="s">
        <v>162</v>
      </c>
      <c r="E6" s="93">
        <v>4</v>
      </c>
      <c r="F6" s="133">
        <v>0.6</v>
      </c>
      <c r="G6" s="93">
        <f>F6*E6</f>
        <v>2.4</v>
      </c>
      <c r="H6" s="96">
        <f>G6*0.1</f>
        <v>0.24</v>
      </c>
      <c r="I6" s="97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</row>
    <row r="7" spans="1:25" s="135" customFormat="1" ht="37.5" customHeight="1">
      <c r="A7" s="90">
        <v>2</v>
      </c>
      <c r="B7" s="120" t="s">
        <v>418</v>
      </c>
      <c r="C7" s="91" t="s">
        <v>419</v>
      </c>
      <c r="D7" s="102" t="s">
        <v>162</v>
      </c>
      <c r="E7" s="93">
        <v>1</v>
      </c>
      <c r="F7" s="133">
        <v>0.4</v>
      </c>
      <c r="G7" s="93">
        <f>F7*E7</f>
        <v>0.4</v>
      </c>
      <c r="H7" s="96">
        <f>G7*0.1</f>
        <v>4.0000000000000008E-2</v>
      </c>
      <c r="I7" s="97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</row>
    <row r="8" spans="1:25" ht="37.5" customHeight="1">
      <c r="A8" s="100"/>
      <c r="B8" s="101"/>
      <c r="C8" s="101"/>
      <c r="D8" s="102"/>
      <c r="E8" s="93"/>
      <c r="F8" s="94"/>
      <c r="G8" s="95"/>
      <c r="H8" s="103"/>
      <c r="I8" s="104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spans="1:25" ht="37.5" customHeight="1">
      <c r="A9" s="100"/>
      <c r="B9" s="106"/>
      <c r="C9" s="106"/>
      <c r="D9" s="107"/>
      <c r="E9" s="108"/>
      <c r="F9" s="94"/>
      <c r="G9" s="95"/>
      <c r="H9" s="103"/>
      <c r="I9" s="104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</row>
    <row r="10" spans="1:25" ht="37.5" customHeight="1">
      <c r="A10" s="100"/>
      <c r="B10" s="109"/>
      <c r="C10" s="110"/>
      <c r="D10" s="107"/>
      <c r="E10" s="108"/>
      <c r="F10" s="94"/>
      <c r="G10" s="95"/>
      <c r="H10" s="103"/>
      <c r="I10" s="104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</row>
    <row r="11" spans="1:25" ht="37.5" customHeight="1">
      <c r="A11" s="100"/>
      <c r="B11" s="99"/>
      <c r="C11" s="110"/>
      <c r="D11" s="107"/>
      <c r="E11" s="108"/>
      <c r="F11" s="94"/>
      <c r="G11" s="95"/>
      <c r="H11" s="103"/>
      <c r="I11" s="104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</row>
    <row r="12" spans="1:25" ht="37.5" customHeight="1">
      <c r="A12" s="100"/>
      <c r="B12" s="111"/>
      <c r="C12" s="106"/>
      <c r="D12" s="92"/>
      <c r="E12" s="93"/>
      <c r="F12" s="94"/>
      <c r="G12" s="95"/>
      <c r="H12" s="103"/>
      <c r="I12" s="104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</row>
    <row r="13" spans="1:25" ht="37.5" customHeight="1">
      <c r="A13" s="100"/>
      <c r="B13" s="110"/>
      <c r="C13" s="101"/>
      <c r="D13" s="102"/>
      <c r="E13" s="93"/>
      <c r="F13" s="94"/>
      <c r="G13" s="95"/>
      <c r="H13" s="103"/>
      <c r="I13" s="104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</row>
    <row r="14" spans="1:25" ht="37.5" customHeight="1">
      <c r="A14" s="100"/>
      <c r="B14" s="110"/>
      <c r="C14" s="101"/>
      <c r="D14" s="107"/>
      <c r="E14" s="108"/>
      <c r="F14" s="94"/>
      <c r="G14" s="95"/>
      <c r="H14" s="103"/>
      <c r="I14" s="104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</row>
    <row r="15" spans="1:25" ht="37.5" customHeight="1">
      <c r="A15" s="100"/>
      <c r="B15" s="109"/>
      <c r="C15" s="110"/>
      <c r="D15" s="107"/>
      <c r="E15" s="108"/>
      <c r="F15" s="94"/>
      <c r="G15" s="95"/>
      <c r="H15" s="103"/>
      <c r="I15" s="104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</row>
    <row r="16" spans="1:25" ht="37.5" customHeight="1">
      <c r="A16" s="100"/>
      <c r="B16" s="99"/>
      <c r="C16" s="110"/>
      <c r="D16" s="107"/>
      <c r="E16" s="108"/>
      <c r="F16" s="94"/>
      <c r="G16" s="95"/>
      <c r="H16" s="103"/>
      <c r="I16" s="104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</row>
    <row r="17" spans="1:25" ht="37.5" customHeight="1">
      <c r="A17" s="100"/>
      <c r="B17" s="112"/>
      <c r="C17" s="106"/>
      <c r="D17" s="92"/>
      <c r="E17" s="93"/>
      <c r="F17" s="94"/>
      <c r="G17" s="95"/>
      <c r="H17" s="103"/>
      <c r="I17" s="104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</row>
    <row r="18" spans="1:25" ht="37.5" customHeight="1">
      <c r="A18" s="100"/>
      <c r="B18" s="110"/>
      <c r="C18" s="101"/>
      <c r="D18" s="102"/>
      <c r="E18" s="93"/>
      <c r="F18" s="94"/>
      <c r="G18" s="95"/>
      <c r="H18" s="103"/>
      <c r="I18" s="104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</row>
    <row r="19" spans="1:25" ht="37.5" customHeight="1">
      <c r="A19" s="100"/>
      <c r="B19" s="110"/>
      <c r="C19" s="101"/>
      <c r="D19" s="107"/>
      <c r="E19" s="108"/>
      <c r="F19" s="94"/>
      <c r="G19" s="95"/>
      <c r="H19" s="103"/>
      <c r="I19" s="104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</row>
    <row r="20" spans="1:25" ht="37.5" customHeight="1">
      <c r="A20" s="100"/>
      <c r="B20" s="109"/>
      <c r="C20" s="110"/>
      <c r="D20" s="107"/>
      <c r="E20" s="108"/>
      <c r="F20" s="94"/>
      <c r="G20" s="95"/>
      <c r="H20" s="103"/>
      <c r="I20" s="104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</row>
    <row r="21" spans="1:25" ht="37.5" customHeight="1">
      <c r="A21" s="100"/>
      <c r="B21" s="109"/>
      <c r="C21" s="110"/>
      <c r="D21" s="113"/>
      <c r="E21" s="93"/>
      <c r="F21" s="94"/>
      <c r="G21" s="95"/>
      <c r="H21" s="103"/>
      <c r="I21" s="104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</row>
    <row r="22" spans="1:25" ht="37.5" customHeight="1">
      <c r="A22" s="100"/>
      <c r="B22" s="99"/>
      <c r="C22" s="110"/>
      <c r="D22" s="113"/>
      <c r="E22" s="93"/>
      <c r="F22" s="94"/>
      <c r="G22" s="95"/>
      <c r="H22" s="103"/>
      <c r="I22" s="104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</row>
    <row r="23" spans="1:25" ht="37.5" customHeight="1">
      <c r="A23" s="90"/>
      <c r="B23" s="114"/>
      <c r="C23" s="114"/>
      <c r="D23" s="92"/>
      <c r="E23" s="93"/>
      <c r="F23" s="94"/>
      <c r="G23" s="95"/>
      <c r="H23" s="115"/>
      <c r="I23" s="97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</row>
    <row r="24" spans="1:25" ht="37.5" customHeight="1">
      <c r="A24" s="90"/>
      <c r="B24" s="116"/>
      <c r="C24" s="117"/>
      <c r="D24" s="92"/>
      <c r="E24" s="93"/>
      <c r="F24" s="94"/>
      <c r="G24" s="95"/>
      <c r="H24" s="118"/>
      <c r="I24" s="97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</row>
    <row r="25" spans="1:25" ht="37.5" customHeight="1">
      <c r="A25" s="90"/>
      <c r="B25" s="111"/>
      <c r="C25" s="119"/>
      <c r="D25" s="92"/>
      <c r="E25" s="93"/>
      <c r="F25" s="94"/>
      <c r="G25" s="95"/>
      <c r="H25" s="118"/>
      <c r="I25" s="97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</row>
    <row r="26" spans="1:25" ht="37.5" customHeight="1">
      <c r="A26" s="90"/>
      <c r="B26" s="120"/>
      <c r="C26" s="117"/>
      <c r="D26" s="102"/>
      <c r="E26" s="93"/>
      <c r="F26" s="94"/>
      <c r="G26" s="95"/>
      <c r="H26" s="118"/>
      <c r="I26" s="97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</row>
    <row r="27" spans="1:25" ht="37.5" customHeight="1">
      <c r="A27" s="90"/>
      <c r="B27" s="120"/>
      <c r="C27" s="117"/>
      <c r="D27" s="92"/>
      <c r="E27" s="93"/>
      <c r="F27" s="94"/>
      <c r="G27" s="95"/>
      <c r="H27" s="118"/>
      <c r="I27" s="97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</row>
    <row r="28" spans="1:25" ht="37.5" customHeight="1">
      <c r="A28" s="90"/>
      <c r="B28" s="120"/>
      <c r="C28" s="117"/>
      <c r="D28" s="92"/>
      <c r="E28" s="93"/>
      <c r="F28" s="94"/>
      <c r="G28" s="95"/>
      <c r="H28" s="118"/>
      <c r="I28" s="97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</row>
    <row r="29" spans="1:25" ht="37.5" customHeight="1">
      <c r="A29" s="90"/>
      <c r="B29" s="109"/>
      <c r="C29" s="109"/>
      <c r="D29" s="121"/>
      <c r="E29" s="122"/>
      <c r="F29" s="94"/>
      <c r="G29" s="95"/>
      <c r="H29" s="118"/>
      <c r="I29" s="97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</row>
    <row r="30" spans="1:25" ht="37.5" customHeight="1">
      <c r="A30" s="90"/>
      <c r="B30" s="109"/>
      <c r="C30" s="109"/>
      <c r="D30" s="121"/>
      <c r="E30" s="122"/>
      <c r="F30" s="94"/>
      <c r="G30" s="95"/>
      <c r="H30" s="118"/>
      <c r="I30" s="97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</row>
    <row r="31" spans="1:25" ht="37.5" customHeight="1">
      <c r="A31" s="90"/>
      <c r="B31" s="123"/>
      <c r="C31" s="109"/>
      <c r="D31" s="121"/>
      <c r="E31" s="122"/>
      <c r="F31" s="94"/>
      <c r="G31" s="95"/>
      <c r="H31" s="118"/>
      <c r="I31" s="97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</row>
    <row r="32" spans="1:25" ht="37.5" customHeight="1">
      <c r="A32" s="90"/>
      <c r="B32" s="114"/>
      <c r="C32" s="117"/>
      <c r="D32" s="92"/>
      <c r="E32" s="93"/>
      <c r="F32" s="94"/>
      <c r="G32" s="95"/>
      <c r="H32" s="118"/>
      <c r="I32" s="97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</row>
    <row r="33" spans="1:25" ht="37.5" customHeight="1">
      <c r="A33" s="90"/>
      <c r="B33" s="111"/>
      <c r="C33" s="117"/>
      <c r="D33" s="92"/>
      <c r="E33" s="93"/>
      <c r="F33" s="94"/>
      <c r="G33" s="95"/>
      <c r="H33" s="118"/>
      <c r="I33" s="97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</row>
    <row r="34" spans="1:25" ht="37.5" customHeight="1">
      <c r="A34" s="90"/>
      <c r="B34" s="120"/>
      <c r="C34" s="117"/>
      <c r="D34" s="92"/>
      <c r="E34" s="93"/>
      <c r="F34" s="94"/>
      <c r="G34" s="95"/>
      <c r="H34" s="118"/>
      <c r="I34" s="97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</row>
    <row r="35" spans="1:25" ht="37.5" customHeight="1">
      <c r="A35" s="90"/>
      <c r="B35" s="109"/>
      <c r="C35" s="109"/>
      <c r="D35" s="121"/>
      <c r="E35" s="122"/>
      <c r="F35" s="94"/>
      <c r="G35" s="95"/>
      <c r="H35" s="118"/>
      <c r="I35" s="97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</row>
    <row r="36" spans="1:25" ht="37.5" customHeight="1">
      <c r="A36" s="90"/>
      <c r="B36" s="109"/>
      <c r="C36" s="109"/>
      <c r="D36" s="121"/>
      <c r="E36" s="122"/>
      <c r="F36" s="94"/>
      <c r="G36" s="95"/>
      <c r="H36" s="118"/>
      <c r="I36" s="97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</row>
    <row r="37" spans="1:25" ht="37.5" customHeight="1">
      <c r="A37" s="90"/>
      <c r="B37" s="123"/>
      <c r="C37" s="109"/>
      <c r="D37" s="121"/>
      <c r="E37" s="122"/>
      <c r="F37" s="94"/>
      <c r="G37" s="95"/>
      <c r="H37" s="118"/>
      <c r="I37" s="97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</row>
    <row r="38" spans="1:25" ht="37.5" customHeight="1">
      <c r="A38" s="90"/>
      <c r="B38" s="114"/>
      <c r="C38" s="117"/>
      <c r="D38" s="92"/>
      <c r="E38" s="93"/>
      <c r="F38" s="94"/>
      <c r="G38" s="95"/>
      <c r="H38" s="115"/>
      <c r="I38" s="97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</row>
    <row r="39" spans="1:25" ht="37.5" customHeight="1">
      <c r="A39" s="90"/>
      <c r="B39" s="111"/>
      <c r="C39" s="117"/>
      <c r="D39" s="92"/>
      <c r="E39" s="93"/>
      <c r="F39" s="94"/>
      <c r="G39" s="95"/>
      <c r="H39" s="118"/>
      <c r="I39" s="97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</row>
    <row r="40" spans="1:25" ht="37.5" customHeight="1">
      <c r="A40" s="90"/>
      <c r="B40" s="120"/>
      <c r="C40" s="117"/>
      <c r="D40" s="92"/>
      <c r="E40" s="93"/>
      <c r="F40" s="94"/>
      <c r="G40" s="95"/>
      <c r="H40" s="118"/>
      <c r="I40" s="97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</row>
    <row r="41" spans="1:25" ht="37.5" customHeight="1">
      <c r="A41" s="90"/>
      <c r="B41" s="120"/>
      <c r="C41" s="117"/>
      <c r="D41" s="92"/>
      <c r="E41" s="93"/>
      <c r="F41" s="94"/>
      <c r="G41" s="95"/>
      <c r="H41" s="118"/>
      <c r="I41" s="97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</row>
    <row r="42" spans="1:25" ht="37.5" customHeight="1">
      <c r="A42" s="90"/>
      <c r="B42" s="120"/>
      <c r="C42" s="117"/>
      <c r="D42" s="92"/>
      <c r="E42" s="93"/>
      <c r="F42" s="94"/>
      <c r="G42" s="95"/>
      <c r="H42" s="118"/>
      <c r="I42" s="97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</row>
    <row r="43" spans="1:25" ht="37.5" customHeight="1">
      <c r="A43" s="90"/>
      <c r="B43" s="109"/>
      <c r="C43" s="109"/>
      <c r="D43" s="121"/>
      <c r="E43" s="122"/>
      <c r="F43" s="94"/>
      <c r="G43" s="95"/>
      <c r="H43" s="118"/>
      <c r="I43" s="97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</row>
    <row r="44" spans="1:25" ht="37.5" customHeight="1">
      <c r="A44" s="90"/>
      <c r="B44" s="109"/>
      <c r="C44" s="109"/>
      <c r="D44" s="121"/>
      <c r="E44" s="122"/>
      <c r="F44" s="94"/>
      <c r="G44" s="95"/>
      <c r="H44" s="118"/>
      <c r="I44" s="97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</row>
    <row r="45" spans="1:25" ht="37.5" customHeight="1">
      <c r="A45" s="90"/>
      <c r="B45" s="114"/>
      <c r="C45" s="117"/>
      <c r="D45" s="92"/>
      <c r="E45" s="93"/>
      <c r="F45" s="94"/>
      <c r="G45" s="95"/>
      <c r="H45" s="115"/>
      <c r="I45" s="97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</row>
    <row r="46" spans="1:25" ht="37.5" customHeight="1">
      <c r="A46" s="90"/>
      <c r="B46" s="111"/>
      <c r="C46" s="119"/>
      <c r="D46" s="92"/>
      <c r="E46" s="93"/>
      <c r="F46" s="94"/>
      <c r="G46" s="95"/>
      <c r="H46" s="118"/>
      <c r="I46" s="97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</row>
    <row r="47" spans="1:25" ht="37.5" customHeight="1">
      <c r="A47" s="90"/>
      <c r="B47" s="120"/>
      <c r="C47" s="124"/>
      <c r="D47" s="125"/>
      <c r="E47" s="93"/>
      <c r="F47" s="94"/>
      <c r="G47" s="95"/>
      <c r="H47" s="118"/>
      <c r="I47" s="97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</row>
    <row r="48" spans="1:25" ht="37.5" customHeight="1">
      <c r="A48" s="90"/>
      <c r="B48" s="109"/>
      <c r="C48" s="109"/>
      <c r="D48" s="121"/>
      <c r="E48" s="122"/>
      <c r="F48" s="94"/>
      <c r="G48" s="95"/>
      <c r="H48" s="118"/>
      <c r="I48" s="97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</row>
    <row r="49" spans="1:25" ht="37.5" customHeight="1">
      <c r="A49" s="90"/>
      <c r="B49" s="109"/>
      <c r="C49" s="109"/>
      <c r="D49" s="121"/>
      <c r="E49" s="122"/>
      <c r="F49" s="94"/>
      <c r="G49" s="95"/>
      <c r="H49" s="118"/>
      <c r="I49" s="97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</row>
    <row r="50" spans="1:25" ht="37.5" customHeight="1">
      <c r="A50" s="90"/>
      <c r="B50" s="114"/>
      <c r="C50" s="117"/>
      <c r="D50" s="92"/>
      <c r="E50" s="93"/>
      <c r="F50" s="94"/>
      <c r="G50" s="95"/>
      <c r="H50" s="115"/>
      <c r="I50" s="97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</row>
    <row r="51" spans="1:25" ht="37.5" customHeight="1">
      <c r="A51" s="90"/>
      <c r="B51" s="109"/>
      <c r="C51" s="117"/>
      <c r="D51" s="92"/>
      <c r="E51" s="93"/>
      <c r="F51" s="94"/>
      <c r="G51" s="95"/>
      <c r="H51" s="118"/>
      <c r="I51" s="126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</row>
    <row r="52" spans="1:25" ht="37.5" customHeight="1">
      <c r="A52" s="90"/>
      <c r="B52" s="111"/>
      <c r="C52" s="117"/>
      <c r="D52" s="92"/>
      <c r="E52" s="93"/>
      <c r="F52" s="94"/>
      <c r="G52" s="95"/>
      <c r="H52" s="118"/>
      <c r="I52" s="126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</row>
    <row r="53" spans="1:25" ht="37.5" customHeight="1">
      <c r="A53" s="90"/>
      <c r="B53" s="111"/>
      <c r="C53" s="117"/>
      <c r="D53" s="92"/>
      <c r="E53" s="93"/>
      <c r="F53" s="94"/>
      <c r="G53" s="95"/>
      <c r="H53" s="118"/>
      <c r="I53" s="126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</row>
    <row r="54" spans="1:25" ht="37.5" customHeight="1">
      <c r="A54" s="90"/>
      <c r="B54" s="109"/>
      <c r="C54" s="128"/>
      <c r="D54" s="102"/>
      <c r="E54" s="93"/>
      <c r="F54" s="94"/>
      <c r="G54" s="95"/>
      <c r="H54" s="118"/>
      <c r="I54" s="126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</row>
    <row r="55" spans="1:25" ht="37.5" customHeight="1">
      <c r="A55" s="90"/>
      <c r="B55" s="109"/>
      <c r="C55" s="128"/>
      <c r="D55" s="102"/>
      <c r="E55" s="93"/>
      <c r="F55" s="94"/>
      <c r="G55" s="95"/>
      <c r="H55" s="118"/>
      <c r="I55" s="126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</row>
    <row r="56" spans="1:25" ht="37.5" customHeight="1">
      <c r="A56" s="90"/>
      <c r="B56" s="109"/>
      <c r="C56" s="128"/>
      <c r="D56" s="102"/>
      <c r="E56" s="93"/>
      <c r="F56" s="94"/>
      <c r="G56" s="95"/>
      <c r="H56" s="118"/>
      <c r="I56" s="126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</row>
    <row r="57" spans="1:25" ht="37.5" customHeight="1">
      <c r="A57" s="90"/>
      <c r="B57" s="109"/>
      <c r="C57" s="128"/>
      <c r="D57" s="102"/>
      <c r="E57" s="93"/>
      <c r="F57" s="94"/>
      <c r="G57" s="95"/>
      <c r="H57" s="118"/>
      <c r="I57" s="126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</row>
    <row r="58" spans="1:25" ht="37.5" customHeight="1">
      <c r="A58" s="129"/>
      <c r="B58" s="129" t="s">
        <v>135</v>
      </c>
      <c r="C58" s="130"/>
      <c r="D58" s="131"/>
      <c r="E58" s="132">
        <f>SUM(E6:E7)</f>
        <v>5</v>
      </c>
      <c r="F58" s="132"/>
      <c r="G58" s="132">
        <f>SUM(G6:G7)</f>
        <v>2.8</v>
      </c>
      <c r="H58" s="132">
        <f>SUM(H6:H7)</f>
        <v>0.28000000000000003</v>
      </c>
      <c r="I58" s="132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</row>
  </sheetData>
  <mergeCells count="11">
    <mergeCell ref="H4:H5"/>
    <mergeCell ref="I4:I5"/>
    <mergeCell ref="A2:H2"/>
    <mergeCell ref="A3:E3"/>
    <mergeCell ref="E4:E5"/>
    <mergeCell ref="F4:F5"/>
    <mergeCell ref="G4:G5"/>
    <mergeCell ref="A4:A5"/>
    <mergeCell ref="B4:B5"/>
    <mergeCell ref="C4:C5"/>
    <mergeCell ref="D4:D5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28" workbookViewId="0">
      <selection sqref="A1:XFD1048576"/>
    </sheetView>
  </sheetViews>
  <sheetFormatPr defaultRowHeight="13.5"/>
  <cols>
    <col min="1" max="1" width="7.25" style="16" customWidth="1"/>
    <col min="2" max="2" width="19.5" style="16" customWidth="1"/>
    <col min="3" max="3" width="3" style="16" customWidth="1"/>
    <col min="4" max="4" width="28.375" style="16" customWidth="1"/>
    <col min="5" max="5" width="1.375" style="16" customWidth="1"/>
    <col min="6" max="6" width="8.875" style="16" customWidth="1"/>
    <col min="7" max="7" width="16.5" style="16" customWidth="1"/>
    <col min="8" max="256" width="8" style="16" customWidth="1"/>
    <col min="257" max="257" width="7.25" style="16" customWidth="1"/>
    <col min="258" max="258" width="19.5" style="16" customWidth="1"/>
    <col min="259" max="259" width="3" style="16" customWidth="1"/>
    <col min="260" max="260" width="28.375" style="16" customWidth="1"/>
    <col min="261" max="261" width="1.375" style="16" customWidth="1"/>
    <col min="262" max="262" width="8.875" style="16" customWidth="1"/>
    <col min="263" max="263" width="16.5" style="16" customWidth="1"/>
    <col min="264" max="512" width="8" style="16" customWidth="1"/>
    <col min="513" max="513" width="7.25" style="16" customWidth="1"/>
    <col min="514" max="514" width="19.5" style="16" customWidth="1"/>
    <col min="515" max="515" width="3" style="16" customWidth="1"/>
    <col min="516" max="516" width="28.375" style="16" customWidth="1"/>
    <col min="517" max="517" width="1.375" style="16" customWidth="1"/>
    <col min="518" max="518" width="8.875" style="16" customWidth="1"/>
    <col min="519" max="519" width="16.5" style="16" customWidth="1"/>
    <col min="520" max="768" width="8" style="16" customWidth="1"/>
    <col min="769" max="769" width="7.25" style="16" customWidth="1"/>
    <col min="770" max="770" width="19.5" style="16" customWidth="1"/>
    <col min="771" max="771" width="3" style="16" customWidth="1"/>
    <col min="772" max="772" width="28.375" style="16" customWidth="1"/>
    <col min="773" max="773" width="1.375" style="16" customWidth="1"/>
    <col min="774" max="774" width="8.875" style="16" customWidth="1"/>
    <col min="775" max="775" width="16.5" style="16" customWidth="1"/>
    <col min="776" max="1024" width="8" style="16" customWidth="1"/>
    <col min="1025" max="1025" width="7.25" style="16" customWidth="1"/>
    <col min="1026" max="1026" width="19.5" style="16" customWidth="1"/>
    <col min="1027" max="1027" width="3" style="16" customWidth="1"/>
    <col min="1028" max="1028" width="28.375" style="16" customWidth="1"/>
    <col min="1029" max="1029" width="1.375" style="16" customWidth="1"/>
    <col min="1030" max="1030" width="8.875" style="16" customWidth="1"/>
    <col min="1031" max="1031" width="16.5" style="16" customWidth="1"/>
    <col min="1032" max="1280" width="8" style="16" customWidth="1"/>
    <col min="1281" max="1281" width="7.25" style="16" customWidth="1"/>
    <col min="1282" max="1282" width="19.5" style="16" customWidth="1"/>
    <col min="1283" max="1283" width="3" style="16" customWidth="1"/>
    <col min="1284" max="1284" width="28.375" style="16" customWidth="1"/>
    <col min="1285" max="1285" width="1.375" style="16" customWidth="1"/>
    <col min="1286" max="1286" width="8.875" style="16" customWidth="1"/>
    <col min="1287" max="1287" width="16.5" style="16" customWidth="1"/>
    <col min="1288" max="1536" width="8" style="16" customWidth="1"/>
    <col min="1537" max="1537" width="7.25" style="16" customWidth="1"/>
    <col min="1538" max="1538" width="19.5" style="16" customWidth="1"/>
    <col min="1539" max="1539" width="3" style="16" customWidth="1"/>
    <col min="1540" max="1540" width="28.375" style="16" customWidth="1"/>
    <col min="1541" max="1541" width="1.375" style="16" customWidth="1"/>
    <col min="1542" max="1542" width="8.875" style="16" customWidth="1"/>
    <col min="1543" max="1543" width="16.5" style="16" customWidth="1"/>
    <col min="1544" max="1792" width="8" style="16" customWidth="1"/>
    <col min="1793" max="1793" width="7.25" style="16" customWidth="1"/>
    <col min="1794" max="1794" width="19.5" style="16" customWidth="1"/>
    <col min="1795" max="1795" width="3" style="16" customWidth="1"/>
    <col min="1796" max="1796" width="28.375" style="16" customWidth="1"/>
    <col min="1797" max="1797" width="1.375" style="16" customWidth="1"/>
    <col min="1798" max="1798" width="8.875" style="16" customWidth="1"/>
    <col min="1799" max="1799" width="16.5" style="16" customWidth="1"/>
    <col min="1800" max="2048" width="8" style="16" customWidth="1"/>
    <col min="2049" max="2049" width="7.25" style="16" customWidth="1"/>
    <col min="2050" max="2050" width="19.5" style="16" customWidth="1"/>
    <col min="2051" max="2051" width="3" style="16" customWidth="1"/>
    <col min="2052" max="2052" width="28.375" style="16" customWidth="1"/>
    <col min="2053" max="2053" width="1.375" style="16" customWidth="1"/>
    <col min="2054" max="2054" width="8.875" style="16" customWidth="1"/>
    <col min="2055" max="2055" width="16.5" style="16" customWidth="1"/>
    <col min="2056" max="2304" width="8" style="16" customWidth="1"/>
    <col min="2305" max="2305" width="7.25" style="16" customWidth="1"/>
    <col min="2306" max="2306" width="19.5" style="16" customWidth="1"/>
    <col min="2307" max="2307" width="3" style="16" customWidth="1"/>
    <col min="2308" max="2308" width="28.375" style="16" customWidth="1"/>
    <col min="2309" max="2309" width="1.375" style="16" customWidth="1"/>
    <col min="2310" max="2310" width="8.875" style="16" customWidth="1"/>
    <col min="2311" max="2311" width="16.5" style="16" customWidth="1"/>
    <col min="2312" max="2560" width="8" style="16" customWidth="1"/>
    <col min="2561" max="2561" width="7.25" style="16" customWidth="1"/>
    <col min="2562" max="2562" width="19.5" style="16" customWidth="1"/>
    <col min="2563" max="2563" width="3" style="16" customWidth="1"/>
    <col min="2564" max="2564" width="28.375" style="16" customWidth="1"/>
    <col min="2565" max="2565" width="1.375" style="16" customWidth="1"/>
    <col min="2566" max="2566" width="8.875" style="16" customWidth="1"/>
    <col min="2567" max="2567" width="16.5" style="16" customWidth="1"/>
    <col min="2568" max="2816" width="8" style="16" customWidth="1"/>
    <col min="2817" max="2817" width="7.25" style="16" customWidth="1"/>
    <col min="2818" max="2818" width="19.5" style="16" customWidth="1"/>
    <col min="2819" max="2819" width="3" style="16" customWidth="1"/>
    <col min="2820" max="2820" width="28.375" style="16" customWidth="1"/>
    <col min="2821" max="2821" width="1.375" style="16" customWidth="1"/>
    <col min="2822" max="2822" width="8.875" style="16" customWidth="1"/>
    <col min="2823" max="2823" width="16.5" style="16" customWidth="1"/>
    <col min="2824" max="3072" width="8" style="16" customWidth="1"/>
    <col min="3073" max="3073" width="7.25" style="16" customWidth="1"/>
    <col min="3074" max="3074" width="19.5" style="16" customWidth="1"/>
    <col min="3075" max="3075" width="3" style="16" customWidth="1"/>
    <col min="3076" max="3076" width="28.375" style="16" customWidth="1"/>
    <col min="3077" max="3077" width="1.375" style="16" customWidth="1"/>
    <col min="3078" max="3078" width="8.875" style="16" customWidth="1"/>
    <col min="3079" max="3079" width="16.5" style="16" customWidth="1"/>
    <col min="3080" max="3328" width="8" style="16" customWidth="1"/>
    <col min="3329" max="3329" width="7.25" style="16" customWidth="1"/>
    <col min="3330" max="3330" width="19.5" style="16" customWidth="1"/>
    <col min="3331" max="3331" width="3" style="16" customWidth="1"/>
    <col min="3332" max="3332" width="28.375" style="16" customWidth="1"/>
    <col min="3333" max="3333" width="1.375" style="16" customWidth="1"/>
    <col min="3334" max="3334" width="8.875" style="16" customWidth="1"/>
    <col min="3335" max="3335" width="16.5" style="16" customWidth="1"/>
    <col min="3336" max="3584" width="8" style="16" customWidth="1"/>
    <col min="3585" max="3585" width="7.25" style="16" customWidth="1"/>
    <col min="3586" max="3586" width="19.5" style="16" customWidth="1"/>
    <col min="3587" max="3587" width="3" style="16" customWidth="1"/>
    <col min="3588" max="3588" width="28.375" style="16" customWidth="1"/>
    <col min="3589" max="3589" width="1.375" style="16" customWidth="1"/>
    <col min="3590" max="3590" width="8.875" style="16" customWidth="1"/>
    <col min="3591" max="3591" width="16.5" style="16" customWidth="1"/>
    <col min="3592" max="3840" width="8" style="16" customWidth="1"/>
    <col min="3841" max="3841" width="7.25" style="16" customWidth="1"/>
    <col min="3842" max="3842" width="19.5" style="16" customWidth="1"/>
    <col min="3843" max="3843" width="3" style="16" customWidth="1"/>
    <col min="3844" max="3844" width="28.375" style="16" customWidth="1"/>
    <col min="3845" max="3845" width="1.375" style="16" customWidth="1"/>
    <col min="3846" max="3846" width="8.875" style="16" customWidth="1"/>
    <col min="3847" max="3847" width="16.5" style="16" customWidth="1"/>
    <col min="3848" max="4096" width="8" style="16" customWidth="1"/>
    <col min="4097" max="4097" width="7.25" style="16" customWidth="1"/>
    <col min="4098" max="4098" width="19.5" style="16" customWidth="1"/>
    <col min="4099" max="4099" width="3" style="16" customWidth="1"/>
    <col min="4100" max="4100" width="28.375" style="16" customWidth="1"/>
    <col min="4101" max="4101" width="1.375" style="16" customWidth="1"/>
    <col min="4102" max="4102" width="8.875" style="16" customWidth="1"/>
    <col min="4103" max="4103" width="16.5" style="16" customWidth="1"/>
    <col min="4104" max="4352" width="8" style="16" customWidth="1"/>
    <col min="4353" max="4353" width="7.25" style="16" customWidth="1"/>
    <col min="4354" max="4354" width="19.5" style="16" customWidth="1"/>
    <col min="4355" max="4355" width="3" style="16" customWidth="1"/>
    <col min="4356" max="4356" width="28.375" style="16" customWidth="1"/>
    <col min="4357" max="4357" width="1.375" style="16" customWidth="1"/>
    <col min="4358" max="4358" width="8.875" style="16" customWidth="1"/>
    <col min="4359" max="4359" width="16.5" style="16" customWidth="1"/>
    <col min="4360" max="4608" width="8" style="16" customWidth="1"/>
    <col min="4609" max="4609" width="7.25" style="16" customWidth="1"/>
    <col min="4610" max="4610" width="19.5" style="16" customWidth="1"/>
    <col min="4611" max="4611" width="3" style="16" customWidth="1"/>
    <col min="4612" max="4612" width="28.375" style="16" customWidth="1"/>
    <col min="4613" max="4613" width="1.375" style="16" customWidth="1"/>
    <col min="4614" max="4614" width="8.875" style="16" customWidth="1"/>
    <col min="4615" max="4615" width="16.5" style="16" customWidth="1"/>
    <col min="4616" max="4864" width="8" style="16" customWidth="1"/>
    <col min="4865" max="4865" width="7.25" style="16" customWidth="1"/>
    <col min="4866" max="4866" width="19.5" style="16" customWidth="1"/>
    <col min="4867" max="4867" width="3" style="16" customWidth="1"/>
    <col min="4868" max="4868" width="28.375" style="16" customWidth="1"/>
    <col min="4869" max="4869" width="1.375" style="16" customWidth="1"/>
    <col min="4870" max="4870" width="8.875" style="16" customWidth="1"/>
    <col min="4871" max="4871" width="16.5" style="16" customWidth="1"/>
    <col min="4872" max="5120" width="8" style="16" customWidth="1"/>
    <col min="5121" max="5121" width="7.25" style="16" customWidth="1"/>
    <col min="5122" max="5122" width="19.5" style="16" customWidth="1"/>
    <col min="5123" max="5123" width="3" style="16" customWidth="1"/>
    <col min="5124" max="5124" width="28.375" style="16" customWidth="1"/>
    <col min="5125" max="5125" width="1.375" style="16" customWidth="1"/>
    <col min="5126" max="5126" width="8.875" style="16" customWidth="1"/>
    <col min="5127" max="5127" width="16.5" style="16" customWidth="1"/>
    <col min="5128" max="5376" width="8" style="16" customWidth="1"/>
    <col min="5377" max="5377" width="7.25" style="16" customWidth="1"/>
    <col min="5378" max="5378" width="19.5" style="16" customWidth="1"/>
    <col min="5379" max="5379" width="3" style="16" customWidth="1"/>
    <col min="5380" max="5380" width="28.375" style="16" customWidth="1"/>
    <col min="5381" max="5381" width="1.375" style="16" customWidth="1"/>
    <col min="5382" max="5382" width="8.875" style="16" customWidth="1"/>
    <col min="5383" max="5383" width="16.5" style="16" customWidth="1"/>
    <col min="5384" max="5632" width="8" style="16" customWidth="1"/>
    <col min="5633" max="5633" width="7.25" style="16" customWidth="1"/>
    <col min="5634" max="5634" width="19.5" style="16" customWidth="1"/>
    <col min="5635" max="5635" width="3" style="16" customWidth="1"/>
    <col min="5636" max="5636" width="28.375" style="16" customWidth="1"/>
    <col min="5637" max="5637" width="1.375" style="16" customWidth="1"/>
    <col min="5638" max="5638" width="8.875" style="16" customWidth="1"/>
    <col min="5639" max="5639" width="16.5" style="16" customWidth="1"/>
    <col min="5640" max="5888" width="8" style="16" customWidth="1"/>
    <col min="5889" max="5889" width="7.25" style="16" customWidth="1"/>
    <col min="5890" max="5890" width="19.5" style="16" customWidth="1"/>
    <col min="5891" max="5891" width="3" style="16" customWidth="1"/>
    <col min="5892" max="5892" width="28.375" style="16" customWidth="1"/>
    <col min="5893" max="5893" width="1.375" style="16" customWidth="1"/>
    <col min="5894" max="5894" width="8.875" style="16" customWidth="1"/>
    <col min="5895" max="5895" width="16.5" style="16" customWidth="1"/>
    <col min="5896" max="6144" width="8" style="16" customWidth="1"/>
    <col min="6145" max="6145" width="7.25" style="16" customWidth="1"/>
    <col min="6146" max="6146" width="19.5" style="16" customWidth="1"/>
    <col min="6147" max="6147" width="3" style="16" customWidth="1"/>
    <col min="6148" max="6148" width="28.375" style="16" customWidth="1"/>
    <col min="6149" max="6149" width="1.375" style="16" customWidth="1"/>
    <col min="6150" max="6150" width="8.875" style="16" customWidth="1"/>
    <col min="6151" max="6151" width="16.5" style="16" customWidth="1"/>
    <col min="6152" max="6400" width="8" style="16" customWidth="1"/>
    <col min="6401" max="6401" width="7.25" style="16" customWidth="1"/>
    <col min="6402" max="6402" width="19.5" style="16" customWidth="1"/>
    <col min="6403" max="6403" width="3" style="16" customWidth="1"/>
    <col min="6404" max="6404" width="28.375" style="16" customWidth="1"/>
    <col min="6405" max="6405" width="1.375" style="16" customWidth="1"/>
    <col min="6406" max="6406" width="8.875" style="16" customWidth="1"/>
    <col min="6407" max="6407" width="16.5" style="16" customWidth="1"/>
    <col min="6408" max="6656" width="8" style="16" customWidth="1"/>
    <col min="6657" max="6657" width="7.25" style="16" customWidth="1"/>
    <col min="6658" max="6658" width="19.5" style="16" customWidth="1"/>
    <col min="6659" max="6659" width="3" style="16" customWidth="1"/>
    <col min="6660" max="6660" width="28.375" style="16" customWidth="1"/>
    <col min="6661" max="6661" width="1.375" style="16" customWidth="1"/>
    <col min="6662" max="6662" width="8.875" style="16" customWidth="1"/>
    <col min="6663" max="6663" width="16.5" style="16" customWidth="1"/>
    <col min="6664" max="6912" width="8" style="16" customWidth="1"/>
    <col min="6913" max="6913" width="7.25" style="16" customWidth="1"/>
    <col min="6914" max="6914" width="19.5" style="16" customWidth="1"/>
    <col min="6915" max="6915" width="3" style="16" customWidth="1"/>
    <col min="6916" max="6916" width="28.375" style="16" customWidth="1"/>
    <col min="6917" max="6917" width="1.375" style="16" customWidth="1"/>
    <col min="6918" max="6918" width="8.875" style="16" customWidth="1"/>
    <col min="6919" max="6919" width="16.5" style="16" customWidth="1"/>
    <col min="6920" max="7168" width="8" style="16" customWidth="1"/>
    <col min="7169" max="7169" width="7.25" style="16" customWidth="1"/>
    <col min="7170" max="7170" width="19.5" style="16" customWidth="1"/>
    <col min="7171" max="7171" width="3" style="16" customWidth="1"/>
    <col min="7172" max="7172" width="28.375" style="16" customWidth="1"/>
    <col min="7173" max="7173" width="1.375" style="16" customWidth="1"/>
    <col min="7174" max="7174" width="8.875" style="16" customWidth="1"/>
    <col min="7175" max="7175" width="16.5" style="16" customWidth="1"/>
    <col min="7176" max="7424" width="8" style="16" customWidth="1"/>
    <col min="7425" max="7425" width="7.25" style="16" customWidth="1"/>
    <col min="7426" max="7426" width="19.5" style="16" customWidth="1"/>
    <col min="7427" max="7427" width="3" style="16" customWidth="1"/>
    <col min="7428" max="7428" width="28.375" style="16" customWidth="1"/>
    <col min="7429" max="7429" width="1.375" style="16" customWidth="1"/>
    <col min="7430" max="7430" width="8.875" style="16" customWidth="1"/>
    <col min="7431" max="7431" width="16.5" style="16" customWidth="1"/>
    <col min="7432" max="7680" width="8" style="16" customWidth="1"/>
    <col min="7681" max="7681" width="7.25" style="16" customWidth="1"/>
    <col min="7682" max="7682" width="19.5" style="16" customWidth="1"/>
    <col min="7683" max="7683" width="3" style="16" customWidth="1"/>
    <col min="7684" max="7684" width="28.375" style="16" customWidth="1"/>
    <col min="7685" max="7685" width="1.375" style="16" customWidth="1"/>
    <col min="7686" max="7686" width="8.875" style="16" customWidth="1"/>
    <col min="7687" max="7687" width="16.5" style="16" customWidth="1"/>
    <col min="7688" max="7936" width="8" style="16" customWidth="1"/>
    <col min="7937" max="7937" width="7.25" style="16" customWidth="1"/>
    <col min="7938" max="7938" width="19.5" style="16" customWidth="1"/>
    <col min="7939" max="7939" width="3" style="16" customWidth="1"/>
    <col min="7940" max="7940" width="28.375" style="16" customWidth="1"/>
    <col min="7941" max="7941" width="1.375" style="16" customWidth="1"/>
    <col min="7942" max="7942" width="8.875" style="16" customWidth="1"/>
    <col min="7943" max="7943" width="16.5" style="16" customWidth="1"/>
    <col min="7944" max="8192" width="8" style="16" customWidth="1"/>
    <col min="8193" max="8193" width="7.25" style="16" customWidth="1"/>
    <col min="8194" max="8194" width="19.5" style="16" customWidth="1"/>
    <col min="8195" max="8195" width="3" style="16" customWidth="1"/>
    <col min="8196" max="8196" width="28.375" style="16" customWidth="1"/>
    <col min="8197" max="8197" width="1.375" style="16" customWidth="1"/>
    <col min="8198" max="8198" width="8.875" style="16" customWidth="1"/>
    <col min="8199" max="8199" width="16.5" style="16" customWidth="1"/>
    <col min="8200" max="8448" width="8" style="16" customWidth="1"/>
    <col min="8449" max="8449" width="7.25" style="16" customWidth="1"/>
    <col min="8450" max="8450" width="19.5" style="16" customWidth="1"/>
    <col min="8451" max="8451" width="3" style="16" customWidth="1"/>
    <col min="8452" max="8452" width="28.375" style="16" customWidth="1"/>
    <col min="8453" max="8453" width="1.375" style="16" customWidth="1"/>
    <col min="8454" max="8454" width="8.875" style="16" customWidth="1"/>
    <col min="8455" max="8455" width="16.5" style="16" customWidth="1"/>
    <col min="8456" max="8704" width="8" style="16" customWidth="1"/>
    <col min="8705" max="8705" width="7.25" style="16" customWidth="1"/>
    <col min="8706" max="8706" width="19.5" style="16" customWidth="1"/>
    <col min="8707" max="8707" width="3" style="16" customWidth="1"/>
    <col min="8708" max="8708" width="28.375" style="16" customWidth="1"/>
    <col min="8709" max="8709" width="1.375" style="16" customWidth="1"/>
    <col min="8710" max="8710" width="8.875" style="16" customWidth="1"/>
    <col min="8711" max="8711" width="16.5" style="16" customWidth="1"/>
    <col min="8712" max="8960" width="8" style="16" customWidth="1"/>
    <col min="8961" max="8961" width="7.25" style="16" customWidth="1"/>
    <col min="8962" max="8962" width="19.5" style="16" customWidth="1"/>
    <col min="8963" max="8963" width="3" style="16" customWidth="1"/>
    <col min="8964" max="8964" width="28.375" style="16" customWidth="1"/>
    <col min="8965" max="8965" width="1.375" style="16" customWidth="1"/>
    <col min="8966" max="8966" width="8.875" style="16" customWidth="1"/>
    <col min="8967" max="8967" width="16.5" style="16" customWidth="1"/>
    <col min="8968" max="9216" width="8" style="16" customWidth="1"/>
    <col min="9217" max="9217" width="7.25" style="16" customWidth="1"/>
    <col min="9218" max="9218" width="19.5" style="16" customWidth="1"/>
    <col min="9219" max="9219" width="3" style="16" customWidth="1"/>
    <col min="9220" max="9220" width="28.375" style="16" customWidth="1"/>
    <col min="9221" max="9221" width="1.375" style="16" customWidth="1"/>
    <col min="9222" max="9222" width="8.875" style="16" customWidth="1"/>
    <col min="9223" max="9223" width="16.5" style="16" customWidth="1"/>
    <col min="9224" max="9472" width="8" style="16" customWidth="1"/>
    <col min="9473" max="9473" width="7.25" style="16" customWidth="1"/>
    <col min="9474" max="9474" width="19.5" style="16" customWidth="1"/>
    <col min="9475" max="9475" width="3" style="16" customWidth="1"/>
    <col min="9476" max="9476" width="28.375" style="16" customWidth="1"/>
    <col min="9477" max="9477" width="1.375" style="16" customWidth="1"/>
    <col min="9478" max="9478" width="8.875" style="16" customWidth="1"/>
    <col min="9479" max="9479" width="16.5" style="16" customWidth="1"/>
    <col min="9480" max="9728" width="8" style="16" customWidth="1"/>
    <col min="9729" max="9729" width="7.25" style="16" customWidth="1"/>
    <col min="9730" max="9730" width="19.5" style="16" customWidth="1"/>
    <col min="9731" max="9731" width="3" style="16" customWidth="1"/>
    <col min="9732" max="9732" width="28.375" style="16" customWidth="1"/>
    <col min="9733" max="9733" width="1.375" style="16" customWidth="1"/>
    <col min="9734" max="9734" width="8.875" style="16" customWidth="1"/>
    <col min="9735" max="9735" width="16.5" style="16" customWidth="1"/>
    <col min="9736" max="9984" width="8" style="16" customWidth="1"/>
    <col min="9985" max="9985" width="7.25" style="16" customWidth="1"/>
    <col min="9986" max="9986" width="19.5" style="16" customWidth="1"/>
    <col min="9987" max="9987" width="3" style="16" customWidth="1"/>
    <col min="9988" max="9988" width="28.375" style="16" customWidth="1"/>
    <col min="9989" max="9989" width="1.375" style="16" customWidth="1"/>
    <col min="9990" max="9990" width="8.875" style="16" customWidth="1"/>
    <col min="9991" max="9991" width="16.5" style="16" customWidth="1"/>
    <col min="9992" max="10240" width="8" style="16" customWidth="1"/>
    <col min="10241" max="10241" width="7.25" style="16" customWidth="1"/>
    <col min="10242" max="10242" width="19.5" style="16" customWidth="1"/>
    <col min="10243" max="10243" width="3" style="16" customWidth="1"/>
    <col min="10244" max="10244" width="28.375" style="16" customWidth="1"/>
    <col min="10245" max="10245" width="1.375" style="16" customWidth="1"/>
    <col min="10246" max="10246" width="8.875" style="16" customWidth="1"/>
    <col min="10247" max="10247" width="16.5" style="16" customWidth="1"/>
    <col min="10248" max="10496" width="8" style="16" customWidth="1"/>
    <col min="10497" max="10497" width="7.25" style="16" customWidth="1"/>
    <col min="10498" max="10498" width="19.5" style="16" customWidth="1"/>
    <col min="10499" max="10499" width="3" style="16" customWidth="1"/>
    <col min="10500" max="10500" width="28.375" style="16" customWidth="1"/>
    <col min="10501" max="10501" width="1.375" style="16" customWidth="1"/>
    <col min="10502" max="10502" width="8.875" style="16" customWidth="1"/>
    <col min="10503" max="10503" width="16.5" style="16" customWidth="1"/>
    <col min="10504" max="10752" width="8" style="16" customWidth="1"/>
    <col min="10753" max="10753" width="7.25" style="16" customWidth="1"/>
    <col min="10754" max="10754" width="19.5" style="16" customWidth="1"/>
    <col min="10755" max="10755" width="3" style="16" customWidth="1"/>
    <col min="10756" max="10756" width="28.375" style="16" customWidth="1"/>
    <col min="10757" max="10757" width="1.375" style="16" customWidth="1"/>
    <col min="10758" max="10758" width="8.875" style="16" customWidth="1"/>
    <col min="10759" max="10759" width="16.5" style="16" customWidth="1"/>
    <col min="10760" max="11008" width="8" style="16" customWidth="1"/>
    <col min="11009" max="11009" width="7.25" style="16" customWidth="1"/>
    <col min="11010" max="11010" width="19.5" style="16" customWidth="1"/>
    <col min="11011" max="11011" width="3" style="16" customWidth="1"/>
    <col min="11012" max="11012" width="28.375" style="16" customWidth="1"/>
    <col min="11013" max="11013" width="1.375" style="16" customWidth="1"/>
    <col min="11014" max="11014" width="8.875" style="16" customWidth="1"/>
    <col min="11015" max="11015" width="16.5" style="16" customWidth="1"/>
    <col min="11016" max="11264" width="8" style="16" customWidth="1"/>
    <col min="11265" max="11265" width="7.25" style="16" customWidth="1"/>
    <col min="11266" max="11266" width="19.5" style="16" customWidth="1"/>
    <col min="11267" max="11267" width="3" style="16" customWidth="1"/>
    <col min="11268" max="11268" width="28.375" style="16" customWidth="1"/>
    <col min="11269" max="11269" width="1.375" style="16" customWidth="1"/>
    <col min="11270" max="11270" width="8.875" style="16" customWidth="1"/>
    <col min="11271" max="11271" width="16.5" style="16" customWidth="1"/>
    <col min="11272" max="11520" width="8" style="16" customWidth="1"/>
    <col min="11521" max="11521" width="7.25" style="16" customWidth="1"/>
    <col min="11522" max="11522" width="19.5" style="16" customWidth="1"/>
    <col min="11523" max="11523" width="3" style="16" customWidth="1"/>
    <col min="11524" max="11524" width="28.375" style="16" customWidth="1"/>
    <col min="11525" max="11525" width="1.375" style="16" customWidth="1"/>
    <col min="11526" max="11526" width="8.875" style="16" customWidth="1"/>
    <col min="11527" max="11527" width="16.5" style="16" customWidth="1"/>
    <col min="11528" max="11776" width="8" style="16" customWidth="1"/>
    <col min="11777" max="11777" width="7.25" style="16" customWidth="1"/>
    <col min="11778" max="11778" width="19.5" style="16" customWidth="1"/>
    <col min="11779" max="11779" width="3" style="16" customWidth="1"/>
    <col min="11780" max="11780" width="28.375" style="16" customWidth="1"/>
    <col min="11781" max="11781" width="1.375" style="16" customWidth="1"/>
    <col min="11782" max="11782" width="8.875" style="16" customWidth="1"/>
    <col min="11783" max="11783" width="16.5" style="16" customWidth="1"/>
    <col min="11784" max="12032" width="8" style="16" customWidth="1"/>
    <col min="12033" max="12033" width="7.25" style="16" customWidth="1"/>
    <col min="12034" max="12034" width="19.5" style="16" customWidth="1"/>
    <col min="12035" max="12035" width="3" style="16" customWidth="1"/>
    <col min="12036" max="12036" width="28.375" style="16" customWidth="1"/>
    <col min="12037" max="12037" width="1.375" style="16" customWidth="1"/>
    <col min="12038" max="12038" width="8.875" style="16" customWidth="1"/>
    <col min="12039" max="12039" width="16.5" style="16" customWidth="1"/>
    <col min="12040" max="12288" width="8" style="16" customWidth="1"/>
    <col min="12289" max="12289" width="7.25" style="16" customWidth="1"/>
    <col min="12290" max="12290" width="19.5" style="16" customWidth="1"/>
    <col min="12291" max="12291" width="3" style="16" customWidth="1"/>
    <col min="12292" max="12292" width="28.375" style="16" customWidth="1"/>
    <col min="12293" max="12293" width="1.375" style="16" customWidth="1"/>
    <col min="12294" max="12294" width="8.875" style="16" customWidth="1"/>
    <col min="12295" max="12295" width="16.5" style="16" customWidth="1"/>
    <col min="12296" max="12544" width="8" style="16" customWidth="1"/>
    <col min="12545" max="12545" width="7.25" style="16" customWidth="1"/>
    <col min="12546" max="12546" width="19.5" style="16" customWidth="1"/>
    <col min="12547" max="12547" width="3" style="16" customWidth="1"/>
    <col min="12548" max="12548" width="28.375" style="16" customWidth="1"/>
    <col min="12549" max="12549" width="1.375" style="16" customWidth="1"/>
    <col min="12550" max="12550" width="8.875" style="16" customWidth="1"/>
    <col min="12551" max="12551" width="16.5" style="16" customWidth="1"/>
    <col min="12552" max="12800" width="8" style="16" customWidth="1"/>
    <col min="12801" max="12801" width="7.25" style="16" customWidth="1"/>
    <col min="12802" max="12802" width="19.5" style="16" customWidth="1"/>
    <col min="12803" max="12803" width="3" style="16" customWidth="1"/>
    <col min="12804" max="12804" width="28.375" style="16" customWidth="1"/>
    <col min="12805" max="12805" width="1.375" style="16" customWidth="1"/>
    <col min="12806" max="12806" width="8.875" style="16" customWidth="1"/>
    <col min="12807" max="12807" width="16.5" style="16" customWidth="1"/>
    <col min="12808" max="13056" width="8" style="16" customWidth="1"/>
    <col min="13057" max="13057" width="7.25" style="16" customWidth="1"/>
    <col min="13058" max="13058" width="19.5" style="16" customWidth="1"/>
    <col min="13059" max="13059" width="3" style="16" customWidth="1"/>
    <col min="13060" max="13060" width="28.375" style="16" customWidth="1"/>
    <col min="13061" max="13061" width="1.375" style="16" customWidth="1"/>
    <col min="13062" max="13062" width="8.875" style="16" customWidth="1"/>
    <col min="13063" max="13063" width="16.5" style="16" customWidth="1"/>
    <col min="13064" max="13312" width="8" style="16" customWidth="1"/>
    <col min="13313" max="13313" width="7.25" style="16" customWidth="1"/>
    <col min="13314" max="13314" width="19.5" style="16" customWidth="1"/>
    <col min="13315" max="13315" width="3" style="16" customWidth="1"/>
    <col min="13316" max="13316" width="28.375" style="16" customWidth="1"/>
    <col min="13317" max="13317" width="1.375" style="16" customWidth="1"/>
    <col min="13318" max="13318" width="8.875" style="16" customWidth="1"/>
    <col min="13319" max="13319" width="16.5" style="16" customWidth="1"/>
    <col min="13320" max="13568" width="8" style="16" customWidth="1"/>
    <col min="13569" max="13569" width="7.25" style="16" customWidth="1"/>
    <col min="13570" max="13570" width="19.5" style="16" customWidth="1"/>
    <col min="13571" max="13571" width="3" style="16" customWidth="1"/>
    <col min="13572" max="13572" width="28.375" style="16" customWidth="1"/>
    <col min="13573" max="13573" width="1.375" style="16" customWidth="1"/>
    <col min="13574" max="13574" width="8.875" style="16" customWidth="1"/>
    <col min="13575" max="13575" width="16.5" style="16" customWidth="1"/>
    <col min="13576" max="13824" width="8" style="16" customWidth="1"/>
    <col min="13825" max="13825" width="7.25" style="16" customWidth="1"/>
    <col min="13826" max="13826" width="19.5" style="16" customWidth="1"/>
    <col min="13827" max="13827" width="3" style="16" customWidth="1"/>
    <col min="13828" max="13828" width="28.375" style="16" customWidth="1"/>
    <col min="13829" max="13829" width="1.375" style="16" customWidth="1"/>
    <col min="13830" max="13830" width="8.875" style="16" customWidth="1"/>
    <col min="13831" max="13831" width="16.5" style="16" customWidth="1"/>
    <col min="13832" max="14080" width="8" style="16" customWidth="1"/>
    <col min="14081" max="14081" width="7.25" style="16" customWidth="1"/>
    <col min="14082" max="14082" width="19.5" style="16" customWidth="1"/>
    <col min="14083" max="14083" width="3" style="16" customWidth="1"/>
    <col min="14084" max="14084" width="28.375" style="16" customWidth="1"/>
    <col min="14085" max="14085" width="1.375" style="16" customWidth="1"/>
    <col min="14086" max="14086" width="8.875" style="16" customWidth="1"/>
    <col min="14087" max="14087" width="16.5" style="16" customWidth="1"/>
    <col min="14088" max="14336" width="8" style="16" customWidth="1"/>
    <col min="14337" max="14337" width="7.25" style="16" customWidth="1"/>
    <col min="14338" max="14338" width="19.5" style="16" customWidth="1"/>
    <col min="14339" max="14339" width="3" style="16" customWidth="1"/>
    <col min="14340" max="14340" width="28.375" style="16" customWidth="1"/>
    <col min="14341" max="14341" width="1.375" style="16" customWidth="1"/>
    <col min="14342" max="14342" width="8.875" style="16" customWidth="1"/>
    <col min="14343" max="14343" width="16.5" style="16" customWidth="1"/>
    <col min="14344" max="14592" width="8" style="16" customWidth="1"/>
    <col min="14593" max="14593" width="7.25" style="16" customWidth="1"/>
    <col min="14594" max="14594" width="19.5" style="16" customWidth="1"/>
    <col min="14595" max="14595" width="3" style="16" customWidth="1"/>
    <col min="14596" max="14596" width="28.375" style="16" customWidth="1"/>
    <col min="14597" max="14597" width="1.375" style="16" customWidth="1"/>
    <col min="14598" max="14598" width="8.875" style="16" customWidth="1"/>
    <col min="14599" max="14599" width="16.5" style="16" customWidth="1"/>
    <col min="14600" max="14848" width="8" style="16" customWidth="1"/>
    <col min="14849" max="14849" width="7.25" style="16" customWidth="1"/>
    <col min="14850" max="14850" width="19.5" style="16" customWidth="1"/>
    <col min="14851" max="14851" width="3" style="16" customWidth="1"/>
    <col min="14852" max="14852" width="28.375" style="16" customWidth="1"/>
    <col min="14853" max="14853" width="1.375" style="16" customWidth="1"/>
    <col min="14854" max="14854" width="8.875" style="16" customWidth="1"/>
    <col min="14855" max="14855" width="16.5" style="16" customWidth="1"/>
    <col min="14856" max="15104" width="8" style="16" customWidth="1"/>
    <col min="15105" max="15105" width="7.25" style="16" customWidth="1"/>
    <col min="15106" max="15106" width="19.5" style="16" customWidth="1"/>
    <col min="15107" max="15107" width="3" style="16" customWidth="1"/>
    <col min="15108" max="15108" width="28.375" style="16" customWidth="1"/>
    <col min="15109" max="15109" width="1.375" style="16" customWidth="1"/>
    <col min="15110" max="15110" width="8.875" style="16" customWidth="1"/>
    <col min="15111" max="15111" width="16.5" style="16" customWidth="1"/>
    <col min="15112" max="15360" width="8" style="16" customWidth="1"/>
    <col min="15361" max="15361" width="7.25" style="16" customWidth="1"/>
    <col min="15362" max="15362" width="19.5" style="16" customWidth="1"/>
    <col min="15363" max="15363" width="3" style="16" customWidth="1"/>
    <col min="15364" max="15364" width="28.375" style="16" customWidth="1"/>
    <col min="15365" max="15365" width="1.375" style="16" customWidth="1"/>
    <col min="15366" max="15366" width="8.875" style="16" customWidth="1"/>
    <col min="15367" max="15367" width="16.5" style="16" customWidth="1"/>
    <col min="15368" max="15616" width="8" style="16" customWidth="1"/>
    <col min="15617" max="15617" width="7.25" style="16" customWidth="1"/>
    <col min="15618" max="15618" width="19.5" style="16" customWidth="1"/>
    <col min="15619" max="15619" width="3" style="16" customWidth="1"/>
    <col min="15620" max="15620" width="28.375" style="16" customWidth="1"/>
    <col min="15621" max="15621" width="1.375" style="16" customWidth="1"/>
    <col min="15622" max="15622" width="8.875" style="16" customWidth="1"/>
    <col min="15623" max="15623" width="16.5" style="16" customWidth="1"/>
    <col min="15624" max="15872" width="8" style="16" customWidth="1"/>
    <col min="15873" max="15873" width="7.25" style="16" customWidth="1"/>
    <col min="15874" max="15874" width="19.5" style="16" customWidth="1"/>
    <col min="15875" max="15875" width="3" style="16" customWidth="1"/>
    <col min="15876" max="15876" width="28.375" style="16" customWidth="1"/>
    <col min="15877" max="15877" width="1.375" style="16" customWidth="1"/>
    <col min="15878" max="15878" width="8.875" style="16" customWidth="1"/>
    <col min="15879" max="15879" width="16.5" style="16" customWidth="1"/>
    <col min="15880" max="16128" width="8" style="16" customWidth="1"/>
    <col min="16129" max="16129" width="7.25" style="16" customWidth="1"/>
    <col min="16130" max="16130" width="19.5" style="16" customWidth="1"/>
    <col min="16131" max="16131" width="3" style="16" customWidth="1"/>
    <col min="16132" max="16132" width="28.375" style="16" customWidth="1"/>
    <col min="16133" max="16133" width="1.375" style="16" customWidth="1"/>
    <col min="16134" max="16134" width="8.875" style="16" customWidth="1"/>
    <col min="16135" max="16135" width="16.5" style="16" customWidth="1"/>
    <col min="16136" max="16384" width="8" style="16" customWidth="1"/>
  </cols>
  <sheetData>
    <row r="1" spans="1:7" ht="35.25" customHeight="1">
      <c r="A1" s="370" t="s">
        <v>228</v>
      </c>
      <c r="B1" s="370" t="s">
        <v>110</v>
      </c>
      <c r="C1" s="370" t="s">
        <v>110</v>
      </c>
      <c r="D1" s="370" t="s">
        <v>110</v>
      </c>
      <c r="E1" s="370" t="s">
        <v>110</v>
      </c>
      <c r="F1" s="370" t="s">
        <v>110</v>
      </c>
      <c r="G1" s="370" t="s">
        <v>110</v>
      </c>
    </row>
    <row r="2" spans="1:7" ht="29.25" customHeight="1" thickBot="1">
      <c r="A2" s="365" t="s">
        <v>171</v>
      </c>
      <c r="B2" s="365" t="s">
        <v>110</v>
      </c>
      <c r="C2" s="365" t="s">
        <v>110</v>
      </c>
      <c r="D2" s="365" t="s">
        <v>110</v>
      </c>
      <c r="E2" s="367" t="s">
        <v>111</v>
      </c>
      <c r="F2" s="367" t="s">
        <v>110</v>
      </c>
      <c r="G2" s="367" t="s">
        <v>110</v>
      </c>
    </row>
    <row r="3" spans="1:7" ht="18" customHeight="1">
      <c r="A3" s="189" t="s">
        <v>112</v>
      </c>
      <c r="B3" s="371" t="s">
        <v>229</v>
      </c>
      <c r="C3" s="371" t="s">
        <v>110</v>
      </c>
      <c r="D3" s="371" t="s">
        <v>230</v>
      </c>
      <c r="E3" s="371" t="s">
        <v>110</v>
      </c>
      <c r="F3" s="190" t="s">
        <v>231</v>
      </c>
      <c r="G3" s="191" t="s">
        <v>232</v>
      </c>
    </row>
    <row r="4" spans="1:7" ht="16.5" customHeight="1">
      <c r="A4" s="137" t="s">
        <v>233</v>
      </c>
      <c r="B4" s="368" t="s">
        <v>234</v>
      </c>
      <c r="C4" s="368" t="s">
        <v>110</v>
      </c>
      <c r="D4" s="368" t="s">
        <v>234</v>
      </c>
      <c r="E4" s="368" t="s">
        <v>110</v>
      </c>
      <c r="F4" s="140" t="s">
        <v>110</v>
      </c>
      <c r="G4" s="141">
        <v>21719.62</v>
      </c>
    </row>
    <row r="5" spans="1:7" ht="29.25" customHeight="1">
      <c r="A5" s="137" t="s">
        <v>114</v>
      </c>
      <c r="B5" s="368" t="s">
        <v>235</v>
      </c>
      <c r="C5" s="368" t="s">
        <v>110</v>
      </c>
      <c r="D5" s="368" t="s">
        <v>236</v>
      </c>
      <c r="E5" s="368" t="s">
        <v>110</v>
      </c>
      <c r="F5" s="140" t="s">
        <v>110</v>
      </c>
      <c r="G5" s="141">
        <v>20716.8</v>
      </c>
    </row>
    <row r="6" spans="1:7" ht="16.5" customHeight="1">
      <c r="A6" s="137" t="s">
        <v>233</v>
      </c>
      <c r="B6" s="368" t="s">
        <v>115</v>
      </c>
      <c r="C6" s="368" t="s">
        <v>110</v>
      </c>
      <c r="D6" s="368" t="s">
        <v>115</v>
      </c>
      <c r="E6" s="368" t="s">
        <v>110</v>
      </c>
      <c r="F6" s="140" t="s">
        <v>110</v>
      </c>
      <c r="G6" s="141">
        <v>436.8</v>
      </c>
    </row>
    <row r="7" spans="1:7" ht="16.5" customHeight="1">
      <c r="A7" s="137" t="s">
        <v>238</v>
      </c>
      <c r="B7" s="368" t="s">
        <v>116</v>
      </c>
      <c r="C7" s="368" t="s">
        <v>110</v>
      </c>
      <c r="D7" s="368" t="s">
        <v>116</v>
      </c>
      <c r="E7" s="368" t="s">
        <v>110</v>
      </c>
      <c r="F7" s="140" t="s">
        <v>110</v>
      </c>
      <c r="G7" s="141" t="s">
        <v>110</v>
      </c>
    </row>
    <row r="8" spans="1:7" ht="16.5" customHeight="1">
      <c r="A8" s="137" t="s">
        <v>239</v>
      </c>
      <c r="B8" s="368" t="s">
        <v>240</v>
      </c>
      <c r="C8" s="368" t="s">
        <v>110</v>
      </c>
      <c r="D8" s="368" t="s">
        <v>241</v>
      </c>
      <c r="E8" s="368" t="s">
        <v>110</v>
      </c>
      <c r="F8" s="140" t="s">
        <v>110</v>
      </c>
      <c r="G8" s="141">
        <v>20280</v>
      </c>
    </row>
    <row r="9" spans="1:7" ht="16.5" customHeight="1">
      <c r="A9" s="137" t="s">
        <v>242</v>
      </c>
      <c r="B9" s="368" t="s">
        <v>243</v>
      </c>
      <c r="C9" s="368" t="s">
        <v>110</v>
      </c>
      <c r="D9" s="368" t="s">
        <v>117</v>
      </c>
      <c r="E9" s="368" t="s">
        <v>110</v>
      </c>
      <c r="F9" s="140" t="s">
        <v>110</v>
      </c>
      <c r="G9" s="141" t="s">
        <v>110</v>
      </c>
    </row>
    <row r="10" spans="1:7" ht="16.5" customHeight="1">
      <c r="A10" s="137" t="s">
        <v>244</v>
      </c>
      <c r="B10" s="368" t="s">
        <v>245</v>
      </c>
      <c r="C10" s="368" t="s">
        <v>110</v>
      </c>
      <c r="D10" s="368" t="s">
        <v>245</v>
      </c>
      <c r="E10" s="368" t="s">
        <v>110</v>
      </c>
      <c r="F10" s="140" t="s">
        <v>110</v>
      </c>
      <c r="G10" s="141" t="s">
        <v>110</v>
      </c>
    </row>
    <row r="11" spans="1:7" ht="16.5" customHeight="1">
      <c r="A11" s="137" t="s">
        <v>118</v>
      </c>
      <c r="B11" s="368" t="s">
        <v>246</v>
      </c>
      <c r="C11" s="368" t="s">
        <v>110</v>
      </c>
      <c r="D11" s="368" t="s">
        <v>247</v>
      </c>
      <c r="E11" s="368" t="s">
        <v>110</v>
      </c>
      <c r="F11" s="140" t="s">
        <v>110</v>
      </c>
      <c r="G11" s="141">
        <v>42.37</v>
      </c>
    </row>
    <row r="12" spans="1:7" ht="16.5" customHeight="1">
      <c r="A12" s="137" t="s">
        <v>119</v>
      </c>
      <c r="B12" s="368" t="s">
        <v>248</v>
      </c>
      <c r="C12" s="368" t="s">
        <v>110</v>
      </c>
      <c r="D12" s="368" t="s">
        <v>249</v>
      </c>
      <c r="E12" s="368" t="s">
        <v>110</v>
      </c>
      <c r="F12" s="140" t="s">
        <v>110</v>
      </c>
      <c r="G12" s="141" t="s">
        <v>110</v>
      </c>
    </row>
    <row r="13" spans="1:7" ht="16.5" customHeight="1">
      <c r="A13" s="137" t="s">
        <v>120</v>
      </c>
      <c r="B13" s="368" t="s">
        <v>115</v>
      </c>
      <c r="C13" s="368" t="s">
        <v>110</v>
      </c>
      <c r="D13" s="368" t="s">
        <v>250</v>
      </c>
      <c r="E13" s="368" t="s">
        <v>110</v>
      </c>
      <c r="F13" s="140" t="s">
        <v>110</v>
      </c>
      <c r="G13" s="141" t="s">
        <v>110</v>
      </c>
    </row>
    <row r="14" spans="1:7" ht="16.5" customHeight="1">
      <c r="A14" s="137" t="s">
        <v>251</v>
      </c>
      <c r="B14" s="368" t="s">
        <v>116</v>
      </c>
      <c r="C14" s="368" t="s">
        <v>110</v>
      </c>
      <c r="D14" s="368" t="s">
        <v>252</v>
      </c>
      <c r="E14" s="368" t="s">
        <v>110</v>
      </c>
      <c r="F14" s="140" t="s">
        <v>110</v>
      </c>
      <c r="G14" s="141" t="s">
        <v>110</v>
      </c>
    </row>
    <row r="15" spans="1:7" ht="16.5" customHeight="1">
      <c r="A15" s="137" t="s">
        <v>253</v>
      </c>
      <c r="B15" s="368" t="s">
        <v>243</v>
      </c>
      <c r="C15" s="368" t="s">
        <v>110</v>
      </c>
      <c r="D15" s="368" t="s">
        <v>254</v>
      </c>
      <c r="E15" s="368" t="s">
        <v>110</v>
      </c>
      <c r="F15" s="140" t="s">
        <v>110</v>
      </c>
      <c r="G15" s="141" t="s">
        <v>110</v>
      </c>
    </row>
    <row r="16" spans="1:7" ht="16.5" customHeight="1">
      <c r="A16" s="137" t="s">
        <v>121</v>
      </c>
      <c r="B16" s="368" t="s">
        <v>255</v>
      </c>
      <c r="C16" s="368" t="s">
        <v>110</v>
      </c>
      <c r="D16" s="368" t="s">
        <v>256</v>
      </c>
      <c r="E16" s="368" t="s">
        <v>110</v>
      </c>
      <c r="F16" s="140" t="s">
        <v>110</v>
      </c>
      <c r="G16" s="141">
        <v>42.37</v>
      </c>
    </row>
    <row r="17" spans="1:7" ht="29.25" customHeight="1">
      <c r="A17" s="137" t="s">
        <v>257</v>
      </c>
      <c r="B17" s="368" t="s">
        <v>128</v>
      </c>
      <c r="C17" s="368" t="s">
        <v>110</v>
      </c>
      <c r="D17" s="368" t="s">
        <v>258</v>
      </c>
      <c r="E17" s="368" t="s">
        <v>110</v>
      </c>
      <c r="F17" s="140" t="s">
        <v>259</v>
      </c>
      <c r="G17" s="141">
        <v>39.53</v>
      </c>
    </row>
    <row r="18" spans="1:7" ht="29.25" customHeight="1">
      <c r="A18" s="137" t="s">
        <v>260</v>
      </c>
      <c r="B18" s="368" t="s">
        <v>261</v>
      </c>
      <c r="C18" s="368" t="s">
        <v>110</v>
      </c>
      <c r="D18" s="368" t="s">
        <v>258</v>
      </c>
      <c r="E18" s="368" t="s">
        <v>110</v>
      </c>
      <c r="F18" s="140" t="s">
        <v>262</v>
      </c>
      <c r="G18" s="141">
        <v>2.84</v>
      </c>
    </row>
    <row r="19" spans="1:7" ht="16.5" customHeight="1">
      <c r="A19" s="137" t="s">
        <v>122</v>
      </c>
      <c r="B19" s="368" t="s">
        <v>263</v>
      </c>
      <c r="C19" s="368" t="s">
        <v>110</v>
      </c>
      <c r="D19" s="368" t="s">
        <v>110</v>
      </c>
      <c r="E19" s="368" t="s">
        <v>110</v>
      </c>
      <c r="F19" s="140" t="s">
        <v>110</v>
      </c>
      <c r="G19" s="141" t="s">
        <v>110</v>
      </c>
    </row>
    <row r="20" spans="1:7" ht="29.25" customHeight="1">
      <c r="A20" s="137" t="s">
        <v>125</v>
      </c>
      <c r="B20" s="368" t="s">
        <v>124</v>
      </c>
      <c r="C20" s="368" t="s">
        <v>110</v>
      </c>
      <c r="D20" s="368" t="s">
        <v>258</v>
      </c>
      <c r="E20" s="368" t="s">
        <v>110</v>
      </c>
      <c r="F20" s="140" t="s">
        <v>264</v>
      </c>
      <c r="G20" s="141">
        <v>76.44</v>
      </c>
    </row>
    <row r="21" spans="1:7" ht="29.25" customHeight="1">
      <c r="A21" s="137" t="s">
        <v>127</v>
      </c>
      <c r="B21" s="368" t="s">
        <v>126</v>
      </c>
      <c r="C21" s="368" t="s">
        <v>110</v>
      </c>
      <c r="D21" s="368" t="s">
        <v>258</v>
      </c>
      <c r="E21" s="368" t="s">
        <v>110</v>
      </c>
      <c r="F21" s="140" t="s">
        <v>265</v>
      </c>
      <c r="G21" s="141">
        <v>65.13</v>
      </c>
    </row>
    <row r="22" spans="1:7" ht="29.25" customHeight="1">
      <c r="A22" s="137" t="s">
        <v>129</v>
      </c>
      <c r="B22" s="368" t="s">
        <v>123</v>
      </c>
      <c r="C22" s="368" t="s">
        <v>110</v>
      </c>
      <c r="D22" s="368" t="s">
        <v>258</v>
      </c>
      <c r="E22" s="368" t="s">
        <v>110</v>
      </c>
      <c r="F22" s="140" t="s">
        <v>266</v>
      </c>
      <c r="G22" s="141">
        <v>50.93</v>
      </c>
    </row>
    <row r="23" spans="1:7" ht="16.5" customHeight="1">
      <c r="A23" s="137" t="s">
        <v>131</v>
      </c>
      <c r="B23" s="368" t="s">
        <v>267</v>
      </c>
      <c r="C23" s="368" t="s">
        <v>110</v>
      </c>
      <c r="D23" s="368" t="s">
        <v>110</v>
      </c>
      <c r="E23" s="368" t="s">
        <v>110</v>
      </c>
      <c r="F23" s="140" t="s">
        <v>110</v>
      </c>
      <c r="G23" s="141" t="s">
        <v>110</v>
      </c>
    </row>
    <row r="24" spans="1:7" ht="29.25" customHeight="1">
      <c r="A24" s="137" t="s">
        <v>268</v>
      </c>
      <c r="B24" s="368" t="s">
        <v>269</v>
      </c>
      <c r="C24" s="368" t="s">
        <v>110</v>
      </c>
      <c r="D24" s="368" t="s">
        <v>270</v>
      </c>
      <c r="E24" s="368" t="s">
        <v>110</v>
      </c>
      <c r="F24" s="140" t="s">
        <v>271</v>
      </c>
      <c r="G24" s="141">
        <v>25.14</v>
      </c>
    </row>
    <row r="25" spans="1:7" ht="42" customHeight="1">
      <c r="A25" s="137" t="s">
        <v>272</v>
      </c>
      <c r="B25" s="368" t="s">
        <v>273</v>
      </c>
      <c r="C25" s="368" t="s">
        <v>110</v>
      </c>
      <c r="D25" s="368" t="s">
        <v>274</v>
      </c>
      <c r="E25" s="368" t="s">
        <v>110</v>
      </c>
      <c r="F25" s="140" t="s">
        <v>110</v>
      </c>
      <c r="G25" s="141">
        <v>20976.81</v>
      </c>
    </row>
    <row r="26" spans="1:7" ht="16.5" customHeight="1">
      <c r="A26" s="137" t="s">
        <v>275</v>
      </c>
      <c r="B26" s="368" t="s">
        <v>276</v>
      </c>
      <c r="C26" s="368" t="s">
        <v>110</v>
      </c>
      <c r="D26" s="368" t="s">
        <v>277</v>
      </c>
      <c r="E26" s="368" t="s">
        <v>110</v>
      </c>
      <c r="F26" s="140" t="s">
        <v>110</v>
      </c>
      <c r="G26" s="141" t="s">
        <v>110</v>
      </c>
    </row>
    <row r="27" spans="1:7" ht="16.5" customHeight="1">
      <c r="A27" s="137" t="s">
        <v>278</v>
      </c>
      <c r="B27" s="368" t="s">
        <v>130</v>
      </c>
      <c r="C27" s="368" t="s">
        <v>110</v>
      </c>
      <c r="D27" s="368" t="s">
        <v>279</v>
      </c>
      <c r="E27" s="368" t="s">
        <v>110</v>
      </c>
      <c r="F27" s="140" t="s">
        <v>280</v>
      </c>
      <c r="G27" s="141">
        <v>742.81</v>
      </c>
    </row>
    <row r="28" spans="1:7" ht="16.5" customHeight="1">
      <c r="A28" s="137" t="s">
        <v>281</v>
      </c>
      <c r="B28" s="368" t="s">
        <v>282</v>
      </c>
      <c r="C28" s="368" t="s">
        <v>110</v>
      </c>
      <c r="D28" s="368" t="s">
        <v>283</v>
      </c>
      <c r="E28" s="368" t="s">
        <v>110</v>
      </c>
      <c r="F28" s="140" t="s">
        <v>110</v>
      </c>
      <c r="G28" s="141" t="s">
        <v>110</v>
      </c>
    </row>
    <row r="29" spans="1:7" ht="29.25" customHeight="1">
      <c r="A29" s="137" t="s">
        <v>284</v>
      </c>
      <c r="B29" s="368" t="s">
        <v>285</v>
      </c>
      <c r="C29" s="368" t="s">
        <v>110</v>
      </c>
      <c r="D29" s="368" t="s">
        <v>286</v>
      </c>
      <c r="E29" s="368" t="s">
        <v>110</v>
      </c>
      <c r="F29" s="140" t="s">
        <v>110</v>
      </c>
      <c r="G29" s="141">
        <v>21719.62</v>
      </c>
    </row>
    <row r="30" spans="1:7" ht="16.5" customHeight="1">
      <c r="A30" s="137" t="s">
        <v>110</v>
      </c>
      <c r="B30" s="368" t="s">
        <v>110</v>
      </c>
      <c r="C30" s="368" t="s">
        <v>110</v>
      </c>
      <c r="D30" s="369" t="s">
        <v>110</v>
      </c>
      <c r="E30" s="369" t="s">
        <v>110</v>
      </c>
      <c r="F30" s="140" t="s">
        <v>110</v>
      </c>
      <c r="G30" s="141" t="s">
        <v>110</v>
      </c>
    </row>
    <row r="31" spans="1:7" ht="16.5" customHeight="1">
      <c r="A31" s="137" t="s">
        <v>238</v>
      </c>
      <c r="B31" s="368" t="s">
        <v>132</v>
      </c>
      <c r="C31" s="368" t="s">
        <v>110</v>
      </c>
      <c r="D31" s="368" t="s">
        <v>287</v>
      </c>
      <c r="E31" s="368" t="s">
        <v>110</v>
      </c>
      <c r="F31" s="140" t="s">
        <v>110</v>
      </c>
      <c r="G31" s="141">
        <v>21719.62</v>
      </c>
    </row>
    <row r="32" spans="1:7" ht="16.5" customHeight="1">
      <c r="A32" s="137" t="s">
        <v>110</v>
      </c>
      <c r="B32" s="368" t="s">
        <v>110</v>
      </c>
      <c r="C32" s="368" t="s">
        <v>110</v>
      </c>
      <c r="D32" s="368" t="s">
        <v>110</v>
      </c>
      <c r="E32" s="368" t="s">
        <v>110</v>
      </c>
      <c r="F32" s="140" t="s">
        <v>110</v>
      </c>
      <c r="G32" s="141" t="s">
        <v>110</v>
      </c>
    </row>
    <row r="33" spans="1:7" ht="16.5" customHeight="1">
      <c r="A33" s="137" t="s">
        <v>110</v>
      </c>
      <c r="B33" s="368" t="s">
        <v>110</v>
      </c>
      <c r="C33" s="368" t="s">
        <v>110</v>
      </c>
      <c r="D33" s="368" t="s">
        <v>110</v>
      </c>
      <c r="E33" s="368" t="s">
        <v>110</v>
      </c>
      <c r="F33" s="140" t="s">
        <v>110</v>
      </c>
      <c r="G33" s="141" t="s">
        <v>110</v>
      </c>
    </row>
    <row r="34" spans="1:7" ht="16.5" customHeight="1">
      <c r="A34" s="137" t="s">
        <v>110</v>
      </c>
      <c r="B34" s="368" t="s">
        <v>110</v>
      </c>
      <c r="C34" s="368" t="s">
        <v>110</v>
      </c>
      <c r="D34" s="368" t="s">
        <v>110</v>
      </c>
      <c r="E34" s="368" t="s">
        <v>110</v>
      </c>
      <c r="F34" s="140" t="s">
        <v>110</v>
      </c>
      <c r="G34" s="141" t="s">
        <v>110</v>
      </c>
    </row>
    <row r="35" spans="1:7" ht="16.5" customHeight="1" thickBot="1">
      <c r="A35" s="192" t="s">
        <v>110</v>
      </c>
      <c r="B35" s="364" t="s">
        <v>110</v>
      </c>
      <c r="C35" s="364" t="s">
        <v>110</v>
      </c>
      <c r="D35" s="364" t="s">
        <v>110</v>
      </c>
      <c r="E35" s="364" t="s">
        <v>110</v>
      </c>
      <c r="F35" s="142" t="s">
        <v>110</v>
      </c>
      <c r="G35" s="143" t="s">
        <v>110</v>
      </c>
    </row>
    <row r="36" spans="1:7" ht="16.5" customHeight="1">
      <c r="A36" s="365" t="s">
        <v>288</v>
      </c>
      <c r="B36" s="365" t="s">
        <v>110</v>
      </c>
      <c r="C36" s="366" t="s">
        <v>289</v>
      </c>
      <c r="D36" s="366" t="s">
        <v>110</v>
      </c>
      <c r="E36" s="367" t="s">
        <v>290</v>
      </c>
      <c r="F36" s="367" t="s">
        <v>110</v>
      </c>
      <c r="G36" s="367" t="s">
        <v>110</v>
      </c>
    </row>
  </sheetData>
  <mergeCells count="72">
    <mergeCell ref="B4:C4"/>
    <mergeCell ref="D4:E4"/>
    <mergeCell ref="A1:G1"/>
    <mergeCell ref="A2:D2"/>
    <mergeCell ref="E2:G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A36:B36"/>
    <mergeCell ref="C36:D36"/>
    <mergeCell ref="E36:G36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sqref="A1:XFD1"/>
    </sheetView>
  </sheetViews>
  <sheetFormatPr defaultRowHeight="13.5"/>
  <cols>
    <col min="1" max="1" width="5.25" style="16" customWidth="1"/>
    <col min="2" max="2" width="8.625" style="16" customWidth="1"/>
    <col min="3" max="3" width="19.5" style="16" customWidth="1"/>
    <col min="4" max="4" width="6.25" style="16" customWidth="1"/>
    <col min="5" max="5" width="3.125" style="16" customWidth="1"/>
    <col min="6" max="6" width="6.125" style="16" customWidth="1"/>
    <col min="7" max="7" width="8.375" style="16" customWidth="1"/>
    <col min="8" max="8" width="8.875" style="16" customWidth="1"/>
    <col min="9" max="9" width="9.875" style="16" customWidth="1"/>
    <col min="10" max="10" width="8.375" style="16" customWidth="1"/>
    <col min="11" max="11" width="0.875" style="16" customWidth="1"/>
    <col min="12" max="12" width="9" style="16" customWidth="1"/>
    <col min="13" max="13" width="9.625" style="16" customWidth="1"/>
    <col min="14" max="14" width="11" style="16" customWidth="1"/>
    <col min="15" max="15" width="11.125" style="16" customWidth="1"/>
    <col min="16" max="256" width="8" style="16" customWidth="1"/>
    <col min="257" max="257" width="5.25" style="16" customWidth="1"/>
    <col min="258" max="258" width="8.625" style="16" customWidth="1"/>
    <col min="259" max="259" width="19.5" style="16" customWidth="1"/>
    <col min="260" max="260" width="6.25" style="16" customWidth="1"/>
    <col min="261" max="261" width="3.125" style="16" customWidth="1"/>
    <col min="262" max="262" width="6.125" style="16" customWidth="1"/>
    <col min="263" max="263" width="8.375" style="16" customWidth="1"/>
    <col min="264" max="264" width="8.875" style="16" customWidth="1"/>
    <col min="265" max="265" width="9.875" style="16" customWidth="1"/>
    <col min="266" max="266" width="8.375" style="16" customWidth="1"/>
    <col min="267" max="267" width="0.875" style="16" customWidth="1"/>
    <col min="268" max="268" width="9" style="16" customWidth="1"/>
    <col min="269" max="269" width="9.625" style="16" customWidth="1"/>
    <col min="270" max="270" width="11" style="16" customWidth="1"/>
    <col min="271" max="271" width="11.125" style="16" customWidth="1"/>
    <col min="272" max="512" width="8" style="16" customWidth="1"/>
    <col min="513" max="513" width="5.25" style="16" customWidth="1"/>
    <col min="514" max="514" width="8.625" style="16" customWidth="1"/>
    <col min="515" max="515" width="19.5" style="16" customWidth="1"/>
    <col min="516" max="516" width="6.25" style="16" customWidth="1"/>
    <col min="517" max="517" width="3.125" style="16" customWidth="1"/>
    <col min="518" max="518" width="6.125" style="16" customWidth="1"/>
    <col min="519" max="519" width="8.375" style="16" customWidth="1"/>
    <col min="520" max="520" width="8.875" style="16" customWidth="1"/>
    <col min="521" max="521" width="9.875" style="16" customWidth="1"/>
    <col min="522" max="522" width="8.375" style="16" customWidth="1"/>
    <col min="523" max="523" width="0.875" style="16" customWidth="1"/>
    <col min="524" max="524" width="9" style="16" customWidth="1"/>
    <col min="525" max="525" width="9.625" style="16" customWidth="1"/>
    <col min="526" max="526" width="11" style="16" customWidth="1"/>
    <col min="527" max="527" width="11.125" style="16" customWidth="1"/>
    <col min="528" max="768" width="8" style="16" customWidth="1"/>
    <col min="769" max="769" width="5.25" style="16" customWidth="1"/>
    <col min="770" max="770" width="8.625" style="16" customWidth="1"/>
    <col min="771" max="771" width="19.5" style="16" customWidth="1"/>
    <col min="772" max="772" width="6.25" style="16" customWidth="1"/>
    <col min="773" max="773" width="3.125" style="16" customWidth="1"/>
    <col min="774" max="774" width="6.125" style="16" customWidth="1"/>
    <col min="775" max="775" width="8.375" style="16" customWidth="1"/>
    <col min="776" max="776" width="8.875" style="16" customWidth="1"/>
    <col min="777" max="777" width="9.875" style="16" customWidth="1"/>
    <col min="778" max="778" width="8.375" style="16" customWidth="1"/>
    <col min="779" max="779" width="0.875" style="16" customWidth="1"/>
    <col min="780" max="780" width="9" style="16" customWidth="1"/>
    <col min="781" max="781" width="9.625" style="16" customWidth="1"/>
    <col min="782" max="782" width="11" style="16" customWidth="1"/>
    <col min="783" max="783" width="11.125" style="16" customWidth="1"/>
    <col min="784" max="1024" width="8" style="16" customWidth="1"/>
    <col min="1025" max="1025" width="5.25" style="16" customWidth="1"/>
    <col min="1026" max="1026" width="8.625" style="16" customWidth="1"/>
    <col min="1027" max="1027" width="19.5" style="16" customWidth="1"/>
    <col min="1028" max="1028" width="6.25" style="16" customWidth="1"/>
    <col min="1029" max="1029" width="3.125" style="16" customWidth="1"/>
    <col min="1030" max="1030" width="6.125" style="16" customWidth="1"/>
    <col min="1031" max="1031" width="8.375" style="16" customWidth="1"/>
    <col min="1032" max="1032" width="8.875" style="16" customWidth="1"/>
    <col min="1033" max="1033" width="9.875" style="16" customWidth="1"/>
    <col min="1034" max="1034" width="8.375" style="16" customWidth="1"/>
    <col min="1035" max="1035" width="0.875" style="16" customWidth="1"/>
    <col min="1036" max="1036" width="9" style="16" customWidth="1"/>
    <col min="1037" max="1037" width="9.625" style="16" customWidth="1"/>
    <col min="1038" max="1038" width="11" style="16" customWidth="1"/>
    <col min="1039" max="1039" width="11.125" style="16" customWidth="1"/>
    <col min="1040" max="1280" width="8" style="16" customWidth="1"/>
    <col min="1281" max="1281" width="5.25" style="16" customWidth="1"/>
    <col min="1282" max="1282" width="8.625" style="16" customWidth="1"/>
    <col min="1283" max="1283" width="19.5" style="16" customWidth="1"/>
    <col min="1284" max="1284" width="6.25" style="16" customWidth="1"/>
    <col min="1285" max="1285" width="3.125" style="16" customWidth="1"/>
    <col min="1286" max="1286" width="6.125" style="16" customWidth="1"/>
    <col min="1287" max="1287" width="8.375" style="16" customWidth="1"/>
    <col min="1288" max="1288" width="8.875" style="16" customWidth="1"/>
    <col min="1289" max="1289" width="9.875" style="16" customWidth="1"/>
    <col min="1290" max="1290" width="8.375" style="16" customWidth="1"/>
    <col min="1291" max="1291" width="0.875" style="16" customWidth="1"/>
    <col min="1292" max="1292" width="9" style="16" customWidth="1"/>
    <col min="1293" max="1293" width="9.625" style="16" customWidth="1"/>
    <col min="1294" max="1294" width="11" style="16" customWidth="1"/>
    <col min="1295" max="1295" width="11.125" style="16" customWidth="1"/>
    <col min="1296" max="1536" width="8" style="16" customWidth="1"/>
    <col min="1537" max="1537" width="5.25" style="16" customWidth="1"/>
    <col min="1538" max="1538" width="8.625" style="16" customWidth="1"/>
    <col min="1539" max="1539" width="19.5" style="16" customWidth="1"/>
    <col min="1540" max="1540" width="6.25" style="16" customWidth="1"/>
    <col min="1541" max="1541" width="3.125" style="16" customWidth="1"/>
    <col min="1542" max="1542" width="6.125" style="16" customWidth="1"/>
    <col min="1543" max="1543" width="8.375" style="16" customWidth="1"/>
    <col min="1544" max="1544" width="8.875" style="16" customWidth="1"/>
    <col min="1545" max="1545" width="9.875" style="16" customWidth="1"/>
    <col min="1546" max="1546" width="8.375" style="16" customWidth="1"/>
    <col min="1547" max="1547" width="0.875" style="16" customWidth="1"/>
    <col min="1548" max="1548" width="9" style="16" customWidth="1"/>
    <col min="1549" max="1549" width="9.625" style="16" customWidth="1"/>
    <col min="1550" max="1550" width="11" style="16" customWidth="1"/>
    <col min="1551" max="1551" width="11.125" style="16" customWidth="1"/>
    <col min="1552" max="1792" width="8" style="16" customWidth="1"/>
    <col min="1793" max="1793" width="5.25" style="16" customWidth="1"/>
    <col min="1794" max="1794" width="8.625" style="16" customWidth="1"/>
    <col min="1795" max="1795" width="19.5" style="16" customWidth="1"/>
    <col min="1796" max="1796" width="6.25" style="16" customWidth="1"/>
    <col min="1797" max="1797" width="3.125" style="16" customWidth="1"/>
    <col min="1798" max="1798" width="6.125" style="16" customWidth="1"/>
    <col min="1799" max="1799" width="8.375" style="16" customWidth="1"/>
    <col min="1800" max="1800" width="8.875" style="16" customWidth="1"/>
    <col min="1801" max="1801" width="9.875" style="16" customWidth="1"/>
    <col min="1802" max="1802" width="8.375" style="16" customWidth="1"/>
    <col min="1803" max="1803" width="0.875" style="16" customWidth="1"/>
    <col min="1804" max="1804" width="9" style="16" customWidth="1"/>
    <col min="1805" max="1805" width="9.625" style="16" customWidth="1"/>
    <col min="1806" max="1806" width="11" style="16" customWidth="1"/>
    <col min="1807" max="1807" width="11.125" style="16" customWidth="1"/>
    <col min="1808" max="2048" width="8" style="16" customWidth="1"/>
    <col min="2049" max="2049" width="5.25" style="16" customWidth="1"/>
    <col min="2050" max="2050" width="8.625" style="16" customWidth="1"/>
    <col min="2051" max="2051" width="19.5" style="16" customWidth="1"/>
    <col min="2052" max="2052" width="6.25" style="16" customWidth="1"/>
    <col min="2053" max="2053" width="3.125" style="16" customWidth="1"/>
    <col min="2054" max="2054" width="6.125" style="16" customWidth="1"/>
    <col min="2055" max="2055" width="8.375" style="16" customWidth="1"/>
    <col min="2056" max="2056" width="8.875" style="16" customWidth="1"/>
    <col min="2057" max="2057" width="9.875" style="16" customWidth="1"/>
    <col min="2058" max="2058" width="8.375" style="16" customWidth="1"/>
    <col min="2059" max="2059" width="0.875" style="16" customWidth="1"/>
    <col min="2060" max="2060" width="9" style="16" customWidth="1"/>
    <col min="2061" max="2061" width="9.625" style="16" customWidth="1"/>
    <col min="2062" max="2062" width="11" style="16" customWidth="1"/>
    <col min="2063" max="2063" width="11.125" style="16" customWidth="1"/>
    <col min="2064" max="2304" width="8" style="16" customWidth="1"/>
    <col min="2305" max="2305" width="5.25" style="16" customWidth="1"/>
    <col min="2306" max="2306" width="8.625" style="16" customWidth="1"/>
    <col min="2307" max="2307" width="19.5" style="16" customWidth="1"/>
    <col min="2308" max="2308" width="6.25" style="16" customWidth="1"/>
    <col min="2309" max="2309" width="3.125" style="16" customWidth="1"/>
    <col min="2310" max="2310" width="6.125" style="16" customWidth="1"/>
    <col min="2311" max="2311" width="8.375" style="16" customWidth="1"/>
    <col min="2312" max="2312" width="8.875" style="16" customWidth="1"/>
    <col min="2313" max="2313" width="9.875" style="16" customWidth="1"/>
    <col min="2314" max="2314" width="8.375" style="16" customWidth="1"/>
    <col min="2315" max="2315" width="0.875" style="16" customWidth="1"/>
    <col min="2316" max="2316" width="9" style="16" customWidth="1"/>
    <col min="2317" max="2317" width="9.625" style="16" customWidth="1"/>
    <col min="2318" max="2318" width="11" style="16" customWidth="1"/>
    <col min="2319" max="2319" width="11.125" style="16" customWidth="1"/>
    <col min="2320" max="2560" width="8" style="16" customWidth="1"/>
    <col min="2561" max="2561" width="5.25" style="16" customWidth="1"/>
    <col min="2562" max="2562" width="8.625" style="16" customWidth="1"/>
    <col min="2563" max="2563" width="19.5" style="16" customWidth="1"/>
    <col min="2564" max="2564" width="6.25" style="16" customWidth="1"/>
    <col min="2565" max="2565" width="3.125" style="16" customWidth="1"/>
    <col min="2566" max="2566" width="6.125" style="16" customWidth="1"/>
    <col min="2567" max="2567" width="8.375" style="16" customWidth="1"/>
    <col min="2568" max="2568" width="8.875" style="16" customWidth="1"/>
    <col min="2569" max="2569" width="9.875" style="16" customWidth="1"/>
    <col min="2570" max="2570" width="8.375" style="16" customWidth="1"/>
    <col min="2571" max="2571" width="0.875" style="16" customWidth="1"/>
    <col min="2572" max="2572" width="9" style="16" customWidth="1"/>
    <col min="2573" max="2573" width="9.625" style="16" customWidth="1"/>
    <col min="2574" max="2574" width="11" style="16" customWidth="1"/>
    <col min="2575" max="2575" width="11.125" style="16" customWidth="1"/>
    <col min="2576" max="2816" width="8" style="16" customWidth="1"/>
    <col min="2817" max="2817" width="5.25" style="16" customWidth="1"/>
    <col min="2818" max="2818" width="8.625" style="16" customWidth="1"/>
    <col min="2819" max="2819" width="19.5" style="16" customWidth="1"/>
    <col min="2820" max="2820" width="6.25" style="16" customWidth="1"/>
    <col min="2821" max="2821" width="3.125" style="16" customWidth="1"/>
    <col min="2822" max="2822" width="6.125" style="16" customWidth="1"/>
    <col min="2823" max="2823" width="8.375" style="16" customWidth="1"/>
    <col min="2824" max="2824" width="8.875" style="16" customWidth="1"/>
    <col min="2825" max="2825" width="9.875" style="16" customWidth="1"/>
    <col min="2826" max="2826" width="8.375" style="16" customWidth="1"/>
    <col min="2827" max="2827" width="0.875" style="16" customWidth="1"/>
    <col min="2828" max="2828" width="9" style="16" customWidth="1"/>
    <col min="2829" max="2829" width="9.625" style="16" customWidth="1"/>
    <col min="2830" max="2830" width="11" style="16" customWidth="1"/>
    <col min="2831" max="2831" width="11.125" style="16" customWidth="1"/>
    <col min="2832" max="3072" width="8" style="16" customWidth="1"/>
    <col min="3073" max="3073" width="5.25" style="16" customWidth="1"/>
    <col min="3074" max="3074" width="8.625" style="16" customWidth="1"/>
    <col min="3075" max="3075" width="19.5" style="16" customWidth="1"/>
    <col min="3076" max="3076" width="6.25" style="16" customWidth="1"/>
    <col min="3077" max="3077" width="3.125" style="16" customWidth="1"/>
    <col min="3078" max="3078" width="6.125" style="16" customWidth="1"/>
    <col min="3079" max="3079" width="8.375" style="16" customWidth="1"/>
    <col min="3080" max="3080" width="8.875" style="16" customWidth="1"/>
    <col min="3081" max="3081" width="9.875" style="16" customWidth="1"/>
    <col min="3082" max="3082" width="8.375" style="16" customWidth="1"/>
    <col min="3083" max="3083" width="0.875" style="16" customWidth="1"/>
    <col min="3084" max="3084" width="9" style="16" customWidth="1"/>
    <col min="3085" max="3085" width="9.625" style="16" customWidth="1"/>
    <col min="3086" max="3086" width="11" style="16" customWidth="1"/>
    <col min="3087" max="3087" width="11.125" style="16" customWidth="1"/>
    <col min="3088" max="3328" width="8" style="16" customWidth="1"/>
    <col min="3329" max="3329" width="5.25" style="16" customWidth="1"/>
    <col min="3330" max="3330" width="8.625" style="16" customWidth="1"/>
    <col min="3331" max="3331" width="19.5" style="16" customWidth="1"/>
    <col min="3332" max="3332" width="6.25" style="16" customWidth="1"/>
    <col min="3333" max="3333" width="3.125" style="16" customWidth="1"/>
    <col min="3334" max="3334" width="6.125" style="16" customWidth="1"/>
    <col min="3335" max="3335" width="8.375" style="16" customWidth="1"/>
    <col min="3336" max="3336" width="8.875" style="16" customWidth="1"/>
    <col min="3337" max="3337" width="9.875" style="16" customWidth="1"/>
    <col min="3338" max="3338" width="8.375" style="16" customWidth="1"/>
    <col min="3339" max="3339" width="0.875" style="16" customWidth="1"/>
    <col min="3340" max="3340" width="9" style="16" customWidth="1"/>
    <col min="3341" max="3341" width="9.625" style="16" customWidth="1"/>
    <col min="3342" max="3342" width="11" style="16" customWidth="1"/>
    <col min="3343" max="3343" width="11.125" style="16" customWidth="1"/>
    <col min="3344" max="3584" width="8" style="16" customWidth="1"/>
    <col min="3585" max="3585" width="5.25" style="16" customWidth="1"/>
    <col min="3586" max="3586" width="8.625" style="16" customWidth="1"/>
    <col min="3587" max="3587" width="19.5" style="16" customWidth="1"/>
    <col min="3588" max="3588" width="6.25" style="16" customWidth="1"/>
    <col min="3589" max="3589" width="3.125" style="16" customWidth="1"/>
    <col min="3590" max="3590" width="6.125" style="16" customWidth="1"/>
    <col min="3591" max="3591" width="8.375" style="16" customWidth="1"/>
    <col min="3592" max="3592" width="8.875" style="16" customWidth="1"/>
    <col min="3593" max="3593" width="9.875" style="16" customWidth="1"/>
    <col min="3594" max="3594" width="8.375" style="16" customWidth="1"/>
    <col min="3595" max="3595" width="0.875" style="16" customWidth="1"/>
    <col min="3596" max="3596" width="9" style="16" customWidth="1"/>
    <col min="3597" max="3597" width="9.625" style="16" customWidth="1"/>
    <col min="3598" max="3598" width="11" style="16" customWidth="1"/>
    <col min="3599" max="3599" width="11.125" style="16" customWidth="1"/>
    <col min="3600" max="3840" width="8" style="16" customWidth="1"/>
    <col min="3841" max="3841" width="5.25" style="16" customWidth="1"/>
    <col min="3842" max="3842" width="8.625" style="16" customWidth="1"/>
    <col min="3843" max="3843" width="19.5" style="16" customWidth="1"/>
    <col min="3844" max="3844" width="6.25" style="16" customWidth="1"/>
    <col min="3845" max="3845" width="3.125" style="16" customWidth="1"/>
    <col min="3846" max="3846" width="6.125" style="16" customWidth="1"/>
    <col min="3847" max="3847" width="8.375" style="16" customWidth="1"/>
    <col min="3848" max="3848" width="8.875" style="16" customWidth="1"/>
    <col min="3849" max="3849" width="9.875" style="16" customWidth="1"/>
    <col min="3850" max="3850" width="8.375" style="16" customWidth="1"/>
    <col min="3851" max="3851" width="0.875" style="16" customWidth="1"/>
    <col min="3852" max="3852" width="9" style="16" customWidth="1"/>
    <col min="3853" max="3853" width="9.625" style="16" customWidth="1"/>
    <col min="3854" max="3854" width="11" style="16" customWidth="1"/>
    <col min="3855" max="3855" width="11.125" style="16" customWidth="1"/>
    <col min="3856" max="4096" width="8" style="16" customWidth="1"/>
    <col min="4097" max="4097" width="5.25" style="16" customWidth="1"/>
    <col min="4098" max="4098" width="8.625" style="16" customWidth="1"/>
    <col min="4099" max="4099" width="19.5" style="16" customWidth="1"/>
    <col min="4100" max="4100" width="6.25" style="16" customWidth="1"/>
    <col min="4101" max="4101" width="3.125" style="16" customWidth="1"/>
    <col min="4102" max="4102" width="6.125" style="16" customWidth="1"/>
    <col min="4103" max="4103" width="8.375" style="16" customWidth="1"/>
    <col min="4104" max="4104" width="8.875" style="16" customWidth="1"/>
    <col min="4105" max="4105" width="9.875" style="16" customWidth="1"/>
    <col min="4106" max="4106" width="8.375" style="16" customWidth="1"/>
    <col min="4107" max="4107" width="0.875" style="16" customWidth="1"/>
    <col min="4108" max="4108" width="9" style="16" customWidth="1"/>
    <col min="4109" max="4109" width="9.625" style="16" customWidth="1"/>
    <col min="4110" max="4110" width="11" style="16" customWidth="1"/>
    <col min="4111" max="4111" width="11.125" style="16" customWidth="1"/>
    <col min="4112" max="4352" width="8" style="16" customWidth="1"/>
    <col min="4353" max="4353" width="5.25" style="16" customWidth="1"/>
    <col min="4354" max="4354" width="8.625" style="16" customWidth="1"/>
    <col min="4355" max="4355" width="19.5" style="16" customWidth="1"/>
    <col min="4356" max="4356" width="6.25" style="16" customWidth="1"/>
    <col min="4357" max="4357" width="3.125" style="16" customWidth="1"/>
    <col min="4358" max="4358" width="6.125" style="16" customWidth="1"/>
    <col min="4359" max="4359" width="8.375" style="16" customWidth="1"/>
    <col min="4360" max="4360" width="8.875" style="16" customWidth="1"/>
    <col min="4361" max="4361" width="9.875" style="16" customWidth="1"/>
    <col min="4362" max="4362" width="8.375" style="16" customWidth="1"/>
    <col min="4363" max="4363" width="0.875" style="16" customWidth="1"/>
    <col min="4364" max="4364" width="9" style="16" customWidth="1"/>
    <col min="4365" max="4365" width="9.625" style="16" customWidth="1"/>
    <col min="4366" max="4366" width="11" style="16" customWidth="1"/>
    <col min="4367" max="4367" width="11.125" style="16" customWidth="1"/>
    <col min="4368" max="4608" width="8" style="16" customWidth="1"/>
    <col min="4609" max="4609" width="5.25" style="16" customWidth="1"/>
    <col min="4610" max="4610" width="8.625" style="16" customWidth="1"/>
    <col min="4611" max="4611" width="19.5" style="16" customWidth="1"/>
    <col min="4612" max="4612" width="6.25" style="16" customWidth="1"/>
    <col min="4613" max="4613" width="3.125" style="16" customWidth="1"/>
    <col min="4614" max="4614" width="6.125" style="16" customWidth="1"/>
    <col min="4615" max="4615" width="8.375" style="16" customWidth="1"/>
    <col min="4616" max="4616" width="8.875" style="16" customWidth="1"/>
    <col min="4617" max="4617" width="9.875" style="16" customWidth="1"/>
    <col min="4618" max="4618" width="8.375" style="16" customWidth="1"/>
    <col min="4619" max="4619" width="0.875" style="16" customWidth="1"/>
    <col min="4620" max="4620" width="9" style="16" customWidth="1"/>
    <col min="4621" max="4621" width="9.625" style="16" customWidth="1"/>
    <col min="4622" max="4622" width="11" style="16" customWidth="1"/>
    <col min="4623" max="4623" width="11.125" style="16" customWidth="1"/>
    <col min="4624" max="4864" width="8" style="16" customWidth="1"/>
    <col min="4865" max="4865" width="5.25" style="16" customWidth="1"/>
    <col min="4866" max="4866" width="8.625" style="16" customWidth="1"/>
    <col min="4867" max="4867" width="19.5" style="16" customWidth="1"/>
    <col min="4868" max="4868" width="6.25" style="16" customWidth="1"/>
    <col min="4869" max="4869" width="3.125" style="16" customWidth="1"/>
    <col min="4870" max="4870" width="6.125" style="16" customWidth="1"/>
    <col min="4871" max="4871" width="8.375" style="16" customWidth="1"/>
    <col min="4872" max="4872" width="8.875" style="16" customWidth="1"/>
    <col min="4873" max="4873" width="9.875" style="16" customWidth="1"/>
    <col min="4874" max="4874" width="8.375" style="16" customWidth="1"/>
    <col min="4875" max="4875" width="0.875" style="16" customWidth="1"/>
    <col min="4876" max="4876" width="9" style="16" customWidth="1"/>
    <col min="4877" max="4877" width="9.625" style="16" customWidth="1"/>
    <col min="4878" max="4878" width="11" style="16" customWidth="1"/>
    <col min="4879" max="4879" width="11.125" style="16" customWidth="1"/>
    <col min="4880" max="5120" width="8" style="16" customWidth="1"/>
    <col min="5121" max="5121" width="5.25" style="16" customWidth="1"/>
    <col min="5122" max="5122" width="8.625" style="16" customWidth="1"/>
    <col min="5123" max="5123" width="19.5" style="16" customWidth="1"/>
    <col min="5124" max="5124" width="6.25" style="16" customWidth="1"/>
    <col min="5125" max="5125" width="3.125" style="16" customWidth="1"/>
    <col min="5126" max="5126" width="6.125" style="16" customWidth="1"/>
    <col min="5127" max="5127" width="8.375" style="16" customWidth="1"/>
    <col min="5128" max="5128" width="8.875" style="16" customWidth="1"/>
    <col min="5129" max="5129" width="9.875" style="16" customWidth="1"/>
    <col min="5130" max="5130" width="8.375" style="16" customWidth="1"/>
    <col min="5131" max="5131" width="0.875" style="16" customWidth="1"/>
    <col min="5132" max="5132" width="9" style="16" customWidth="1"/>
    <col min="5133" max="5133" width="9.625" style="16" customWidth="1"/>
    <col min="5134" max="5134" width="11" style="16" customWidth="1"/>
    <col min="5135" max="5135" width="11.125" style="16" customWidth="1"/>
    <col min="5136" max="5376" width="8" style="16" customWidth="1"/>
    <col min="5377" max="5377" width="5.25" style="16" customWidth="1"/>
    <col min="5378" max="5378" width="8.625" style="16" customWidth="1"/>
    <col min="5379" max="5379" width="19.5" style="16" customWidth="1"/>
    <col min="5380" max="5380" width="6.25" style="16" customWidth="1"/>
    <col min="5381" max="5381" width="3.125" style="16" customWidth="1"/>
    <col min="5382" max="5382" width="6.125" style="16" customWidth="1"/>
    <col min="5383" max="5383" width="8.375" style="16" customWidth="1"/>
    <col min="5384" max="5384" width="8.875" style="16" customWidth="1"/>
    <col min="5385" max="5385" width="9.875" style="16" customWidth="1"/>
    <col min="5386" max="5386" width="8.375" style="16" customWidth="1"/>
    <col min="5387" max="5387" width="0.875" style="16" customWidth="1"/>
    <col min="5388" max="5388" width="9" style="16" customWidth="1"/>
    <col min="5389" max="5389" width="9.625" style="16" customWidth="1"/>
    <col min="5390" max="5390" width="11" style="16" customWidth="1"/>
    <col min="5391" max="5391" width="11.125" style="16" customWidth="1"/>
    <col min="5392" max="5632" width="8" style="16" customWidth="1"/>
    <col min="5633" max="5633" width="5.25" style="16" customWidth="1"/>
    <col min="5634" max="5634" width="8.625" style="16" customWidth="1"/>
    <col min="5635" max="5635" width="19.5" style="16" customWidth="1"/>
    <col min="5636" max="5636" width="6.25" style="16" customWidth="1"/>
    <col min="5637" max="5637" width="3.125" style="16" customWidth="1"/>
    <col min="5638" max="5638" width="6.125" style="16" customWidth="1"/>
    <col min="5639" max="5639" width="8.375" style="16" customWidth="1"/>
    <col min="5640" max="5640" width="8.875" style="16" customWidth="1"/>
    <col min="5641" max="5641" width="9.875" style="16" customWidth="1"/>
    <col min="5642" max="5642" width="8.375" style="16" customWidth="1"/>
    <col min="5643" max="5643" width="0.875" style="16" customWidth="1"/>
    <col min="5644" max="5644" width="9" style="16" customWidth="1"/>
    <col min="5645" max="5645" width="9.625" style="16" customWidth="1"/>
    <col min="5646" max="5646" width="11" style="16" customWidth="1"/>
    <col min="5647" max="5647" width="11.125" style="16" customWidth="1"/>
    <col min="5648" max="5888" width="8" style="16" customWidth="1"/>
    <col min="5889" max="5889" width="5.25" style="16" customWidth="1"/>
    <col min="5890" max="5890" width="8.625" style="16" customWidth="1"/>
    <col min="5891" max="5891" width="19.5" style="16" customWidth="1"/>
    <col min="5892" max="5892" width="6.25" style="16" customWidth="1"/>
    <col min="5893" max="5893" width="3.125" style="16" customWidth="1"/>
    <col min="5894" max="5894" width="6.125" style="16" customWidth="1"/>
    <col min="5895" max="5895" width="8.375" style="16" customWidth="1"/>
    <col min="5896" max="5896" width="8.875" style="16" customWidth="1"/>
    <col min="5897" max="5897" width="9.875" style="16" customWidth="1"/>
    <col min="5898" max="5898" width="8.375" style="16" customWidth="1"/>
    <col min="5899" max="5899" width="0.875" style="16" customWidth="1"/>
    <col min="5900" max="5900" width="9" style="16" customWidth="1"/>
    <col min="5901" max="5901" width="9.625" style="16" customWidth="1"/>
    <col min="5902" max="5902" width="11" style="16" customWidth="1"/>
    <col min="5903" max="5903" width="11.125" style="16" customWidth="1"/>
    <col min="5904" max="6144" width="8" style="16" customWidth="1"/>
    <col min="6145" max="6145" width="5.25" style="16" customWidth="1"/>
    <col min="6146" max="6146" width="8.625" style="16" customWidth="1"/>
    <col min="6147" max="6147" width="19.5" style="16" customWidth="1"/>
    <col min="6148" max="6148" width="6.25" style="16" customWidth="1"/>
    <col min="6149" max="6149" width="3.125" style="16" customWidth="1"/>
    <col min="6150" max="6150" width="6.125" style="16" customWidth="1"/>
    <col min="6151" max="6151" width="8.375" style="16" customWidth="1"/>
    <col min="6152" max="6152" width="8.875" style="16" customWidth="1"/>
    <col min="6153" max="6153" width="9.875" style="16" customWidth="1"/>
    <col min="6154" max="6154" width="8.375" style="16" customWidth="1"/>
    <col min="6155" max="6155" width="0.875" style="16" customWidth="1"/>
    <col min="6156" max="6156" width="9" style="16" customWidth="1"/>
    <col min="6157" max="6157" width="9.625" style="16" customWidth="1"/>
    <col min="6158" max="6158" width="11" style="16" customWidth="1"/>
    <col min="6159" max="6159" width="11.125" style="16" customWidth="1"/>
    <col min="6160" max="6400" width="8" style="16" customWidth="1"/>
    <col min="6401" max="6401" width="5.25" style="16" customWidth="1"/>
    <col min="6402" max="6402" width="8.625" style="16" customWidth="1"/>
    <col min="6403" max="6403" width="19.5" style="16" customWidth="1"/>
    <col min="6404" max="6404" width="6.25" style="16" customWidth="1"/>
    <col min="6405" max="6405" width="3.125" style="16" customWidth="1"/>
    <col min="6406" max="6406" width="6.125" style="16" customWidth="1"/>
    <col min="6407" max="6407" width="8.375" style="16" customWidth="1"/>
    <col min="6408" max="6408" width="8.875" style="16" customWidth="1"/>
    <col min="6409" max="6409" width="9.875" style="16" customWidth="1"/>
    <col min="6410" max="6410" width="8.375" style="16" customWidth="1"/>
    <col min="6411" max="6411" width="0.875" style="16" customWidth="1"/>
    <col min="6412" max="6412" width="9" style="16" customWidth="1"/>
    <col min="6413" max="6413" width="9.625" style="16" customWidth="1"/>
    <col min="6414" max="6414" width="11" style="16" customWidth="1"/>
    <col min="6415" max="6415" width="11.125" style="16" customWidth="1"/>
    <col min="6416" max="6656" width="8" style="16" customWidth="1"/>
    <col min="6657" max="6657" width="5.25" style="16" customWidth="1"/>
    <col min="6658" max="6658" width="8.625" style="16" customWidth="1"/>
    <col min="6659" max="6659" width="19.5" style="16" customWidth="1"/>
    <col min="6660" max="6660" width="6.25" style="16" customWidth="1"/>
    <col min="6661" max="6661" width="3.125" style="16" customWidth="1"/>
    <col min="6662" max="6662" width="6.125" style="16" customWidth="1"/>
    <col min="6663" max="6663" width="8.375" style="16" customWidth="1"/>
    <col min="6664" max="6664" width="8.875" style="16" customWidth="1"/>
    <col min="6665" max="6665" width="9.875" style="16" customWidth="1"/>
    <col min="6666" max="6666" width="8.375" style="16" customWidth="1"/>
    <col min="6667" max="6667" width="0.875" style="16" customWidth="1"/>
    <col min="6668" max="6668" width="9" style="16" customWidth="1"/>
    <col min="6669" max="6669" width="9.625" style="16" customWidth="1"/>
    <col min="6670" max="6670" width="11" style="16" customWidth="1"/>
    <col min="6671" max="6671" width="11.125" style="16" customWidth="1"/>
    <col min="6672" max="6912" width="8" style="16" customWidth="1"/>
    <col min="6913" max="6913" width="5.25" style="16" customWidth="1"/>
    <col min="6914" max="6914" width="8.625" style="16" customWidth="1"/>
    <col min="6915" max="6915" width="19.5" style="16" customWidth="1"/>
    <col min="6916" max="6916" width="6.25" style="16" customWidth="1"/>
    <col min="6917" max="6917" width="3.125" style="16" customWidth="1"/>
    <col min="6918" max="6918" width="6.125" style="16" customWidth="1"/>
    <col min="6919" max="6919" width="8.375" style="16" customWidth="1"/>
    <col min="6920" max="6920" width="8.875" style="16" customWidth="1"/>
    <col min="6921" max="6921" width="9.875" style="16" customWidth="1"/>
    <col min="6922" max="6922" width="8.375" style="16" customWidth="1"/>
    <col min="6923" max="6923" width="0.875" style="16" customWidth="1"/>
    <col min="6924" max="6924" width="9" style="16" customWidth="1"/>
    <col min="6925" max="6925" width="9.625" style="16" customWidth="1"/>
    <col min="6926" max="6926" width="11" style="16" customWidth="1"/>
    <col min="6927" max="6927" width="11.125" style="16" customWidth="1"/>
    <col min="6928" max="7168" width="8" style="16" customWidth="1"/>
    <col min="7169" max="7169" width="5.25" style="16" customWidth="1"/>
    <col min="7170" max="7170" width="8.625" style="16" customWidth="1"/>
    <col min="7171" max="7171" width="19.5" style="16" customWidth="1"/>
    <col min="7172" max="7172" width="6.25" style="16" customWidth="1"/>
    <col min="7173" max="7173" width="3.125" style="16" customWidth="1"/>
    <col min="7174" max="7174" width="6.125" style="16" customWidth="1"/>
    <col min="7175" max="7175" width="8.375" style="16" customWidth="1"/>
    <col min="7176" max="7176" width="8.875" style="16" customWidth="1"/>
    <col min="7177" max="7177" width="9.875" style="16" customWidth="1"/>
    <col min="7178" max="7178" width="8.375" style="16" customWidth="1"/>
    <col min="7179" max="7179" width="0.875" style="16" customWidth="1"/>
    <col min="7180" max="7180" width="9" style="16" customWidth="1"/>
    <col min="7181" max="7181" width="9.625" style="16" customWidth="1"/>
    <col min="7182" max="7182" width="11" style="16" customWidth="1"/>
    <col min="7183" max="7183" width="11.125" style="16" customWidth="1"/>
    <col min="7184" max="7424" width="8" style="16" customWidth="1"/>
    <col min="7425" max="7425" width="5.25" style="16" customWidth="1"/>
    <col min="7426" max="7426" width="8.625" style="16" customWidth="1"/>
    <col min="7427" max="7427" width="19.5" style="16" customWidth="1"/>
    <col min="7428" max="7428" width="6.25" style="16" customWidth="1"/>
    <col min="7429" max="7429" width="3.125" style="16" customWidth="1"/>
    <col min="7430" max="7430" width="6.125" style="16" customWidth="1"/>
    <col min="7431" max="7431" width="8.375" style="16" customWidth="1"/>
    <col min="7432" max="7432" width="8.875" style="16" customWidth="1"/>
    <col min="7433" max="7433" width="9.875" style="16" customWidth="1"/>
    <col min="7434" max="7434" width="8.375" style="16" customWidth="1"/>
    <col min="7435" max="7435" width="0.875" style="16" customWidth="1"/>
    <col min="7436" max="7436" width="9" style="16" customWidth="1"/>
    <col min="7437" max="7437" width="9.625" style="16" customWidth="1"/>
    <col min="7438" max="7438" width="11" style="16" customWidth="1"/>
    <col min="7439" max="7439" width="11.125" style="16" customWidth="1"/>
    <col min="7440" max="7680" width="8" style="16" customWidth="1"/>
    <col min="7681" max="7681" width="5.25" style="16" customWidth="1"/>
    <col min="7682" max="7682" width="8.625" style="16" customWidth="1"/>
    <col min="7683" max="7683" width="19.5" style="16" customWidth="1"/>
    <col min="7684" max="7684" width="6.25" style="16" customWidth="1"/>
    <col min="7685" max="7685" width="3.125" style="16" customWidth="1"/>
    <col min="7686" max="7686" width="6.125" style="16" customWidth="1"/>
    <col min="7687" max="7687" width="8.375" style="16" customWidth="1"/>
    <col min="7688" max="7688" width="8.875" style="16" customWidth="1"/>
    <col min="7689" max="7689" width="9.875" style="16" customWidth="1"/>
    <col min="7690" max="7690" width="8.375" style="16" customWidth="1"/>
    <col min="7691" max="7691" width="0.875" style="16" customWidth="1"/>
    <col min="7692" max="7692" width="9" style="16" customWidth="1"/>
    <col min="7693" max="7693" width="9.625" style="16" customWidth="1"/>
    <col min="7694" max="7694" width="11" style="16" customWidth="1"/>
    <col min="7695" max="7695" width="11.125" style="16" customWidth="1"/>
    <col min="7696" max="7936" width="8" style="16" customWidth="1"/>
    <col min="7937" max="7937" width="5.25" style="16" customWidth="1"/>
    <col min="7938" max="7938" width="8.625" style="16" customWidth="1"/>
    <col min="7939" max="7939" width="19.5" style="16" customWidth="1"/>
    <col min="7940" max="7940" width="6.25" style="16" customWidth="1"/>
    <col min="7941" max="7941" width="3.125" style="16" customWidth="1"/>
    <col min="7942" max="7942" width="6.125" style="16" customWidth="1"/>
    <col min="7943" max="7943" width="8.375" style="16" customWidth="1"/>
    <col min="7944" max="7944" width="8.875" style="16" customWidth="1"/>
    <col min="7945" max="7945" width="9.875" style="16" customWidth="1"/>
    <col min="7946" max="7946" width="8.375" style="16" customWidth="1"/>
    <col min="7947" max="7947" width="0.875" style="16" customWidth="1"/>
    <col min="7948" max="7948" width="9" style="16" customWidth="1"/>
    <col min="7949" max="7949" width="9.625" style="16" customWidth="1"/>
    <col min="7950" max="7950" width="11" style="16" customWidth="1"/>
    <col min="7951" max="7951" width="11.125" style="16" customWidth="1"/>
    <col min="7952" max="8192" width="8" style="16" customWidth="1"/>
    <col min="8193" max="8193" width="5.25" style="16" customWidth="1"/>
    <col min="8194" max="8194" width="8.625" style="16" customWidth="1"/>
    <col min="8195" max="8195" width="19.5" style="16" customWidth="1"/>
    <col min="8196" max="8196" width="6.25" style="16" customWidth="1"/>
    <col min="8197" max="8197" width="3.125" style="16" customWidth="1"/>
    <col min="8198" max="8198" width="6.125" style="16" customWidth="1"/>
    <col min="8199" max="8199" width="8.375" style="16" customWidth="1"/>
    <col min="8200" max="8200" width="8.875" style="16" customWidth="1"/>
    <col min="8201" max="8201" width="9.875" style="16" customWidth="1"/>
    <col min="8202" max="8202" width="8.375" style="16" customWidth="1"/>
    <col min="8203" max="8203" width="0.875" style="16" customWidth="1"/>
    <col min="8204" max="8204" width="9" style="16" customWidth="1"/>
    <col min="8205" max="8205" width="9.625" style="16" customWidth="1"/>
    <col min="8206" max="8206" width="11" style="16" customWidth="1"/>
    <col min="8207" max="8207" width="11.125" style="16" customWidth="1"/>
    <col min="8208" max="8448" width="8" style="16" customWidth="1"/>
    <col min="8449" max="8449" width="5.25" style="16" customWidth="1"/>
    <col min="8450" max="8450" width="8.625" style="16" customWidth="1"/>
    <col min="8451" max="8451" width="19.5" style="16" customWidth="1"/>
    <col min="8452" max="8452" width="6.25" style="16" customWidth="1"/>
    <col min="8453" max="8453" width="3.125" style="16" customWidth="1"/>
    <col min="8454" max="8454" width="6.125" style="16" customWidth="1"/>
    <col min="8455" max="8455" width="8.375" style="16" customWidth="1"/>
    <col min="8456" max="8456" width="8.875" style="16" customWidth="1"/>
    <col min="8457" max="8457" width="9.875" style="16" customWidth="1"/>
    <col min="8458" max="8458" width="8.375" style="16" customWidth="1"/>
    <col min="8459" max="8459" width="0.875" style="16" customWidth="1"/>
    <col min="8460" max="8460" width="9" style="16" customWidth="1"/>
    <col min="8461" max="8461" width="9.625" style="16" customWidth="1"/>
    <col min="8462" max="8462" width="11" style="16" customWidth="1"/>
    <col min="8463" max="8463" width="11.125" style="16" customWidth="1"/>
    <col min="8464" max="8704" width="8" style="16" customWidth="1"/>
    <col min="8705" max="8705" width="5.25" style="16" customWidth="1"/>
    <col min="8706" max="8706" width="8.625" style="16" customWidth="1"/>
    <col min="8707" max="8707" width="19.5" style="16" customWidth="1"/>
    <col min="8708" max="8708" width="6.25" style="16" customWidth="1"/>
    <col min="8709" max="8709" width="3.125" style="16" customWidth="1"/>
    <col min="8710" max="8710" width="6.125" style="16" customWidth="1"/>
    <col min="8711" max="8711" width="8.375" style="16" customWidth="1"/>
    <col min="8712" max="8712" width="8.875" style="16" customWidth="1"/>
    <col min="8713" max="8713" width="9.875" style="16" customWidth="1"/>
    <col min="8714" max="8714" width="8.375" style="16" customWidth="1"/>
    <col min="8715" max="8715" width="0.875" style="16" customWidth="1"/>
    <col min="8716" max="8716" width="9" style="16" customWidth="1"/>
    <col min="8717" max="8717" width="9.625" style="16" customWidth="1"/>
    <col min="8718" max="8718" width="11" style="16" customWidth="1"/>
    <col min="8719" max="8719" width="11.125" style="16" customWidth="1"/>
    <col min="8720" max="8960" width="8" style="16" customWidth="1"/>
    <col min="8961" max="8961" width="5.25" style="16" customWidth="1"/>
    <col min="8962" max="8962" width="8.625" style="16" customWidth="1"/>
    <col min="8963" max="8963" width="19.5" style="16" customWidth="1"/>
    <col min="8964" max="8964" width="6.25" style="16" customWidth="1"/>
    <col min="8965" max="8965" width="3.125" style="16" customWidth="1"/>
    <col min="8966" max="8966" width="6.125" style="16" customWidth="1"/>
    <col min="8967" max="8967" width="8.375" style="16" customWidth="1"/>
    <col min="8968" max="8968" width="8.875" style="16" customWidth="1"/>
    <col min="8969" max="8969" width="9.875" style="16" customWidth="1"/>
    <col min="8970" max="8970" width="8.375" style="16" customWidth="1"/>
    <col min="8971" max="8971" width="0.875" style="16" customWidth="1"/>
    <col min="8972" max="8972" width="9" style="16" customWidth="1"/>
    <col min="8973" max="8973" width="9.625" style="16" customWidth="1"/>
    <col min="8974" max="8974" width="11" style="16" customWidth="1"/>
    <col min="8975" max="8975" width="11.125" style="16" customWidth="1"/>
    <col min="8976" max="9216" width="8" style="16" customWidth="1"/>
    <col min="9217" max="9217" width="5.25" style="16" customWidth="1"/>
    <col min="9218" max="9218" width="8.625" style="16" customWidth="1"/>
    <col min="9219" max="9219" width="19.5" style="16" customWidth="1"/>
    <col min="9220" max="9220" width="6.25" style="16" customWidth="1"/>
    <col min="9221" max="9221" width="3.125" style="16" customWidth="1"/>
    <col min="9222" max="9222" width="6.125" style="16" customWidth="1"/>
    <col min="9223" max="9223" width="8.375" style="16" customWidth="1"/>
    <col min="9224" max="9224" width="8.875" style="16" customWidth="1"/>
    <col min="9225" max="9225" width="9.875" style="16" customWidth="1"/>
    <col min="9226" max="9226" width="8.375" style="16" customWidth="1"/>
    <col min="9227" max="9227" width="0.875" style="16" customWidth="1"/>
    <col min="9228" max="9228" width="9" style="16" customWidth="1"/>
    <col min="9229" max="9229" width="9.625" style="16" customWidth="1"/>
    <col min="9230" max="9230" width="11" style="16" customWidth="1"/>
    <col min="9231" max="9231" width="11.125" style="16" customWidth="1"/>
    <col min="9232" max="9472" width="8" style="16" customWidth="1"/>
    <col min="9473" max="9473" width="5.25" style="16" customWidth="1"/>
    <col min="9474" max="9474" width="8.625" style="16" customWidth="1"/>
    <col min="9475" max="9475" width="19.5" style="16" customWidth="1"/>
    <col min="9476" max="9476" width="6.25" style="16" customWidth="1"/>
    <col min="9477" max="9477" width="3.125" style="16" customWidth="1"/>
    <col min="9478" max="9478" width="6.125" style="16" customWidth="1"/>
    <col min="9479" max="9479" width="8.375" style="16" customWidth="1"/>
    <col min="9480" max="9480" width="8.875" style="16" customWidth="1"/>
    <col min="9481" max="9481" width="9.875" style="16" customWidth="1"/>
    <col min="9482" max="9482" width="8.375" style="16" customWidth="1"/>
    <col min="9483" max="9483" width="0.875" style="16" customWidth="1"/>
    <col min="9484" max="9484" width="9" style="16" customWidth="1"/>
    <col min="9485" max="9485" width="9.625" style="16" customWidth="1"/>
    <col min="9486" max="9486" width="11" style="16" customWidth="1"/>
    <col min="9487" max="9487" width="11.125" style="16" customWidth="1"/>
    <col min="9488" max="9728" width="8" style="16" customWidth="1"/>
    <col min="9729" max="9729" width="5.25" style="16" customWidth="1"/>
    <col min="9730" max="9730" width="8.625" style="16" customWidth="1"/>
    <col min="9731" max="9731" width="19.5" style="16" customWidth="1"/>
    <col min="9732" max="9732" width="6.25" style="16" customWidth="1"/>
    <col min="9733" max="9733" width="3.125" style="16" customWidth="1"/>
    <col min="9734" max="9734" width="6.125" style="16" customWidth="1"/>
    <col min="9735" max="9735" width="8.375" style="16" customWidth="1"/>
    <col min="9736" max="9736" width="8.875" style="16" customWidth="1"/>
    <col min="9737" max="9737" width="9.875" style="16" customWidth="1"/>
    <col min="9738" max="9738" width="8.375" style="16" customWidth="1"/>
    <col min="9739" max="9739" width="0.875" style="16" customWidth="1"/>
    <col min="9740" max="9740" width="9" style="16" customWidth="1"/>
    <col min="9741" max="9741" width="9.625" style="16" customWidth="1"/>
    <col min="9742" max="9742" width="11" style="16" customWidth="1"/>
    <col min="9743" max="9743" width="11.125" style="16" customWidth="1"/>
    <col min="9744" max="9984" width="8" style="16" customWidth="1"/>
    <col min="9985" max="9985" width="5.25" style="16" customWidth="1"/>
    <col min="9986" max="9986" width="8.625" style="16" customWidth="1"/>
    <col min="9987" max="9987" width="19.5" style="16" customWidth="1"/>
    <col min="9988" max="9988" width="6.25" style="16" customWidth="1"/>
    <col min="9989" max="9989" width="3.125" style="16" customWidth="1"/>
    <col min="9990" max="9990" width="6.125" style="16" customWidth="1"/>
    <col min="9991" max="9991" width="8.375" style="16" customWidth="1"/>
    <col min="9992" max="9992" width="8.875" style="16" customWidth="1"/>
    <col min="9993" max="9993" width="9.875" style="16" customWidth="1"/>
    <col min="9994" max="9994" width="8.375" style="16" customWidth="1"/>
    <col min="9995" max="9995" width="0.875" style="16" customWidth="1"/>
    <col min="9996" max="9996" width="9" style="16" customWidth="1"/>
    <col min="9997" max="9997" width="9.625" style="16" customWidth="1"/>
    <col min="9998" max="9998" width="11" style="16" customWidth="1"/>
    <col min="9999" max="9999" width="11.125" style="16" customWidth="1"/>
    <col min="10000" max="10240" width="8" style="16" customWidth="1"/>
    <col min="10241" max="10241" width="5.25" style="16" customWidth="1"/>
    <col min="10242" max="10242" width="8.625" style="16" customWidth="1"/>
    <col min="10243" max="10243" width="19.5" style="16" customWidth="1"/>
    <col min="10244" max="10244" width="6.25" style="16" customWidth="1"/>
    <col min="10245" max="10245" width="3.125" style="16" customWidth="1"/>
    <col min="10246" max="10246" width="6.125" style="16" customWidth="1"/>
    <col min="10247" max="10247" width="8.375" style="16" customWidth="1"/>
    <col min="10248" max="10248" width="8.875" style="16" customWidth="1"/>
    <col min="10249" max="10249" width="9.875" style="16" customWidth="1"/>
    <col min="10250" max="10250" width="8.375" style="16" customWidth="1"/>
    <col min="10251" max="10251" width="0.875" style="16" customWidth="1"/>
    <col min="10252" max="10252" width="9" style="16" customWidth="1"/>
    <col min="10253" max="10253" width="9.625" style="16" customWidth="1"/>
    <col min="10254" max="10254" width="11" style="16" customWidth="1"/>
    <col min="10255" max="10255" width="11.125" style="16" customWidth="1"/>
    <col min="10256" max="10496" width="8" style="16" customWidth="1"/>
    <col min="10497" max="10497" width="5.25" style="16" customWidth="1"/>
    <col min="10498" max="10498" width="8.625" style="16" customWidth="1"/>
    <col min="10499" max="10499" width="19.5" style="16" customWidth="1"/>
    <col min="10500" max="10500" width="6.25" style="16" customWidth="1"/>
    <col min="10501" max="10501" width="3.125" style="16" customWidth="1"/>
    <col min="10502" max="10502" width="6.125" style="16" customWidth="1"/>
    <col min="10503" max="10503" width="8.375" style="16" customWidth="1"/>
    <col min="10504" max="10504" width="8.875" style="16" customWidth="1"/>
    <col min="10505" max="10505" width="9.875" style="16" customWidth="1"/>
    <col min="10506" max="10506" width="8.375" style="16" customWidth="1"/>
    <col min="10507" max="10507" width="0.875" style="16" customWidth="1"/>
    <col min="10508" max="10508" width="9" style="16" customWidth="1"/>
    <col min="10509" max="10509" width="9.625" style="16" customWidth="1"/>
    <col min="10510" max="10510" width="11" style="16" customWidth="1"/>
    <col min="10511" max="10511" width="11.125" style="16" customWidth="1"/>
    <col min="10512" max="10752" width="8" style="16" customWidth="1"/>
    <col min="10753" max="10753" width="5.25" style="16" customWidth="1"/>
    <col min="10754" max="10754" width="8.625" style="16" customWidth="1"/>
    <col min="10755" max="10755" width="19.5" style="16" customWidth="1"/>
    <col min="10756" max="10756" width="6.25" style="16" customWidth="1"/>
    <col min="10757" max="10757" width="3.125" style="16" customWidth="1"/>
    <col min="10758" max="10758" width="6.125" style="16" customWidth="1"/>
    <col min="10759" max="10759" width="8.375" style="16" customWidth="1"/>
    <col min="10760" max="10760" width="8.875" style="16" customWidth="1"/>
    <col min="10761" max="10761" width="9.875" style="16" customWidth="1"/>
    <col min="10762" max="10762" width="8.375" style="16" customWidth="1"/>
    <col min="10763" max="10763" width="0.875" style="16" customWidth="1"/>
    <col min="10764" max="10764" width="9" style="16" customWidth="1"/>
    <col min="10765" max="10765" width="9.625" style="16" customWidth="1"/>
    <col min="10766" max="10766" width="11" style="16" customWidth="1"/>
    <col min="10767" max="10767" width="11.125" style="16" customWidth="1"/>
    <col min="10768" max="11008" width="8" style="16" customWidth="1"/>
    <col min="11009" max="11009" width="5.25" style="16" customWidth="1"/>
    <col min="11010" max="11010" width="8.625" style="16" customWidth="1"/>
    <col min="11011" max="11011" width="19.5" style="16" customWidth="1"/>
    <col min="11012" max="11012" width="6.25" style="16" customWidth="1"/>
    <col min="11013" max="11013" width="3.125" style="16" customWidth="1"/>
    <col min="11014" max="11014" width="6.125" style="16" customWidth="1"/>
    <col min="11015" max="11015" width="8.375" style="16" customWidth="1"/>
    <col min="11016" max="11016" width="8.875" style="16" customWidth="1"/>
    <col min="11017" max="11017" width="9.875" style="16" customWidth="1"/>
    <col min="11018" max="11018" width="8.375" style="16" customWidth="1"/>
    <col min="11019" max="11019" width="0.875" style="16" customWidth="1"/>
    <col min="11020" max="11020" width="9" style="16" customWidth="1"/>
    <col min="11021" max="11021" width="9.625" style="16" customWidth="1"/>
    <col min="11022" max="11022" width="11" style="16" customWidth="1"/>
    <col min="11023" max="11023" width="11.125" style="16" customWidth="1"/>
    <col min="11024" max="11264" width="8" style="16" customWidth="1"/>
    <col min="11265" max="11265" width="5.25" style="16" customWidth="1"/>
    <col min="11266" max="11266" width="8.625" style="16" customWidth="1"/>
    <col min="11267" max="11267" width="19.5" style="16" customWidth="1"/>
    <col min="11268" max="11268" width="6.25" style="16" customWidth="1"/>
    <col min="11269" max="11269" width="3.125" style="16" customWidth="1"/>
    <col min="11270" max="11270" width="6.125" style="16" customWidth="1"/>
    <col min="11271" max="11271" width="8.375" style="16" customWidth="1"/>
    <col min="11272" max="11272" width="8.875" style="16" customWidth="1"/>
    <col min="11273" max="11273" width="9.875" style="16" customWidth="1"/>
    <col min="11274" max="11274" width="8.375" style="16" customWidth="1"/>
    <col min="11275" max="11275" width="0.875" style="16" customWidth="1"/>
    <col min="11276" max="11276" width="9" style="16" customWidth="1"/>
    <col min="11277" max="11277" width="9.625" style="16" customWidth="1"/>
    <col min="11278" max="11278" width="11" style="16" customWidth="1"/>
    <col min="11279" max="11279" width="11.125" style="16" customWidth="1"/>
    <col min="11280" max="11520" width="8" style="16" customWidth="1"/>
    <col min="11521" max="11521" width="5.25" style="16" customWidth="1"/>
    <col min="11522" max="11522" width="8.625" style="16" customWidth="1"/>
    <col min="11523" max="11523" width="19.5" style="16" customWidth="1"/>
    <col min="11524" max="11524" width="6.25" style="16" customWidth="1"/>
    <col min="11525" max="11525" width="3.125" style="16" customWidth="1"/>
    <col min="11526" max="11526" width="6.125" style="16" customWidth="1"/>
    <col min="11527" max="11527" width="8.375" style="16" customWidth="1"/>
    <col min="11528" max="11528" width="8.875" style="16" customWidth="1"/>
    <col min="11529" max="11529" width="9.875" style="16" customWidth="1"/>
    <col min="11530" max="11530" width="8.375" style="16" customWidth="1"/>
    <col min="11531" max="11531" width="0.875" style="16" customWidth="1"/>
    <col min="11532" max="11532" width="9" style="16" customWidth="1"/>
    <col min="11533" max="11533" width="9.625" style="16" customWidth="1"/>
    <col min="11534" max="11534" width="11" style="16" customWidth="1"/>
    <col min="11535" max="11535" width="11.125" style="16" customWidth="1"/>
    <col min="11536" max="11776" width="8" style="16" customWidth="1"/>
    <col min="11777" max="11777" width="5.25" style="16" customWidth="1"/>
    <col min="11778" max="11778" width="8.625" style="16" customWidth="1"/>
    <col min="11779" max="11779" width="19.5" style="16" customWidth="1"/>
    <col min="11780" max="11780" width="6.25" style="16" customWidth="1"/>
    <col min="11781" max="11781" width="3.125" style="16" customWidth="1"/>
    <col min="11782" max="11782" width="6.125" style="16" customWidth="1"/>
    <col min="11783" max="11783" width="8.375" style="16" customWidth="1"/>
    <col min="11784" max="11784" width="8.875" style="16" customWidth="1"/>
    <col min="11785" max="11785" width="9.875" style="16" customWidth="1"/>
    <col min="11786" max="11786" width="8.375" style="16" customWidth="1"/>
    <col min="11787" max="11787" width="0.875" style="16" customWidth="1"/>
    <col min="11788" max="11788" width="9" style="16" customWidth="1"/>
    <col min="11789" max="11789" width="9.625" style="16" customWidth="1"/>
    <col min="11790" max="11790" width="11" style="16" customWidth="1"/>
    <col min="11791" max="11791" width="11.125" style="16" customWidth="1"/>
    <col min="11792" max="12032" width="8" style="16" customWidth="1"/>
    <col min="12033" max="12033" width="5.25" style="16" customWidth="1"/>
    <col min="12034" max="12034" width="8.625" style="16" customWidth="1"/>
    <col min="12035" max="12035" width="19.5" style="16" customWidth="1"/>
    <col min="12036" max="12036" width="6.25" style="16" customWidth="1"/>
    <col min="12037" max="12037" width="3.125" style="16" customWidth="1"/>
    <col min="12038" max="12038" width="6.125" style="16" customWidth="1"/>
    <col min="12039" max="12039" width="8.375" style="16" customWidth="1"/>
    <col min="12040" max="12040" width="8.875" style="16" customWidth="1"/>
    <col min="12041" max="12041" width="9.875" style="16" customWidth="1"/>
    <col min="12042" max="12042" width="8.375" style="16" customWidth="1"/>
    <col min="12043" max="12043" width="0.875" style="16" customWidth="1"/>
    <col min="12044" max="12044" width="9" style="16" customWidth="1"/>
    <col min="12045" max="12045" width="9.625" style="16" customWidth="1"/>
    <col min="12046" max="12046" width="11" style="16" customWidth="1"/>
    <col min="12047" max="12047" width="11.125" style="16" customWidth="1"/>
    <col min="12048" max="12288" width="8" style="16" customWidth="1"/>
    <col min="12289" max="12289" width="5.25" style="16" customWidth="1"/>
    <col min="12290" max="12290" width="8.625" style="16" customWidth="1"/>
    <col min="12291" max="12291" width="19.5" style="16" customWidth="1"/>
    <col min="12292" max="12292" width="6.25" style="16" customWidth="1"/>
    <col min="12293" max="12293" width="3.125" style="16" customWidth="1"/>
    <col min="12294" max="12294" width="6.125" style="16" customWidth="1"/>
    <col min="12295" max="12295" width="8.375" style="16" customWidth="1"/>
    <col min="12296" max="12296" width="8.875" style="16" customWidth="1"/>
    <col min="12297" max="12297" width="9.875" style="16" customWidth="1"/>
    <col min="12298" max="12298" width="8.375" style="16" customWidth="1"/>
    <col min="12299" max="12299" width="0.875" style="16" customWidth="1"/>
    <col min="12300" max="12300" width="9" style="16" customWidth="1"/>
    <col min="12301" max="12301" width="9.625" style="16" customWidth="1"/>
    <col min="12302" max="12302" width="11" style="16" customWidth="1"/>
    <col min="12303" max="12303" width="11.125" style="16" customWidth="1"/>
    <col min="12304" max="12544" width="8" style="16" customWidth="1"/>
    <col min="12545" max="12545" width="5.25" style="16" customWidth="1"/>
    <col min="12546" max="12546" width="8.625" style="16" customWidth="1"/>
    <col min="12547" max="12547" width="19.5" style="16" customWidth="1"/>
    <col min="12548" max="12548" width="6.25" style="16" customWidth="1"/>
    <col min="12549" max="12549" width="3.125" style="16" customWidth="1"/>
    <col min="12550" max="12550" width="6.125" style="16" customWidth="1"/>
    <col min="12551" max="12551" width="8.375" style="16" customWidth="1"/>
    <col min="12552" max="12552" width="8.875" style="16" customWidth="1"/>
    <col min="12553" max="12553" width="9.875" style="16" customWidth="1"/>
    <col min="12554" max="12554" width="8.375" style="16" customWidth="1"/>
    <col min="12555" max="12555" width="0.875" style="16" customWidth="1"/>
    <col min="12556" max="12556" width="9" style="16" customWidth="1"/>
    <col min="12557" max="12557" width="9.625" style="16" customWidth="1"/>
    <col min="12558" max="12558" width="11" style="16" customWidth="1"/>
    <col min="12559" max="12559" width="11.125" style="16" customWidth="1"/>
    <col min="12560" max="12800" width="8" style="16" customWidth="1"/>
    <col min="12801" max="12801" width="5.25" style="16" customWidth="1"/>
    <col min="12802" max="12802" width="8.625" style="16" customWidth="1"/>
    <col min="12803" max="12803" width="19.5" style="16" customWidth="1"/>
    <col min="12804" max="12804" width="6.25" style="16" customWidth="1"/>
    <col min="12805" max="12805" width="3.125" style="16" customWidth="1"/>
    <col min="12806" max="12806" width="6.125" style="16" customWidth="1"/>
    <col min="12807" max="12807" width="8.375" style="16" customWidth="1"/>
    <col min="12808" max="12808" width="8.875" style="16" customWidth="1"/>
    <col min="12809" max="12809" width="9.875" style="16" customWidth="1"/>
    <col min="12810" max="12810" width="8.375" style="16" customWidth="1"/>
    <col min="12811" max="12811" width="0.875" style="16" customWidth="1"/>
    <col min="12812" max="12812" width="9" style="16" customWidth="1"/>
    <col min="12813" max="12813" width="9.625" style="16" customWidth="1"/>
    <col min="12814" max="12814" width="11" style="16" customWidth="1"/>
    <col min="12815" max="12815" width="11.125" style="16" customWidth="1"/>
    <col min="12816" max="13056" width="8" style="16" customWidth="1"/>
    <col min="13057" max="13057" width="5.25" style="16" customWidth="1"/>
    <col min="13058" max="13058" width="8.625" style="16" customWidth="1"/>
    <col min="13059" max="13059" width="19.5" style="16" customWidth="1"/>
    <col min="13060" max="13060" width="6.25" style="16" customWidth="1"/>
    <col min="13061" max="13061" width="3.125" style="16" customWidth="1"/>
    <col min="13062" max="13062" width="6.125" style="16" customWidth="1"/>
    <col min="13063" max="13063" width="8.375" style="16" customWidth="1"/>
    <col min="13064" max="13064" width="8.875" style="16" customWidth="1"/>
    <col min="13065" max="13065" width="9.875" style="16" customWidth="1"/>
    <col min="13066" max="13066" width="8.375" style="16" customWidth="1"/>
    <col min="13067" max="13067" width="0.875" style="16" customWidth="1"/>
    <col min="13068" max="13068" width="9" style="16" customWidth="1"/>
    <col min="13069" max="13069" width="9.625" style="16" customWidth="1"/>
    <col min="13070" max="13070" width="11" style="16" customWidth="1"/>
    <col min="13071" max="13071" width="11.125" style="16" customWidth="1"/>
    <col min="13072" max="13312" width="8" style="16" customWidth="1"/>
    <col min="13313" max="13313" width="5.25" style="16" customWidth="1"/>
    <col min="13314" max="13314" width="8.625" style="16" customWidth="1"/>
    <col min="13315" max="13315" width="19.5" style="16" customWidth="1"/>
    <col min="13316" max="13316" width="6.25" style="16" customWidth="1"/>
    <col min="13317" max="13317" width="3.125" style="16" customWidth="1"/>
    <col min="13318" max="13318" width="6.125" style="16" customWidth="1"/>
    <col min="13319" max="13319" width="8.375" style="16" customWidth="1"/>
    <col min="13320" max="13320" width="8.875" style="16" customWidth="1"/>
    <col min="13321" max="13321" width="9.875" style="16" customWidth="1"/>
    <col min="13322" max="13322" width="8.375" style="16" customWidth="1"/>
    <col min="13323" max="13323" width="0.875" style="16" customWidth="1"/>
    <col min="13324" max="13324" width="9" style="16" customWidth="1"/>
    <col min="13325" max="13325" width="9.625" style="16" customWidth="1"/>
    <col min="13326" max="13326" width="11" style="16" customWidth="1"/>
    <col min="13327" max="13327" width="11.125" style="16" customWidth="1"/>
    <col min="13328" max="13568" width="8" style="16" customWidth="1"/>
    <col min="13569" max="13569" width="5.25" style="16" customWidth="1"/>
    <col min="13570" max="13570" width="8.625" style="16" customWidth="1"/>
    <col min="13571" max="13571" width="19.5" style="16" customWidth="1"/>
    <col min="13572" max="13572" width="6.25" style="16" customWidth="1"/>
    <col min="13573" max="13573" width="3.125" style="16" customWidth="1"/>
    <col min="13574" max="13574" width="6.125" style="16" customWidth="1"/>
    <col min="13575" max="13575" width="8.375" style="16" customWidth="1"/>
    <col min="13576" max="13576" width="8.875" style="16" customWidth="1"/>
    <col min="13577" max="13577" width="9.875" style="16" customWidth="1"/>
    <col min="13578" max="13578" width="8.375" style="16" customWidth="1"/>
    <col min="13579" max="13579" width="0.875" style="16" customWidth="1"/>
    <col min="13580" max="13580" width="9" style="16" customWidth="1"/>
    <col min="13581" max="13581" width="9.625" style="16" customWidth="1"/>
    <col min="13582" max="13582" width="11" style="16" customWidth="1"/>
    <col min="13583" max="13583" width="11.125" style="16" customWidth="1"/>
    <col min="13584" max="13824" width="8" style="16" customWidth="1"/>
    <col min="13825" max="13825" width="5.25" style="16" customWidth="1"/>
    <col min="13826" max="13826" width="8.625" style="16" customWidth="1"/>
    <col min="13827" max="13827" width="19.5" style="16" customWidth="1"/>
    <col min="13828" max="13828" width="6.25" style="16" customWidth="1"/>
    <col min="13829" max="13829" width="3.125" style="16" customWidth="1"/>
    <col min="13830" max="13830" width="6.125" style="16" customWidth="1"/>
    <col min="13831" max="13831" width="8.375" style="16" customWidth="1"/>
    <col min="13832" max="13832" width="8.875" style="16" customWidth="1"/>
    <col min="13833" max="13833" width="9.875" style="16" customWidth="1"/>
    <col min="13834" max="13834" width="8.375" style="16" customWidth="1"/>
    <col min="13835" max="13835" width="0.875" style="16" customWidth="1"/>
    <col min="13836" max="13836" width="9" style="16" customWidth="1"/>
    <col min="13837" max="13837" width="9.625" style="16" customWidth="1"/>
    <col min="13838" max="13838" width="11" style="16" customWidth="1"/>
    <col min="13839" max="13839" width="11.125" style="16" customWidth="1"/>
    <col min="13840" max="14080" width="8" style="16" customWidth="1"/>
    <col min="14081" max="14081" width="5.25" style="16" customWidth="1"/>
    <col min="14082" max="14082" width="8.625" style="16" customWidth="1"/>
    <col min="14083" max="14083" width="19.5" style="16" customWidth="1"/>
    <col min="14084" max="14084" width="6.25" style="16" customWidth="1"/>
    <col min="14085" max="14085" width="3.125" style="16" customWidth="1"/>
    <col min="14086" max="14086" width="6.125" style="16" customWidth="1"/>
    <col min="14087" max="14087" width="8.375" style="16" customWidth="1"/>
    <col min="14088" max="14088" width="8.875" style="16" customWidth="1"/>
    <col min="14089" max="14089" width="9.875" style="16" customWidth="1"/>
    <col min="14090" max="14090" width="8.375" style="16" customWidth="1"/>
    <col min="14091" max="14091" width="0.875" style="16" customWidth="1"/>
    <col min="14092" max="14092" width="9" style="16" customWidth="1"/>
    <col min="14093" max="14093" width="9.625" style="16" customWidth="1"/>
    <col min="14094" max="14094" width="11" style="16" customWidth="1"/>
    <col min="14095" max="14095" width="11.125" style="16" customWidth="1"/>
    <col min="14096" max="14336" width="8" style="16" customWidth="1"/>
    <col min="14337" max="14337" width="5.25" style="16" customWidth="1"/>
    <col min="14338" max="14338" width="8.625" style="16" customWidth="1"/>
    <col min="14339" max="14339" width="19.5" style="16" customWidth="1"/>
    <col min="14340" max="14340" width="6.25" style="16" customWidth="1"/>
    <col min="14341" max="14341" width="3.125" style="16" customWidth="1"/>
    <col min="14342" max="14342" width="6.125" style="16" customWidth="1"/>
    <col min="14343" max="14343" width="8.375" style="16" customWidth="1"/>
    <col min="14344" max="14344" width="8.875" style="16" customWidth="1"/>
    <col min="14345" max="14345" width="9.875" style="16" customWidth="1"/>
    <col min="14346" max="14346" width="8.375" style="16" customWidth="1"/>
    <col min="14347" max="14347" width="0.875" style="16" customWidth="1"/>
    <col min="14348" max="14348" width="9" style="16" customWidth="1"/>
    <col min="14349" max="14349" width="9.625" style="16" customWidth="1"/>
    <col min="14350" max="14350" width="11" style="16" customWidth="1"/>
    <col min="14351" max="14351" width="11.125" style="16" customWidth="1"/>
    <col min="14352" max="14592" width="8" style="16" customWidth="1"/>
    <col min="14593" max="14593" width="5.25" style="16" customWidth="1"/>
    <col min="14594" max="14594" width="8.625" style="16" customWidth="1"/>
    <col min="14595" max="14595" width="19.5" style="16" customWidth="1"/>
    <col min="14596" max="14596" width="6.25" style="16" customWidth="1"/>
    <col min="14597" max="14597" width="3.125" style="16" customWidth="1"/>
    <col min="14598" max="14598" width="6.125" style="16" customWidth="1"/>
    <col min="14599" max="14599" width="8.375" style="16" customWidth="1"/>
    <col min="14600" max="14600" width="8.875" style="16" customWidth="1"/>
    <col min="14601" max="14601" width="9.875" style="16" customWidth="1"/>
    <col min="14602" max="14602" width="8.375" style="16" customWidth="1"/>
    <col min="14603" max="14603" width="0.875" style="16" customWidth="1"/>
    <col min="14604" max="14604" width="9" style="16" customWidth="1"/>
    <col min="14605" max="14605" width="9.625" style="16" customWidth="1"/>
    <col min="14606" max="14606" width="11" style="16" customWidth="1"/>
    <col min="14607" max="14607" width="11.125" style="16" customWidth="1"/>
    <col min="14608" max="14848" width="8" style="16" customWidth="1"/>
    <col min="14849" max="14849" width="5.25" style="16" customWidth="1"/>
    <col min="14850" max="14850" width="8.625" style="16" customWidth="1"/>
    <col min="14851" max="14851" width="19.5" style="16" customWidth="1"/>
    <col min="14852" max="14852" width="6.25" style="16" customWidth="1"/>
    <col min="14853" max="14853" width="3.125" style="16" customWidth="1"/>
    <col min="14854" max="14854" width="6.125" style="16" customWidth="1"/>
    <col min="14855" max="14855" width="8.375" style="16" customWidth="1"/>
    <col min="14856" max="14856" width="8.875" style="16" customWidth="1"/>
    <col min="14857" max="14857" width="9.875" style="16" customWidth="1"/>
    <col min="14858" max="14858" width="8.375" style="16" customWidth="1"/>
    <col min="14859" max="14859" width="0.875" style="16" customWidth="1"/>
    <col min="14860" max="14860" width="9" style="16" customWidth="1"/>
    <col min="14861" max="14861" width="9.625" style="16" customWidth="1"/>
    <col min="14862" max="14862" width="11" style="16" customWidth="1"/>
    <col min="14863" max="14863" width="11.125" style="16" customWidth="1"/>
    <col min="14864" max="15104" width="8" style="16" customWidth="1"/>
    <col min="15105" max="15105" width="5.25" style="16" customWidth="1"/>
    <col min="15106" max="15106" width="8.625" style="16" customWidth="1"/>
    <col min="15107" max="15107" width="19.5" style="16" customWidth="1"/>
    <col min="15108" max="15108" width="6.25" style="16" customWidth="1"/>
    <col min="15109" max="15109" width="3.125" style="16" customWidth="1"/>
    <col min="15110" max="15110" width="6.125" style="16" customWidth="1"/>
    <col min="15111" max="15111" width="8.375" style="16" customWidth="1"/>
    <col min="15112" max="15112" width="8.875" style="16" customWidth="1"/>
    <col min="15113" max="15113" width="9.875" style="16" customWidth="1"/>
    <col min="15114" max="15114" width="8.375" style="16" customWidth="1"/>
    <col min="15115" max="15115" width="0.875" style="16" customWidth="1"/>
    <col min="15116" max="15116" width="9" style="16" customWidth="1"/>
    <col min="15117" max="15117" width="9.625" style="16" customWidth="1"/>
    <col min="15118" max="15118" width="11" style="16" customWidth="1"/>
    <col min="15119" max="15119" width="11.125" style="16" customWidth="1"/>
    <col min="15120" max="15360" width="8" style="16" customWidth="1"/>
    <col min="15361" max="15361" width="5.25" style="16" customWidth="1"/>
    <col min="15362" max="15362" width="8.625" style="16" customWidth="1"/>
    <col min="15363" max="15363" width="19.5" style="16" customWidth="1"/>
    <col min="15364" max="15364" width="6.25" style="16" customWidth="1"/>
    <col min="15365" max="15365" width="3.125" style="16" customWidth="1"/>
    <col min="15366" max="15366" width="6.125" style="16" customWidth="1"/>
    <col min="15367" max="15367" width="8.375" style="16" customWidth="1"/>
    <col min="15368" max="15368" width="8.875" style="16" customWidth="1"/>
    <col min="15369" max="15369" width="9.875" style="16" customWidth="1"/>
    <col min="15370" max="15370" width="8.375" style="16" customWidth="1"/>
    <col min="15371" max="15371" width="0.875" style="16" customWidth="1"/>
    <col min="15372" max="15372" width="9" style="16" customWidth="1"/>
    <col min="15373" max="15373" width="9.625" style="16" customWidth="1"/>
    <col min="15374" max="15374" width="11" style="16" customWidth="1"/>
    <col min="15375" max="15375" width="11.125" style="16" customWidth="1"/>
    <col min="15376" max="15616" width="8" style="16" customWidth="1"/>
    <col min="15617" max="15617" width="5.25" style="16" customWidth="1"/>
    <col min="15618" max="15618" width="8.625" style="16" customWidth="1"/>
    <col min="15619" max="15619" width="19.5" style="16" customWidth="1"/>
    <col min="15620" max="15620" width="6.25" style="16" customWidth="1"/>
    <col min="15621" max="15621" width="3.125" style="16" customWidth="1"/>
    <col min="15622" max="15622" width="6.125" style="16" customWidth="1"/>
    <col min="15623" max="15623" width="8.375" style="16" customWidth="1"/>
    <col min="15624" max="15624" width="8.875" style="16" customWidth="1"/>
    <col min="15625" max="15625" width="9.875" style="16" customWidth="1"/>
    <col min="15626" max="15626" width="8.375" style="16" customWidth="1"/>
    <col min="15627" max="15627" width="0.875" style="16" customWidth="1"/>
    <col min="15628" max="15628" width="9" style="16" customWidth="1"/>
    <col min="15629" max="15629" width="9.625" style="16" customWidth="1"/>
    <col min="15630" max="15630" width="11" style="16" customWidth="1"/>
    <col min="15631" max="15631" width="11.125" style="16" customWidth="1"/>
    <col min="15632" max="15872" width="8" style="16" customWidth="1"/>
    <col min="15873" max="15873" width="5.25" style="16" customWidth="1"/>
    <col min="15874" max="15874" width="8.625" style="16" customWidth="1"/>
    <col min="15875" max="15875" width="19.5" style="16" customWidth="1"/>
    <col min="15876" max="15876" width="6.25" style="16" customWidth="1"/>
    <col min="15877" max="15877" width="3.125" style="16" customWidth="1"/>
    <col min="15878" max="15878" width="6.125" style="16" customWidth="1"/>
    <col min="15879" max="15879" width="8.375" style="16" customWidth="1"/>
    <col min="15880" max="15880" width="8.875" style="16" customWidth="1"/>
    <col min="15881" max="15881" width="9.875" style="16" customWidth="1"/>
    <col min="15882" max="15882" width="8.375" style="16" customWidth="1"/>
    <col min="15883" max="15883" width="0.875" style="16" customWidth="1"/>
    <col min="15884" max="15884" width="9" style="16" customWidth="1"/>
    <col min="15885" max="15885" width="9.625" style="16" customWidth="1"/>
    <col min="15886" max="15886" width="11" style="16" customWidth="1"/>
    <col min="15887" max="15887" width="11.125" style="16" customWidth="1"/>
    <col min="15888" max="16128" width="8" style="16" customWidth="1"/>
    <col min="16129" max="16129" width="5.25" style="16" customWidth="1"/>
    <col min="16130" max="16130" width="8.625" style="16" customWidth="1"/>
    <col min="16131" max="16131" width="19.5" style="16" customWidth="1"/>
    <col min="16132" max="16132" width="6.25" style="16" customWidth="1"/>
    <col min="16133" max="16133" width="3.125" style="16" customWidth="1"/>
    <col min="16134" max="16134" width="6.125" style="16" customWidth="1"/>
    <col min="16135" max="16135" width="8.375" style="16" customWidth="1"/>
    <col min="16136" max="16136" width="8.875" style="16" customWidth="1"/>
    <col min="16137" max="16137" width="9.875" style="16" customWidth="1"/>
    <col min="16138" max="16138" width="8.375" style="16" customWidth="1"/>
    <col min="16139" max="16139" width="0.875" style="16" customWidth="1"/>
    <col min="16140" max="16140" width="9" style="16" customWidth="1"/>
    <col min="16141" max="16141" width="9.625" style="16" customWidth="1"/>
    <col min="16142" max="16142" width="11" style="16" customWidth="1"/>
    <col min="16143" max="16143" width="11.125" style="16" customWidth="1"/>
    <col min="16144" max="16384" width="8" style="16" customWidth="1"/>
  </cols>
  <sheetData>
    <row r="1" spans="1:15" ht="27.75" customHeight="1">
      <c r="A1" s="377" t="s">
        <v>291</v>
      </c>
      <c r="B1" s="377" t="s">
        <v>110</v>
      </c>
      <c r="C1" s="377" t="s">
        <v>110</v>
      </c>
      <c r="D1" s="377" t="s">
        <v>110</v>
      </c>
      <c r="E1" s="377" t="s">
        <v>110</v>
      </c>
      <c r="F1" s="377" t="s">
        <v>110</v>
      </c>
      <c r="G1" s="377" t="s">
        <v>110</v>
      </c>
      <c r="H1" s="377" t="s">
        <v>110</v>
      </c>
      <c r="I1" s="377" t="s">
        <v>110</v>
      </c>
      <c r="J1" s="377" t="s">
        <v>110</v>
      </c>
      <c r="K1" s="377" t="s">
        <v>110</v>
      </c>
      <c r="L1" s="377" t="s">
        <v>110</v>
      </c>
      <c r="M1" s="377" t="s">
        <v>110</v>
      </c>
      <c r="N1" s="377" t="s">
        <v>110</v>
      </c>
      <c r="O1" s="377" t="s">
        <v>110</v>
      </c>
    </row>
    <row r="2" spans="1:15" ht="14.25" thickBot="1">
      <c r="A2" s="372" t="s">
        <v>171</v>
      </c>
      <c r="B2" s="372" t="s">
        <v>110</v>
      </c>
      <c r="C2" s="372" t="s">
        <v>110</v>
      </c>
      <c r="D2" s="372" t="s">
        <v>110</v>
      </c>
      <c r="E2" s="372" t="s">
        <v>110</v>
      </c>
      <c r="F2" s="372" t="s">
        <v>110</v>
      </c>
      <c r="G2" s="372" t="s">
        <v>110</v>
      </c>
      <c r="H2" s="372" t="s">
        <v>110</v>
      </c>
      <c r="I2" s="372" t="s">
        <v>110</v>
      </c>
      <c r="J2" s="372" t="s">
        <v>110</v>
      </c>
      <c r="K2" s="367" t="s">
        <v>111</v>
      </c>
      <c r="L2" s="367" t="s">
        <v>110</v>
      </c>
      <c r="M2" s="367" t="s">
        <v>110</v>
      </c>
      <c r="N2" s="367" t="s">
        <v>110</v>
      </c>
      <c r="O2" s="367" t="s">
        <v>110</v>
      </c>
    </row>
    <row r="3" spans="1:15">
      <c r="A3" s="378" t="s">
        <v>112</v>
      </c>
      <c r="B3" s="371" t="s">
        <v>292</v>
      </c>
      <c r="C3" s="371" t="s">
        <v>293</v>
      </c>
      <c r="D3" s="371" t="s">
        <v>294</v>
      </c>
      <c r="E3" s="371" t="s">
        <v>110</v>
      </c>
      <c r="F3" s="371" t="s">
        <v>110</v>
      </c>
      <c r="G3" s="371" t="s">
        <v>295</v>
      </c>
      <c r="H3" s="371" t="s">
        <v>110</v>
      </c>
      <c r="I3" s="371" t="s">
        <v>296</v>
      </c>
      <c r="J3" s="371" t="s">
        <v>110</v>
      </c>
      <c r="K3" s="371" t="s">
        <v>110</v>
      </c>
      <c r="L3" s="371" t="s">
        <v>110</v>
      </c>
      <c r="M3" s="371" t="s">
        <v>110</v>
      </c>
      <c r="N3" s="371" t="s">
        <v>110</v>
      </c>
      <c r="O3" s="381" t="s">
        <v>297</v>
      </c>
    </row>
    <row r="4" spans="1:15">
      <c r="A4" s="379" t="s">
        <v>110</v>
      </c>
      <c r="B4" s="380" t="s">
        <v>110</v>
      </c>
      <c r="C4" s="380" t="s">
        <v>110</v>
      </c>
      <c r="D4" s="136" t="s">
        <v>133</v>
      </c>
      <c r="E4" s="380" t="s">
        <v>134</v>
      </c>
      <c r="F4" s="380" t="s">
        <v>110</v>
      </c>
      <c r="G4" s="136" t="s">
        <v>298</v>
      </c>
      <c r="H4" s="136" t="s">
        <v>299</v>
      </c>
      <c r="I4" s="136" t="s">
        <v>300</v>
      </c>
      <c r="J4" s="380" t="s">
        <v>301</v>
      </c>
      <c r="K4" s="380" t="s">
        <v>110</v>
      </c>
      <c r="L4" s="136" t="s">
        <v>302</v>
      </c>
      <c r="M4" s="136" t="s">
        <v>303</v>
      </c>
      <c r="N4" s="136" t="s">
        <v>304</v>
      </c>
      <c r="O4" s="382" t="s">
        <v>110</v>
      </c>
    </row>
    <row r="5" spans="1:15" ht="24">
      <c r="A5" s="137">
        <v>1</v>
      </c>
      <c r="B5" s="138" t="s">
        <v>158</v>
      </c>
      <c r="C5" s="139" t="s">
        <v>420</v>
      </c>
      <c r="D5" s="138" t="s">
        <v>156</v>
      </c>
      <c r="E5" s="373">
        <v>276</v>
      </c>
      <c r="F5" s="373" t="s">
        <v>110</v>
      </c>
      <c r="G5" s="140">
        <v>50</v>
      </c>
      <c r="H5" s="140">
        <v>13800</v>
      </c>
      <c r="I5" s="140" t="s">
        <v>110</v>
      </c>
      <c r="J5" s="373" t="s">
        <v>110</v>
      </c>
      <c r="K5" s="373" t="s">
        <v>110</v>
      </c>
      <c r="L5" s="140" t="s">
        <v>110</v>
      </c>
      <c r="M5" s="140">
        <v>13800</v>
      </c>
      <c r="N5" s="140" t="s">
        <v>110</v>
      </c>
      <c r="O5" s="141" t="s">
        <v>110</v>
      </c>
    </row>
    <row r="6" spans="1:15">
      <c r="A6" s="137">
        <v>2</v>
      </c>
      <c r="B6" s="138" t="s">
        <v>421</v>
      </c>
      <c r="C6" s="139" t="s">
        <v>422</v>
      </c>
      <c r="D6" s="138" t="s">
        <v>162</v>
      </c>
      <c r="E6" s="373">
        <v>16</v>
      </c>
      <c r="F6" s="373" t="s">
        <v>110</v>
      </c>
      <c r="G6" s="140">
        <v>10.92</v>
      </c>
      <c r="H6" s="140">
        <v>174.72</v>
      </c>
      <c r="I6" s="140">
        <v>174.72</v>
      </c>
      <c r="J6" s="373" t="s">
        <v>110</v>
      </c>
      <c r="K6" s="373" t="s">
        <v>110</v>
      </c>
      <c r="L6" s="140" t="s">
        <v>110</v>
      </c>
      <c r="M6" s="140">
        <v>2400</v>
      </c>
      <c r="N6" s="140" t="s">
        <v>110</v>
      </c>
      <c r="O6" s="141">
        <v>2.1280000000000001</v>
      </c>
    </row>
    <row r="7" spans="1:15">
      <c r="A7" s="137" t="s">
        <v>110</v>
      </c>
      <c r="B7" s="138" t="s">
        <v>154</v>
      </c>
      <c r="C7" s="139" t="s">
        <v>422</v>
      </c>
      <c r="D7" s="138" t="s">
        <v>162</v>
      </c>
      <c r="E7" s="373">
        <v>16</v>
      </c>
      <c r="F7" s="373" t="s">
        <v>110</v>
      </c>
      <c r="G7" s="140">
        <v>150</v>
      </c>
      <c r="H7" s="140">
        <v>2400</v>
      </c>
      <c r="I7" s="140" t="s">
        <v>110</v>
      </c>
      <c r="J7" s="373" t="s">
        <v>110</v>
      </c>
      <c r="K7" s="373" t="s">
        <v>110</v>
      </c>
      <c r="L7" s="140" t="s">
        <v>110</v>
      </c>
      <c r="M7" s="140">
        <v>2400</v>
      </c>
      <c r="N7" s="140" t="s">
        <v>110</v>
      </c>
      <c r="O7" s="141" t="s">
        <v>110</v>
      </c>
    </row>
    <row r="8" spans="1:15">
      <c r="A8" s="137">
        <v>3</v>
      </c>
      <c r="B8" s="138" t="s">
        <v>421</v>
      </c>
      <c r="C8" s="139" t="s">
        <v>423</v>
      </c>
      <c r="D8" s="138" t="s">
        <v>162</v>
      </c>
      <c r="E8" s="373">
        <v>24</v>
      </c>
      <c r="F8" s="373" t="s">
        <v>110</v>
      </c>
      <c r="G8" s="140">
        <v>10.92</v>
      </c>
      <c r="H8" s="140">
        <v>262.08</v>
      </c>
      <c r="I8" s="140">
        <v>262.08</v>
      </c>
      <c r="J8" s="373" t="s">
        <v>110</v>
      </c>
      <c r="K8" s="373" t="s">
        <v>110</v>
      </c>
      <c r="L8" s="140" t="s">
        <v>110</v>
      </c>
      <c r="M8" s="140">
        <v>4080</v>
      </c>
      <c r="N8" s="140" t="s">
        <v>110</v>
      </c>
      <c r="O8" s="141">
        <v>3.1920000000000002</v>
      </c>
    </row>
    <row r="9" spans="1:15">
      <c r="A9" s="137" t="s">
        <v>110</v>
      </c>
      <c r="B9" s="138" t="s">
        <v>154</v>
      </c>
      <c r="C9" s="139" t="s">
        <v>423</v>
      </c>
      <c r="D9" s="138" t="s">
        <v>162</v>
      </c>
      <c r="E9" s="373">
        <v>24</v>
      </c>
      <c r="F9" s="373" t="s">
        <v>110</v>
      </c>
      <c r="G9" s="140">
        <v>170</v>
      </c>
      <c r="H9" s="140">
        <v>4080</v>
      </c>
      <c r="I9" s="140" t="s">
        <v>110</v>
      </c>
      <c r="J9" s="373" t="s">
        <v>110</v>
      </c>
      <c r="K9" s="373" t="s">
        <v>110</v>
      </c>
      <c r="L9" s="140" t="s">
        <v>110</v>
      </c>
      <c r="M9" s="140">
        <v>4080</v>
      </c>
      <c r="N9" s="140" t="s">
        <v>110</v>
      </c>
      <c r="O9" s="141" t="s">
        <v>110</v>
      </c>
    </row>
    <row r="10" spans="1:15">
      <c r="A10" s="137" t="s">
        <v>110</v>
      </c>
      <c r="B10" s="138" t="s">
        <v>110</v>
      </c>
      <c r="C10" s="139" t="s">
        <v>110</v>
      </c>
      <c r="D10" s="138" t="s">
        <v>110</v>
      </c>
      <c r="E10" s="373" t="s">
        <v>110</v>
      </c>
      <c r="F10" s="373" t="s">
        <v>110</v>
      </c>
      <c r="G10" s="140" t="s">
        <v>110</v>
      </c>
      <c r="H10" s="140" t="s">
        <v>110</v>
      </c>
      <c r="I10" s="140" t="s">
        <v>110</v>
      </c>
      <c r="J10" s="373" t="s">
        <v>110</v>
      </c>
      <c r="K10" s="373" t="s">
        <v>110</v>
      </c>
      <c r="L10" s="140" t="s">
        <v>110</v>
      </c>
      <c r="M10" s="140" t="s">
        <v>110</v>
      </c>
      <c r="N10" s="140" t="s">
        <v>110</v>
      </c>
      <c r="O10" s="141" t="s">
        <v>110</v>
      </c>
    </row>
    <row r="11" spans="1:15">
      <c r="A11" s="137" t="s">
        <v>110</v>
      </c>
      <c r="B11" s="138" t="s">
        <v>110</v>
      </c>
      <c r="C11" s="139" t="s">
        <v>110</v>
      </c>
      <c r="D11" s="138" t="s">
        <v>110</v>
      </c>
      <c r="E11" s="373" t="s">
        <v>110</v>
      </c>
      <c r="F11" s="373" t="s">
        <v>110</v>
      </c>
      <c r="G11" s="140" t="s">
        <v>110</v>
      </c>
      <c r="H11" s="140" t="s">
        <v>110</v>
      </c>
      <c r="I11" s="140" t="s">
        <v>110</v>
      </c>
      <c r="J11" s="373" t="s">
        <v>110</v>
      </c>
      <c r="K11" s="373" t="s">
        <v>110</v>
      </c>
      <c r="L11" s="140" t="s">
        <v>110</v>
      </c>
      <c r="M11" s="140" t="s">
        <v>110</v>
      </c>
      <c r="N11" s="140" t="s">
        <v>110</v>
      </c>
      <c r="O11" s="141" t="s">
        <v>110</v>
      </c>
    </row>
    <row r="12" spans="1:15">
      <c r="A12" s="137" t="s">
        <v>110</v>
      </c>
      <c r="B12" s="138" t="s">
        <v>110</v>
      </c>
      <c r="C12" s="139" t="s">
        <v>110</v>
      </c>
      <c r="D12" s="138" t="s">
        <v>110</v>
      </c>
      <c r="E12" s="373" t="s">
        <v>110</v>
      </c>
      <c r="F12" s="373" t="s">
        <v>110</v>
      </c>
      <c r="G12" s="140" t="s">
        <v>110</v>
      </c>
      <c r="H12" s="140" t="s">
        <v>110</v>
      </c>
      <c r="I12" s="140" t="s">
        <v>110</v>
      </c>
      <c r="J12" s="373" t="s">
        <v>110</v>
      </c>
      <c r="K12" s="373" t="s">
        <v>110</v>
      </c>
      <c r="L12" s="140" t="s">
        <v>110</v>
      </c>
      <c r="M12" s="140" t="s">
        <v>110</v>
      </c>
      <c r="N12" s="140" t="s">
        <v>110</v>
      </c>
      <c r="O12" s="141" t="s">
        <v>110</v>
      </c>
    </row>
    <row r="13" spans="1:15">
      <c r="A13" s="137" t="s">
        <v>110</v>
      </c>
      <c r="B13" s="138" t="s">
        <v>110</v>
      </c>
      <c r="C13" s="139" t="s">
        <v>110</v>
      </c>
      <c r="D13" s="138" t="s">
        <v>110</v>
      </c>
      <c r="E13" s="373" t="s">
        <v>110</v>
      </c>
      <c r="F13" s="373" t="s">
        <v>110</v>
      </c>
      <c r="G13" s="140" t="s">
        <v>110</v>
      </c>
      <c r="H13" s="140" t="s">
        <v>110</v>
      </c>
      <c r="I13" s="140" t="s">
        <v>110</v>
      </c>
      <c r="J13" s="373" t="s">
        <v>110</v>
      </c>
      <c r="K13" s="373" t="s">
        <v>110</v>
      </c>
      <c r="L13" s="140" t="s">
        <v>110</v>
      </c>
      <c r="M13" s="140" t="s">
        <v>110</v>
      </c>
      <c r="N13" s="140" t="s">
        <v>110</v>
      </c>
      <c r="O13" s="141" t="s">
        <v>110</v>
      </c>
    </row>
    <row r="14" spans="1:15">
      <c r="A14" s="137" t="s">
        <v>110</v>
      </c>
      <c r="B14" s="138" t="s">
        <v>110</v>
      </c>
      <c r="C14" s="139" t="s">
        <v>110</v>
      </c>
      <c r="D14" s="138" t="s">
        <v>110</v>
      </c>
      <c r="E14" s="373" t="s">
        <v>110</v>
      </c>
      <c r="F14" s="373" t="s">
        <v>110</v>
      </c>
      <c r="G14" s="140" t="s">
        <v>110</v>
      </c>
      <c r="H14" s="140" t="s">
        <v>110</v>
      </c>
      <c r="I14" s="140" t="s">
        <v>110</v>
      </c>
      <c r="J14" s="373" t="s">
        <v>110</v>
      </c>
      <c r="K14" s="373" t="s">
        <v>110</v>
      </c>
      <c r="L14" s="140" t="s">
        <v>110</v>
      </c>
      <c r="M14" s="140" t="s">
        <v>110</v>
      </c>
      <c r="N14" s="140" t="s">
        <v>110</v>
      </c>
      <c r="O14" s="141" t="s">
        <v>110</v>
      </c>
    </row>
    <row r="15" spans="1:15">
      <c r="A15" s="137" t="s">
        <v>110</v>
      </c>
      <c r="B15" s="138" t="s">
        <v>110</v>
      </c>
      <c r="C15" s="139" t="s">
        <v>110</v>
      </c>
      <c r="D15" s="138" t="s">
        <v>110</v>
      </c>
      <c r="E15" s="373" t="s">
        <v>110</v>
      </c>
      <c r="F15" s="373" t="s">
        <v>110</v>
      </c>
      <c r="G15" s="140" t="s">
        <v>110</v>
      </c>
      <c r="H15" s="140" t="s">
        <v>110</v>
      </c>
      <c r="I15" s="140" t="s">
        <v>110</v>
      </c>
      <c r="J15" s="373" t="s">
        <v>110</v>
      </c>
      <c r="K15" s="373" t="s">
        <v>110</v>
      </c>
      <c r="L15" s="140" t="s">
        <v>110</v>
      </c>
      <c r="M15" s="140" t="s">
        <v>110</v>
      </c>
      <c r="N15" s="140" t="s">
        <v>110</v>
      </c>
      <c r="O15" s="141" t="s">
        <v>110</v>
      </c>
    </row>
    <row r="16" spans="1:15">
      <c r="A16" s="137" t="s">
        <v>110</v>
      </c>
      <c r="B16" s="138" t="s">
        <v>110</v>
      </c>
      <c r="C16" s="139" t="s">
        <v>110</v>
      </c>
      <c r="D16" s="138" t="s">
        <v>110</v>
      </c>
      <c r="E16" s="373" t="s">
        <v>110</v>
      </c>
      <c r="F16" s="373" t="s">
        <v>110</v>
      </c>
      <c r="G16" s="140" t="s">
        <v>110</v>
      </c>
      <c r="H16" s="140" t="s">
        <v>110</v>
      </c>
      <c r="I16" s="140" t="s">
        <v>110</v>
      </c>
      <c r="J16" s="373" t="s">
        <v>110</v>
      </c>
      <c r="K16" s="373" t="s">
        <v>110</v>
      </c>
      <c r="L16" s="140" t="s">
        <v>110</v>
      </c>
      <c r="M16" s="140" t="s">
        <v>110</v>
      </c>
      <c r="N16" s="140" t="s">
        <v>110</v>
      </c>
      <c r="O16" s="141" t="s">
        <v>110</v>
      </c>
    </row>
    <row r="17" spans="1:15">
      <c r="A17" s="137" t="s">
        <v>110</v>
      </c>
      <c r="B17" s="138" t="s">
        <v>110</v>
      </c>
      <c r="C17" s="139" t="s">
        <v>110</v>
      </c>
      <c r="D17" s="138" t="s">
        <v>110</v>
      </c>
      <c r="E17" s="373" t="s">
        <v>110</v>
      </c>
      <c r="F17" s="373" t="s">
        <v>110</v>
      </c>
      <c r="G17" s="140" t="s">
        <v>110</v>
      </c>
      <c r="H17" s="140" t="s">
        <v>110</v>
      </c>
      <c r="I17" s="140" t="s">
        <v>110</v>
      </c>
      <c r="J17" s="373" t="s">
        <v>110</v>
      </c>
      <c r="K17" s="373" t="s">
        <v>110</v>
      </c>
      <c r="L17" s="140" t="s">
        <v>110</v>
      </c>
      <c r="M17" s="140" t="s">
        <v>110</v>
      </c>
      <c r="N17" s="140" t="s">
        <v>110</v>
      </c>
      <c r="O17" s="141" t="s">
        <v>110</v>
      </c>
    </row>
    <row r="18" spans="1:15">
      <c r="A18" s="137" t="s">
        <v>110</v>
      </c>
      <c r="B18" s="138" t="s">
        <v>110</v>
      </c>
      <c r="C18" s="139" t="s">
        <v>110</v>
      </c>
      <c r="D18" s="138" t="s">
        <v>110</v>
      </c>
      <c r="E18" s="373" t="s">
        <v>110</v>
      </c>
      <c r="F18" s="373" t="s">
        <v>110</v>
      </c>
      <c r="G18" s="140" t="s">
        <v>110</v>
      </c>
      <c r="H18" s="140" t="s">
        <v>110</v>
      </c>
      <c r="I18" s="140" t="s">
        <v>110</v>
      </c>
      <c r="J18" s="373" t="s">
        <v>110</v>
      </c>
      <c r="K18" s="373" t="s">
        <v>110</v>
      </c>
      <c r="L18" s="140" t="s">
        <v>110</v>
      </c>
      <c r="M18" s="140" t="s">
        <v>110</v>
      </c>
      <c r="N18" s="140" t="s">
        <v>110</v>
      </c>
      <c r="O18" s="141" t="s">
        <v>110</v>
      </c>
    </row>
    <row r="19" spans="1:15">
      <c r="A19" s="137" t="s">
        <v>110</v>
      </c>
      <c r="B19" s="138" t="s">
        <v>110</v>
      </c>
      <c r="C19" s="139" t="s">
        <v>110</v>
      </c>
      <c r="D19" s="138" t="s">
        <v>110</v>
      </c>
      <c r="E19" s="373" t="s">
        <v>110</v>
      </c>
      <c r="F19" s="373" t="s">
        <v>110</v>
      </c>
      <c r="G19" s="140" t="s">
        <v>110</v>
      </c>
      <c r="H19" s="140" t="s">
        <v>110</v>
      </c>
      <c r="I19" s="140" t="s">
        <v>110</v>
      </c>
      <c r="J19" s="373" t="s">
        <v>110</v>
      </c>
      <c r="K19" s="373" t="s">
        <v>110</v>
      </c>
      <c r="L19" s="140" t="s">
        <v>110</v>
      </c>
      <c r="M19" s="140" t="s">
        <v>110</v>
      </c>
      <c r="N19" s="140" t="s">
        <v>110</v>
      </c>
      <c r="O19" s="141" t="s">
        <v>110</v>
      </c>
    </row>
    <row r="20" spans="1:15">
      <c r="A20" s="137" t="s">
        <v>110</v>
      </c>
      <c r="B20" s="138" t="s">
        <v>110</v>
      </c>
      <c r="C20" s="139" t="s">
        <v>110</v>
      </c>
      <c r="D20" s="138" t="s">
        <v>110</v>
      </c>
      <c r="E20" s="373" t="s">
        <v>110</v>
      </c>
      <c r="F20" s="373" t="s">
        <v>110</v>
      </c>
      <c r="G20" s="140" t="s">
        <v>110</v>
      </c>
      <c r="H20" s="140" t="s">
        <v>110</v>
      </c>
      <c r="I20" s="140" t="s">
        <v>110</v>
      </c>
      <c r="J20" s="373" t="s">
        <v>110</v>
      </c>
      <c r="K20" s="373" t="s">
        <v>110</v>
      </c>
      <c r="L20" s="140" t="s">
        <v>110</v>
      </c>
      <c r="M20" s="140" t="s">
        <v>110</v>
      </c>
      <c r="N20" s="140" t="s">
        <v>110</v>
      </c>
      <c r="O20" s="141" t="s">
        <v>110</v>
      </c>
    </row>
    <row r="21" spans="1:15">
      <c r="A21" s="137" t="s">
        <v>110</v>
      </c>
      <c r="B21" s="138" t="s">
        <v>110</v>
      </c>
      <c r="C21" s="139" t="s">
        <v>110</v>
      </c>
      <c r="D21" s="138" t="s">
        <v>110</v>
      </c>
      <c r="E21" s="373" t="s">
        <v>110</v>
      </c>
      <c r="F21" s="373" t="s">
        <v>110</v>
      </c>
      <c r="G21" s="140" t="s">
        <v>110</v>
      </c>
      <c r="H21" s="140" t="s">
        <v>110</v>
      </c>
      <c r="I21" s="140" t="s">
        <v>110</v>
      </c>
      <c r="J21" s="373" t="s">
        <v>110</v>
      </c>
      <c r="K21" s="373" t="s">
        <v>110</v>
      </c>
      <c r="L21" s="140" t="s">
        <v>110</v>
      </c>
      <c r="M21" s="140" t="s">
        <v>110</v>
      </c>
      <c r="N21" s="140" t="s">
        <v>110</v>
      </c>
      <c r="O21" s="141" t="s">
        <v>110</v>
      </c>
    </row>
    <row r="22" spans="1:15">
      <c r="A22" s="137" t="s">
        <v>110</v>
      </c>
      <c r="B22" s="138" t="s">
        <v>110</v>
      </c>
      <c r="C22" s="139" t="s">
        <v>110</v>
      </c>
      <c r="D22" s="138" t="s">
        <v>110</v>
      </c>
      <c r="E22" s="373" t="s">
        <v>110</v>
      </c>
      <c r="F22" s="373" t="s">
        <v>110</v>
      </c>
      <c r="G22" s="140" t="s">
        <v>110</v>
      </c>
      <c r="H22" s="140" t="s">
        <v>110</v>
      </c>
      <c r="I22" s="140" t="s">
        <v>110</v>
      </c>
      <c r="J22" s="373" t="s">
        <v>110</v>
      </c>
      <c r="K22" s="373" t="s">
        <v>110</v>
      </c>
      <c r="L22" s="140" t="s">
        <v>110</v>
      </c>
      <c r="M22" s="140" t="s">
        <v>110</v>
      </c>
      <c r="N22" s="140" t="s">
        <v>110</v>
      </c>
      <c r="O22" s="141" t="s">
        <v>110</v>
      </c>
    </row>
    <row r="23" spans="1:15">
      <c r="A23" s="137" t="s">
        <v>110</v>
      </c>
      <c r="B23" s="138" t="s">
        <v>110</v>
      </c>
      <c r="C23" s="139" t="s">
        <v>110</v>
      </c>
      <c r="D23" s="138" t="s">
        <v>110</v>
      </c>
      <c r="E23" s="373" t="s">
        <v>110</v>
      </c>
      <c r="F23" s="373" t="s">
        <v>110</v>
      </c>
      <c r="G23" s="140" t="s">
        <v>110</v>
      </c>
      <c r="H23" s="140" t="s">
        <v>110</v>
      </c>
      <c r="I23" s="140" t="s">
        <v>110</v>
      </c>
      <c r="J23" s="373" t="s">
        <v>110</v>
      </c>
      <c r="K23" s="373" t="s">
        <v>110</v>
      </c>
      <c r="L23" s="140" t="s">
        <v>110</v>
      </c>
      <c r="M23" s="140" t="s">
        <v>110</v>
      </c>
      <c r="N23" s="140" t="s">
        <v>110</v>
      </c>
      <c r="O23" s="141" t="s">
        <v>110</v>
      </c>
    </row>
    <row r="24" spans="1:15">
      <c r="A24" s="137" t="s">
        <v>110</v>
      </c>
      <c r="B24" s="138" t="s">
        <v>110</v>
      </c>
      <c r="C24" s="139" t="s">
        <v>110</v>
      </c>
      <c r="D24" s="138" t="s">
        <v>110</v>
      </c>
      <c r="E24" s="373" t="s">
        <v>110</v>
      </c>
      <c r="F24" s="373" t="s">
        <v>110</v>
      </c>
      <c r="G24" s="140" t="s">
        <v>110</v>
      </c>
      <c r="H24" s="140" t="s">
        <v>110</v>
      </c>
      <c r="I24" s="140" t="s">
        <v>110</v>
      </c>
      <c r="J24" s="373" t="s">
        <v>110</v>
      </c>
      <c r="K24" s="373" t="s">
        <v>110</v>
      </c>
      <c r="L24" s="140" t="s">
        <v>110</v>
      </c>
      <c r="M24" s="140" t="s">
        <v>110</v>
      </c>
      <c r="N24" s="140" t="s">
        <v>110</v>
      </c>
      <c r="O24" s="141" t="s">
        <v>110</v>
      </c>
    </row>
    <row r="25" spans="1:15" ht="14.25" thickBot="1">
      <c r="A25" s="374" t="s">
        <v>135</v>
      </c>
      <c r="B25" s="375" t="s">
        <v>110</v>
      </c>
      <c r="C25" s="375" t="s">
        <v>110</v>
      </c>
      <c r="D25" s="375" t="s">
        <v>110</v>
      </c>
      <c r="E25" s="375" t="s">
        <v>110</v>
      </c>
      <c r="F25" s="375" t="s">
        <v>110</v>
      </c>
      <c r="G25" s="375" t="s">
        <v>110</v>
      </c>
      <c r="H25" s="142">
        <v>20716.8</v>
      </c>
      <c r="I25" s="142">
        <v>436.8</v>
      </c>
      <c r="J25" s="376" t="s">
        <v>110</v>
      </c>
      <c r="K25" s="376" t="s">
        <v>110</v>
      </c>
      <c r="L25" s="142" t="s">
        <v>110</v>
      </c>
      <c r="M25" s="142">
        <v>20280</v>
      </c>
      <c r="N25" s="142" t="s">
        <v>110</v>
      </c>
      <c r="O25" s="143">
        <v>5.32</v>
      </c>
    </row>
    <row r="26" spans="1:15">
      <c r="A26" s="372" t="s">
        <v>288</v>
      </c>
      <c r="B26" s="372" t="s">
        <v>110</v>
      </c>
      <c r="C26" s="372" t="s">
        <v>110</v>
      </c>
      <c r="D26" s="372" t="s">
        <v>110</v>
      </c>
      <c r="E26" s="372" t="s">
        <v>110</v>
      </c>
      <c r="F26" s="366" t="s">
        <v>289</v>
      </c>
      <c r="G26" s="366" t="s">
        <v>110</v>
      </c>
      <c r="H26" s="366" t="s">
        <v>110</v>
      </c>
      <c r="I26" s="366" t="s">
        <v>110</v>
      </c>
      <c r="J26" s="366" t="s">
        <v>110</v>
      </c>
      <c r="K26" s="367" t="s">
        <v>290</v>
      </c>
      <c r="L26" s="367" t="s">
        <v>110</v>
      </c>
      <c r="M26" s="367" t="s">
        <v>110</v>
      </c>
      <c r="N26" s="367" t="s">
        <v>110</v>
      </c>
      <c r="O26" s="367" t="s">
        <v>110</v>
      </c>
    </row>
  </sheetData>
  <mergeCells count="57"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4:F4"/>
    <mergeCell ref="J4:K4"/>
    <mergeCell ref="E5:F5"/>
    <mergeCell ref="J5:K5"/>
    <mergeCell ref="E6:F6"/>
    <mergeCell ref="J6:K6"/>
    <mergeCell ref="E7:F7"/>
    <mergeCell ref="J7:K7"/>
    <mergeCell ref="E8:F8"/>
    <mergeCell ref="J8:K8"/>
    <mergeCell ref="E9:F9"/>
    <mergeCell ref="J9:K9"/>
    <mergeCell ref="E10:F10"/>
    <mergeCell ref="J10:K10"/>
    <mergeCell ref="E11:F11"/>
    <mergeCell ref="J11:K11"/>
    <mergeCell ref="E12:F12"/>
    <mergeCell ref="J12:K12"/>
    <mergeCell ref="E13:F13"/>
    <mergeCell ref="J13:K13"/>
    <mergeCell ref="E14:F14"/>
    <mergeCell ref="J14:K14"/>
    <mergeCell ref="E15:F15"/>
    <mergeCell ref="J15:K15"/>
    <mergeCell ref="E16:F16"/>
    <mergeCell ref="J16:K16"/>
    <mergeCell ref="E17:F17"/>
    <mergeCell ref="J17:K17"/>
    <mergeCell ref="E18:F18"/>
    <mergeCell ref="J18:K18"/>
    <mergeCell ref="E19:F19"/>
    <mergeCell ref="J19:K19"/>
    <mergeCell ref="E20:F20"/>
    <mergeCell ref="J20:K20"/>
    <mergeCell ref="E21:F21"/>
    <mergeCell ref="J21:K21"/>
    <mergeCell ref="E22:F22"/>
    <mergeCell ref="J22:K22"/>
    <mergeCell ref="A26:E26"/>
    <mergeCell ref="F26:J26"/>
    <mergeCell ref="K26:O26"/>
    <mergeCell ref="E23:F23"/>
    <mergeCell ref="J23:K23"/>
    <mergeCell ref="E24:F24"/>
    <mergeCell ref="J24:K24"/>
    <mergeCell ref="A25:G25"/>
    <mergeCell ref="J25:K25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workbookViewId="0">
      <selection activeCell="G26" sqref="G26"/>
    </sheetView>
  </sheetViews>
  <sheetFormatPr defaultRowHeight="12"/>
  <cols>
    <col min="1" max="1" width="4.625" style="167" customWidth="1"/>
    <col min="2" max="2" width="5.625" style="168" customWidth="1"/>
    <col min="3" max="3" width="31.75" style="167" customWidth="1"/>
    <col min="4" max="4" width="39.125" style="169" customWidth="1"/>
    <col min="5" max="5" width="4.75" style="168" bestFit="1" customWidth="1"/>
    <col min="6" max="6" width="6" style="170" bestFit="1" customWidth="1"/>
    <col min="7" max="7" width="8.5" style="186" customWidth="1"/>
    <col min="8" max="8" width="7.5" style="171" bestFit="1" customWidth="1"/>
    <col min="9" max="9" width="6.625" style="172" customWidth="1"/>
    <col min="10" max="10" width="7.375" style="173" customWidth="1"/>
    <col min="11" max="26" width="9" style="173"/>
    <col min="27" max="256" width="9" style="167"/>
    <col min="257" max="257" width="4.625" style="167" customWidth="1"/>
    <col min="258" max="258" width="5.625" style="167" customWidth="1"/>
    <col min="259" max="259" width="31.75" style="167" customWidth="1"/>
    <col min="260" max="260" width="39.125" style="167" customWidth="1"/>
    <col min="261" max="261" width="4.75" style="167" bestFit="1" customWidth="1"/>
    <col min="262" max="262" width="6" style="167" bestFit="1" customWidth="1"/>
    <col min="263" max="263" width="8.5" style="167" customWidth="1"/>
    <col min="264" max="264" width="7.5" style="167" bestFit="1" customWidth="1"/>
    <col min="265" max="265" width="6.625" style="167" customWidth="1"/>
    <col min="266" max="266" width="7.375" style="167" customWidth="1"/>
    <col min="267" max="512" width="9" style="167"/>
    <col min="513" max="513" width="4.625" style="167" customWidth="1"/>
    <col min="514" max="514" width="5.625" style="167" customWidth="1"/>
    <col min="515" max="515" width="31.75" style="167" customWidth="1"/>
    <col min="516" max="516" width="39.125" style="167" customWidth="1"/>
    <col min="517" max="517" width="4.75" style="167" bestFit="1" customWidth="1"/>
    <col min="518" max="518" width="6" style="167" bestFit="1" customWidth="1"/>
    <col min="519" max="519" width="8.5" style="167" customWidth="1"/>
    <col min="520" max="520" width="7.5" style="167" bestFit="1" customWidth="1"/>
    <col min="521" max="521" width="6.625" style="167" customWidth="1"/>
    <col min="522" max="522" width="7.375" style="167" customWidth="1"/>
    <col min="523" max="768" width="9" style="167"/>
    <col min="769" max="769" width="4.625" style="167" customWidth="1"/>
    <col min="770" max="770" width="5.625" style="167" customWidth="1"/>
    <col min="771" max="771" width="31.75" style="167" customWidth="1"/>
    <col min="772" max="772" width="39.125" style="167" customWidth="1"/>
    <col min="773" max="773" width="4.75" style="167" bestFit="1" customWidth="1"/>
    <col min="774" max="774" width="6" style="167" bestFit="1" customWidth="1"/>
    <col min="775" max="775" width="8.5" style="167" customWidth="1"/>
    <col min="776" max="776" width="7.5" style="167" bestFit="1" customWidth="1"/>
    <col min="777" max="777" width="6.625" style="167" customWidth="1"/>
    <col min="778" max="778" width="7.375" style="167" customWidth="1"/>
    <col min="779" max="1024" width="9" style="167"/>
    <col min="1025" max="1025" width="4.625" style="167" customWidth="1"/>
    <col min="1026" max="1026" width="5.625" style="167" customWidth="1"/>
    <col min="1027" max="1027" width="31.75" style="167" customWidth="1"/>
    <col min="1028" max="1028" width="39.125" style="167" customWidth="1"/>
    <col min="1029" max="1029" width="4.75" style="167" bestFit="1" customWidth="1"/>
    <col min="1030" max="1030" width="6" style="167" bestFit="1" customWidth="1"/>
    <col min="1031" max="1031" width="8.5" style="167" customWidth="1"/>
    <col min="1032" max="1032" width="7.5" style="167" bestFit="1" customWidth="1"/>
    <col min="1033" max="1033" width="6.625" style="167" customWidth="1"/>
    <col min="1034" max="1034" width="7.375" style="167" customWidth="1"/>
    <col min="1035" max="1280" width="9" style="167"/>
    <col min="1281" max="1281" width="4.625" style="167" customWidth="1"/>
    <col min="1282" max="1282" width="5.625" style="167" customWidth="1"/>
    <col min="1283" max="1283" width="31.75" style="167" customWidth="1"/>
    <col min="1284" max="1284" width="39.125" style="167" customWidth="1"/>
    <col min="1285" max="1285" width="4.75" style="167" bestFit="1" customWidth="1"/>
    <col min="1286" max="1286" width="6" style="167" bestFit="1" customWidth="1"/>
    <col min="1287" max="1287" width="8.5" style="167" customWidth="1"/>
    <col min="1288" max="1288" width="7.5" style="167" bestFit="1" customWidth="1"/>
    <col min="1289" max="1289" width="6.625" style="167" customWidth="1"/>
    <col min="1290" max="1290" width="7.375" style="167" customWidth="1"/>
    <col min="1291" max="1536" width="9" style="167"/>
    <col min="1537" max="1537" width="4.625" style="167" customWidth="1"/>
    <col min="1538" max="1538" width="5.625" style="167" customWidth="1"/>
    <col min="1539" max="1539" width="31.75" style="167" customWidth="1"/>
    <col min="1540" max="1540" width="39.125" style="167" customWidth="1"/>
    <col min="1541" max="1541" width="4.75" style="167" bestFit="1" customWidth="1"/>
    <col min="1542" max="1542" width="6" style="167" bestFit="1" customWidth="1"/>
    <col min="1543" max="1543" width="8.5" style="167" customWidth="1"/>
    <col min="1544" max="1544" width="7.5" style="167" bestFit="1" customWidth="1"/>
    <col min="1545" max="1545" width="6.625" style="167" customWidth="1"/>
    <col min="1546" max="1546" width="7.375" style="167" customWidth="1"/>
    <col min="1547" max="1792" width="9" style="167"/>
    <col min="1793" max="1793" width="4.625" style="167" customWidth="1"/>
    <col min="1794" max="1794" width="5.625" style="167" customWidth="1"/>
    <col min="1795" max="1795" width="31.75" style="167" customWidth="1"/>
    <col min="1796" max="1796" width="39.125" style="167" customWidth="1"/>
    <col min="1797" max="1797" width="4.75" style="167" bestFit="1" customWidth="1"/>
    <col min="1798" max="1798" width="6" style="167" bestFit="1" customWidth="1"/>
    <col min="1799" max="1799" width="8.5" style="167" customWidth="1"/>
    <col min="1800" max="1800" width="7.5" style="167" bestFit="1" customWidth="1"/>
    <col min="1801" max="1801" width="6.625" style="167" customWidth="1"/>
    <col min="1802" max="1802" width="7.375" style="167" customWidth="1"/>
    <col min="1803" max="2048" width="9" style="167"/>
    <col min="2049" max="2049" width="4.625" style="167" customWidth="1"/>
    <col min="2050" max="2050" width="5.625" style="167" customWidth="1"/>
    <col min="2051" max="2051" width="31.75" style="167" customWidth="1"/>
    <col min="2052" max="2052" width="39.125" style="167" customWidth="1"/>
    <col min="2053" max="2053" width="4.75" style="167" bestFit="1" customWidth="1"/>
    <col min="2054" max="2054" width="6" style="167" bestFit="1" customWidth="1"/>
    <col min="2055" max="2055" width="8.5" style="167" customWidth="1"/>
    <col min="2056" max="2056" width="7.5" style="167" bestFit="1" customWidth="1"/>
    <col min="2057" max="2057" width="6.625" style="167" customWidth="1"/>
    <col min="2058" max="2058" width="7.375" style="167" customWidth="1"/>
    <col min="2059" max="2304" width="9" style="167"/>
    <col min="2305" max="2305" width="4.625" style="167" customWidth="1"/>
    <col min="2306" max="2306" width="5.625" style="167" customWidth="1"/>
    <col min="2307" max="2307" width="31.75" style="167" customWidth="1"/>
    <col min="2308" max="2308" width="39.125" style="167" customWidth="1"/>
    <col min="2309" max="2309" width="4.75" style="167" bestFit="1" customWidth="1"/>
    <col min="2310" max="2310" width="6" style="167" bestFit="1" customWidth="1"/>
    <col min="2311" max="2311" width="8.5" style="167" customWidth="1"/>
    <col min="2312" max="2312" width="7.5" style="167" bestFit="1" customWidth="1"/>
    <col min="2313" max="2313" width="6.625" style="167" customWidth="1"/>
    <col min="2314" max="2314" width="7.375" style="167" customWidth="1"/>
    <col min="2315" max="2560" width="9" style="167"/>
    <col min="2561" max="2561" width="4.625" style="167" customWidth="1"/>
    <col min="2562" max="2562" width="5.625" style="167" customWidth="1"/>
    <col min="2563" max="2563" width="31.75" style="167" customWidth="1"/>
    <col min="2564" max="2564" width="39.125" style="167" customWidth="1"/>
    <col min="2565" max="2565" width="4.75" style="167" bestFit="1" customWidth="1"/>
    <col min="2566" max="2566" width="6" style="167" bestFit="1" customWidth="1"/>
    <col min="2567" max="2567" width="8.5" style="167" customWidth="1"/>
    <col min="2568" max="2568" width="7.5" style="167" bestFit="1" customWidth="1"/>
    <col min="2569" max="2569" width="6.625" style="167" customWidth="1"/>
    <col min="2570" max="2570" width="7.375" style="167" customWidth="1"/>
    <col min="2571" max="2816" width="9" style="167"/>
    <col min="2817" max="2817" width="4.625" style="167" customWidth="1"/>
    <col min="2818" max="2818" width="5.625" style="167" customWidth="1"/>
    <col min="2819" max="2819" width="31.75" style="167" customWidth="1"/>
    <col min="2820" max="2820" width="39.125" style="167" customWidth="1"/>
    <col min="2821" max="2821" width="4.75" style="167" bestFit="1" customWidth="1"/>
    <col min="2822" max="2822" width="6" style="167" bestFit="1" customWidth="1"/>
    <col min="2823" max="2823" width="8.5" style="167" customWidth="1"/>
    <col min="2824" max="2824" width="7.5" style="167" bestFit="1" customWidth="1"/>
    <col min="2825" max="2825" width="6.625" style="167" customWidth="1"/>
    <col min="2826" max="2826" width="7.375" style="167" customWidth="1"/>
    <col min="2827" max="3072" width="9" style="167"/>
    <col min="3073" max="3073" width="4.625" style="167" customWidth="1"/>
    <col min="3074" max="3074" width="5.625" style="167" customWidth="1"/>
    <col min="3075" max="3075" width="31.75" style="167" customWidth="1"/>
    <col min="3076" max="3076" width="39.125" style="167" customWidth="1"/>
    <col min="3077" max="3077" width="4.75" style="167" bestFit="1" customWidth="1"/>
    <col min="3078" max="3078" width="6" style="167" bestFit="1" customWidth="1"/>
    <col min="3079" max="3079" width="8.5" style="167" customWidth="1"/>
    <col min="3080" max="3080" width="7.5" style="167" bestFit="1" customWidth="1"/>
    <col min="3081" max="3081" width="6.625" style="167" customWidth="1"/>
    <col min="3082" max="3082" width="7.375" style="167" customWidth="1"/>
    <col min="3083" max="3328" width="9" style="167"/>
    <col min="3329" max="3329" width="4.625" style="167" customWidth="1"/>
    <col min="3330" max="3330" width="5.625" style="167" customWidth="1"/>
    <col min="3331" max="3331" width="31.75" style="167" customWidth="1"/>
    <col min="3332" max="3332" width="39.125" style="167" customWidth="1"/>
    <col min="3333" max="3333" width="4.75" style="167" bestFit="1" customWidth="1"/>
    <col min="3334" max="3334" width="6" style="167" bestFit="1" customWidth="1"/>
    <col min="3335" max="3335" width="8.5" style="167" customWidth="1"/>
    <col min="3336" max="3336" width="7.5" style="167" bestFit="1" customWidth="1"/>
    <col min="3337" max="3337" width="6.625" style="167" customWidth="1"/>
    <col min="3338" max="3338" width="7.375" style="167" customWidth="1"/>
    <col min="3339" max="3584" width="9" style="167"/>
    <col min="3585" max="3585" width="4.625" style="167" customWidth="1"/>
    <col min="3586" max="3586" width="5.625" style="167" customWidth="1"/>
    <col min="3587" max="3587" width="31.75" style="167" customWidth="1"/>
    <col min="3588" max="3588" width="39.125" style="167" customWidth="1"/>
    <col min="3589" max="3589" width="4.75" style="167" bestFit="1" customWidth="1"/>
    <col min="3590" max="3590" width="6" style="167" bestFit="1" customWidth="1"/>
    <col min="3591" max="3591" width="8.5" style="167" customWidth="1"/>
    <col min="3592" max="3592" width="7.5" style="167" bestFit="1" customWidth="1"/>
    <col min="3593" max="3593" width="6.625" style="167" customWidth="1"/>
    <col min="3594" max="3594" width="7.375" style="167" customWidth="1"/>
    <col min="3595" max="3840" width="9" style="167"/>
    <col min="3841" max="3841" width="4.625" style="167" customWidth="1"/>
    <col min="3842" max="3842" width="5.625" style="167" customWidth="1"/>
    <col min="3843" max="3843" width="31.75" style="167" customWidth="1"/>
    <col min="3844" max="3844" width="39.125" style="167" customWidth="1"/>
    <col min="3845" max="3845" width="4.75" style="167" bestFit="1" customWidth="1"/>
    <col min="3846" max="3846" width="6" style="167" bestFit="1" customWidth="1"/>
    <col min="3847" max="3847" width="8.5" style="167" customWidth="1"/>
    <col min="3848" max="3848" width="7.5" style="167" bestFit="1" customWidth="1"/>
    <col min="3849" max="3849" width="6.625" style="167" customWidth="1"/>
    <col min="3850" max="3850" width="7.375" style="167" customWidth="1"/>
    <col min="3851" max="4096" width="9" style="167"/>
    <col min="4097" max="4097" width="4.625" style="167" customWidth="1"/>
    <col min="4098" max="4098" width="5.625" style="167" customWidth="1"/>
    <col min="4099" max="4099" width="31.75" style="167" customWidth="1"/>
    <col min="4100" max="4100" width="39.125" style="167" customWidth="1"/>
    <col min="4101" max="4101" width="4.75" style="167" bestFit="1" customWidth="1"/>
    <col min="4102" max="4102" width="6" style="167" bestFit="1" customWidth="1"/>
    <col min="4103" max="4103" width="8.5" style="167" customWidth="1"/>
    <col min="4104" max="4104" width="7.5" style="167" bestFit="1" customWidth="1"/>
    <col min="4105" max="4105" width="6.625" style="167" customWidth="1"/>
    <col min="4106" max="4106" width="7.375" style="167" customWidth="1"/>
    <col min="4107" max="4352" width="9" style="167"/>
    <col min="4353" max="4353" width="4.625" style="167" customWidth="1"/>
    <col min="4354" max="4354" width="5.625" style="167" customWidth="1"/>
    <col min="4355" max="4355" width="31.75" style="167" customWidth="1"/>
    <col min="4356" max="4356" width="39.125" style="167" customWidth="1"/>
    <col min="4357" max="4357" width="4.75" style="167" bestFit="1" customWidth="1"/>
    <col min="4358" max="4358" width="6" style="167" bestFit="1" customWidth="1"/>
    <col min="4359" max="4359" width="8.5" style="167" customWidth="1"/>
    <col min="4360" max="4360" width="7.5" style="167" bestFit="1" customWidth="1"/>
    <col min="4361" max="4361" width="6.625" style="167" customWidth="1"/>
    <col min="4362" max="4362" width="7.375" style="167" customWidth="1"/>
    <col min="4363" max="4608" width="9" style="167"/>
    <col min="4609" max="4609" width="4.625" style="167" customWidth="1"/>
    <col min="4610" max="4610" width="5.625" style="167" customWidth="1"/>
    <col min="4611" max="4611" width="31.75" style="167" customWidth="1"/>
    <col min="4612" max="4612" width="39.125" style="167" customWidth="1"/>
    <col min="4613" max="4613" width="4.75" style="167" bestFit="1" customWidth="1"/>
    <col min="4614" max="4614" width="6" style="167" bestFit="1" customWidth="1"/>
    <col min="4615" max="4615" width="8.5" style="167" customWidth="1"/>
    <col min="4616" max="4616" width="7.5" style="167" bestFit="1" customWidth="1"/>
    <col min="4617" max="4617" width="6.625" style="167" customWidth="1"/>
    <col min="4618" max="4618" width="7.375" style="167" customWidth="1"/>
    <col min="4619" max="4864" width="9" style="167"/>
    <col min="4865" max="4865" width="4.625" style="167" customWidth="1"/>
    <col min="4866" max="4866" width="5.625" style="167" customWidth="1"/>
    <col min="4867" max="4867" width="31.75" style="167" customWidth="1"/>
    <col min="4868" max="4868" width="39.125" style="167" customWidth="1"/>
    <col min="4869" max="4869" width="4.75" style="167" bestFit="1" customWidth="1"/>
    <col min="4870" max="4870" width="6" style="167" bestFit="1" customWidth="1"/>
    <col min="4871" max="4871" width="8.5" style="167" customWidth="1"/>
    <col min="4872" max="4872" width="7.5" style="167" bestFit="1" customWidth="1"/>
    <col min="4873" max="4873" width="6.625" style="167" customWidth="1"/>
    <col min="4874" max="4874" width="7.375" style="167" customWidth="1"/>
    <col min="4875" max="5120" width="9" style="167"/>
    <col min="5121" max="5121" width="4.625" style="167" customWidth="1"/>
    <col min="5122" max="5122" width="5.625" style="167" customWidth="1"/>
    <col min="5123" max="5123" width="31.75" style="167" customWidth="1"/>
    <col min="5124" max="5124" width="39.125" style="167" customWidth="1"/>
    <col min="5125" max="5125" width="4.75" style="167" bestFit="1" customWidth="1"/>
    <col min="5126" max="5126" width="6" style="167" bestFit="1" customWidth="1"/>
    <col min="5127" max="5127" width="8.5" style="167" customWidth="1"/>
    <col min="5128" max="5128" width="7.5" style="167" bestFit="1" customWidth="1"/>
    <col min="5129" max="5129" width="6.625" style="167" customWidth="1"/>
    <col min="5130" max="5130" width="7.375" style="167" customWidth="1"/>
    <col min="5131" max="5376" width="9" style="167"/>
    <col min="5377" max="5377" width="4.625" style="167" customWidth="1"/>
    <col min="5378" max="5378" width="5.625" style="167" customWidth="1"/>
    <col min="5379" max="5379" width="31.75" style="167" customWidth="1"/>
    <col min="5380" max="5380" width="39.125" style="167" customWidth="1"/>
    <col min="5381" max="5381" width="4.75" style="167" bestFit="1" customWidth="1"/>
    <col min="5382" max="5382" width="6" style="167" bestFit="1" customWidth="1"/>
    <col min="5383" max="5383" width="8.5" style="167" customWidth="1"/>
    <col min="5384" max="5384" width="7.5" style="167" bestFit="1" customWidth="1"/>
    <col min="5385" max="5385" width="6.625" style="167" customWidth="1"/>
    <col min="5386" max="5386" width="7.375" style="167" customWidth="1"/>
    <col min="5387" max="5632" width="9" style="167"/>
    <col min="5633" max="5633" width="4.625" style="167" customWidth="1"/>
    <col min="5634" max="5634" width="5.625" style="167" customWidth="1"/>
    <col min="5635" max="5635" width="31.75" style="167" customWidth="1"/>
    <col min="5636" max="5636" width="39.125" style="167" customWidth="1"/>
    <col min="5637" max="5637" width="4.75" style="167" bestFit="1" customWidth="1"/>
    <col min="5638" max="5638" width="6" style="167" bestFit="1" customWidth="1"/>
    <col min="5639" max="5639" width="8.5" style="167" customWidth="1"/>
    <col min="5640" max="5640" width="7.5" style="167" bestFit="1" customWidth="1"/>
    <col min="5641" max="5641" width="6.625" style="167" customWidth="1"/>
    <col min="5642" max="5642" width="7.375" style="167" customWidth="1"/>
    <col min="5643" max="5888" width="9" style="167"/>
    <col min="5889" max="5889" width="4.625" style="167" customWidth="1"/>
    <col min="5890" max="5890" width="5.625" style="167" customWidth="1"/>
    <col min="5891" max="5891" width="31.75" style="167" customWidth="1"/>
    <col min="5892" max="5892" width="39.125" style="167" customWidth="1"/>
    <col min="5893" max="5893" width="4.75" style="167" bestFit="1" customWidth="1"/>
    <col min="5894" max="5894" width="6" style="167" bestFit="1" customWidth="1"/>
    <col min="5895" max="5895" width="8.5" style="167" customWidth="1"/>
    <col min="5896" max="5896" width="7.5" style="167" bestFit="1" customWidth="1"/>
    <col min="5897" max="5897" width="6.625" style="167" customWidth="1"/>
    <col min="5898" max="5898" width="7.375" style="167" customWidth="1"/>
    <col min="5899" max="6144" width="9" style="167"/>
    <col min="6145" max="6145" width="4.625" style="167" customWidth="1"/>
    <col min="6146" max="6146" width="5.625" style="167" customWidth="1"/>
    <col min="6147" max="6147" width="31.75" style="167" customWidth="1"/>
    <col min="6148" max="6148" width="39.125" style="167" customWidth="1"/>
    <col min="6149" max="6149" width="4.75" style="167" bestFit="1" customWidth="1"/>
    <col min="6150" max="6150" width="6" style="167" bestFit="1" customWidth="1"/>
    <col min="6151" max="6151" width="8.5" style="167" customWidth="1"/>
    <col min="6152" max="6152" width="7.5" style="167" bestFit="1" customWidth="1"/>
    <col min="6153" max="6153" width="6.625" style="167" customWidth="1"/>
    <col min="6154" max="6154" width="7.375" style="167" customWidth="1"/>
    <col min="6155" max="6400" width="9" style="167"/>
    <col min="6401" max="6401" width="4.625" style="167" customWidth="1"/>
    <col min="6402" max="6402" width="5.625" style="167" customWidth="1"/>
    <col min="6403" max="6403" width="31.75" style="167" customWidth="1"/>
    <col min="6404" max="6404" width="39.125" style="167" customWidth="1"/>
    <col min="6405" max="6405" width="4.75" style="167" bestFit="1" customWidth="1"/>
    <col min="6406" max="6406" width="6" style="167" bestFit="1" customWidth="1"/>
    <col min="6407" max="6407" width="8.5" style="167" customWidth="1"/>
    <col min="6408" max="6408" width="7.5" style="167" bestFit="1" customWidth="1"/>
    <col min="6409" max="6409" width="6.625" style="167" customWidth="1"/>
    <col min="6410" max="6410" width="7.375" style="167" customWidth="1"/>
    <col min="6411" max="6656" width="9" style="167"/>
    <col min="6657" max="6657" width="4.625" style="167" customWidth="1"/>
    <col min="6658" max="6658" width="5.625" style="167" customWidth="1"/>
    <col min="6659" max="6659" width="31.75" style="167" customWidth="1"/>
    <col min="6660" max="6660" width="39.125" style="167" customWidth="1"/>
    <col min="6661" max="6661" width="4.75" style="167" bestFit="1" customWidth="1"/>
    <col min="6662" max="6662" width="6" style="167" bestFit="1" customWidth="1"/>
    <col min="6663" max="6663" width="8.5" style="167" customWidth="1"/>
    <col min="6664" max="6664" width="7.5" style="167" bestFit="1" customWidth="1"/>
    <col min="6665" max="6665" width="6.625" style="167" customWidth="1"/>
    <col min="6666" max="6666" width="7.375" style="167" customWidth="1"/>
    <col min="6667" max="6912" width="9" style="167"/>
    <col min="6913" max="6913" width="4.625" style="167" customWidth="1"/>
    <col min="6914" max="6914" width="5.625" style="167" customWidth="1"/>
    <col min="6915" max="6915" width="31.75" style="167" customWidth="1"/>
    <col min="6916" max="6916" width="39.125" style="167" customWidth="1"/>
    <col min="6917" max="6917" width="4.75" style="167" bestFit="1" customWidth="1"/>
    <col min="6918" max="6918" width="6" style="167" bestFit="1" customWidth="1"/>
    <col min="6919" max="6919" width="8.5" style="167" customWidth="1"/>
    <col min="6920" max="6920" width="7.5" style="167" bestFit="1" customWidth="1"/>
    <col min="6921" max="6921" width="6.625" style="167" customWidth="1"/>
    <col min="6922" max="6922" width="7.375" style="167" customWidth="1"/>
    <col min="6923" max="7168" width="9" style="167"/>
    <col min="7169" max="7169" width="4.625" style="167" customWidth="1"/>
    <col min="7170" max="7170" width="5.625" style="167" customWidth="1"/>
    <col min="7171" max="7171" width="31.75" style="167" customWidth="1"/>
    <col min="7172" max="7172" width="39.125" style="167" customWidth="1"/>
    <col min="7173" max="7173" width="4.75" style="167" bestFit="1" customWidth="1"/>
    <col min="7174" max="7174" width="6" style="167" bestFit="1" customWidth="1"/>
    <col min="7175" max="7175" width="8.5" style="167" customWidth="1"/>
    <col min="7176" max="7176" width="7.5" style="167" bestFit="1" customWidth="1"/>
    <col min="7177" max="7177" width="6.625" style="167" customWidth="1"/>
    <col min="7178" max="7178" width="7.375" style="167" customWidth="1"/>
    <col min="7179" max="7424" width="9" style="167"/>
    <col min="7425" max="7425" width="4.625" style="167" customWidth="1"/>
    <col min="7426" max="7426" width="5.625" style="167" customWidth="1"/>
    <col min="7427" max="7427" width="31.75" style="167" customWidth="1"/>
    <col min="7428" max="7428" width="39.125" style="167" customWidth="1"/>
    <col min="7429" max="7429" width="4.75" style="167" bestFit="1" customWidth="1"/>
    <col min="7430" max="7430" width="6" style="167" bestFit="1" customWidth="1"/>
    <col min="7431" max="7431" width="8.5" style="167" customWidth="1"/>
    <col min="7432" max="7432" width="7.5" style="167" bestFit="1" customWidth="1"/>
    <col min="7433" max="7433" width="6.625" style="167" customWidth="1"/>
    <col min="7434" max="7434" width="7.375" style="167" customWidth="1"/>
    <col min="7435" max="7680" width="9" style="167"/>
    <col min="7681" max="7681" width="4.625" style="167" customWidth="1"/>
    <col min="7682" max="7682" width="5.625" style="167" customWidth="1"/>
    <col min="7683" max="7683" width="31.75" style="167" customWidth="1"/>
    <col min="7684" max="7684" width="39.125" style="167" customWidth="1"/>
    <col min="7685" max="7685" width="4.75" style="167" bestFit="1" customWidth="1"/>
    <col min="7686" max="7686" width="6" style="167" bestFit="1" customWidth="1"/>
    <col min="7687" max="7687" width="8.5" style="167" customWidth="1"/>
    <col min="7688" max="7688" width="7.5" style="167" bestFit="1" customWidth="1"/>
    <col min="7689" max="7689" width="6.625" style="167" customWidth="1"/>
    <col min="7690" max="7690" width="7.375" style="167" customWidth="1"/>
    <col min="7691" max="7936" width="9" style="167"/>
    <col min="7937" max="7937" width="4.625" style="167" customWidth="1"/>
    <col min="7938" max="7938" width="5.625" style="167" customWidth="1"/>
    <col min="7939" max="7939" width="31.75" style="167" customWidth="1"/>
    <col min="7940" max="7940" width="39.125" style="167" customWidth="1"/>
    <col min="7941" max="7941" width="4.75" style="167" bestFit="1" customWidth="1"/>
    <col min="7942" max="7942" width="6" style="167" bestFit="1" customWidth="1"/>
    <col min="7943" max="7943" width="8.5" style="167" customWidth="1"/>
    <col min="7944" max="7944" width="7.5" style="167" bestFit="1" customWidth="1"/>
    <col min="7945" max="7945" width="6.625" style="167" customWidth="1"/>
    <col min="7946" max="7946" width="7.375" style="167" customWidth="1"/>
    <col min="7947" max="8192" width="9" style="167"/>
    <col min="8193" max="8193" width="4.625" style="167" customWidth="1"/>
    <col min="8194" max="8194" width="5.625" style="167" customWidth="1"/>
    <col min="8195" max="8195" width="31.75" style="167" customWidth="1"/>
    <col min="8196" max="8196" width="39.125" style="167" customWidth="1"/>
    <col min="8197" max="8197" width="4.75" style="167" bestFit="1" customWidth="1"/>
    <col min="8198" max="8198" width="6" style="167" bestFit="1" customWidth="1"/>
    <col min="8199" max="8199" width="8.5" style="167" customWidth="1"/>
    <col min="8200" max="8200" width="7.5" style="167" bestFit="1" customWidth="1"/>
    <col min="8201" max="8201" width="6.625" style="167" customWidth="1"/>
    <col min="8202" max="8202" width="7.375" style="167" customWidth="1"/>
    <col min="8203" max="8448" width="9" style="167"/>
    <col min="8449" max="8449" width="4.625" style="167" customWidth="1"/>
    <col min="8450" max="8450" width="5.625" style="167" customWidth="1"/>
    <col min="8451" max="8451" width="31.75" style="167" customWidth="1"/>
    <col min="8452" max="8452" width="39.125" style="167" customWidth="1"/>
    <col min="8453" max="8453" width="4.75" style="167" bestFit="1" customWidth="1"/>
    <col min="8454" max="8454" width="6" style="167" bestFit="1" customWidth="1"/>
    <col min="8455" max="8455" width="8.5" style="167" customWidth="1"/>
    <col min="8456" max="8456" width="7.5" style="167" bestFit="1" customWidth="1"/>
    <col min="8457" max="8457" width="6.625" style="167" customWidth="1"/>
    <col min="8458" max="8458" width="7.375" style="167" customWidth="1"/>
    <col min="8459" max="8704" width="9" style="167"/>
    <col min="8705" max="8705" width="4.625" style="167" customWidth="1"/>
    <col min="8706" max="8706" width="5.625" style="167" customWidth="1"/>
    <col min="8707" max="8707" width="31.75" style="167" customWidth="1"/>
    <col min="8708" max="8708" width="39.125" style="167" customWidth="1"/>
    <col min="8709" max="8709" width="4.75" style="167" bestFit="1" customWidth="1"/>
    <col min="8710" max="8710" width="6" style="167" bestFit="1" customWidth="1"/>
    <col min="8711" max="8711" width="8.5" style="167" customWidth="1"/>
    <col min="8712" max="8712" width="7.5" style="167" bestFit="1" customWidth="1"/>
    <col min="8713" max="8713" width="6.625" style="167" customWidth="1"/>
    <col min="8714" max="8714" width="7.375" style="167" customWidth="1"/>
    <col min="8715" max="8960" width="9" style="167"/>
    <col min="8961" max="8961" width="4.625" style="167" customWidth="1"/>
    <col min="8962" max="8962" width="5.625" style="167" customWidth="1"/>
    <col min="8963" max="8963" width="31.75" style="167" customWidth="1"/>
    <col min="8964" max="8964" width="39.125" style="167" customWidth="1"/>
    <col min="8965" max="8965" width="4.75" style="167" bestFit="1" customWidth="1"/>
    <col min="8966" max="8966" width="6" style="167" bestFit="1" customWidth="1"/>
    <col min="8967" max="8967" width="8.5" style="167" customWidth="1"/>
    <col min="8968" max="8968" width="7.5" style="167" bestFit="1" customWidth="1"/>
    <col min="8969" max="8969" width="6.625" style="167" customWidth="1"/>
    <col min="8970" max="8970" width="7.375" style="167" customWidth="1"/>
    <col min="8971" max="9216" width="9" style="167"/>
    <col min="9217" max="9217" width="4.625" style="167" customWidth="1"/>
    <col min="9218" max="9218" width="5.625" style="167" customWidth="1"/>
    <col min="9219" max="9219" width="31.75" style="167" customWidth="1"/>
    <col min="9220" max="9220" width="39.125" style="167" customWidth="1"/>
    <col min="9221" max="9221" width="4.75" style="167" bestFit="1" customWidth="1"/>
    <col min="9222" max="9222" width="6" style="167" bestFit="1" customWidth="1"/>
    <col min="9223" max="9223" width="8.5" style="167" customWidth="1"/>
    <col min="9224" max="9224" width="7.5" style="167" bestFit="1" customWidth="1"/>
    <col min="9225" max="9225" width="6.625" style="167" customWidth="1"/>
    <col min="9226" max="9226" width="7.375" style="167" customWidth="1"/>
    <col min="9227" max="9472" width="9" style="167"/>
    <col min="9473" max="9473" width="4.625" style="167" customWidth="1"/>
    <col min="9474" max="9474" width="5.625" style="167" customWidth="1"/>
    <col min="9475" max="9475" width="31.75" style="167" customWidth="1"/>
    <col min="9476" max="9476" width="39.125" style="167" customWidth="1"/>
    <col min="9477" max="9477" width="4.75" style="167" bestFit="1" customWidth="1"/>
    <col min="9478" max="9478" width="6" style="167" bestFit="1" customWidth="1"/>
    <col min="9479" max="9479" width="8.5" style="167" customWidth="1"/>
    <col min="9480" max="9480" width="7.5" style="167" bestFit="1" customWidth="1"/>
    <col min="9481" max="9481" width="6.625" style="167" customWidth="1"/>
    <col min="9482" max="9482" width="7.375" style="167" customWidth="1"/>
    <col min="9483" max="9728" width="9" style="167"/>
    <col min="9729" max="9729" width="4.625" style="167" customWidth="1"/>
    <col min="9730" max="9730" width="5.625" style="167" customWidth="1"/>
    <col min="9731" max="9731" width="31.75" style="167" customWidth="1"/>
    <col min="9732" max="9732" width="39.125" style="167" customWidth="1"/>
    <col min="9733" max="9733" width="4.75" style="167" bestFit="1" customWidth="1"/>
    <col min="9734" max="9734" width="6" style="167" bestFit="1" customWidth="1"/>
    <col min="9735" max="9735" width="8.5" style="167" customWidth="1"/>
    <col min="9736" max="9736" width="7.5" style="167" bestFit="1" customWidth="1"/>
    <col min="9737" max="9737" width="6.625" style="167" customWidth="1"/>
    <col min="9738" max="9738" width="7.375" style="167" customWidth="1"/>
    <col min="9739" max="9984" width="9" style="167"/>
    <col min="9985" max="9985" width="4.625" style="167" customWidth="1"/>
    <col min="9986" max="9986" width="5.625" style="167" customWidth="1"/>
    <col min="9987" max="9987" width="31.75" style="167" customWidth="1"/>
    <col min="9988" max="9988" width="39.125" style="167" customWidth="1"/>
    <col min="9989" max="9989" width="4.75" style="167" bestFit="1" customWidth="1"/>
    <col min="9990" max="9990" width="6" style="167" bestFit="1" customWidth="1"/>
    <col min="9991" max="9991" width="8.5" style="167" customWidth="1"/>
    <col min="9992" max="9992" width="7.5" style="167" bestFit="1" customWidth="1"/>
    <col min="9993" max="9993" width="6.625" style="167" customWidth="1"/>
    <col min="9994" max="9994" width="7.375" style="167" customWidth="1"/>
    <col min="9995" max="10240" width="9" style="167"/>
    <col min="10241" max="10241" width="4.625" style="167" customWidth="1"/>
    <col min="10242" max="10242" width="5.625" style="167" customWidth="1"/>
    <col min="10243" max="10243" width="31.75" style="167" customWidth="1"/>
    <col min="10244" max="10244" width="39.125" style="167" customWidth="1"/>
    <col min="10245" max="10245" width="4.75" style="167" bestFit="1" customWidth="1"/>
    <col min="10246" max="10246" width="6" style="167" bestFit="1" customWidth="1"/>
    <col min="10247" max="10247" width="8.5" style="167" customWidth="1"/>
    <col min="10248" max="10248" width="7.5" style="167" bestFit="1" customWidth="1"/>
    <col min="10249" max="10249" width="6.625" style="167" customWidth="1"/>
    <col min="10250" max="10250" width="7.375" style="167" customWidth="1"/>
    <col min="10251" max="10496" width="9" style="167"/>
    <col min="10497" max="10497" width="4.625" style="167" customWidth="1"/>
    <col min="10498" max="10498" width="5.625" style="167" customWidth="1"/>
    <col min="10499" max="10499" width="31.75" style="167" customWidth="1"/>
    <col min="10500" max="10500" width="39.125" style="167" customWidth="1"/>
    <col min="10501" max="10501" width="4.75" style="167" bestFit="1" customWidth="1"/>
    <col min="10502" max="10502" width="6" style="167" bestFit="1" customWidth="1"/>
    <col min="10503" max="10503" width="8.5" style="167" customWidth="1"/>
    <col min="10504" max="10504" width="7.5" style="167" bestFit="1" customWidth="1"/>
    <col min="10505" max="10505" width="6.625" style="167" customWidth="1"/>
    <col min="10506" max="10506" width="7.375" style="167" customWidth="1"/>
    <col min="10507" max="10752" width="9" style="167"/>
    <col min="10753" max="10753" width="4.625" style="167" customWidth="1"/>
    <col min="10754" max="10754" width="5.625" style="167" customWidth="1"/>
    <col min="10755" max="10755" width="31.75" style="167" customWidth="1"/>
    <col min="10756" max="10756" width="39.125" style="167" customWidth="1"/>
    <col min="10757" max="10757" width="4.75" style="167" bestFit="1" customWidth="1"/>
    <col min="10758" max="10758" width="6" style="167" bestFit="1" customWidth="1"/>
    <col min="10759" max="10759" width="8.5" style="167" customWidth="1"/>
    <col min="10760" max="10760" width="7.5" style="167" bestFit="1" customWidth="1"/>
    <col min="10761" max="10761" width="6.625" style="167" customWidth="1"/>
    <col min="10762" max="10762" width="7.375" style="167" customWidth="1"/>
    <col min="10763" max="11008" width="9" style="167"/>
    <col min="11009" max="11009" width="4.625" style="167" customWidth="1"/>
    <col min="11010" max="11010" width="5.625" style="167" customWidth="1"/>
    <col min="11011" max="11011" width="31.75" style="167" customWidth="1"/>
    <col min="11012" max="11012" width="39.125" style="167" customWidth="1"/>
    <col min="11013" max="11013" width="4.75" style="167" bestFit="1" customWidth="1"/>
    <col min="11014" max="11014" width="6" style="167" bestFit="1" customWidth="1"/>
    <col min="11015" max="11015" width="8.5" style="167" customWidth="1"/>
    <col min="11016" max="11016" width="7.5" style="167" bestFit="1" customWidth="1"/>
    <col min="11017" max="11017" width="6.625" style="167" customWidth="1"/>
    <col min="11018" max="11018" width="7.375" style="167" customWidth="1"/>
    <col min="11019" max="11264" width="9" style="167"/>
    <col min="11265" max="11265" width="4.625" style="167" customWidth="1"/>
    <col min="11266" max="11266" width="5.625" style="167" customWidth="1"/>
    <col min="11267" max="11267" width="31.75" style="167" customWidth="1"/>
    <col min="11268" max="11268" width="39.125" style="167" customWidth="1"/>
    <col min="11269" max="11269" width="4.75" style="167" bestFit="1" customWidth="1"/>
    <col min="11270" max="11270" width="6" style="167" bestFit="1" customWidth="1"/>
    <col min="11271" max="11271" width="8.5" style="167" customWidth="1"/>
    <col min="11272" max="11272" width="7.5" style="167" bestFit="1" customWidth="1"/>
    <col min="11273" max="11273" width="6.625" style="167" customWidth="1"/>
    <col min="11274" max="11274" width="7.375" style="167" customWidth="1"/>
    <col min="11275" max="11520" width="9" style="167"/>
    <col min="11521" max="11521" width="4.625" style="167" customWidth="1"/>
    <col min="11522" max="11522" width="5.625" style="167" customWidth="1"/>
    <col min="11523" max="11523" width="31.75" style="167" customWidth="1"/>
    <col min="11524" max="11524" width="39.125" style="167" customWidth="1"/>
    <col min="11525" max="11525" width="4.75" style="167" bestFit="1" customWidth="1"/>
    <col min="11526" max="11526" width="6" style="167" bestFit="1" customWidth="1"/>
    <col min="11527" max="11527" width="8.5" style="167" customWidth="1"/>
    <col min="11528" max="11528" width="7.5" style="167" bestFit="1" customWidth="1"/>
    <col min="11529" max="11529" width="6.625" style="167" customWidth="1"/>
    <col min="11530" max="11530" width="7.375" style="167" customWidth="1"/>
    <col min="11531" max="11776" width="9" style="167"/>
    <col min="11777" max="11777" width="4.625" style="167" customWidth="1"/>
    <col min="11778" max="11778" width="5.625" style="167" customWidth="1"/>
    <col min="11779" max="11779" width="31.75" style="167" customWidth="1"/>
    <col min="11780" max="11780" width="39.125" style="167" customWidth="1"/>
    <col min="11781" max="11781" width="4.75" style="167" bestFit="1" customWidth="1"/>
    <col min="11782" max="11782" width="6" style="167" bestFit="1" customWidth="1"/>
    <col min="11783" max="11783" width="8.5" style="167" customWidth="1"/>
    <col min="11784" max="11784" width="7.5" style="167" bestFit="1" customWidth="1"/>
    <col min="11785" max="11785" width="6.625" style="167" customWidth="1"/>
    <col min="11786" max="11786" width="7.375" style="167" customWidth="1"/>
    <col min="11787" max="12032" width="9" style="167"/>
    <col min="12033" max="12033" width="4.625" style="167" customWidth="1"/>
    <col min="12034" max="12034" width="5.625" style="167" customWidth="1"/>
    <col min="12035" max="12035" width="31.75" style="167" customWidth="1"/>
    <col min="12036" max="12036" width="39.125" style="167" customWidth="1"/>
    <col min="12037" max="12037" width="4.75" style="167" bestFit="1" customWidth="1"/>
    <col min="12038" max="12038" width="6" style="167" bestFit="1" customWidth="1"/>
    <col min="12039" max="12039" width="8.5" style="167" customWidth="1"/>
    <col min="12040" max="12040" width="7.5" style="167" bestFit="1" customWidth="1"/>
    <col min="12041" max="12041" width="6.625" style="167" customWidth="1"/>
    <col min="12042" max="12042" width="7.375" style="167" customWidth="1"/>
    <col min="12043" max="12288" width="9" style="167"/>
    <col min="12289" max="12289" width="4.625" style="167" customWidth="1"/>
    <col min="12290" max="12290" width="5.625" style="167" customWidth="1"/>
    <col min="12291" max="12291" width="31.75" style="167" customWidth="1"/>
    <col min="12292" max="12292" width="39.125" style="167" customWidth="1"/>
    <col min="12293" max="12293" width="4.75" style="167" bestFit="1" customWidth="1"/>
    <col min="12294" max="12294" width="6" style="167" bestFit="1" customWidth="1"/>
    <col min="12295" max="12295" width="8.5" style="167" customWidth="1"/>
    <col min="12296" max="12296" width="7.5" style="167" bestFit="1" customWidth="1"/>
    <col min="12297" max="12297" width="6.625" style="167" customWidth="1"/>
    <col min="12298" max="12298" width="7.375" style="167" customWidth="1"/>
    <col min="12299" max="12544" width="9" style="167"/>
    <col min="12545" max="12545" width="4.625" style="167" customWidth="1"/>
    <col min="12546" max="12546" width="5.625" style="167" customWidth="1"/>
    <col min="12547" max="12547" width="31.75" style="167" customWidth="1"/>
    <col min="12548" max="12548" width="39.125" style="167" customWidth="1"/>
    <col min="12549" max="12549" width="4.75" style="167" bestFit="1" customWidth="1"/>
    <col min="12550" max="12550" width="6" style="167" bestFit="1" customWidth="1"/>
    <col min="12551" max="12551" width="8.5" style="167" customWidth="1"/>
    <col min="12552" max="12552" width="7.5" style="167" bestFit="1" customWidth="1"/>
    <col min="12553" max="12553" width="6.625" style="167" customWidth="1"/>
    <col min="12554" max="12554" width="7.375" style="167" customWidth="1"/>
    <col min="12555" max="12800" width="9" style="167"/>
    <col min="12801" max="12801" width="4.625" style="167" customWidth="1"/>
    <col min="12802" max="12802" width="5.625" style="167" customWidth="1"/>
    <col min="12803" max="12803" width="31.75" style="167" customWidth="1"/>
    <col min="12804" max="12804" width="39.125" style="167" customWidth="1"/>
    <col min="12805" max="12805" width="4.75" style="167" bestFit="1" customWidth="1"/>
    <col min="12806" max="12806" width="6" style="167" bestFit="1" customWidth="1"/>
    <col min="12807" max="12807" width="8.5" style="167" customWidth="1"/>
    <col min="12808" max="12808" width="7.5" style="167" bestFit="1" customWidth="1"/>
    <col min="12809" max="12809" width="6.625" style="167" customWidth="1"/>
    <col min="12810" max="12810" width="7.375" style="167" customWidth="1"/>
    <col min="12811" max="13056" width="9" style="167"/>
    <col min="13057" max="13057" width="4.625" style="167" customWidth="1"/>
    <col min="13058" max="13058" width="5.625" style="167" customWidth="1"/>
    <col min="13059" max="13059" width="31.75" style="167" customWidth="1"/>
    <col min="13060" max="13060" width="39.125" style="167" customWidth="1"/>
    <col min="13061" max="13061" width="4.75" style="167" bestFit="1" customWidth="1"/>
    <col min="13062" max="13062" width="6" style="167" bestFit="1" customWidth="1"/>
    <col min="13063" max="13063" width="8.5" style="167" customWidth="1"/>
    <col min="13064" max="13064" width="7.5" style="167" bestFit="1" customWidth="1"/>
    <col min="13065" max="13065" width="6.625" style="167" customWidth="1"/>
    <col min="13066" max="13066" width="7.375" style="167" customWidth="1"/>
    <col min="13067" max="13312" width="9" style="167"/>
    <col min="13313" max="13313" width="4.625" style="167" customWidth="1"/>
    <col min="13314" max="13314" width="5.625" style="167" customWidth="1"/>
    <col min="13315" max="13315" width="31.75" style="167" customWidth="1"/>
    <col min="13316" max="13316" width="39.125" style="167" customWidth="1"/>
    <col min="13317" max="13317" width="4.75" style="167" bestFit="1" customWidth="1"/>
    <col min="13318" max="13318" width="6" style="167" bestFit="1" customWidth="1"/>
    <col min="13319" max="13319" width="8.5" style="167" customWidth="1"/>
    <col min="13320" max="13320" width="7.5" style="167" bestFit="1" customWidth="1"/>
    <col min="13321" max="13321" width="6.625" style="167" customWidth="1"/>
    <col min="13322" max="13322" width="7.375" style="167" customWidth="1"/>
    <col min="13323" max="13568" width="9" style="167"/>
    <col min="13569" max="13569" width="4.625" style="167" customWidth="1"/>
    <col min="13570" max="13570" width="5.625" style="167" customWidth="1"/>
    <col min="13571" max="13571" width="31.75" style="167" customWidth="1"/>
    <col min="13572" max="13572" width="39.125" style="167" customWidth="1"/>
    <col min="13573" max="13573" width="4.75" style="167" bestFit="1" customWidth="1"/>
    <col min="13574" max="13574" width="6" style="167" bestFit="1" customWidth="1"/>
    <col min="13575" max="13575" width="8.5" style="167" customWidth="1"/>
    <col min="13576" max="13576" width="7.5" style="167" bestFit="1" customWidth="1"/>
    <col min="13577" max="13577" width="6.625" style="167" customWidth="1"/>
    <col min="13578" max="13578" width="7.375" style="167" customWidth="1"/>
    <col min="13579" max="13824" width="9" style="167"/>
    <col min="13825" max="13825" width="4.625" style="167" customWidth="1"/>
    <col min="13826" max="13826" width="5.625" style="167" customWidth="1"/>
    <col min="13827" max="13827" width="31.75" style="167" customWidth="1"/>
    <col min="13828" max="13828" width="39.125" style="167" customWidth="1"/>
    <col min="13829" max="13829" width="4.75" style="167" bestFit="1" customWidth="1"/>
    <col min="13830" max="13830" width="6" style="167" bestFit="1" customWidth="1"/>
    <col min="13831" max="13831" width="8.5" style="167" customWidth="1"/>
    <col min="13832" max="13832" width="7.5" style="167" bestFit="1" customWidth="1"/>
    <col min="13833" max="13833" width="6.625" style="167" customWidth="1"/>
    <col min="13834" max="13834" width="7.375" style="167" customWidth="1"/>
    <col min="13835" max="14080" width="9" style="167"/>
    <col min="14081" max="14081" width="4.625" style="167" customWidth="1"/>
    <col min="14082" max="14082" width="5.625" style="167" customWidth="1"/>
    <col min="14083" max="14083" width="31.75" style="167" customWidth="1"/>
    <col min="14084" max="14084" width="39.125" style="167" customWidth="1"/>
    <col min="14085" max="14085" width="4.75" style="167" bestFit="1" customWidth="1"/>
    <col min="14086" max="14086" width="6" style="167" bestFit="1" customWidth="1"/>
    <col min="14087" max="14087" width="8.5" style="167" customWidth="1"/>
    <col min="14088" max="14088" width="7.5" style="167" bestFit="1" customWidth="1"/>
    <col min="14089" max="14089" width="6.625" style="167" customWidth="1"/>
    <col min="14090" max="14090" width="7.375" style="167" customWidth="1"/>
    <col min="14091" max="14336" width="9" style="167"/>
    <col min="14337" max="14337" width="4.625" style="167" customWidth="1"/>
    <col min="14338" max="14338" width="5.625" style="167" customWidth="1"/>
    <col min="14339" max="14339" width="31.75" style="167" customWidth="1"/>
    <col min="14340" max="14340" width="39.125" style="167" customWidth="1"/>
    <col min="14341" max="14341" width="4.75" style="167" bestFit="1" customWidth="1"/>
    <col min="14342" max="14342" width="6" style="167" bestFit="1" customWidth="1"/>
    <col min="14343" max="14343" width="8.5" style="167" customWidth="1"/>
    <col min="14344" max="14344" width="7.5" style="167" bestFit="1" customWidth="1"/>
    <col min="14345" max="14345" width="6.625" style="167" customWidth="1"/>
    <col min="14346" max="14346" width="7.375" style="167" customWidth="1"/>
    <col min="14347" max="14592" width="9" style="167"/>
    <col min="14593" max="14593" width="4.625" style="167" customWidth="1"/>
    <col min="14594" max="14594" width="5.625" style="167" customWidth="1"/>
    <col min="14595" max="14595" width="31.75" style="167" customWidth="1"/>
    <col min="14596" max="14596" width="39.125" style="167" customWidth="1"/>
    <col min="14597" max="14597" width="4.75" style="167" bestFit="1" customWidth="1"/>
    <col min="14598" max="14598" width="6" style="167" bestFit="1" customWidth="1"/>
    <col min="14599" max="14599" width="8.5" style="167" customWidth="1"/>
    <col min="14600" max="14600" width="7.5" style="167" bestFit="1" customWidth="1"/>
    <col min="14601" max="14601" width="6.625" style="167" customWidth="1"/>
    <col min="14602" max="14602" width="7.375" style="167" customWidth="1"/>
    <col min="14603" max="14848" width="9" style="167"/>
    <col min="14849" max="14849" width="4.625" style="167" customWidth="1"/>
    <col min="14850" max="14850" width="5.625" style="167" customWidth="1"/>
    <col min="14851" max="14851" width="31.75" style="167" customWidth="1"/>
    <col min="14852" max="14852" width="39.125" style="167" customWidth="1"/>
    <col min="14853" max="14853" width="4.75" style="167" bestFit="1" customWidth="1"/>
    <col min="14854" max="14854" width="6" style="167" bestFit="1" customWidth="1"/>
    <col min="14855" max="14855" width="8.5" style="167" customWidth="1"/>
    <col min="14856" max="14856" width="7.5" style="167" bestFit="1" customWidth="1"/>
    <col min="14857" max="14857" width="6.625" style="167" customWidth="1"/>
    <col min="14858" max="14858" width="7.375" style="167" customWidth="1"/>
    <col min="14859" max="15104" width="9" style="167"/>
    <col min="15105" max="15105" width="4.625" style="167" customWidth="1"/>
    <col min="15106" max="15106" width="5.625" style="167" customWidth="1"/>
    <col min="15107" max="15107" width="31.75" style="167" customWidth="1"/>
    <col min="15108" max="15108" width="39.125" style="167" customWidth="1"/>
    <col min="15109" max="15109" width="4.75" style="167" bestFit="1" customWidth="1"/>
    <col min="15110" max="15110" width="6" style="167" bestFit="1" customWidth="1"/>
    <col min="15111" max="15111" width="8.5" style="167" customWidth="1"/>
    <col min="15112" max="15112" width="7.5" style="167" bestFit="1" customWidth="1"/>
    <col min="15113" max="15113" width="6.625" style="167" customWidth="1"/>
    <col min="15114" max="15114" width="7.375" style="167" customWidth="1"/>
    <col min="15115" max="15360" width="9" style="167"/>
    <col min="15361" max="15361" width="4.625" style="167" customWidth="1"/>
    <col min="15362" max="15362" width="5.625" style="167" customWidth="1"/>
    <col min="15363" max="15363" width="31.75" style="167" customWidth="1"/>
    <col min="15364" max="15364" width="39.125" style="167" customWidth="1"/>
    <col min="15365" max="15365" width="4.75" style="167" bestFit="1" customWidth="1"/>
    <col min="15366" max="15366" width="6" style="167" bestFit="1" customWidth="1"/>
    <col min="15367" max="15367" width="8.5" style="167" customWidth="1"/>
    <col min="15368" max="15368" width="7.5" style="167" bestFit="1" customWidth="1"/>
    <col min="15369" max="15369" width="6.625" style="167" customWidth="1"/>
    <col min="15370" max="15370" width="7.375" style="167" customWidth="1"/>
    <col min="15371" max="15616" width="9" style="167"/>
    <col min="15617" max="15617" width="4.625" style="167" customWidth="1"/>
    <col min="15618" max="15618" width="5.625" style="167" customWidth="1"/>
    <col min="15619" max="15619" width="31.75" style="167" customWidth="1"/>
    <col min="15620" max="15620" width="39.125" style="167" customWidth="1"/>
    <col min="15621" max="15621" width="4.75" style="167" bestFit="1" customWidth="1"/>
    <col min="15622" max="15622" width="6" style="167" bestFit="1" customWidth="1"/>
    <col min="15623" max="15623" width="8.5" style="167" customWidth="1"/>
    <col min="15624" max="15624" width="7.5" style="167" bestFit="1" customWidth="1"/>
    <col min="15625" max="15625" width="6.625" style="167" customWidth="1"/>
    <col min="15626" max="15626" width="7.375" style="167" customWidth="1"/>
    <col min="15627" max="15872" width="9" style="167"/>
    <col min="15873" max="15873" width="4.625" style="167" customWidth="1"/>
    <col min="15874" max="15874" width="5.625" style="167" customWidth="1"/>
    <col min="15875" max="15875" width="31.75" style="167" customWidth="1"/>
    <col min="15876" max="15876" width="39.125" style="167" customWidth="1"/>
    <col min="15877" max="15877" width="4.75" style="167" bestFit="1" customWidth="1"/>
    <col min="15878" max="15878" width="6" style="167" bestFit="1" customWidth="1"/>
    <col min="15879" max="15879" width="8.5" style="167" customWidth="1"/>
    <col min="15880" max="15880" width="7.5" style="167" bestFit="1" customWidth="1"/>
    <col min="15881" max="15881" width="6.625" style="167" customWidth="1"/>
    <col min="15882" max="15882" width="7.375" style="167" customWidth="1"/>
    <col min="15883" max="16128" width="9" style="167"/>
    <col min="16129" max="16129" width="4.625" style="167" customWidth="1"/>
    <col min="16130" max="16130" width="5.625" style="167" customWidth="1"/>
    <col min="16131" max="16131" width="31.75" style="167" customWidth="1"/>
    <col min="16132" max="16132" width="39.125" style="167" customWidth="1"/>
    <col min="16133" max="16133" width="4.75" style="167" bestFit="1" customWidth="1"/>
    <col min="16134" max="16134" width="6" style="167" bestFit="1" customWidth="1"/>
    <col min="16135" max="16135" width="8.5" style="167" customWidth="1"/>
    <col min="16136" max="16136" width="7.5" style="167" bestFit="1" customWidth="1"/>
    <col min="16137" max="16137" width="6.625" style="167" customWidth="1"/>
    <col min="16138" max="16138" width="7.375" style="167" customWidth="1"/>
    <col min="16139" max="16384" width="9" style="167"/>
  </cols>
  <sheetData>
    <row r="1" spans="1:26" s="147" customFormat="1" ht="20.25">
      <c r="A1" s="76" t="s">
        <v>410</v>
      </c>
      <c r="B1" s="144"/>
      <c r="C1" s="77"/>
      <c r="D1" s="78"/>
      <c r="E1" s="79"/>
      <c r="F1" s="145"/>
      <c r="G1" s="182"/>
      <c r="H1" s="146"/>
      <c r="I1" s="146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s="148" customFormat="1" ht="20.25">
      <c r="A2" s="354" t="s">
        <v>424</v>
      </c>
      <c r="B2" s="354"/>
      <c r="C2" s="354"/>
      <c r="D2" s="354"/>
      <c r="E2" s="354"/>
      <c r="F2" s="354"/>
      <c r="G2" s="354"/>
      <c r="H2" s="354"/>
      <c r="I2" s="35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s="148" customFormat="1">
      <c r="A3" s="355" t="e">
        <f>[1]投资估算!A3</f>
        <v>#REF!</v>
      </c>
      <c r="B3" s="355"/>
      <c r="C3" s="355"/>
      <c r="D3" s="355"/>
      <c r="E3" s="355"/>
      <c r="F3" s="355"/>
      <c r="G3" s="87"/>
      <c r="H3" s="149"/>
      <c r="I3" s="149"/>
      <c r="J3" s="87" t="s">
        <v>412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s="150" customFormat="1" ht="13.5">
      <c r="A4" s="361" t="s">
        <v>112</v>
      </c>
      <c r="B4" s="384" t="s">
        <v>425</v>
      </c>
      <c r="C4" s="351" t="s">
        <v>413</v>
      </c>
      <c r="D4" s="351" t="s">
        <v>414</v>
      </c>
      <c r="E4" s="362" t="s">
        <v>133</v>
      </c>
      <c r="F4" s="386" t="s">
        <v>134</v>
      </c>
      <c r="G4" s="387" t="s">
        <v>298</v>
      </c>
      <c r="H4" s="389" t="s">
        <v>135</v>
      </c>
      <c r="I4" s="383" t="s">
        <v>426</v>
      </c>
      <c r="J4" s="352" t="s">
        <v>427</v>
      </c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s="150" customFormat="1" ht="13.5">
      <c r="A5" s="361"/>
      <c r="B5" s="385"/>
      <c r="C5" s="351"/>
      <c r="D5" s="351"/>
      <c r="E5" s="363"/>
      <c r="F5" s="386"/>
      <c r="G5" s="388"/>
      <c r="H5" s="390"/>
      <c r="I5" s="383"/>
      <c r="J5" s="353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s="153" customFormat="1" ht="15">
      <c r="A6" s="90">
        <v>1</v>
      </c>
      <c r="B6" s="90"/>
      <c r="C6" s="134" t="s">
        <v>428</v>
      </c>
      <c r="D6" s="91" t="s">
        <v>429</v>
      </c>
      <c r="E6" s="102" t="s">
        <v>430</v>
      </c>
      <c r="F6" s="151">
        <v>2</v>
      </c>
      <c r="G6" s="183">
        <v>8</v>
      </c>
      <c r="H6" s="93">
        <f>G6*F6</f>
        <v>16</v>
      </c>
      <c r="I6" s="152">
        <f>H6*0.1</f>
        <v>1.6</v>
      </c>
      <c r="J6" s="97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s="153" customFormat="1" ht="27">
      <c r="A7" s="90">
        <v>2</v>
      </c>
      <c r="B7" s="99"/>
      <c r="C7" s="101" t="s">
        <v>431</v>
      </c>
      <c r="D7" s="91" t="s">
        <v>432</v>
      </c>
      <c r="E7" s="102" t="s">
        <v>430</v>
      </c>
      <c r="F7" s="151">
        <v>2</v>
      </c>
      <c r="G7" s="183">
        <v>2.2000000000000002</v>
      </c>
      <c r="H7" s="93">
        <f t="shared" ref="H7:H43" si="0">G7*F7</f>
        <v>4.4000000000000004</v>
      </c>
      <c r="I7" s="152">
        <f t="shared" ref="I7:I43" si="1">H7*0.1</f>
        <v>0.44000000000000006</v>
      </c>
      <c r="J7" s="97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s="154" customFormat="1" ht="27">
      <c r="A8" s="90">
        <v>3</v>
      </c>
      <c r="B8" s="90"/>
      <c r="C8" s="101" t="s">
        <v>433</v>
      </c>
      <c r="D8" s="101" t="s">
        <v>434</v>
      </c>
      <c r="E8" s="102" t="s">
        <v>435</v>
      </c>
      <c r="F8" s="151">
        <v>2</v>
      </c>
      <c r="G8" s="183">
        <v>2.5</v>
      </c>
      <c r="H8" s="93">
        <f t="shared" si="0"/>
        <v>5</v>
      </c>
      <c r="I8" s="152">
        <f t="shared" si="1"/>
        <v>0.5</v>
      </c>
      <c r="J8" s="104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s="154" customFormat="1" ht="15">
      <c r="A9" s="90">
        <v>4</v>
      </c>
      <c r="B9" s="90"/>
      <c r="C9" s="106" t="s">
        <v>436</v>
      </c>
      <c r="D9" s="106" t="s">
        <v>437</v>
      </c>
      <c r="E9" s="102" t="s">
        <v>435</v>
      </c>
      <c r="F9" s="151">
        <v>2</v>
      </c>
      <c r="G9" s="183">
        <v>13</v>
      </c>
      <c r="H9" s="93">
        <f t="shared" si="0"/>
        <v>26</v>
      </c>
      <c r="I9" s="152">
        <f t="shared" si="1"/>
        <v>2.6</v>
      </c>
      <c r="J9" s="104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s="154" customFormat="1" ht="15">
      <c r="A10" s="90">
        <v>5</v>
      </c>
      <c r="B10" s="90"/>
      <c r="C10" s="106" t="s">
        <v>438</v>
      </c>
      <c r="D10" s="110" t="s">
        <v>439</v>
      </c>
      <c r="E10" s="102" t="s">
        <v>430</v>
      </c>
      <c r="F10" s="155">
        <v>1</v>
      </c>
      <c r="G10" s="183">
        <v>0.6</v>
      </c>
      <c r="H10" s="93">
        <f t="shared" si="0"/>
        <v>0.6</v>
      </c>
      <c r="I10" s="152">
        <f t="shared" si="1"/>
        <v>0.06</v>
      </c>
      <c r="J10" s="104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s="154" customFormat="1" ht="15">
      <c r="A11" s="90">
        <v>6</v>
      </c>
      <c r="B11" s="90"/>
      <c r="C11" s="106" t="s">
        <v>440</v>
      </c>
      <c r="D11" s="110" t="s">
        <v>441</v>
      </c>
      <c r="E11" s="107" t="s">
        <v>442</v>
      </c>
      <c r="F11" s="155">
        <v>1</v>
      </c>
      <c r="G11" s="183">
        <v>0.8</v>
      </c>
      <c r="H11" s="93">
        <f t="shared" si="0"/>
        <v>0.8</v>
      </c>
      <c r="I11" s="152">
        <f t="shared" si="1"/>
        <v>8.0000000000000016E-2</v>
      </c>
      <c r="J11" s="104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s="154" customFormat="1" ht="15">
      <c r="A12" s="90">
        <v>7</v>
      </c>
      <c r="B12" s="90"/>
      <c r="C12" s="106" t="s">
        <v>443</v>
      </c>
      <c r="D12" s="106" t="s">
        <v>444</v>
      </c>
      <c r="E12" s="102" t="s">
        <v>430</v>
      </c>
      <c r="F12" s="151">
        <v>1</v>
      </c>
      <c r="G12" s="183">
        <v>1.2</v>
      </c>
      <c r="H12" s="93">
        <f t="shared" si="0"/>
        <v>1.2</v>
      </c>
      <c r="I12" s="152">
        <f t="shared" si="1"/>
        <v>0.12</v>
      </c>
      <c r="J12" s="104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s="154" customFormat="1" ht="15">
      <c r="A13" s="90">
        <v>8</v>
      </c>
      <c r="B13" s="90"/>
      <c r="C13" s="106" t="s">
        <v>445</v>
      </c>
      <c r="D13" s="101" t="s">
        <v>446</v>
      </c>
      <c r="E13" s="107" t="s">
        <v>442</v>
      </c>
      <c r="F13" s="151">
        <v>1</v>
      </c>
      <c r="G13" s="183">
        <v>1.5</v>
      </c>
      <c r="H13" s="93">
        <f t="shared" si="0"/>
        <v>1.5</v>
      </c>
      <c r="I13" s="152">
        <f t="shared" si="1"/>
        <v>0.15000000000000002</v>
      </c>
      <c r="J13" s="104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s="154" customFormat="1" ht="15">
      <c r="A14" s="90">
        <v>9</v>
      </c>
      <c r="B14" s="90"/>
      <c r="C14" s="106" t="s">
        <v>447</v>
      </c>
      <c r="D14" s="101" t="s">
        <v>448</v>
      </c>
      <c r="E14" s="102" t="s">
        <v>430</v>
      </c>
      <c r="F14" s="155">
        <v>2</v>
      </c>
      <c r="G14" s="183">
        <v>0.3</v>
      </c>
      <c r="H14" s="93">
        <f t="shared" si="0"/>
        <v>0.6</v>
      </c>
      <c r="I14" s="152">
        <f t="shared" si="1"/>
        <v>0.06</v>
      </c>
      <c r="J14" s="104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s="154" customFormat="1" ht="15">
      <c r="A15" s="90">
        <v>10</v>
      </c>
      <c r="B15" s="90"/>
      <c r="C15" s="106" t="s">
        <v>520</v>
      </c>
      <c r="D15" s="101" t="s">
        <v>519</v>
      </c>
      <c r="E15" s="102" t="s">
        <v>522</v>
      </c>
      <c r="F15" s="155">
        <v>1</v>
      </c>
      <c r="G15" s="183">
        <v>0.5</v>
      </c>
      <c r="H15" s="93">
        <f t="shared" si="0"/>
        <v>0.5</v>
      </c>
      <c r="I15" s="152">
        <f t="shared" si="1"/>
        <v>0.05</v>
      </c>
      <c r="J15" s="104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s="154" customFormat="1" ht="15">
      <c r="A16" s="90">
        <v>11</v>
      </c>
      <c r="B16" s="90"/>
      <c r="C16" s="106" t="s">
        <v>521</v>
      </c>
      <c r="D16" s="101" t="s">
        <v>518</v>
      </c>
      <c r="E16" s="102" t="s">
        <v>522</v>
      </c>
      <c r="F16" s="155">
        <v>1</v>
      </c>
      <c r="G16" s="183">
        <v>0.55000000000000004</v>
      </c>
      <c r="H16" s="93">
        <f t="shared" si="0"/>
        <v>0.55000000000000004</v>
      </c>
      <c r="I16" s="152">
        <f t="shared" si="1"/>
        <v>5.5000000000000007E-2</v>
      </c>
      <c r="J16" s="104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s="154" customFormat="1" ht="15">
      <c r="A17" s="90">
        <v>12</v>
      </c>
      <c r="B17" s="90"/>
      <c r="C17" s="106" t="s">
        <v>449</v>
      </c>
      <c r="D17" s="110" t="s">
        <v>450</v>
      </c>
      <c r="E17" s="107" t="s">
        <v>442</v>
      </c>
      <c r="F17" s="155">
        <v>1</v>
      </c>
      <c r="G17" s="183">
        <v>2</v>
      </c>
      <c r="H17" s="93">
        <f t="shared" si="0"/>
        <v>2</v>
      </c>
      <c r="I17" s="152">
        <f t="shared" si="1"/>
        <v>0.2</v>
      </c>
      <c r="J17" s="104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s="154" customFormat="1" ht="15">
      <c r="A18" s="90">
        <v>13</v>
      </c>
      <c r="B18" s="90"/>
      <c r="C18" s="106" t="s">
        <v>451</v>
      </c>
      <c r="D18" s="110" t="s">
        <v>452</v>
      </c>
      <c r="E18" s="102" t="s">
        <v>430</v>
      </c>
      <c r="F18" s="155">
        <v>87</v>
      </c>
      <c r="G18" s="183">
        <v>0.2</v>
      </c>
      <c r="H18" s="93">
        <f t="shared" si="0"/>
        <v>17.400000000000002</v>
      </c>
      <c r="I18" s="152">
        <f t="shared" si="1"/>
        <v>1.7400000000000002</v>
      </c>
      <c r="J18" s="104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s="154" customFormat="1" ht="15">
      <c r="A19" s="90">
        <v>14</v>
      </c>
      <c r="B19" s="90"/>
      <c r="C19" s="104" t="s">
        <v>453</v>
      </c>
      <c r="D19" s="104" t="s">
        <v>454</v>
      </c>
      <c r="E19" s="156" t="s">
        <v>430</v>
      </c>
      <c r="F19" s="155">
        <v>52</v>
      </c>
      <c r="G19" s="183">
        <v>0.8</v>
      </c>
      <c r="H19" s="93">
        <f t="shared" si="0"/>
        <v>41.6</v>
      </c>
      <c r="I19" s="152">
        <f t="shared" si="1"/>
        <v>4.16</v>
      </c>
      <c r="J19" s="104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s="154" customFormat="1" ht="15">
      <c r="A20" s="90">
        <v>15</v>
      </c>
      <c r="B20" s="90"/>
      <c r="C20" s="106" t="s">
        <v>455</v>
      </c>
      <c r="D20" s="106" t="s">
        <v>456</v>
      </c>
      <c r="E20" s="156" t="s">
        <v>430</v>
      </c>
      <c r="F20" s="157">
        <v>7</v>
      </c>
      <c r="G20" s="184">
        <v>0.43</v>
      </c>
      <c r="H20" s="93">
        <f t="shared" si="0"/>
        <v>3.01</v>
      </c>
      <c r="I20" s="152">
        <f t="shared" si="1"/>
        <v>0.30099999999999999</v>
      </c>
      <c r="J20" s="104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s="154" customFormat="1" ht="15">
      <c r="A21" s="90">
        <v>16</v>
      </c>
      <c r="B21" s="90"/>
      <c r="C21" s="158" t="s">
        <v>455</v>
      </c>
      <c r="D21" s="159" t="s">
        <v>457</v>
      </c>
      <c r="E21" s="102" t="s">
        <v>430</v>
      </c>
      <c r="F21" s="155">
        <v>34</v>
      </c>
      <c r="G21" s="183">
        <v>0.625</v>
      </c>
      <c r="H21" s="93">
        <f t="shared" si="0"/>
        <v>21.25</v>
      </c>
      <c r="I21" s="152">
        <f t="shared" si="1"/>
        <v>2.125</v>
      </c>
      <c r="J21" s="104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s="154" customFormat="1" ht="15">
      <c r="A22" s="90">
        <v>17</v>
      </c>
      <c r="B22" s="90"/>
      <c r="C22" s="106" t="s">
        <v>458</v>
      </c>
      <c r="D22" s="110" t="s">
        <v>459</v>
      </c>
      <c r="E22" s="102" t="s">
        <v>430</v>
      </c>
      <c r="F22" s="155">
        <v>3</v>
      </c>
      <c r="G22" s="183">
        <v>0.625</v>
      </c>
      <c r="H22" s="93">
        <f t="shared" si="0"/>
        <v>1.875</v>
      </c>
      <c r="I22" s="152">
        <f t="shared" si="1"/>
        <v>0.1875</v>
      </c>
      <c r="J22" s="104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s="154" customFormat="1" ht="15">
      <c r="A23" s="90">
        <v>18</v>
      </c>
      <c r="B23" s="90"/>
      <c r="C23" s="106" t="s">
        <v>458</v>
      </c>
      <c r="D23" s="110" t="s">
        <v>460</v>
      </c>
      <c r="E23" s="102" t="s">
        <v>430</v>
      </c>
      <c r="F23" s="151">
        <v>73</v>
      </c>
      <c r="G23" s="183">
        <v>0.9</v>
      </c>
      <c r="H23" s="93">
        <f t="shared" si="0"/>
        <v>65.7</v>
      </c>
      <c r="I23" s="152">
        <f t="shared" si="1"/>
        <v>6.57</v>
      </c>
      <c r="J23" s="104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s="154" customFormat="1" ht="15">
      <c r="A24" s="90">
        <v>19</v>
      </c>
      <c r="B24" s="160"/>
      <c r="C24" s="106" t="s">
        <v>523</v>
      </c>
      <c r="D24" s="110" t="s">
        <v>524</v>
      </c>
      <c r="E24" s="102" t="s">
        <v>430</v>
      </c>
      <c r="F24" s="151">
        <v>2</v>
      </c>
      <c r="G24" s="183">
        <v>0.2</v>
      </c>
      <c r="H24" s="93">
        <f t="shared" si="0"/>
        <v>0.4</v>
      </c>
      <c r="I24" s="181">
        <f>H24*0.1</f>
        <v>4.0000000000000008E-2</v>
      </c>
      <c r="J24" s="104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s="154" customFormat="1" ht="15">
      <c r="A25" s="90">
        <v>20</v>
      </c>
      <c r="B25" s="160"/>
      <c r="C25" s="106" t="s">
        <v>523</v>
      </c>
      <c r="D25" s="110" t="s">
        <v>525</v>
      </c>
      <c r="E25" s="102" t="s">
        <v>430</v>
      </c>
      <c r="F25" s="151">
        <v>4</v>
      </c>
      <c r="G25" s="183">
        <v>0.2</v>
      </c>
      <c r="H25" s="93">
        <f t="shared" si="0"/>
        <v>0.8</v>
      </c>
      <c r="I25" s="152">
        <f t="shared" si="1"/>
        <v>8.0000000000000016E-2</v>
      </c>
      <c r="J25" s="104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s="154" customFormat="1" ht="15">
      <c r="A26" s="90">
        <v>21</v>
      </c>
      <c r="B26" s="160"/>
      <c r="C26" s="106" t="s">
        <v>523</v>
      </c>
      <c r="D26" s="110" t="s">
        <v>525</v>
      </c>
      <c r="E26" s="102" t="s">
        <v>430</v>
      </c>
      <c r="F26" s="151">
        <v>5</v>
      </c>
      <c r="G26" s="183">
        <v>0.18</v>
      </c>
      <c r="H26" s="93">
        <f t="shared" si="0"/>
        <v>0.89999999999999991</v>
      </c>
      <c r="I26" s="152">
        <f t="shared" si="1"/>
        <v>0.09</v>
      </c>
      <c r="J26" s="104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s="154" customFormat="1" ht="15">
      <c r="A27" s="90">
        <v>22</v>
      </c>
      <c r="B27" s="160"/>
      <c r="C27" s="106" t="s">
        <v>523</v>
      </c>
      <c r="D27" s="110" t="s">
        <v>526</v>
      </c>
      <c r="E27" s="102" t="s">
        <v>430</v>
      </c>
      <c r="F27" s="151">
        <v>9</v>
      </c>
      <c r="G27" s="183">
        <v>0.15</v>
      </c>
      <c r="H27" s="93">
        <f t="shared" si="0"/>
        <v>1.3499999999999999</v>
      </c>
      <c r="I27" s="152">
        <f t="shared" si="1"/>
        <v>0.13499999999999998</v>
      </c>
      <c r="J27" s="104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spans="1:26" s="154" customFormat="1" ht="15">
      <c r="A28" s="90">
        <v>23</v>
      </c>
      <c r="B28" s="160"/>
      <c r="C28" s="106" t="s">
        <v>458</v>
      </c>
      <c r="D28" s="110" t="s">
        <v>461</v>
      </c>
      <c r="E28" s="102" t="s">
        <v>430</v>
      </c>
      <c r="F28" s="151">
        <v>23</v>
      </c>
      <c r="G28" s="183">
        <v>1.5</v>
      </c>
      <c r="H28" s="93">
        <f t="shared" si="0"/>
        <v>34.5</v>
      </c>
      <c r="I28" s="152">
        <f t="shared" si="1"/>
        <v>3.45</v>
      </c>
      <c r="J28" s="104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s="153" customFormat="1" ht="15">
      <c r="A29" s="90">
        <v>24</v>
      </c>
      <c r="B29" s="160"/>
      <c r="C29" s="161" t="s">
        <v>462</v>
      </c>
      <c r="D29" s="110" t="s">
        <v>463</v>
      </c>
      <c r="E29" s="102" t="s">
        <v>430</v>
      </c>
      <c r="F29" s="151">
        <v>6</v>
      </c>
      <c r="G29" s="183">
        <v>4.16</v>
      </c>
      <c r="H29" s="93">
        <f t="shared" si="0"/>
        <v>24.96</v>
      </c>
      <c r="I29" s="152">
        <f t="shared" si="1"/>
        <v>2.4960000000000004</v>
      </c>
      <c r="J29" s="97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s="153" customFormat="1" ht="15">
      <c r="A30" s="90">
        <v>25</v>
      </c>
      <c r="B30" s="90"/>
      <c r="C30" s="161" t="s">
        <v>464</v>
      </c>
      <c r="D30" s="117" t="s">
        <v>465</v>
      </c>
      <c r="E30" s="102" t="s">
        <v>430</v>
      </c>
      <c r="F30" s="151">
        <v>6</v>
      </c>
      <c r="G30" s="183">
        <v>1.5</v>
      </c>
      <c r="H30" s="93">
        <f t="shared" si="0"/>
        <v>9</v>
      </c>
      <c r="I30" s="152">
        <f t="shared" si="1"/>
        <v>0.9</v>
      </c>
      <c r="J30" s="97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s="153" customFormat="1" ht="15">
      <c r="A31" s="90">
        <v>26</v>
      </c>
      <c r="B31" s="99"/>
      <c r="C31" s="106" t="s">
        <v>449</v>
      </c>
      <c r="D31" s="162" t="s">
        <v>466</v>
      </c>
      <c r="E31" s="102" t="s">
        <v>430</v>
      </c>
      <c r="F31" s="151">
        <v>1</v>
      </c>
      <c r="G31" s="183">
        <v>2</v>
      </c>
      <c r="H31" s="93">
        <f t="shared" si="0"/>
        <v>2</v>
      </c>
      <c r="I31" s="152">
        <f t="shared" si="1"/>
        <v>0.2</v>
      </c>
      <c r="J31" s="97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s="153" customFormat="1" ht="15">
      <c r="A32" s="90">
        <v>27</v>
      </c>
      <c r="B32" s="99"/>
      <c r="C32" s="106" t="s">
        <v>527</v>
      </c>
      <c r="D32" s="162" t="s">
        <v>528</v>
      </c>
      <c r="E32" s="102" t="s">
        <v>430</v>
      </c>
      <c r="F32" s="151">
        <v>1</v>
      </c>
      <c r="G32" s="183">
        <v>1</v>
      </c>
      <c r="H32" s="93">
        <f t="shared" si="0"/>
        <v>1</v>
      </c>
      <c r="I32" s="152">
        <f t="shared" si="1"/>
        <v>0.1</v>
      </c>
      <c r="J32" s="97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s="153" customFormat="1" ht="15">
      <c r="A33" s="90">
        <v>28</v>
      </c>
      <c r="B33" s="99"/>
      <c r="C33" s="106" t="s">
        <v>529</v>
      </c>
      <c r="D33" s="162" t="s">
        <v>530</v>
      </c>
      <c r="E33" s="102" t="s">
        <v>430</v>
      </c>
      <c r="F33" s="151">
        <v>1</v>
      </c>
      <c r="G33" s="183">
        <v>1.2</v>
      </c>
      <c r="H33" s="93">
        <f t="shared" si="0"/>
        <v>1.2</v>
      </c>
      <c r="I33" s="152">
        <f t="shared" si="1"/>
        <v>0.12</v>
      </c>
      <c r="J33" s="97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s="153" customFormat="1" ht="15">
      <c r="A34" s="90">
        <v>29</v>
      </c>
      <c r="B34" s="99"/>
      <c r="C34" s="106" t="s">
        <v>531</v>
      </c>
      <c r="D34" s="162" t="s">
        <v>532</v>
      </c>
      <c r="E34" s="102" t="s">
        <v>430</v>
      </c>
      <c r="F34" s="151">
        <v>1</v>
      </c>
      <c r="G34" s="183">
        <v>0.8</v>
      </c>
      <c r="H34" s="93">
        <f t="shared" si="0"/>
        <v>0.8</v>
      </c>
      <c r="I34" s="152">
        <f t="shared" si="1"/>
        <v>8.0000000000000016E-2</v>
      </c>
      <c r="J34" s="97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s="153" customFormat="1" ht="15">
      <c r="A35" s="90">
        <v>30</v>
      </c>
      <c r="B35" s="99"/>
      <c r="C35" s="106" t="s">
        <v>533</v>
      </c>
      <c r="D35" s="162" t="s">
        <v>534</v>
      </c>
      <c r="E35" s="102" t="s">
        <v>430</v>
      </c>
      <c r="F35" s="151">
        <v>4</v>
      </c>
      <c r="G35" s="183">
        <v>1.25</v>
      </c>
      <c r="H35" s="93">
        <f t="shared" si="0"/>
        <v>5</v>
      </c>
      <c r="I35" s="152">
        <f t="shared" si="1"/>
        <v>0.5</v>
      </c>
      <c r="J35" s="97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s="153" customFormat="1" ht="15">
      <c r="A36" s="90">
        <v>31</v>
      </c>
      <c r="B36" s="99"/>
      <c r="C36" s="106" t="s">
        <v>527</v>
      </c>
      <c r="D36" s="162" t="s">
        <v>535</v>
      </c>
      <c r="E36" s="102" t="s">
        <v>430</v>
      </c>
      <c r="F36" s="151">
        <v>1</v>
      </c>
      <c r="G36" s="183">
        <v>0.3</v>
      </c>
      <c r="H36" s="93">
        <f t="shared" si="0"/>
        <v>0.3</v>
      </c>
      <c r="I36" s="152">
        <f t="shared" si="1"/>
        <v>0.03</v>
      </c>
      <c r="J36" s="97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s="153" customFormat="1" ht="15">
      <c r="A37" s="90">
        <v>32</v>
      </c>
      <c r="B37" s="99"/>
      <c r="C37" s="106" t="s">
        <v>536</v>
      </c>
      <c r="D37" s="162" t="s">
        <v>537</v>
      </c>
      <c r="E37" s="102" t="s">
        <v>430</v>
      </c>
      <c r="F37" s="151">
        <v>4</v>
      </c>
      <c r="G37" s="183">
        <v>0.44</v>
      </c>
      <c r="H37" s="93">
        <f t="shared" si="0"/>
        <v>1.76</v>
      </c>
      <c r="I37" s="152">
        <f t="shared" si="1"/>
        <v>0.17600000000000002</v>
      </c>
      <c r="J37" s="97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s="153" customFormat="1" ht="15">
      <c r="A38" s="90">
        <v>33</v>
      </c>
      <c r="B38" s="99"/>
      <c r="C38" s="106" t="s">
        <v>538</v>
      </c>
      <c r="D38" s="162" t="s">
        <v>539</v>
      </c>
      <c r="E38" s="102" t="s">
        <v>430</v>
      </c>
      <c r="F38" s="151">
        <v>4</v>
      </c>
      <c r="G38" s="183">
        <v>0.65</v>
      </c>
      <c r="H38" s="93">
        <f t="shared" si="0"/>
        <v>2.6</v>
      </c>
      <c r="I38" s="152">
        <f t="shared" si="1"/>
        <v>0.26</v>
      </c>
      <c r="J38" s="97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s="153" customFormat="1" ht="15">
      <c r="A39" s="90">
        <v>34</v>
      </c>
      <c r="B39" s="99"/>
      <c r="C39" s="106" t="s">
        <v>540</v>
      </c>
      <c r="D39" s="162" t="s">
        <v>539</v>
      </c>
      <c r="E39" s="102" t="s">
        <v>430</v>
      </c>
      <c r="F39" s="151">
        <v>2</v>
      </c>
      <c r="G39" s="183">
        <v>0.72</v>
      </c>
      <c r="H39" s="93">
        <f t="shared" si="0"/>
        <v>1.44</v>
      </c>
      <c r="I39" s="152">
        <f t="shared" si="1"/>
        <v>0.14399999999999999</v>
      </c>
      <c r="J39" s="97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s="153" customFormat="1" ht="15">
      <c r="A40" s="90">
        <v>35</v>
      </c>
      <c r="B40" s="99"/>
      <c r="C40" s="106" t="s">
        <v>541</v>
      </c>
      <c r="D40" s="162" t="s">
        <v>542</v>
      </c>
      <c r="E40" s="102" t="s">
        <v>430</v>
      </c>
      <c r="F40" s="151">
        <v>12</v>
      </c>
      <c r="G40" s="183">
        <v>0.8</v>
      </c>
      <c r="H40" s="93">
        <f t="shared" si="0"/>
        <v>9.6000000000000014</v>
      </c>
      <c r="I40" s="152">
        <f t="shared" si="1"/>
        <v>0.96000000000000019</v>
      </c>
      <c r="J40" s="97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s="153" customFormat="1" ht="15">
      <c r="A41" s="90">
        <v>36</v>
      </c>
      <c r="B41" s="99"/>
      <c r="C41" s="106" t="s">
        <v>543</v>
      </c>
      <c r="D41" s="162" t="s">
        <v>544</v>
      </c>
      <c r="E41" s="102" t="s">
        <v>430</v>
      </c>
      <c r="F41" s="151">
        <v>12</v>
      </c>
      <c r="G41" s="183">
        <v>1.68</v>
      </c>
      <c r="H41" s="93">
        <f t="shared" si="0"/>
        <v>20.16</v>
      </c>
      <c r="I41" s="152">
        <f t="shared" si="1"/>
        <v>2.016</v>
      </c>
      <c r="J41" s="97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s="153" customFormat="1" ht="15">
      <c r="A42" s="90">
        <v>37</v>
      </c>
      <c r="B42" s="99"/>
      <c r="C42" s="106" t="s">
        <v>523</v>
      </c>
      <c r="D42" s="162" t="s">
        <v>545</v>
      </c>
      <c r="E42" s="102" t="s">
        <v>430</v>
      </c>
      <c r="F42" s="151">
        <v>2</v>
      </c>
      <c r="G42" s="183">
        <v>0.4</v>
      </c>
      <c r="H42" s="93">
        <f t="shared" si="0"/>
        <v>0.8</v>
      </c>
      <c r="I42" s="152">
        <f t="shared" si="1"/>
        <v>8.0000000000000016E-2</v>
      </c>
      <c r="J42" s="97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s="153" customFormat="1" ht="15">
      <c r="A43" s="90">
        <v>38</v>
      </c>
      <c r="B43" s="90"/>
      <c r="C43" s="101" t="s">
        <v>467</v>
      </c>
      <c r="D43" s="117" t="s">
        <v>468</v>
      </c>
      <c r="E43" s="102" t="s">
        <v>430</v>
      </c>
      <c r="F43" s="151">
        <v>3</v>
      </c>
      <c r="G43" s="183">
        <v>3.15</v>
      </c>
      <c r="H43" s="93">
        <f t="shared" si="0"/>
        <v>9.4499999999999993</v>
      </c>
      <c r="I43" s="152">
        <f t="shared" si="1"/>
        <v>0.94499999999999995</v>
      </c>
      <c r="J43" s="97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s="153" customFormat="1" ht="15">
      <c r="A44" s="90"/>
      <c r="B44" s="90"/>
      <c r="C44" s="101"/>
      <c r="D44" s="117"/>
      <c r="E44" s="92"/>
      <c r="F44" s="151"/>
      <c r="G44" s="183"/>
      <c r="H44" s="93"/>
      <c r="I44" s="163"/>
      <c r="J44" s="97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s="153" customFormat="1" ht="15">
      <c r="A45" s="90"/>
      <c r="B45" s="90"/>
      <c r="C45" s="101"/>
      <c r="D45" s="117"/>
      <c r="E45" s="92"/>
      <c r="F45" s="151"/>
      <c r="G45" s="183"/>
      <c r="H45" s="93"/>
      <c r="I45" s="163"/>
      <c r="J45" s="97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s="153" customFormat="1" ht="15">
      <c r="A46" s="90"/>
      <c r="B46" s="90"/>
      <c r="C46" s="106"/>
      <c r="D46" s="109"/>
      <c r="E46" s="121"/>
      <c r="F46" s="164"/>
      <c r="G46" s="183"/>
      <c r="H46" s="93"/>
      <c r="I46" s="163"/>
      <c r="J46" s="97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s="153" customFormat="1" ht="15">
      <c r="A47" s="90"/>
      <c r="B47" s="90"/>
      <c r="C47" s="106"/>
      <c r="D47" s="109"/>
      <c r="E47" s="121"/>
      <c r="F47" s="164"/>
      <c r="G47" s="183"/>
      <c r="H47" s="93"/>
      <c r="I47" s="163"/>
      <c r="J47" s="97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s="153" customFormat="1" ht="15">
      <c r="A48" s="90"/>
      <c r="B48" s="90"/>
      <c r="C48" s="158"/>
      <c r="D48" s="109"/>
      <c r="E48" s="121"/>
      <c r="F48" s="164"/>
      <c r="G48" s="183"/>
      <c r="H48" s="93"/>
      <c r="I48" s="163"/>
      <c r="J48" s="97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s="153" customFormat="1" ht="15">
      <c r="A49" s="90"/>
      <c r="B49" s="90"/>
      <c r="C49" s="119"/>
      <c r="D49" s="117"/>
      <c r="E49" s="92"/>
      <c r="F49" s="151"/>
      <c r="G49" s="183"/>
      <c r="H49" s="93"/>
      <c r="I49" s="163"/>
      <c r="J49" s="97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s="153" customFormat="1" ht="15">
      <c r="A50" s="90"/>
      <c r="B50" s="99"/>
      <c r="C50" s="106"/>
      <c r="D50" s="117"/>
      <c r="E50" s="92"/>
      <c r="F50" s="151"/>
      <c r="G50" s="183"/>
      <c r="H50" s="93"/>
      <c r="I50" s="163"/>
      <c r="J50" s="97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s="153" customFormat="1" ht="15">
      <c r="A51" s="90"/>
      <c r="B51" s="90"/>
      <c r="C51" s="101"/>
      <c r="D51" s="117"/>
      <c r="E51" s="92"/>
      <c r="F51" s="151"/>
      <c r="G51" s="183"/>
      <c r="H51" s="93"/>
      <c r="I51" s="163"/>
      <c r="J51" s="97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s="153" customFormat="1" ht="15">
      <c r="A52" s="90"/>
      <c r="B52" s="90"/>
      <c r="C52" s="106"/>
      <c r="D52" s="109"/>
      <c r="E52" s="121"/>
      <c r="F52" s="164"/>
      <c r="G52" s="183"/>
      <c r="H52" s="93"/>
      <c r="I52" s="163"/>
      <c r="J52" s="97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s="153" customFormat="1" ht="15">
      <c r="A53" s="90"/>
      <c r="B53" s="90"/>
      <c r="C53" s="106"/>
      <c r="D53" s="109"/>
      <c r="E53" s="121"/>
      <c r="F53" s="164"/>
      <c r="G53" s="183"/>
      <c r="H53" s="93"/>
      <c r="I53" s="163"/>
      <c r="J53" s="97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s="153" customFormat="1" ht="15">
      <c r="A54" s="90"/>
      <c r="B54" s="90"/>
      <c r="C54" s="158"/>
      <c r="D54" s="109"/>
      <c r="E54" s="121"/>
      <c r="F54" s="164"/>
      <c r="G54" s="183"/>
      <c r="H54" s="93"/>
      <c r="I54" s="163"/>
      <c r="J54" s="97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s="153" customFormat="1" ht="15">
      <c r="A55" s="90"/>
      <c r="B55" s="90"/>
      <c r="C55" s="119"/>
      <c r="D55" s="117"/>
      <c r="E55" s="92"/>
      <c r="F55" s="151"/>
      <c r="G55" s="183"/>
      <c r="H55" s="93"/>
      <c r="I55" s="163"/>
      <c r="J55" s="97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s="153" customFormat="1" ht="15">
      <c r="A56" s="90"/>
      <c r="B56" s="99"/>
      <c r="C56" s="106"/>
      <c r="D56" s="117"/>
      <c r="E56" s="92"/>
      <c r="F56" s="151"/>
      <c r="G56" s="183"/>
      <c r="H56" s="93"/>
      <c r="I56" s="163"/>
      <c r="J56" s="97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s="153" customFormat="1" ht="15">
      <c r="A57" s="90"/>
      <c r="B57" s="90"/>
      <c r="C57" s="101"/>
      <c r="D57" s="117"/>
      <c r="E57" s="92"/>
      <c r="F57" s="151"/>
      <c r="G57" s="183"/>
      <c r="H57" s="93"/>
      <c r="I57" s="163"/>
      <c r="J57" s="97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s="153" customFormat="1" ht="15">
      <c r="A58" s="90"/>
      <c r="B58" s="90"/>
      <c r="C58" s="120"/>
      <c r="D58" s="117"/>
      <c r="E58" s="92"/>
      <c r="F58" s="151"/>
      <c r="G58" s="183"/>
      <c r="H58" s="93"/>
      <c r="I58" s="163"/>
      <c r="J58" s="97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s="153" customFormat="1" ht="15">
      <c r="A59" s="90"/>
      <c r="B59" s="90"/>
      <c r="C59" s="120"/>
      <c r="D59" s="117"/>
      <c r="E59" s="92"/>
      <c r="F59" s="151"/>
      <c r="G59" s="183"/>
      <c r="H59" s="93"/>
      <c r="I59" s="163"/>
      <c r="J59" s="97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s="153" customFormat="1" ht="15">
      <c r="A60" s="90"/>
      <c r="B60" s="90"/>
      <c r="C60" s="109"/>
      <c r="D60" s="109"/>
      <c r="E60" s="121"/>
      <c r="F60" s="164"/>
      <c r="G60" s="183"/>
      <c r="H60" s="93"/>
      <c r="I60" s="163"/>
      <c r="J60" s="97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s="153" customFormat="1" ht="15">
      <c r="A61" s="90"/>
      <c r="B61" s="90"/>
      <c r="C61" s="109"/>
      <c r="D61" s="109"/>
      <c r="E61" s="121"/>
      <c r="F61" s="164"/>
      <c r="G61" s="183"/>
      <c r="H61" s="93"/>
      <c r="I61" s="163"/>
      <c r="J61" s="97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s="153" customFormat="1" ht="15">
      <c r="A62" s="90"/>
      <c r="B62" s="90"/>
      <c r="C62" s="114"/>
      <c r="D62" s="117"/>
      <c r="E62" s="92"/>
      <c r="F62" s="151"/>
      <c r="G62" s="183"/>
      <c r="H62" s="93"/>
      <c r="I62" s="163"/>
      <c r="J62" s="97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s="153" customFormat="1" ht="15">
      <c r="A63" s="90"/>
      <c r="B63" s="99"/>
      <c r="C63" s="111"/>
      <c r="D63" s="119"/>
      <c r="E63" s="92"/>
      <c r="F63" s="151"/>
      <c r="G63" s="183"/>
      <c r="H63" s="93"/>
      <c r="I63" s="163"/>
      <c r="J63" s="97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s="153" customFormat="1" ht="15">
      <c r="A64" s="90"/>
      <c r="B64" s="90"/>
      <c r="C64" s="120"/>
      <c r="D64" s="124"/>
      <c r="E64" s="125"/>
      <c r="F64" s="151"/>
      <c r="G64" s="183"/>
      <c r="H64" s="93"/>
      <c r="I64" s="163"/>
      <c r="J64" s="97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s="153" customFormat="1" ht="15">
      <c r="A65" s="90"/>
      <c r="B65" s="90"/>
      <c r="C65" s="109"/>
      <c r="D65" s="109"/>
      <c r="E65" s="121"/>
      <c r="F65" s="164"/>
      <c r="G65" s="183"/>
      <c r="H65" s="93"/>
      <c r="I65" s="163"/>
      <c r="J65" s="97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s="153" customFormat="1" ht="15">
      <c r="A66" s="90"/>
      <c r="B66" s="90"/>
      <c r="C66" s="109"/>
      <c r="D66" s="109"/>
      <c r="E66" s="121"/>
      <c r="F66" s="164"/>
      <c r="G66" s="183"/>
      <c r="H66" s="93"/>
      <c r="I66" s="163"/>
      <c r="J66" s="97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s="153" customFormat="1" ht="15">
      <c r="A67" s="90"/>
      <c r="B67" s="90"/>
      <c r="C67" s="114"/>
      <c r="D67" s="117"/>
      <c r="E67" s="92"/>
      <c r="F67" s="151"/>
      <c r="G67" s="183"/>
      <c r="H67" s="93"/>
      <c r="I67" s="163"/>
      <c r="J67" s="97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s="165" customFormat="1" ht="15">
      <c r="A68" s="90"/>
      <c r="B68" s="90"/>
      <c r="C68" s="109"/>
      <c r="D68" s="117"/>
      <c r="E68" s="92"/>
      <c r="F68" s="151"/>
      <c r="G68" s="183"/>
      <c r="H68" s="93"/>
      <c r="I68" s="163"/>
      <c r="J68" s="126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s="165" customFormat="1" ht="15">
      <c r="A69" s="90"/>
      <c r="B69" s="90"/>
      <c r="C69" s="111"/>
      <c r="D69" s="117"/>
      <c r="E69" s="92"/>
      <c r="F69" s="151"/>
      <c r="G69" s="183"/>
      <c r="H69" s="93"/>
      <c r="I69" s="163"/>
      <c r="J69" s="126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s="165" customFormat="1" ht="15">
      <c r="A70" s="90"/>
      <c r="B70" s="90"/>
      <c r="C70" s="111"/>
      <c r="D70" s="117"/>
      <c r="E70" s="92"/>
      <c r="F70" s="151"/>
      <c r="G70" s="183"/>
      <c r="H70" s="93"/>
      <c r="I70" s="163"/>
      <c r="J70" s="126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s="165" customFormat="1" ht="15">
      <c r="A71" s="90"/>
      <c r="B71" s="90"/>
      <c r="C71" s="109"/>
      <c r="D71" s="128"/>
      <c r="E71" s="102"/>
      <c r="F71" s="151"/>
      <c r="G71" s="183"/>
      <c r="H71" s="93"/>
      <c r="I71" s="163"/>
      <c r="J71" s="126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s="165" customFormat="1" ht="15">
      <c r="A72" s="90"/>
      <c r="B72" s="90"/>
      <c r="C72" s="109"/>
      <c r="D72" s="128"/>
      <c r="E72" s="102"/>
      <c r="F72" s="151"/>
      <c r="G72" s="183"/>
      <c r="H72" s="93"/>
      <c r="I72" s="163"/>
      <c r="J72" s="126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s="165" customFormat="1" ht="15">
      <c r="A73" s="90"/>
      <c r="B73" s="90"/>
      <c r="C73" s="109"/>
      <c r="D73" s="128"/>
      <c r="E73" s="102"/>
      <c r="F73" s="151"/>
      <c r="G73" s="183"/>
      <c r="H73" s="93"/>
      <c r="I73" s="163"/>
      <c r="J73" s="126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s="165" customFormat="1" ht="15">
      <c r="A74" s="90"/>
      <c r="B74" s="90"/>
      <c r="C74" s="109"/>
      <c r="D74" s="128"/>
      <c r="E74" s="102"/>
      <c r="F74" s="151"/>
      <c r="G74" s="183"/>
      <c r="H74" s="93"/>
      <c r="I74" s="163"/>
      <c r="J74" s="126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s="165" customFormat="1" ht="13.5">
      <c r="A75" s="129"/>
      <c r="B75" s="129"/>
      <c r="C75" s="129" t="s">
        <v>469</v>
      </c>
      <c r="D75" s="130"/>
      <c r="E75" s="131"/>
      <c r="F75" s="166">
        <f>SUM(F6:F74)</f>
        <v>376</v>
      </c>
      <c r="G75" s="185"/>
      <c r="H75" s="166">
        <f>SUM(H6:H74)</f>
        <v>338.00500000000011</v>
      </c>
      <c r="I75" s="166">
        <f>SUM(I6:I74)</f>
        <v>33.800499999999992</v>
      </c>
      <c r="J75" s="126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</sheetData>
  <mergeCells count="12">
    <mergeCell ref="I4:I5"/>
    <mergeCell ref="J4:J5"/>
    <mergeCell ref="A2:I2"/>
    <mergeCell ref="A3:F3"/>
    <mergeCell ref="A4:A5"/>
    <mergeCell ref="B4:B5"/>
    <mergeCell ref="C4:C5"/>
    <mergeCell ref="D4:D5"/>
    <mergeCell ref="E4:E5"/>
    <mergeCell ref="F4:F5"/>
    <mergeCell ref="G4:G5"/>
    <mergeCell ref="H4:H5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9" workbookViewId="0">
      <selection activeCell="H22" sqref="H22"/>
    </sheetView>
  </sheetViews>
  <sheetFormatPr defaultRowHeight="13.5"/>
  <cols>
    <col min="1" max="1" width="7.25" style="16" customWidth="1"/>
    <col min="2" max="2" width="19.5" style="16" customWidth="1"/>
    <col min="3" max="3" width="3" style="16" customWidth="1"/>
    <col min="4" max="4" width="28.375" style="16" customWidth="1"/>
    <col min="5" max="5" width="1.375" style="16" customWidth="1"/>
    <col min="6" max="6" width="8.875" style="16" customWidth="1"/>
    <col min="7" max="7" width="16.5" style="16" customWidth="1"/>
    <col min="8" max="256" width="8" style="16" customWidth="1"/>
    <col min="257" max="257" width="7.25" style="16" customWidth="1"/>
    <col min="258" max="258" width="19.5" style="16" customWidth="1"/>
    <col min="259" max="259" width="3" style="16" customWidth="1"/>
    <col min="260" max="260" width="28.375" style="16" customWidth="1"/>
    <col min="261" max="261" width="1.375" style="16" customWidth="1"/>
    <col min="262" max="262" width="8.875" style="16" customWidth="1"/>
    <col min="263" max="263" width="16.5" style="16" customWidth="1"/>
    <col min="264" max="512" width="8" style="16" customWidth="1"/>
    <col min="513" max="513" width="7.25" style="16" customWidth="1"/>
    <col min="514" max="514" width="19.5" style="16" customWidth="1"/>
    <col min="515" max="515" width="3" style="16" customWidth="1"/>
    <col min="516" max="516" width="28.375" style="16" customWidth="1"/>
    <col min="517" max="517" width="1.375" style="16" customWidth="1"/>
    <col min="518" max="518" width="8.875" style="16" customWidth="1"/>
    <col min="519" max="519" width="16.5" style="16" customWidth="1"/>
    <col min="520" max="768" width="8" style="16" customWidth="1"/>
    <col min="769" max="769" width="7.25" style="16" customWidth="1"/>
    <col min="770" max="770" width="19.5" style="16" customWidth="1"/>
    <col min="771" max="771" width="3" style="16" customWidth="1"/>
    <col min="772" max="772" width="28.375" style="16" customWidth="1"/>
    <col min="773" max="773" width="1.375" style="16" customWidth="1"/>
    <col min="774" max="774" width="8.875" style="16" customWidth="1"/>
    <col min="775" max="775" width="16.5" style="16" customWidth="1"/>
    <col min="776" max="1024" width="8" style="16" customWidth="1"/>
    <col min="1025" max="1025" width="7.25" style="16" customWidth="1"/>
    <col min="1026" max="1026" width="19.5" style="16" customWidth="1"/>
    <col min="1027" max="1027" width="3" style="16" customWidth="1"/>
    <col min="1028" max="1028" width="28.375" style="16" customWidth="1"/>
    <col min="1029" max="1029" width="1.375" style="16" customWidth="1"/>
    <col min="1030" max="1030" width="8.875" style="16" customWidth="1"/>
    <col min="1031" max="1031" width="16.5" style="16" customWidth="1"/>
    <col min="1032" max="1280" width="8" style="16" customWidth="1"/>
    <col min="1281" max="1281" width="7.25" style="16" customWidth="1"/>
    <col min="1282" max="1282" width="19.5" style="16" customWidth="1"/>
    <col min="1283" max="1283" width="3" style="16" customWidth="1"/>
    <col min="1284" max="1284" width="28.375" style="16" customWidth="1"/>
    <col min="1285" max="1285" width="1.375" style="16" customWidth="1"/>
    <col min="1286" max="1286" width="8.875" style="16" customWidth="1"/>
    <col min="1287" max="1287" width="16.5" style="16" customWidth="1"/>
    <col min="1288" max="1536" width="8" style="16" customWidth="1"/>
    <col min="1537" max="1537" width="7.25" style="16" customWidth="1"/>
    <col min="1538" max="1538" width="19.5" style="16" customWidth="1"/>
    <col min="1539" max="1539" width="3" style="16" customWidth="1"/>
    <col min="1540" max="1540" width="28.375" style="16" customWidth="1"/>
    <col min="1541" max="1541" width="1.375" style="16" customWidth="1"/>
    <col min="1542" max="1542" width="8.875" style="16" customWidth="1"/>
    <col min="1543" max="1543" width="16.5" style="16" customWidth="1"/>
    <col min="1544" max="1792" width="8" style="16" customWidth="1"/>
    <col min="1793" max="1793" width="7.25" style="16" customWidth="1"/>
    <col min="1794" max="1794" width="19.5" style="16" customWidth="1"/>
    <col min="1795" max="1795" width="3" style="16" customWidth="1"/>
    <col min="1796" max="1796" width="28.375" style="16" customWidth="1"/>
    <col min="1797" max="1797" width="1.375" style="16" customWidth="1"/>
    <col min="1798" max="1798" width="8.875" style="16" customWidth="1"/>
    <col min="1799" max="1799" width="16.5" style="16" customWidth="1"/>
    <col min="1800" max="2048" width="8" style="16" customWidth="1"/>
    <col min="2049" max="2049" width="7.25" style="16" customWidth="1"/>
    <col min="2050" max="2050" width="19.5" style="16" customWidth="1"/>
    <col min="2051" max="2051" width="3" style="16" customWidth="1"/>
    <col min="2052" max="2052" width="28.375" style="16" customWidth="1"/>
    <col min="2053" max="2053" width="1.375" style="16" customWidth="1"/>
    <col min="2054" max="2054" width="8.875" style="16" customWidth="1"/>
    <col min="2055" max="2055" width="16.5" style="16" customWidth="1"/>
    <col min="2056" max="2304" width="8" style="16" customWidth="1"/>
    <col min="2305" max="2305" width="7.25" style="16" customWidth="1"/>
    <col min="2306" max="2306" width="19.5" style="16" customWidth="1"/>
    <col min="2307" max="2307" width="3" style="16" customWidth="1"/>
    <col min="2308" max="2308" width="28.375" style="16" customWidth="1"/>
    <col min="2309" max="2309" width="1.375" style="16" customWidth="1"/>
    <col min="2310" max="2310" width="8.875" style="16" customWidth="1"/>
    <col min="2311" max="2311" width="16.5" style="16" customWidth="1"/>
    <col min="2312" max="2560" width="8" style="16" customWidth="1"/>
    <col min="2561" max="2561" width="7.25" style="16" customWidth="1"/>
    <col min="2562" max="2562" width="19.5" style="16" customWidth="1"/>
    <col min="2563" max="2563" width="3" style="16" customWidth="1"/>
    <col min="2564" max="2564" width="28.375" style="16" customWidth="1"/>
    <col min="2565" max="2565" width="1.375" style="16" customWidth="1"/>
    <col min="2566" max="2566" width="8.875" style="16" customWidth="1"/>
    <col min="2567" max="2567" width="16.5" style="16" customWidth="1"/>
    <col min="2568" max="2816" width="8" style="16" customWidth="1"/>
    <col min="2817" max="2817" width="7.25" style="16" customWidth="1"/>
    <col min="2818" max="2818" width="19.5" style="16" customWidth="1"/>
    <col min="2819" max="2819" width="3" style="16" customWidth="1"/>
    <col min="2820" max="2820" width="28.375" style="16" customWidth="1"/>
    <col min="2821" max="2821" width="1.375" style="16" customWidth="1"/>
    <col min="2822" max="2822" width="8.875" style="16" customWidth="1"/>
    <col min="2823" max="2823" width="16.5" style="16" customWidth="1"/>
    <col min="2824" max="3072" width="8" style="16" customWidth="1"/>
    <col min="3073" max="3073" width="7.25" style="16" customWidth="1"/>
    <col min="3074" max="3074" width="19.5" style="16" customWidth="1"/>
    <col min="3075" max="3075" width="3" style="16" customWidth="1"/>
    <col min="3076" max="3076" width="28.375" style="16" customWidth="1"/>
    <col min="3077" max="3077" width="1.375" style="16" customWidth="1"/>
    <col min="3078" max="3078" width="8.875" style="16" customWidth="1"/>
    <col min="3079" max="3079" width="16.5" style="16" customWidth="1"/>
    <col min="3080" max="3328" width="8" style="16" customWidth="1"/>
    <col min="3329" max="3329" width="7.25" style="16" customWidth="1"/>
    <col min="3330" max="3330" width="19.5" style="16" customWidth="1"/>
    <col min="3331" max="3331" width="3" style="16" customWidth="1"/>
    <col min="3332" max="3332" width="28.375" style="16" customWidth="1"/>
    <col min="3333" max="3333" width="1.375" style="16" customWidth="1"/>
    <col min="3334" max="3334" width="8.875" style="16" customWidth="1"/>
    <col min="3335" max="3335" width="16.5" style="16" customWidth="1"/>
    <col min="3336" max="3584" width="8" style="16" customWidth="1"/>
    <col min="3585" max="3585" width="7.25" style="16" customWidth="1"/>
    <col min="3586" max="3586" width="19.5" style="16" customWidth="1"/>
    <col min="3587" max="3587" width="3" style="16" customWidth="1"/>
    <col min="3588" max="3588" width="28.375" style="16" customWidth="1"/>
    <col min="3589" max="3589" width="1.375" style="16" customWidth="1"/>
    <col min="3590" max="3590" width="8.875" style="16" customWidth="1"/>
    <col min="3591" max="3591" width="16.5" style="16" customWidth="1"/>
    <col min="3592" max="3840" width="8" style="16" customWidth="1"/>
    <col min="3841" max="3841" width="7.25" style="16" customWidth="1"/>
    <col min="3842" max="3842" width="19.5" style="16" customWidth="1"/>
    <col min="3843" max="3843" width="3" style="16" customWidth="1"/>
    <col min="3844" max="3844" width="28.375" style="16" customWidth="1"/>
    <col min="3845" max="3845" width="1.375" style="16" customWidth="1"/>
    <col min="3846" max="3846" width="8.875" style="16" customWidth="1"/>
    <col min="3847" max="3847" width="16.5" style="16" customWidth="1"/>
    <col min="3848" max="4096" width="8" style="16" customWidth="1"/>
    <col min="4097" max="4097" width="7.25" style="16" customWidth="1"/>
    <col min="4098" max="4098" width="19.5" style="16" customWidth="1"/>
    <col min="4099" max="4099" width="3" style="16" customWidth="1"/>
    <col min="4100" max="4100" width="28.375" style="16" customWidth="1"/>
    <col min="4101" max="4101" width="1.375" style="16" customWidth="1"/>
    <col min="4102" max="4102" width="8.875" style="16" customWidth="1"/>
    <col min="4103" max="4103" width="16.5" style="16" customWidth="1"/>
    <col min="4104" max="4352" width="8" style="16" customWidth="1"/>
    <col min="4353" max="4353" width="7.25" style="16" customWidth="1"/>
    <col min="4354" max="4354" width="19.5" style="16" customWidth="1"/>
    <col min="4355" max="4355" width="3" style="16" customWidth="1"/>
    <col min="4356" max="4356" width="28.375" style="16" customWidth="1"/>
    <col min="4357" max="4357" width="1.375" style="16" customWidth="1"/>
    <col min="4358" max="4358" width="8.875" style="16" customWidth="1"/>
    <col min="4359" max="4359" width="16.5" style="16" customWidth="1"/>
    <col min="4360" max="4608" width="8" style="16" customWidth="1"/>
    <col min="4609" max="4609" width="7.25" style="16" customWidth="1"/>
    <col min="4610" max="4610" width="19.5" style="16" customWidth="1"/>
    <col min="4611" max="4611" width="3" style="16" customWidth="1"/>
    <col min="4612" max="4612" width="28.375" style="16" customWidth="1"/>
    <col min="4613" max="4613" width="1.375" style="16" customWidth="1"/>
    <col min="4614" max="4614" width="8.875" style="16" customWidth="1"/>
    <col min="4615" max="4615" width="16.5" style="16" customWidth="1"/>
    <col min="4616" max="4864" width="8" style="16" customWidth="1"/>
    <col min="4865" max="4865" width="7.25" style="16" customWidth="1"/>
    <col min="4866" max="4866" width="19.5" style="16" customWidth="1"/>
    <col min="4867" max="4867" width="3" style="16" customWidth="1"/>
    <col min="4868" max="4868" width="28.375" style="16" customWidth="1"/>
    <col min="4869" max="4869" width="1.375" style="16" customWidth="1"/>
    <col min="4870" max="4870" width="8.875" style="16" customWidth="1"/>
    <col min="4871" max="4871" width="16.5" style="16" customWidth="1"/>
    <col min="4872" max="5120" width="8" style="16" customWidth="1"/>
    <col min="5121" max="5121" width="7.25" style="16" customWidth="1"/>
    <col min="5122" max="5122" width="19.5" style="16" customWidth="1"/>
    <col min="5123" max="5123" width="3" style="16" customWidth="1"/>
    <col min="5124" max="5124" width="28.375" style="16" customWidth="1"/>
    <col min="5125" max="5125" width="1.375" style="16" customWidth="1"/>
    <col min="5126" max="5126" width="8.875" style="16" customWidth="1"/>
    <col min="5127" max="5127" width="16.5" style="16" customWidth="1"/>
    <col min="5128" max="5376" width="8" style="16" customWidth="1"/>
    <col min="5377" max="5377" width="7.25" style="16" customWidth="1"/>
    <col min="5378" max="5378" width="19.5" style="16" customWidth="1"/>
    <col min="5379" max="5379" width="3" style="16" customWidth="1"/>
    <col min="5380" max="5380" width="28.375" style="16" customWidth="1"/>
    <col min="5381" max="5381" width="1.375" style="16" customWidth="1"/>
    <col min="5382" max="5382" width="8.875" style="16" customWidth="1"/>
    <col min="5383" max="5383" width="16.5" style="16" customWidth="1"/>
    <col min="5384" max="5632" width="8" style="16" customWidth="1"/>
    <col min="5633" max="5633" width="7.25" style="16" customWidth="1"/>
    <col min="5634" max="5634" width="19.5" style="16" customWidth="1"/>
    <col min="5635" max="5635" width="3" style="16" customWidth="1"/>
    <col min="5636" max="5636" width="28.375" style="16" customWidth="1"/>
    <col min="5637" max="5637" width="1.375" style="16" customWidth="1"/>
    <col min="5638" max="5638" width="8.875" style="16" customWidth="1"/>
    <col min="5639" max="5639" width="16.5" style="16" customWidth="1"/>
    <col min="5640" max="5888" width="8" style="16" customWidth="1"/>
    <col min="5889" max="5889" width="7.25" style="16" customWidth="1"/>
    <col min="5890" max="5890" width="19.5" style="16" customWidth="1"/>
    <col min="5891" max="5891" width="3" style="16" customWidth="1"/>
    <col min="5892" max="5892" width="28.375" style="16" customWidth="1"/>
    <col min="5893" max="5893" width="1.375" style="16" customWidth="1"/>
    <col min="5894" max="5894" width="8.875" style="16" customWidth="1"/>
    <col min="5895" max="5895" width="16.5" style="16" customWidth="1"/>
    <col min="5896" max="6144" width="8" style="16" customWidth="1"/>
    <col min="6145" max="6145" width="7.25" style="16" customWidth="1"/>
    <col min="6146" max="6146" width="19.5" style="16" customWidth="1"/>
    <col min="6147" max="6147" width="3" style="16" customWidth="1"/>
    <col min="6148" max="6148" width="28.375" style="16" customWidth="1"/>
    <col min="6149" max="6149" width="1.375" style="16" customWidth="1"/>
    <col min="6150" max="6150" width="8.875" style="16" customWidth="1"/>
    <col min="6151" max="6151" width="16.5" style="16" customWidth="1"/>
    <col min="6152" max="6400" width="8" style="16" customWidth="1"/>
    <col min="6401" max="6401" width="7.25" style="16" customWidth="1"/>
    <col min="6402" max="6402" width="19.5" style="16" customWidth="1"/>
    <col min="6403" max="6403" width="3" style="16" customWidth="1"/>
    <col min="6404" max="6404" width="28.375" style="16" customWidth="1"/>
    <col min="6405" max="6405" width="1.375" style="16" customWidth="1"/>
    <col min="6406" max="6406" width="8.875" style="16" customWidth="1"/>
    <col min="6407" max="6407" width="16.5" style="16" customWidth="1"/>
    <col min="6408" max="6656" width="8" style="16" customWidth="1"/>
    <col min="6657" max="6657" width="7.25" style="16" customWidth="1"/>
    <col min="6658" max="6658" width="19.5" style="16" customWidth="1"/>
    <col min="6659" max="6659" width="3" style="16" customWidth="1"/>
    <col min="6660" max="6660" width="28.375" style="16" customWidth="1"/>
    <col min="6661" max="6661" width="1.375" style="16" customWidth="1"/>
    <col min="6662" max="6662" width="8.875" style="16" customWidth="1"/>
    <col min="6663" max="6663" width="16.5" style="16" customWidth="1"/>
    <col min="6664" max="6912" width="8" style="16" customWidth="1"/>
    <col min="6913" max="6913" width="7.25" style="16" customWidth="1"/>
    <col min="6914" max="6914" width="19.5" style="16" customWidth="1"/>
    <col min="6915" max="6915" width="3" style="16" customWidth="1"/>
    <col min="6916" max="6916" width="28.375" style="16" customWidth="1"/>
    <col min="6917" max="6917" width="1.375" style="16" customWidth="1"/>
    <col min="6918" max="6918" width="8.875" style="16" customWidth="1"/>
    <col min="6919" max="6919" width="16.5" style="16" customWidth="1"/>
    <col min="6920" max="7168" width="8" style="16" customWidth="1"/>
    <col min="7169" max="7169" width="7.25" style="16" customWidth="1"/>
    <col min="7170" max="7170" width="19.5" style="16" customWidth="1"/>
    <col min="7171" max="7171" width="3" style="16" customWidth="1"/>
    <col min="7172" max="7172" width="28.375" style="16" customWidth="1"/>
    <col min="7173" max="7173" width="1.375" style="16" customWidth="1"/>
    <col min="7174" max="7174" width="8.875" style="16" customWidth="1"/>
    <col min="7175" max="7175" width="16.5" style="16" customWidth="1"/>
    <col min="7176" max="7424" width="8" style="16" customWidth="1"/>
    <col min="7425" max="7425" width="7.25" style="16" customWidth="1"/>
    <col min="7426" max="7426" width="19.5" style="16" customWidth="1"/>
    <col min="7427" max="7427" width="3" style="16" customWidth="1"/>
    <col min="7428" max="7428" width="28.375" style="16" customWidth="1"/>
    <col min="7429" max="7429" width="1.375" style="16" customWidth="1"/>
    <col min="7430" max="7430" width="8.875" style="16" customWidth="1"/>
    <col min="7431" max="7431" width="16.5" style="16" customWidth="1"/>
    <col min="7432" max="7680" width="8" style="16" customWidth="1"/>
    <col min="7681" max="7681" width="7.25" style="16" customWidth="1"/>
    <col min="7682" max="7682" width="19.5" style="16" customWidth="1"/>
    <col min="7683" max="7683" width="3" style="16" customWidth="1"/>
    <col min="7684" max="7684" width="28.375" style="16" customWidth="1"/>
    <col min="7685" max="7685" width="1.375" style="16" customWidth="1"/>
    <col min="7686" max="7686" width="8.875" style="16" customWidth="1"/>
    <col min="7687" max="7687" width="16.5" style="16" customWidth="1"/>
    <col min="7688" max="7936" width="8" style="16" customWidth="1"/>
    <col min="7937" max="7937" width="7.25" style="16" customWidth="1"/>
    <col min="7938" max="7938" width="19.5" style="16" customWidth="1"/>
    <col min="7939" max="7939" width="3" style="16" customWidth="1"/>
    <col min="7940" max="7940" width="28.375" style="16" customWidth="1"/>
    <col min="7941" max="7941" width="1.375" style="16" customWidth="1"/>
    <col min="7942" max="7942" width="8.875" style="16" customWidth="1"/>
    <col min="7943" max="7943" width="16.5" style="16" customWidth="1"/>
    <col min="7944" max="8192" width="8" style="16" customWidth="1"/>
    <col min="8193" max="8193" width="7.25" style="16" customWidth="1"/>
    <col min="8194" max="8194" width="19.5" style="16" customWidth="1"/>
    <col min="8195" max="8195" width="3" style="16" customWidth="1"/>
    <col min="8196" max="8196" width="28.375" style="16" customWidth="1"/>
    <col min="8197" max="8197" width="1.375" style="16" customWidth="1"/>
    <col min="8198" max="8198" width="8.875" style="16" customWidth="1"/>
    <col min="8199" max="8199" width="16.5" style="16" customWidth="1"/>
    <col min="8200" max="8448" width="8" style="16" customWidth="1"/>
    <col min="8449" max="8449" width="7.25" style="16" customWidth="1"/>
    <col min="8450" max="8450" width="19.5" style="16" customWidth="1"/>
    <col min="8451" max="8451" width="3" style="16" customWidth="1"/>
    <col min="8452" max="8452" width="28.375" style="16" customWidth="1"/>
    <col min="8453" max="8453" width="1.375" style="16" customWidth="1"/>
    <col min="8454" max="8454" width="8.875" style="16" customWidth="1"/>
    <col min="8455" max="8455" width="16.5" style="16" customWidth="1"/>
    <col min="8456" max="8704" width="8" style="16" customWidth="1"/>
    <col min="8705" max="8705" width="7.25" style="16" customWidth="1"/>
    <col min="8706" max="8706" width="19.5" style="16" customWidth="1"/>
    <col min="8707" max="8707" width="3" style="16" customWidth="1"/>
    <col min="8708" max="8708" width="28.375" style="16" customWidth="1"/>
    <col min="8709" max="8709" width="1.375" style="16" customWidth="1"/>
    <col min="8710" max="8710" width="8.875" style="16" customWidth="1"/>
    <col min="8711" max="8711" width="16.5" style="16" customWidth="1"/>
    <col min="8712" max="8960" width="8" style="16" customWidth="1"/>
    <col min="8961" max="8961" width="7.25" style="16" customWidth="1"/>
    <col min="8962" max="8962" width="19.5" style="16" customWidth="1"/>
    <col min="8963" max="8963" width="3" style="16" customWidth="1"/>
    <col min="8964" max="8964" width="28.375" style="16" customWidth="1"/>
    <col min="8965" max="8965" width="1.375" style="16" customWidth="1"/>
    <col min="8966" max="8966" width="8.875" style="16" customWidth="1"/>
    <col min="8967" max="8967" width="16.5" style="16" customWidth="1"/>
    <col min="8968" max="9216" width="8" style="16" customWidth="1"/>
    <col min="9217" max="9217" width="7.25" style="16" customWidth="1"/>
    <col min="9218" max="9218" width="19.5" style="16" customWidth="1"/>
    <col min="9219" max="9219" width="3" style="16" customWidth="1"/>
    <col min="9220" max="9220" width="28.375" style="16" customWidth="1"/>
    <col min="9221" max="9221" width="1.375" style="16" customWidth="1"/>
    <col min="9222" max="9222" width="8.875" style="16" customWidth="1"/>
    <col min="9223" max="9223" width="16.5" style="16" customWidth="1"/>
    <col min="9224" max="9472" width="8" style="16" customWidth="1"/>
    <col min="9473" max="9473" width="7.25" style="16" customWidth="1"/>
    <col min="9474" max="9474" width="19.5" style="16" customWidth="1"/>
    <col min="9475" max="9475" width="3" style="16" customWidth="1"/>
    <col min="9476" max="9476" width="28.375" style="16" customWidth="1"/>
    <col min="9477" max="9477" width="1.375" style="16" customWidth="1"/>
    <col min="9478" max="9478" width="8.875" style="16" customWidth="1"/>
    <col min="9479" max="9479" width="16.5" style="16" customWidth="1"/>
    <col min="9480" max="9728" width="8" style="16" customWidth="1"/>
    <col min="9729" max="9729" width="7.25" style="16" customWidth="1"/>
    <col min="9730" max="9730" width="19.5" style="16" customWidth="1"/>
    <col min="9731" max="9731" width="3" style="16" customWidth="1"/>
    <col min="9732" max="9732" width="28.375" style="16" customWidth="1"/>
    <col min="9733" max="9733" width="1.375" style="16" customWidth="1"/>
    <col min="9734" max="9734" width="8.875" style="16" customWidth="1"/>
    <col min="9735" max="9735" width="16.5" style="16" customWidth="1"/>
    <col min="9736" max="9984" width="8" style="16" customWidth="1"/>
    <col min="9985" max="9985" width="7.25" style="16" customWidth="1"/>
    <col min="9986" max="9986" width="19.5" style="16" customWidth="1"/>
    <col min="9987" max="9987" width="3" style="16" customWidth="1"/>
    <col min="9988" max="9988" width="28.375" style="16" customWidth="1"/>
    <col min="9989" max="9989" width="1.375" style="16" customWidth="1"/>
    <col min="9990" max="9990" width="8.875" style="16" customWidth="1"/>
    <col min="9991" max="9991" width="16.5" style="16" customWidth="1"/>
    <col min="9992" max="10240" width="8" style="16" customWidth="1"/>
    <col min="10241" max="10241" width="7.25" style="16" customWidth="1"/>
    <col min="10242" max="10242" width="19.5" style="16" customWidth="1"/>
    <col min="10243" max="10243" width="3" style="16" customWidth="1"/>
    <col min="10244" max="10244" width="28.375" style="16" customWidth="1"/>
    <col min="10245" max="10245" width="1.375" style="16" customWidth="1"/>
    <col min="10246" max="10246" width="8.875" style="16" customWidth="1"/>
    <col min="10247" max="10247" width="16.5" style="16" customWidth="1"/>
    <col min="10248" max="10496" width="8" style="16" customWidth="1"/>
    <col min="10497" max="10497" width="7.25" style="16" customWidth="1"/>
    <col min="10498" max="10498" width="19.5" style="16" customWidth="1"/>
    <col min="10499" max="10499" width="3" style="16" customWidth="1"/>
    <col min="10500" max="10500" width="28.375" style="16" customWidth="1"/>
    <col min="10501" max="10501" width="1.375" style="16" customWidth="1"/>
    <col min="10502" max="10502" width="8.875" style="16" customWidth="1"/>
    <col min="10503" max="10503" width="16.5" style="16" customWidth="1"/>
    <col min="10504" max="10752" width="8" style="16" customWidth="1"/>
    <col min="10753" max="10753" width="7.25" style="16" customWidth="1"/>
    <col min="10754" max="10754" width="19.5" style="16" customWidth="1"/>
    <col min="10755" max="10755" width="3" style="16" customWidth="1"/>
    <col min="10756" max="10756" width="28.375" style="16" customWidth="1"/>
    <col min="10757" max="10757" width="1.375" style="16" customWidth="1"/>
    <col min="10758" max="10758" width="8.875" style="16" customWidth="1"/>
    <col min="10759" max="10759" width="16.5" style="16" customWidth="1"/>
    <col min="10760" max="11008" width="8" style="16" customWidth="1"/>
    <col min="11009" max="11009" width="7.25" style="16" customWidth="1"/>
    <col min="11010" max="11010" width="19.5" style="16" customWidth="1"/>
    <col min="11011" max="11011" width="3" style="16" customWidth="1"/>
    <col min="11012" max="11012" width="28.375" style="16" customWidth="1"/>
    <col min="11013" max="11013" width="1.375" style="16" customWidth="1"/>
    <col min="11014" max="11014" width="8.875" style="16" customWidth="1"/>
    <col min="11015" max="11015" width="16.5" style="16" customWidth="1"/>
    <col min="11016" max="11264" width="8" style="16" customWidth="1"/>
    <col min="11265" max="11265" width="7.25" style="16" customWidth="1"/>
    <col min="11266" max="11266" width="19.5" style="16" customWidth="1"/>
    <col min="11267" max="11267" width="3" style="16" customWidth="1"/>
    <col min="11268" max="11268" width="28.375" style="16" customWidth="1"/>
    <col min="11269" max="11269" width="1.375" style="16" customWidth="1"/>
    <col min="11270" max="11270" width="8.875" style="16" customWidth="1"/>
    <col min="11271" max="11271" width="16.5" style="16" customWidth="1"/>
    <col min="11272" max="11520" width="8" style="16" customWidth="1"/>
    <col min="11521" max="11521" width="7.25" style="16" customWidth="1"/>
    <col min="11522" max="11522" width="19.5" style="16" customWidth="1"/>
    <col min="11523" max="11523" width="3" style="16" customWidth="1"/>
    <col min="11524" max="11524" width="28.375" style="16" customWidth="1"/>
    <col min="11525" max="11525" width="1.375" style="16" customWidth="1"/>
    <col min="11526" max="11526" width="8.875" style="16" customWidth="1"/>
    <col min="11527" max="11527" width="16.5" style="16" customWidth="1"/>
    <col min="11528" max="11776" width="8" style="16" customWidth="1"/>
    <col min="11777" max="11777" width="7.25" style="16" customWidth="1"/>
    <col min="11778" max="11778" width="19.5" style="16" customWidth="1"/>
    <col min="11779" max="11779" width="3" style="16" customWidth="1"/>
    <col min="11780" max="11780" width="28.375" style="16" customWidth="1"/>
    <col min="11781" max="11781" width="1.375" style="16" customWidth="1"/>
    <col min="11782" max="11782" width="8.875" style="16" customWidth="1"/>
    <col min="11783" max="11783" width="16.5" style="16" customWidth="1"/>
    <col min="11784" max="12032" width="8" style="16" customWidth="1"/>
    <col min="12033" max="12033" width="7.25" style="16" customWidth="1"/>
    <col min="12034" max="12034" width="19.5" style="16" customWidth="1"/>
    <col min="12035" max="12035" width="3" style="16" customWidth="1"/>
    <col min="12036" max="12036" width="28.375" style="16" customWidth="1"/>
    <col min="12037" max="12037" width="1.375" style="16" customWidth="1"/>
    <col min="12038" max="12038" width="8.875" style="16" customWidth="1"/>
    <col min="12039" max="12039" width="16.5" style="16" customWidth="1"/>
    <col min="12040" max="12288" width="8" style="16" customWidth="1"/>
    <col min="12289" max="12289" width="7.25" style="16" customWidth="1"/>
    <col min="12290" max="12290" width="19.5" style="16" customWidth="1"/>
    <col min="12291" max="12291" width="3" style="16" customWidth="1"/>
    <col min="12292" max="12292" width="28.375" style="16" customWidth="1"/>
    <col min="12293" max="12293" width="1.375" style="16" customWidth="1"/>
    <col min="12294" max="12294" width="8.875" style="16" customWidth="1"/>
    <col min="12295" max="12295" width="16.5" style="16" customWidth="1"/>
    <col min="12296" max="12544" width="8" style="16" customWidth="1"/>
    <col min="12545" max="12545" width="7.25" style="16" customWidth="1"/>
    <col min="12546" max="12546" width="19.5" style="16" customWidth="1"/>
    <col min="12547" max="12547" width="3" style="16" customWidth="1"/>
    <col min="12548" max="12548" width="28.375" style="16" customWidth="1"/>
    <col min="12549" max="12549" width="1.375" style="16" customWidth="1"/>
    <col min="12550" max="12550" width="8.875" style="16" customWidth="1"/>
    <col min="12551" max="12551" width="16.5" style="16" customWidth="1"/>
    <col min="12552" max="12800" width="8" style="16" customWidth="1"/>
    <col min="12801" max="12801" width="7.25" style="16" customWidth="1"/>
    <col min="12802" max="12802" width="19.5" style="16" customWidth="1"/>
    <col min="12803" max="12803" width="3" style="16" customWidth="1"/>
    <col min="12804" max="12804" width="28.375" style="16" customWidth="1"/>
    <col min="12805" max="12805" width="1.375" style="16" customWidth="1"/>
    <col min="12806" max="12806" width="8.875" style="16" customWidth="1"/>
    <col min="12807" max="12807" width="16.5" style="16" customWidth="1"/>
    <col min="12808" max="13056" width="8" style="16" customWidth="1"/>
    <col min="13057" max="13057" width="7.25" style="16" customWidth="1"/>
    <col min="13058" max="13058" width="19.5" style="16" customWidth="1"/>
    <col min="13059" max="13059" width="3" style="16" customWidth="1"/>
    <col min="13060" max="13060" width="28.375" style="16" customWidth="1"/>
    <col min="13061" max="13061" width="1.375" style="16" customWidth="1"/>
    <col min="13062" max="13062" width="8.875" style="16" customWidth="1"/>
    <col min="13063" max="13063" width="16.5" style="16" customWidth="1"/>
    <col min="13064" max="13312" width="8" style="16" customWidth="1"/>
    <col min="13313" max="13313" width="7.25" style="16" customWidth="1"/>
    <col min="13314" max="13314" width="19.5" style="16" customWidth="1"/>
    <col min="13315" max="13315" width="3" style="16" customWidth="1"/>
    <col min="13316" max="13316" width="28.375" style="16" customWidth="1"/>
    <col min="13317" max="13317" width="1.375" style="16" customWidth="1"/>
    <col min="13318" max="13318" width="8.875" style="16" customWidth="1"/>
    <col min="13319" max="13319" width="16.5" style="16" customWidth="1"/>
    <col min="13320" max="13568" width="8" style="16" customWidth="1"/>
    <col min="13569" max="13569" width="7.25" style="16" customWidth="1"/>
    <col min="13570" max="13570" width="19.5" style="16" customWidth="1"/>
    <col min="13571" max="13571" width="3" style="16" customWidth="1"/>
    <col min="13572" max="13572" width="28.375" style="16" customWidth="1"/>
    <col min="13573" max="13573" width="1.375" style="16" customWidth="1"/>
    <col min="13574" max="13574" width="8.875" style="16" customWidth="1"/>
    <col min="13575" max="13575" width="16.5" style="16" customWidth="1"/>
    <col min="13576" max="13824" width="8" style="16" customWidth="1"/>
    <col min="13825" max="13825" width="7.25" style="16" customWidth="1"/>
    <col min="13826" max="13826" width="19.5" style="16" customWidth="1"/>
    <col min="13827" max="13827" width="3" style="16" customWidth="1"/>
    <col min="13828" max="13828" width="28.375" style="16" customWidth="1"/>
    <col min="13829" max="13829" width="1.375" style="16" customWidth="1"/>
    <col min="13830" max="13830" width="8.875" style="16" customWidth="1"/>
    <col min="13831" max="13831" width="16.5" style="16" customWidth="1"/>
    <col min="13832" max="14080" width="8" style="16" customWidth="1"/>
    <col min="14081" max="14081" width="7.25" style="16" customWidth="1"/>
    <col min="14082" max="14082" width="19.5" style="16" customWidth="1"/>
    <col min="14083" max="14083" width="3" style="16" customWidth="1"/>
    <col min="14084" max="14084" width="28.375" style="16" customWidth="1"/>
    <col min="14085" max="14085" width="1.375" style="16" customWidth="1"/>
    <col min="14086" max="14086" width="8.875" style="16" customWidth="1"/>
    <col min="14087" max="14087" width="16.5" style="16" customWidth="1"/>
    <col min="14088" max="14336" width="8" style="16" customWidth="1"/>
    <col min="14337" max="14337" width="7.25" style="16" customWidth="1"/>
    <col min="14338" max="14338" width="19.5" style="16" customWidth="1"/>
    <col min="14339" max="14339" width="3" style="16" customWidth="1"/>
    <col min="14340" max="14340" width="28.375" style="16" customWidth="1"/>
    <col min="14341" max="14341" width="1.375" style="16" customWidth="1"/>
    <col min="14342" max="14342" width="8.875" style="16" customWidth="1"/>
    <col min="14343" max="14343" width="16.5" style="16" customWidth="1"/>
    <col min="14344" max="14592" width="8" style="16" customWidth="1"/>
    <col min="14593" max="14593" width="7.25" style="16" customWidth="1"/>
    <col min="14594" max="14594" width="19.5" style="16" customWidth="1"/>
    <col min="14595" max="14595" width="3" style="16" customWidth="1"/>
    <col min="14596" max="14596" width="28.375" style="16" customWidth="1"/>
    <col min="14597" max="14597" width="1.375" style="16" customWidth="1"/>
    <col min="14598" max="14598" width="8.875" style="16" customWidth="1"/>
    <col min="14599" max="14599" width="16.5" style="16" customWidth="1"/>
    <col min="14600" max="14848" width="8" style="16" customWidth="1"/>
    <col min="14849" max="14849" width="7.25" style="16" customWidth="1"/>
    <col min="14850" max="14850" width="19.5" style="16" customWidth="1"/>
    <col min="14851" max="14851" width="3" style="16" customWidth="1"/>
    <col min="14852" max="14852" width="28.375" style="16" customWidth="1"/>
    <col min="14853" max="14853" width="1.375" style="16" customWidth="1"/>
    <col min="14854" max="14854" width="8.875" style="16" customWidth="1"/>
    <col min="14855" max="14855" width="16.5" style="16" customWidth="1"/>
    <col min="14856" max="15104" width="8" style="16" customWidth="1"/>
    <col min="15105" max="15105" width="7.25" style="16" customWidth="1"/>
    <col min="15106" max="15106" width="19.5" style="16" customWidth="1"/>
    <col min="15107" max="15107" width="3" style="16" customWidth="1"/>
    <col min="15108" max="15108" width="28.375" style="16" customWidth="1"/>
    <col min="15109" max="15109" width="1.375" style="16" customWidth="1"/>
    <col min="15110" max="15110" width="8.875" style="16" customWidth="1"/>
    <col min="15111" max="15111" width="16.5" style="16" customWidth="1"/>
    <col min="15112" max="15360" width="8" style="16" customWidth="1"/>
    <col min="15361" max="15361" width="7.25" style="16" customWidth="1"/>
    <col min="15362" max="15362" width="19.5" style="16" customWidth="1"/>
    <col min="15363" max="15363" width="3" style="16" customWidth="1"/>
    <col min="15364" max="15364" width="28.375" style="16" customWidth="1"/>
    <col min="15365" max="15365" width="1.375" style="16" customWidth="1"/>
    <col min="15366" max="15366" width="8.875" style="16" customWidth="1"/>
    <col min="15367" max="15367" width="16.5" style="16" customWidth="1"/>
    <col min="15368" max="15616" width="8" style="16" customWidth="1"/>
    <col min="15617" max="15617" width="7.25" style="16" customWidth="1"/>
    <col min="15618" max="15618" width="19.5" style="16" customWidth="1"/>
    <col min="15619" max="15619" width="3" style="16" customWidth="1"/>
    <col min="15620" max="15620" width="28.375" style="16" customWidth="1"/>
    <col min="15621" max="15621" width="1.375" style="16" customWidth="1"/>
    <col min="15622" max="15622" width="8.875" style="16" customWidth="1"/>
    <col min="15623" max="15623" width="16.5" style="16" customWidth="1"/>
    <col min="15624" max="15872" width="8" style="16" customWidth="1"/>
    <col min="15873" max="15873" width="7.25" style="16" customWidth="1"/>
    <col min="15874" max="15874" width="19.5" style="16" customWidth="1"/>
    <col min="15875" max="15875" width="3" style="16" customWidth="1"/>
    <col min="15876" max="15876" width="28.375" style="16" customWidth="1"/>
    <col min="15877" max="15877" width="1.375" style="16" customWidth="1"/>
    <col min="15878" max="15878" width="8.875" style="16" customWidth="1"/>
    <col min="15879" max="15879" width="16.5" style="16" customWidth="1"/>
    <col min="15880" max="16128" width="8" style="16" customWidth="1"/>
    <col min="16129" max="16129" width="7.25" style="16" customWidth="1"/>
    <col min="16130" max="16130" width="19.5" style="16" customWidth="1"/>
    <col min="16131" max="16131" width="3" style="16" customWidth="1"/>
    <col min="16132" max="16132" width="28.375" style="16" customWidth="1"/>
    <col min="16133" max="16133" width="1.375" style="16" customWidth="1"/>
    <col min="16134" max="16134" width="8.875" style="16" customWidth="1"/>
    <col min="16135" max="16135" width="16.5" style="16" customWidth="1"/>
    <col min="16136" max="16384" width="8" style="16" customWidth="1"/>
  </cols>
  <sheetData>
    <row r="1" spans="1:7" ht="35.25" customHeight="1">
      <c r="A1" s="370" t="s">
        <v>228</v>
      </c>
      <c r="B1" s="370" t="s">
        <v>110</v>
      </c>
      <c r="C1" s="370" t="s">
        <v>110</v>
      </c>
      <c r="D1" s="370" t="s">
        <v>110</v>
      </c>
      <c r="E1" s="370" t="s">
        <v>110</v>
      </c>
      <c r="F1" s="370" t="s">
        <v>110</v>
      </c>
      <c r="G1" s="370" t="s">
        <v>110</v>
      </c>
    </row>
    <row r="2" spans="1:7" ht="29.25" customHeight="1" thickBot="1">
      <c r="A2" s="365" t="s">
        <v>170</v>
      </c>
      <c r="B2" s="365" t="s">
        <v>110</v>
      </c>
      <c r="C2" s="365" t="s">
        <v>110</v>
      </c>
      <c r="D2" s="365" t="s">
        <v>110</v>
      </c>
      <c r="E2" s="367" t="s">
        <v>111</v>
      </c>
      <c r="F2" s="367" t="s">
        <v>110</v>
      </c>
      <c r="G2" s="367" t="s">
        <v>110</v>
      </c>
    </row>
    <row r="3" spans="1:7" ht="18" customHeight="1">
      <c r="A3" s="189" t="s">
        <v>112</v>
      </c>
      <c r="B3" s="371" t="s">
        <v>229</v>
      </c>
      <c r="C3" s="371" t="s">
        <v>110</v>
      </c>
      <c r="D3" s="371" t="s">
        <v>230</v>
      </c>
      <c r="E3" s="371" t="s">
        <v>110</v>
      </c>
      <c r="F3" s="190" t="s">
        <v>231</v>
      </c>
      <c r="G3" s="191" t="s">
        <v>232</v>
      </c>
    </row>
    <row r="4" spans="1:7" ht="16.5" customHeight="1">
      <c r="A4" s="137" t="s">
        <v>233</v>
      </c>
      <c r="B4" s="368" t="s">
        <v>234</v>
      </c>
      <c r="C4" s="368" t="s">
        <v>110</v>
      </c>
      <c r="D4" s="368" t="s">
        <v>234</v>
      </c>
      <c r="E4" s="368" t="s">
        <v>110</v>
      </c>
      <c r="F4" s="140" t="s">
        <v>110</v>
      </c>
      <c r="G4" s="141">
        <v>3951020.88</v>
      </c>
    </row>
    <row r="5" spans="1:7" ht="29.25" customHeight="1">
      <c r="A5" s="137" t="s">
        <v>114</v>
      </c>
      <c r="B5" s="368" t="s">
        <v>235</v>
      </c>
      <c r="C5" s="368" t="s">
        <v>110</v>
      </c>
      <c r="D5" s="368" t="s">
        <v>236</v>
      </c>
      <c r="E5" s="368" t="s">
        <v>110</v>
      </c>
      <c r="F5" s="140" t="s">
        <v>546</v>
      </c>
      <c r="G5" s="141">
        <v>3470209.05</v>
      </c>
    </row>
    <row r="6" spans="1:7" ht="16.5" customHeight="1">
      <c r="A6" s="137" t="s">
        <v>233</v>
      </c>
      <c r="B6" s="368" t="s">
        <v>115</v>
      </c>
      <c r="C6" s="368" t="s">
        <v>110</v>
      </c>
      <c r="D6" s="368" t="s">
        <v>115</v>
      </c>
      <c r="E6" s="368" t="s">
        <v>110</v>
      </c>
      <c r="F6" s="140" t="s">
        <v>110</v>
      </c>
      <c r="G6" s="141">
        <v>599021.44999999995</v>
      </c>
    </row>
    <row r="7" spans="1:7" ht="16.5" customHeight="1">
      <c r="A7" s="137" t="s">
        <v>238</v>
      </c>
      <c r="B7" s="368" t="s">
        <v>116</v>
      </c>
      <c r="C7" s="368" t="s">
        <v>110</v>
      </c>
      <c r="D7" s="368" t="s">
        <v>116</v>
      </c>
      <c r="E7" s="368" t="s">
        <v>110</v>
      </c>
      <c r="F7" s="140" t="s">
        <v>110</v>
      </c>
      <c r="G7" s="141">
        <v>168455.85</v>
      </c>
    </row>
    <row r="8" spans="1:7" ht="16.5" customHeight="1">
      <c r="A8" s="137" t="s">
        <v>239</v>
      </c>
      <c r="B8" s="368" t="s">
        <v>240</v>
      </c>
      <c r="C8" s="368" t="s">
        <v>110</v>
      </c>
      <c r="D8" s="368" t="s">
        <v>241</v>
      </c>
      <c r="E8" s="368" t="s">
        <v>110</v>
      </c>
      <c r="F8" s="140" t="s">
        <v>110</v>
      </c>
      <c r="G8" s="141">
        <v>2566285.36</v>
      </c>
    </row>
    <row r="9" spans="1:7" ht="16.5" customHeight="1">
      <c r="A9" s="137" t="s">
        <v>242</v>
      </c>
      <c r="B9" s="368" t="s">
        <v>243</v>
      </c>
      <c r="C9" s="368" t="s">
        <v>110</v>
      </c>
      <c r="D9" s="368" t="s">
        <v>117</v>
      </c>
      <c r="E9" s="368" t="s">
        <v>110</v>
      </c>
      <c r="F9" s="140" t="s">
        <v>110</v>
      </c>
      <c r="G9" s="141">
        <v>35372.339999999997</v>
      </c>
    </row>
    <row r="10" spans="1:7" ht="16.5" customHeight="1">
      <c r="A10" s="137" t="s">
        <v>244</v>
      </c>
      <c r="B10" s="368" t="s">
        <v>245</v>
      </c>
      <c r="C10" s="368" t="s">
        <v>110</v>
      </c>
      <c r="D10" s="368" t="s">
        <v>245</v>
      </c>
      <c r="E10" s="368" t="s">
        <v>110</v>
      </c>
      <c r="F10" s="140" t="s">
        <v>110</v>
      </c>
      <c r="G10" s="141" t="s">
        <v>110</v>
      </c>
    </row>
    <row r="11" spans="1:7" ht="16.5" customHeight="1">
      <c r="A11" s="137" t="s">
        <v>118</v>
      </c>
      <c r="B11" s="368" t="s">
        <v>246</v>
      </c>
      <c r="C11" s="368" t="s">
        <v>110</v>
      </c>
      <c r="D11" s="368" t="s">
        <v>247</v>
      </c>
      <c r="E11" s="368" t="s">
        <v>110</v>
      </c>
      <c r="F11" s="140" t="s">
        <v>110</v>
      </c>
      <c r="G11" s="141">
        <v>61536.2</v>
      </c>
    </row>
    <row r="12" spans="1:7" ht="16.5" customHeight="1">
      <c r="A12" s="137" t="s">
        <v>119</v>
      </c>
      <c r="B12" s="368" t="s">
        <v>248</v>
      </c>
      <c r="C12" s="368" t="s">
        <v>110</v>
      </c>
      <c r="D12" s="368" t="s">
        <v>249</v>
      </c>
      <c r="E12" s="368" t="s">
        <v>110</v>
      </c>
      <c r="F12" s="140" t="s">
        <v>110</v>
      </c>
      <c r="G12" s="141" t="s">
        <v>110</v>
      </c>
    </row>
    <row r="13" spans="1:7" ht="16.5" customHeight="1">
      <c r="A13" s="137" t="s">
        <v>120</v>
      </c>
      <c r="B13" s="368" t="s">
        <v>115</v>
      </c>
      <c r="C13" s="368" t="s">
        <v>110</v>
      </c>
      <c r="D13" s="368" t="s">
        <v>250</v>
      </c>
      <c r="E13" s="368" t="s">
        <v>110</v>
      </c>
      <c r="F13" s="140" t="s">
        <v>110</v>
      </c>
      <c r="G13" s="141" t="s">
        <v>110</v>
      </c>
    </row>
    <row r="14" spans="1:7" ht="16.5" customHeight="1">
      <c r="A14" s="137" t="s">
        <v>251</v>
      </c>
      <c r="B14" s="368" t="s">
        <v>116</v>
      </c>
      <c r="C14" s="368" t="s">
        <v>110</v>
      </c>
      <c r="D14" s="368" t="s">
        <v>252</v>
      </c>
      <c r="E14" s="368" t="s">
        <v>110</v>
      </c>
      <c r="F14" s="140" t="s">
        <v>110</v>
      </c>
      <c r="G14" s="141" t="s">
        <v>110</v>
      </c>
    </row>
    <row r="15" spans="1:7" ht="16.5" customHeight="1">
      <c r="A15" s="137" t="s">
        <v>253</v>
      </c>
      <c r="B15" s="368" t="s">
        <v>243</v>
      </c>
      <c r="C15" s="368" t="s">
        <v>110</v>
      </c>
      <c r="D15" s="368" t="s">
        <v>254</v>
      </c>
      <c r="E15" s="368" t="s">
        <v>110</v>
      </c>
      <c r="F15" s="140" t="s">
        <v>110</v>
      </c>
      <c r="G15" s="141" t="s">
        <v>110</v>
      </c>
    </row>
    <row r="16" spans="1:7" ht="16.5" customHeight="1">
      <c r="A16" s="137" t="s">
        <v>121</v>
      </c>
      <c r="B16" s="368" t="s">
        <v>255</v>
      </c>
      <c r="C16" s="368" t="s">
        <v>110</v>
      </c>
      <c r="D16" s="368" t="s">
        <v>256</v>
      </c>
      <c r="E16" s="368" t="s">
        <v>110</v>
      </c>
      <c r="F16" s="140" t="s">
        <v>110</v>
      </c>
      <c r="G16" s="141">
        <v>61536.2</v>
      </c>
    </row>
    <row r="17" spans="1:7" ht="29.25" customHeight="1">
      <c r="A17" s="137" t="s">
        <v>257</v>
      </c>
      <c r="B17" s="368" t="s">
        <v>128</v>
      </c>
      <c r="C17" s="368" t="s">
        <v>110</v>
      </c>
      <c r="D17" s="368" t="s">
        <v>258</v>
      </c>
      <c r="E17" s="368" t="s">
        <v>110</v>
      </c>
      <c r="F17" s="140" t="s">
        <v>259</v>
      </c>
      <c r="G17" s="141">
        <v>57412.639999999999</v>
      </c>
    </row>
    <row r="18" spans="1:7" ht="29.25" customHeight="1">
      <c r="A18" s="137" t="s">
        <v>260</v>
      </c>
      <c r="B18" s="368" t="s">
        <v>261</v>
      </c>
      <c r="C18" s="368" t="s">
        <v>110</v>
      </c>
      <c r="D18" s="368" t="s">
        <v>258</v>
      </c>
      <c r="E18" s="368" t="s">
        <v>110</v>
      </c>
      <c r="F18" s="140" t="s">
        <v>262</v>
      </c>
      <c r="G18" s="141">
        <v>4123.5600000000004</v>
      </c>
    </row>
    <row r="19" spans="1:7" ht="16.5" customHeight="1">
      <c r="A19" s="137" t="s">
        <v>122</v>
      </c>
      <c r="B19" s="368" t="s">
        <v>263</v>
      </c>
      <c r="C19" s="368" t="s">
        <v>110</v>
      </c>
      <c r="D19" s="368" t="s">
        <v>110</v>
      </c>
      <c r="E19" s="368" t="s">
        <v>110</v>
      </c>
      <c r="F19" s="140" t="s">
        <v>110</v>
      </c>
      <c r="G19" s="141" t="s">
        <v>110</v>
      </c>
    </row>
    <row r="20" spans="1:7" ht="29.25" customHeight="1">
      <c r="A20" s="137" t="s">
        <v>125</v>
      </c>
      <c r="B20" s="368" t="s">
        <v>124</v>
      </c>
      <c r="C20" s="368" t="s">
        <v>110</v>
      </c>
      <c r="D20" s="368" t="s">
        <v>258</v>
      </c>
      <c r="E20" s="368" t="s">
        <v>110</v>
      </c>
      <c r="F20" s="140" t="s">
        <v>264</v>
      </c>
      <c r="G20" s="141">
        <v>111018.91</v>
      </c>
    </row>
    <row r="21" spans="1:7" ht="29.25" customHeight="1">
      <c r="A21" s="137" t="s">
        <v>127</v>
      </c>
      <c r="B21" s="368" t="s">
        <v>126</v>
      </c>
      <c r="C21" s="368" t="s">
        <v>110</v>
      </c>
      <c r="D21" s="368" t="s">
        <v>258</v>
      </c>
      <c r="E21" s="368" t="s">
        <v>110</v>
      </c>
      <c r="F21" s="140" t="s">
        <v>265</v>
      </c>
      <c r="G21" s="141">
        <v>94588.11</v>
      </c>
    </row>
    <row r="22" spans="1:7" ht="29.25" customHeight="1">
      <c r="A22" s="137" t="s">
        <v>129</v>
      </c>
      <c r="B22" s="368" t="s">
        <v>123</v>
      </c>
      <c r="C22" s="368" t="s">
        <v>110</v>
      </c>
      <c r="D22" s="368" t="s">
        <v>258</v>
      </c>
      <c r="E22" s="368" t="s">
        <v>110</v>
      </c>
      <c r="F22" s="140" t="s">
        <v>266</v>
      </c>
      <c r="G22" s="141">
        <v>73970.320000000007</v>
      </c>
    </row>
    <row r="23" spans="1:7" ht="16.5" customHeight="1">
      <c r="A23" s="137" t="s">
        <v>131</v>
      </c>
      <c r="B23" s="368" t="s">
        <v>267</v>
      </c>
      <c r="C23" s="368" t="s">
        <v>110</v>
      </c>
      <c r="D23" s="368" t="s">
        <v>110</v>
      </c>
      <c r="E23" s="368" t="s">
        <v>110</v>
      </c>
      <c r="F23" s="140" t="s">
        <v>110</v>
      </c>
      <c r="G23" s="141" t="s">
        <v>110</v>
      </c>
    </row>
    <row r="24" spans="1:7" ht="29.25" customHeight="1">
      <c r="A24" s="137" t="s">
        <v>268</v>
      </c>
      <c r="B24" s="368" t="s">
        <v>269</v>
      </c>
      <c r="C24" s="368" t="s">
        <v>110</v>
      </c>
      <c r="D24" s="368" t="s">
        <v>270</v>
      </c>
      <c r="E24" s="368" t="s">
        <v>110</v>
      </c>
      <c r="F24" s="140" t="s">
        <v>271</v>
      </c>
      <c r="G24" s="141">
        <v>4573.59</v>
      </c>
    </row>
    <row r="25" spans="1:7" ht="42" customHeight="1">
      <c r="A25" s="137" t="s">
        <v>272</v>
      </c>
      <c r="B25" s="368" t="s">
        <v>273</v>
      </c>
      <c r="C25" s="368" t="s">
        <v>110</v>
      </c>
      <c r="D25" s="368" t="s">
        <v>274</v>
      </c>
      <c r="E25" s="368" t="s">
        <v>110</v>
      </c>
      <c r="F25" s="140" t="s">
        <v>110</v>
      </c>
      <c r="G25" s="141">
        <v>3815896.18</v>
      </c>
    </row>
    <row r="26" spans="1:7" ht="16.5" customHeight="1">
      <c r="A26" s="137" t="s">
        <v>275</v>
      </c>
      <c r="B26" s="368" t="s">
        <v>276</v>
      </c>
      <c r="C26" s="368" t="s">
        <v>110</v>
      </c>
      <c r="D26" s="368" t="s">
        <v>277</v>
      </c>
      <c r="E26" s="368" t="s">
        <v>110</v>
      </c>
      <c r="F26" s="140" t="s">
        <v>110</v>
      </c>
      <c r="G26" s="141" t="s">
        <v>110</v>
      </c>
    </row>
    <row r="27" spans="1:7" ht="16.5" customHeight="1">
      <c r="A27" s="137" t="s">
        <v>278</v>
      </c>
      <c r="B27" s="368" t="s">
        <v>130</v>
      </c>
      <c r="C27" s="368" t="s">
        <v>110</v>
      </c>
      <c r="D27" s="368" t="s">
        <v>279</v>
      </c>
      <c r="E27" s="368" t="s">
        <v>110</v>
      </c>
      <c r="F27" s="140" t="s">
        <v>280</v>
      </c>
      <c r="G27" s="141">
        <v>135124.70000000001</v>
      </c>
    </row>
    <row r="28" spans="1:7" ht="16.5" customHeight="1">
      <c r="A28" s="137" t="s">
        <v>281</v>
      </c>
      <c r="B28" s="368" t="s">
        <v>282</v>
      </c>
      <c r="C28" s="368" t="s">
        <v>110</v>
      </c>
      <c r="D28" s="368" t="s">
        <v>283</v>
      </c>
      <c r="E28" s="368" t="s">
        <v>110</v>
      </c>
      <c r="F28" s="140" t="s">
        <v>110</v>
      </c>
      <c r="G28" s="141" t="s">
        <v>110</v>
      </c>
    </row>
    <row r="29" spans="1:7" ht="29.25" customHeight="1">
      <c r="A29" s="137" t="s">
        <v>284</v>
      </c>
      <c r="B29" s="368" t="s">
        <v>285</v>
      </c>
      <c r="C29" s="368" t="s">
        <v>110</v>
      </c>
      <c r="D29" s="368" t="s">
        <v>286</v>
      </c>
      <c r="E29" s="368" t="s">
        <v>110</v>
      </c>
      <c r="F29" s="140" t="s">
        <v>110</v>
      </c>
      <c r="G29" s="141">
        <v>3951020.88</v>
      </c>
    </row>
    <row r="30" spans="1:7" ht="16.5" customHeight="1">
      <c r="A30" s="137" t="s">
        <v>110</v>
      </c>
      <c r="B30" s="368" t="s">
        <v>110</v>
      </c>
      <c r="C30" s="368" t="s">
        <v>110</v>
      </c>
      <c r="D30" s="369" t="s">
        <v>110</v>
      </c>
      <c r="E30" s="369" t="s">
        <v>110</v>
      </c>
      <c r="F30" s="140" t="s">
        <v>110</v>
      </c>
      <c r="G30" s="141" t="s">
        <v>110</v>
      </c>
    </row>
    <row r="31" spans="1:7" ht="16.5" customHeight="1">
      <c r="A31" s="137" t="s">
        <v>238</v>
      </c>
      <c r="B31" s="368" t="s">
        <v>132</v>
      </c>
      <c r="C31" s="368" t="s">
        <v>110</v>
      </c>
      <c r="D31" s="368" t="s">
        <v>287</v>
      </c>
      <c r="E31" s="368" t="s">
        <v>110</v>
      </c>
      <c r="F31" s="140" t="s">
        <v>110</v>
      </c>
      <c r="G31" s="141">
        <v>3951020.88</v>
      </c>
    </row>
    <row r="32" spans="1:7" ht="16.5" customHeight="1">
      <c r="A32" s="137" t="s">
        <v>110</v>
      </c>
      <c r="B32" s="368" t="s">
        <v>110</v>
      </c>
      <c r="C32" s="368" t="s">
        <v>110</v>
      </c>
      <c r="D32" s="368" t="s">
        <v>110</v>
      </c>
      <c r="E32" s="368" t="s">
        <v>110</v>
      </c>
      <c r="F32" s="140" t="s">
        <v>110</v>
      </c>
      <c r="G32" s="141" t="s">
        <v>110</v>
      </c>
    </row>
    <row r="33" spans="1:7" ht="16.5" customHeight="1">
      <c r="A33" s="137" t="s">
        <v>110</v>
      </c>
      <c r="B33" s="368" t="s">
        <v>110</v>
      </c>
      <c r="C33" s="368" t="s">
        <v>110</v>
      </c>
      <c r="D33" s="368" t="s">
        <v>110</v>
      </c>
      <c r="E33" s="368" t="s">
        <v>110</v>
      </c>
      <c r="F33" s="140" t="s">
        <v>110</v>
      </c>
      <c r="G33" s="141" t="s">
        <v>110</v>
      </c>
    </row>
    <row r="34" spans="1:7" ht="16.5" customHeight="1">
      <c r="A34" s="137" t="s">
        <v>110</v>
      </c>
      <c r="B34" s="368" t="s">
        <v>110</v>
      </c>
      <c r="C34" s="368" t="s">
        <v>110</v>
      </c>
      <c r="D34" s="368" t="s">
        <v>110</v>
      </c>
      <c r="E34" s="368" t="s">
        <v>110</v>
      </c>
      <c r="F34" s="140" t="s">
        <v>110</v>
      </c>
      <c r="G34" s="141" t="s">
        <v>110</v>
      </c>
    </row>
    <row r="35" spans="1:7" ht="16.5" customHeight="1" thickBot="1">
      <c r="A35" s="192" t="s">
        <v>110</v>
      </c>
      <c r="B35" s="364" t="s">
        <v>110</v>
      </c>
      <c r="C35" s="364" t="s">
        <v>110</v>
      </c>
      <c r="D35" s="364" t="s">
        <v>110</v>
      </c>
      <c r="E35" s="364" t="s">
        <v>110</v>
      </c>
      <c r="F35" s="142" t="s">
        <v>110</v>
      </c>
      <c r="G35" s="143" t="s">
        <v>110</v>
      </c>
    </row>
    <row r="36" spans="1:7" ht="16.5" customHeight="1">
      <c r="A36" s="365" t="s">
        <v>288</v>
      </c>
      <c r="B36" s="365" t="s">
        <v>110</v>
      </c>
      <c r="C36" s="366" t="s">
        <v>289</v>
      </c>
      <c r="D36" s="366" t="s">
        <v>110</v>
      </c>
      <c r="E36" s="367" t="s">
        <v>290</v>
      </c>
      <c r="F36" s="367" t="s">
        <v>110</v>
      </c>
      <c r="G36" s="367" t="s">
        <v>110</v>
      </c>
    </row>
  </sheetData>
  <mergeCells count="72">
    <mergeCell ref="B4:C4"/>
    <mergeCell ref="D4:E4"/>
    <mergeCell ref="A1:G1"/>
    <mergeCell ref="A2:D2"/>
    <mergeCell ref="E2:G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A36:B36"/>
    <mergeCell ref="C36:D36"/>
    <mergeCell ref="E36:G36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"/>
  <sheetViews>
    <sheetView workbookViewId="0">
      <selection sqref="A1:XFD1048576"/>
    </sheetView>
  </sheetViews>
  <sheetFormatPr defaultRowHeight="13.5"/>
  <cols>
    <col min="1" max="1" width="5.25" style="16" customWidth="1"/>
    <col min="2" max="2" width="8.625" style="16" customWidth="1"/>
    <col min="3" max="3" width="19.5" style="16" customWidth="1"/>
    <col min="4" max="4" width="6.25" style="16" customWidth="1"/>
    <col min="5" max="5" width="3.125" style="16" customWidth="1"/>
    <col min="6" max="6" width="6.125" style="16" customWidth="1"/>
    <col min="7" max="7" width="8.375" style="16" customWidth="1"/>
    <col min="8" max="8" width="8.875" style="16" customWidth="1"/>
    <col min="9" max="9" width="9.875" style="16" customWidth="1"/>
    <col min="10" max="10" width="8.375" style="16" customWidth="1"/>
    <col min="11" max="11" width="0.875" style="16" customWidth="1"/>
    <col min="12" max="12" width="9" style="16" customWidth="1"/>
    <col min="13" max="13" width="9.625" style="16" customWidth="1"/>
    <col min="14" max="14" width="11" style="16" customWidth="1"/>
    <col min="15" max="15" width="11.125" style="16" customWidth="1"/>
    <col min="16" max="256" width="8" style="16" customWidth="1"/>
    <col min="257" max="257" width="5.25" style="16" customWidth="1"/>
    <col min="258" max="258" width="8.625" style="16" customWidth="1"/>
    <col min="259" max="259" width="19.5" style="16" customWidth="1"/>
    <col min="260" max="260" width="6.25" style="16" customWidth="1"/>
    <col min="261" max="261" width="3.125" style="16" customWidth="1"/>
    <col min="262" max="262" width="6.125" style="16" customWidth="1"/>
    <col min="263" max="263" width="8.375" style="16" customWidth="1"/>
    <col min="264" max="264" width="8.875" style="16" customWidth="1"/>
    <col min="265" max="265" width="9.875" style="16" customWidth="1"/>
    <col min="266" max="266" width="8.375" style="16" customWidth="1"/>
    <col min="267" max="267" width="0.875" style="16" customWidth="1"/>
    <col min="268" max="268" width="9" style="16" customWidth="1"/>
    <col min="269" max="269" width="9.625" style="16" customWidth="1"/>
    <col min="270" max="270" width="11" style="16" customWidth="1"/>
    <col min="271" max="271" width="11.125" style="16" customWidth="1"/>
    <col min="272" max="512" width="8" style="16" customWidth="1"/>
    <col min="513" max="513" width="5.25" style="16" customWidth="1"/>
    <col min="514" max="514" width="8.625" style="16" customWidth="1"/>
    <col min="515" max="515" width="19.5" style="16" customWidth="1"/>
    <col min="516" max="516" width="6.25" style="16" customWidth="1"/>
    <col min="517" max="517" width="3.125" style="16" customWidth="1"/>
    <col min="518" max="518" width="6.125" style="16" customWidth="1"/>
    <col min="519" max="519" width="8.375" style="16" customWidth="1"/>
    <col min="520" max="520" width="8.875" style="16" customWidth="1"/>
    <col min="521" max="521" width="9.875" style="16" customWidth="1"/>
    <col min="522" max="522" width="8.375" style="16" customWidth="1"/>
    <col min="523" max="523" width="0.875" style="16" customWidth="1"/>
    <col min="524" max="524" width="9" style="16" customWidth="1"/>
    <col min="525" max="525" width="9.625" style="16" customWidth="1"/>
    <col min="526" max="526" width="11" style="16" customWidth="1"/>
    <col min="527" max="527" width="11.125" style="16" customWidth="1"/>
    <col min="528" max="768" width="8" style="16" customWidth="1"/>
    <col min="769" max="769" width="5.25" style="16" customWidth="1"/>
    <col min="770" max="770" width="8.625" style="16" customWidth="1"/>
    <col min="771" max="771" width="19.5" style="16" customWidth="1"/>
    <col min="772" max="772" width="6.25" style="16" customWidth="1"/>
    <col min="773" max="773" width="3.125" style="16" customWidth="1"/>
    <col min="774" max="774" width="6.125" style="16" customWidth="1"/>
    <col min="775" max="775" width="8.375" style="16" customWidth="1"/>
    <col min="776" max="776" width="8.875" style="16" customWidth="1"/>
    <col min="777" max="777" width="9.875" style="16" customWidth="1"/>
    <col min="778" max="778" width="8.375" style="16" customWidth="1"/>
    <col min="779" max="779" width="0.875" style="16" customWidth="1"/>
    <col min="780" max="780" width="9" style="16" customWidth="1"/>
    <col min="781" max="781" width="9.625" style="16" customWidth="1"/>
    <col min="782" max="782" width="11" style="16" customWidth="1"/>
    <col min="783" max="783" width="11.125" style="16" customWidth="1"/>
    <col min="784" max="1024" width="8" style="16" customWidth="1"/>
    <col min="1025" max="1025" width="5.25" style="16" customWidth="1"/>
    <col min="1026" max="1026" width="8.625" style="16" customWidth="1"/>
    <col min="1027" max="1027" width="19.5" style="16" customWidth="1"/>
    <col min="1028" max="1028" width="6.25" style="16" customWidth="1"/>
    <col min="1029" max="1029" width="3.125" style="16" customWidth="1"/>
    <col min="1030" max="1030" width="6.125" style="16" customWidth="1"/>
    <col min="1031" max="1031" width="8.375" style="16" customWidth="1"/>
    <col min="1032" max="1032" width="8.875" style="16" customWidth="1"/>
    <col min="1033" max="1033" width="9.875" style="16" customWidth="1"/>
    <col min="1034" max="1034" width="8.375" style="16" customWidth="1"/>
    <col min="1035" max="1035" width="0.875" style="16" customWidth="1"/>
    <col min="1036" max="1036" width="9" style="16" customWidth="1"/>
    <col min="1037" max="1037" width="9.625" style="16" customWidth="1"/>
    <col min="1038" max="1038" width="11" style="16" customWidth="1"/>
    <col min="1039" max="1039" width="11.125" style="16" customWidth="1"/>
    <col min="1040" max="1280" width="8" style="16" customWidth="1"/>
    <col min="1281" max="1281" width="5.25" style="16" customWidth="1"/>
    <col min="1282" max="1282" width="8.625" style="16" customWidth="1"/>
    <col min="1283" max="1283" width="19.5" style="16" customWidth="1"/>
    <col min="1284" max="1284" width="6.25" style="16" customWidth="1"/>
    <col min="1285" max="1285" width="3.125" style="16" customWidth="1"/>
    <col min="1286" max="1286" width="6.125" style="16" customWidth="1"/>
    <col min="1287" max="1287" width="8.375" style="16" customWidth="1"/>
    <col min="1288" max="1288" width="8.875" style="16" customWidth="1"/>
    <col min="1289" max="1289" width="9.875" style="16" customWidth="1"/>
    <col min="1290" max="1290" width="8.375" style="16" customWidth="1"/>
    <col min="1291" max="1291" width="0.875" style="16" customWidth="1"/>
    <col min="1292" max="1292" width="9" style="16" customWidth="1"/>
    <col min="1293" max="1293" width="9.625" style="16" customWidth="1"/>
    <col min="1294" max="1294" width="11" style="16" customWidth="1"/>
    <col min="1295" max="1295" width="11.125" style="16" customWidth="1"/>
    <col min="1296" max="1536" width="8" style="16" customWidth="1"/>
    <col min="1537" max="1537" width="5.25" style="16" customWidth="1"/>
    <col min="1538" max="1538" width="8.625" style="16" customWidth="1"/>
    <col min="1539" max="1539" width="19.5" style="16" customWidth="1"/>
    <col min="1540" max="1540" width="6.25" style="16" customWidth="1"/>
    <col min="1541" max="1541" width="3.125" style="16" customWidth="1"/>
    <col min="1542" max="1542" width="6.125" style="16" customWidth="1"/>
    <col min="1543" max="1543" width="8.375" style="16" customWidth="1"/>
    <col min="1544" max="1544" width="8.875" style="16" customWidth="1"/>
    <col min="1545" max="1545" width="9.875" style="16" customWidth="1"/>
    <col min="1546" max="1546" width="8.375" style="16" customWidth="1"/>
    <col min="1547" max="1547" width="0.875" style="16" customWidth="1"/>
    <col min="1548" max="1548" width="9" style="16" customWidth="1"/>
    <col min="1549" max="1549" width="9.625" style="16" customWidth="1"/>
    <col min="1550" max="1550" width="11" style="16" customWidth="1"/>
    <col min="1551" max="1551" width="11.125" style="16" customWidth="1"/>
    <col min="1552" max="1792" width="8" style="16" customWidth="1"/>
    <col min="1793" max="1793" width="5.25" style="16" customWidth="1"/>
    <col min="1794" max="1794" width="8.625" style="16" customWidth="1"/>
    <col min="1795" max="1795" width="19.5" style="16" customWidth="1"/>
    <col min="1796" max="1796" width="6.25" style="16" customWidth="1"/>
    <col min="1797" max="1797" width="3.125" style="16" customWidth="1"/>
    <col min="1798" max="1798" width="6.125" style="16" customWidth="1"/>
    <col min="1799" max="1799" width="8.375" style="16" customWidth="1"/>
    <col min="1800" max="1800" width="8.875" style="16" customWidth="1"/>
    <col min="1801" max="1801" width="9.875" style="16" customWidth="1"/>
    <col min="1802" max="1802" width="8.375" style="16" customWidth="1"/>
    <col min="1803" max="1803" width="0.875" style="16" customWidth="1"/>
    <col min="1804" max="1804" width="9" style="16" customWidth="1"/>
    <col min="1805" max="1805" width="9.625" style="16" customWidth="1"/>
    <col min="1806" max="1806" width="11" style="16" customWidth="1"/>
    <col min="1807" max="1807" width="11.125" style="16" customWidth="1"/>
    <col min="1808" max="2048" width="8" style="16" customWidth="1"/>
    <col min="2049" max="2049" width="5.25" style="16" customWidth="1"/>
    <col min="2050" max="2050" width="8.625" style="16" customWidth="1"/>
    <col min="2051" max="2051" width="19.5" style="16" customWidth="1"/>
    <col min="2052" max="2052" width="6.25" style="16" customWidth="1"/>
    <col min="2053" max="2053" width="3.125" style="16" customWidth="1"/>
    <col min="2054" max="2054" width="6.125" style="16" customWidth="1"/>
    <col min="2055" max="2055" width="8.375" style="16" customWidth="1"/>
    <col min="2056" max="2056" width="8.875" style="16" customWidth="1"/>
    <col min="2057" max="2057" width="9.875" style="16" customWidth="1"/>
    <col min="2058" max="2058" width="8.375" style="16" customWidth="1"/>
    <col min="2059" max="2059" width="0.875" style="16" customWidth="1"/>
    <col min="2060" max="2060" width="9" style="16" customWidth="1"/>
    <col min="2061" max="2061" width="9.625" style="16" customWidth="1"/>
    <col min="2062" max="2062" width="11" style="16" customWidth="1"/>
    <col min="2063" max="2063" width="11.125" style="16" customWidth="1"/>
    <col min="2064" max="2304" width="8" style="16" customWidth="1"/>
    <col min="2305" max="2305" width="5.25" style="16" customWidth="1"/>
    <col min="2306" max="2306" width="8.625" style="16" customWidth="1"/>
    <col min="2307" max="2307" width="19.5" style="16" customWidth="1"/>
    <col min="2308" max="2308" width="6.25" style="16" customWidth="1"/>
    <col min="2309" max="2309" width="3.125" style="16" customWidth="1"/>
    <col min="2310" max="2310" width="6.125" style="16" customWidth="1"/>
    <col min="2311" max="2311" width="8.375" style="16" customWidth="1"/>
    <col min="2312" max="2312" width="8.875" style="16" customWidth="1"/>
    <col min="2313" max="2313" width="9.875" style="16" customWidth="1"/>
    <col min="2314" max="2314" width="8.375" style="16" customWidth="1"/>
    <col min="2315" max="2315" width="0.875" style="16" customWidth="1"/>
    <col min="2316" max="2316" width="9" style="16" customWidth="1"/>
    <col min="2317" max="2317" width="9.625" style="16" customWidth="1"/>
    <col min="2318" max="2318" width="11" style="16" customWidth="1"/>
    <col min="2319" max="2319" width="11.125" style="16" customWidth="1"/>
    <col min="2320" max="2560" width="8" style="16" customWidth="1"/>
    <col min="2561" max="2561" width="5.25" style="16" customWidth="1"/>
    <col min="2562" max="2562" width="8.625" style="16" customWidth="1"/>
    <col min="2563" max="2563" width="19.5" style="16" customWidth="1"/>
    <col min="2564" max="2564" width="6.25" style="16" customWidth="1"/>
    <col min="2565" max="2565" width="3.125" style="16" customWidth="1"/>
    <col min="2566" max="2566" width="6.125" style="16" customWidth="1"/>
    <col min="2567" max="2567" width="8.375" style="16" customWidth="1"/>
    <col min="2568" max="2568" width="8.875" style="16" customWidth="1"/>
    <col min="2569" max="2569" width="9.875" style="16" customWidth="1"/>
    <col min="2570" max="2570" width="8.375" style="16" customWidth="1"/>
    <col min="2571" max="2571" width="0.875" style="16" customWidth="1"/>
    <col min="2572" max="2572" width="9" style="16" customWidth="1"/>
    <col min="2573" max="2573" width="9.625" style="16" customWidth="1"/>
    <col min="2574" max="2574" width="11" style="16" customWidth="1"/>
    <col min="2575" max="2575" width="11.125" style="16" customWidth="1"/>
    <col min="2576" max="2816" width="8" style="16" customWidth="1"/>
    <col min="2817" max="2817" width="5.25" style="16" customWidth="1"/>
    <col min="2818" max="2818" width="8.625" style="16" customWidth="1"/>
    <col min="2819" max="2819" width="19.5" style="16" customWidth="1"/>
    <col min="2820" max="2820" width="6.25" style="16" customWidth="1"/>
    <col min="2821" max="2821" width="3.125" style="16" customWidth="1"/>
    <col min="2822" max="2822" width="6.125" style="16" customWidth="1"/>
    <col min="2823" max="2823" width="8.375" style="16" customWidth="1"/>
    <col min="2824" max="2824" width="8.875" style="16" customWidth="1"/>
    <col min="2825" max="2825" width="9.875" style="16" customWidth="1"/>
    <col min="2826" max="2826" width="8.375" style="16" customWidth="1"/>
    <col min="2827" max="2827" width="0.875" style="16" customWidth="1"/>
    <col min="2828" max="2828" width="9" style="16" customWidth="1"/>
    <col min="2829" max="2829" width="9.625" style="16" customWidth="1"/>
    <col min="2830" max="2830" width="11" style="16" customWidth="1"/>
    <col min="2831" max="2831" width="11.125" style="16" customWidth="1"/>
    <col min="2832" max="3072" width="8" style="16" customWidth="1"/>
    <col min="3073" max="3073" width="5.25" style="16" customWidth="1"/>
    <col min="3074" max="3074" width="8.625" style="16" customWidth="1"/>
    <col min="3075" max="3075" width="19.5" style="16" customWidth="1"/>
    <col min="3076" max="3076" width="6.25" style="16" customWidth="1"/>
    <col min="3077" max="3077" width="3.125" style="16" customWidth="1"/>
    <col min="3078" max="3078" width="6.125" style="16" customWidth="1"/>
    <col min="3079" max="3079" width="8.375" style="16" customWidth="1"/>
    <col min="3080" max="3080" width="8.875" style="16" customWidth="1"/>
    <col min="3081" max="3081" width="9.875" style="16" customWidth="1"/>
    <col min="3082" max="3082" width="8.375" style="16" customWidth="1"/>
    <col min="3083" max="3083" width="0.875" style="16" customWidth="1"/>
    <col min="3084" max="3084" width="9" style="16" customWidth="1"/>
    <col min="3085" max="3085" width="9.625" style="16" customWidth="1"/>
    <col min="3086" max="3086" width="11" style="16" customWidth="1"/>
    <col min="3087" max="3087" width="11.125" style="16" customWidth="1"/>
    <col min="3088" max="3328" width="8" style="16" customWidth="1"/>
    <col min="3329" max="3329" width="5.25" style="16" customWidth="1"/>
    <col min="3330" max="3330" width="8.625" style="16" customWidth="1"/>
    <col min="3331" max="3331" width="19.5" style="16" customWidth="1"/>
    <col min="3332" max="3332" width="6.25" style="16" customWidth="1"/>
    <col min="3333" max="3333" width="3.125" style="16" customWidth="1"/>
    <col min="3334" max="3334" width="6.125" style="16" customWidth="1"/>
    <col min="3335" max="3335" width="8.375" style="16" customWidth="1"/>
    <col min="3336" max="3336" width="8.875" style="16" customWidth="1"/>
    <col min="3337" max="3337" width="9.875" style="16" customWidth="1"/>
    <col min="3338" max="3338" width="8.375" style="16" customWidth="1"/>
    <col min="3339" max="3339" width="0.875" style="16" customWidth="1"/>
    <col min="3340" max="3340" width="9" style="16" customWidth="1"/>
    <col min="3341" max="3341" width="9.625" style="16" customWidth="1"/>
    <col min="3342" max="3342" width="11" style="16" customWidth="1"/>
    <col min="3343" max="3343" width="11.125" style="16" customWidth="1"/>
    <col min="3344" max="3584" width="8" style="16" customWidth="1"/>
    <col min="3585" max="3585" width="5.25" style="16" customWidth="1"/>
    <col min="3586" max="3586" width="8.625" style="16" customWidth="1"/>
    <col min="3587" max="3587" width="19.5" style="16" customWidth="1"/>
    <col min="3588" max="3588" width="6.25" style="16" customWidth="1"/>
    <col min="3589" max="3589" width="3.125" style="16" customWidth="1"/>
    <col min="3590" max="3590" width="6.125" style="16" customWidth="1"/>
    <col min="3591" max="3591" width="8.375" style="16" customWidth="1"/>
    <col min="3592" max="3592" width="8.875" style="16" customWidth="1"/>
    <col min="3593" max="3593" width="9.875" style="16" customWidth="1"/>
    <col min="3594" max="3594" width="8.375" style="16" customWidth="1"/>
    <col min="3595" max="3595" width="0.875" style="16" customWidth="1"/>
    <col min="3596" max="3596" width="9" style="16" customWidth="1"/>
    <col min="3597" max="3597" width="9.625" style="16" customWidth="1"/>
    <col min="3598" max="3598" width="11" style="16" customWidth="1"/>
    <col min="3599" max="3599" width="11.125" style="16" customWidth="1"/>
    <col min="3600" max="3840" width="8" style="16" customWidth="1"/>
    <col min="3841" max="3841" width="5.25" style="16" customWidth="1"/>
    <col min="3842" max="3842" width="8.625" style="16" customWidth="1"/>
    <col min="3843" max="3843" width="19.5" style="16" customWidth="1"/>
    <col min="3844" max="3844" width="6.25" style="16" customWidth="1"/>
    <col min="3845" max="3845" width="3.125" style="16" customWidth="1"/>
    <col min="3846" max="3846" width="6.125" style="16" customWidth="1"/>
    <col min="3847" max="3847" width="8.375" style="16" customWidth="1"/>
    <col min="3848" max="3848" width="8.875" style="16" customWidth="1"/>
    <col min="3849" max="3849" width="9.875" style="16" customWidth="1"/>
    <col min="3850" max="3850" width="8.375" style="16" customWidth="1"/>
    <col min="3851" max="3851" width="0.875" style="16" customWidth="1"/>
    <col min="3852" max="3852" width="9" style="16" customWidth="1"/>
    <col min="3853" max="3853" width="9.625" style="16" customWidth="1"/>
    <col min="3854" max="3854" width="11" style="16" customWidth="1"/>
    <col min="3855" max="3855" width="11.125" style="16" customWidth="1"/>
    <col min="3856" max="4096" width="8" style="16" customWidth="1"/>
    <col min="4097" max="4097" width="5.25" style="16" customWidth="1"/>
    <col min="4098" max="4098" width="8.625" style="16" customWidth="1"/>
    <col min="4099" max="4099" width="19.5" style="16" customWidth="1"/>
    <col min="4100" max="4100" width="6.25" style="16" customWidth="1"/>
    <col min="4101" max="4101" width="3.125" style="16" customWidth="1"/>
    <col min="4102" max="4102" width="6.125" style="16" customWidth="1"/>
    <col min="4103" max="4103" width="8.375" style="16" customWidth="1"/>
    <col min="4104" max="4104" width="8.875" style="16" customWidth="1"/>
    <col min="4105" max="4105" width="9.875" style="16" customWidth="1"/>
    <col min="4106" max="4106" width="8.375" style="16" customWidth="1"/>
    <col min="4107" max="4107" width="0.875" style="16" customWidth="1"/>
    <col min="4108" max="4108" width="9" style="16" customWidth="1"/>
    <col min="4109" max="4109" width="9.625" style="16" customWidth="1"/>
    <col min="4110" max="4110" width="11" style="16" customWidth="1"/>
    <col min="4111" max="4111" width="11.125" style="16" customWidth="1"/>
    <col min="4112" max="4352" width="8" style="16" customWidth="1"/>
    <col min="4353" max="4353" width="5.25" style="16" customWidth="1"/>
    <col min="4354" max="4354" width="8.625" style="16" customWidth="1"/>
    <col min="4355" max="4355" width="19.5" style="16" customWidth="1"/>
    <col min="4356" max="4356" width="6.25" style="16" customWidth="1"/>
    <col min="4357" max="4357" width="3.125" style="16" customWidth="1"/>
    <col min="4358" max="4358" width="6.125" style="16" customWidth="1"/>
    <col min="4359" max="4359" width="8.375" style="16" customWidth="1"/>
    <col min="4360" max="4360" width="8.875" style="16" customWidth="1"/>
    <col min="4361" max="4361" width="9.875" style="16" customWidth="1"/>
    <col min="4362" max="4362" width="8.375" style="16" customWidth="1"/>
    <col min="4363" max="4363" width="0.875" style="16" customWidth="1"/>
    <col min="4364" max="4364" width="9" style="16" customWidth="1"/>
    <col min="4365" max="4365" width="9.625" style="16" customWidth="1"/>
    <col min="4366" max="4366" width="11" style="16" customWidth="1"/>
    <col min="4367" max="4367" width="11.125" style="16" customWidth="1"/>
    <col min="4368" max="4608" width="8" style="16" customWidth="1"/>
    <col min="4609" max="4609" width="5.25" style="16" customWidth="1"/>
    <col min="4610" max="4610" width="8.625" style="16" customWidth="1"/>
    <col min="4611" max="4611" width="19.5" style="16" customWidth="1"/>
    <col min="4612" max="4612" width="6.25" style="16" customWidth="1"/>
    <col min="4613" max="4613" width="3.125" style="16" customWidth="1"/>
    <col min="4614" max="4614" width="6.125" style="16" customWidth="1"/>
    <col min="4615" max="4615" width="8.375" style="16" customWidth="1"/>
    <col min="4616" max="4616" width="8.875" style="16" customWidth="1"/>
    <col min="4617" max="4617" width="9.875" style="16" customWidth="1"/>
    <col min="4618" max="4618" width="8.375" style="16" customWidth="1"/>
    <col min="4619" max="4619" width="0.875" style="16" customWidth="1"/>
    <col min="4620" max="4620" width="9" style="16" customWidth="1"/>
    <col min="4621" max="4621" width="9.625" style="16" customWidth="1"/>
    <col min="4622" max="4622" width="11" style="16" customWidth="1"/>
    <col min="4623" max="4623" width="11.125" style="16" customWidth="1"/>
    <col min="4624" max="4864" width="8" style="16" customWidth="1"/>
    <col min="4865" max="4865" width="5.25" style="16" customWidth="1"/>
    <col min="4866" max="4866" width="8.625" style="16" customWidth="1"/>
    <col min="4867" max="4867" width="19.5" style="16" customWidth="1"/>
    <col min="4868" max="4868" width="6.25" style="16" customWidth="1"/>
    <col min="4869" max="4869" width="3.125" style="16" customWidth="1"/>
    <col min="4870" max="4870" width="6.125" style="16" customWidth="1"/>
    <col min="4871" max="4871" width="8.375" style="16" customWidth="1"/>
    <col min="4872" max="4872" width="8.875" style="16" customWidth="1"/>
    <col min="4873" max="4873" width="9.875" style="16" customWidth="1"/>
    <col min="4874" max="4874" width="8.375" style="16" customWidth="1"/>
    <col min="4875" max="4875" width="0.875" style="16" customWidth="1"/>
    <col min="4876" max="4876" width="9" style="16" customWidth="1"/>
    <col min="4877" max="4877" width="9.625" style="16" customWidth="1"/>
    <col min="4878" max="4878" width="11" style="16" customWidth="1"/>
    <col min="4879" max="4879" width="11.125" style="16" customWidth="1"/>
    <col min="4880" max="5120" width="8" style="16" customWidth="1"/>
    <col min="5121" max="5121" width="5.25" style="16" customWidth="1"/>
    <col min="5122" max="5122" width="8.625" style="16" customWidth="1"/>
    <col min="5123" max="5123" width="19.5" style="16" customWidth="1"/>
    <col min="5124" max="5124" width="6.25" style="16" customWidth="1"/>
    <col min="5125" max="5125" width="3.125" style="16" customWidth="1"/>
    <col min="5126" max="5126" width="6.125" style="16" customWidth="1"/>
    <col min="5127" max="5127" width="8.375" style="16" customWidth="1"/>
    <col min="5128" max="5128" width="8.875" style="16" customWidth="1"/>
    <col min="5129" max="5129" width="9.875" style="16" customWidth="1"/>
    <col min="5130" max="5130" width="8.375" style="16" customWidth="1"/>
    <col min="5131" max="5131" width="0.875" style="16" customWidth="1"/>
    <col min="5132" max="5132" width="9" style="16" customWidth="1"/>
    <col min="5133" max="5133" width="9.625" style="16" customWidth="1"/>
    <col min="5134" max="5134" width="11" style="16" customWidth="1"/>
    <col min="5135" max="5135" width="11.125" style="16" customWidth="1"/>
    <col min="5136" max="5376" width="8" style="16" customWidth="1"/>
    <col min="5377" max="5377" width="5.25" style="16" customWidth="1"/>
    <col min="5378" max="5378" width="8.625" style="16" customWidth="1"/>
    <col min="5379" max="5379" width="19.5" style="16" customWidth="1"/>
    <col min="5380" max="5380" width="6.25" style="16" customWidth="1"/>
    <col min="5381" max="5381" width="3.125" style="16" customWidth="1"/>
    <col min="5382" max="5382" width="6.125" style="16" customWidth="1"/>
    <col min="5383" max="5383" width="8.375" style="16" customWidth="1"/>
    <col min="5384" max="5384" width="8.875" style="16" customWidth="1"/>
    <col min="5385" max="5385" width="9.875" style="16" customWidth="1"/>
    <col min="5386" max="5386" width="8.375" style="16" customWidth="1"/>
    <col min="5387" max="5387" width="0.875" style="16" customWidth="1"/>
    <col min="5388" max="5388" width="9" style="16" customWidth="1"/>
    <col min="5389" max="5389" width="9.625" style="16" customWidth="1"/>
    <col min="5390" max="5390" width="11" style="16" customWidth="1"/>
    <col min="5391" max="5391" width="11.125" style="16" customWidth="1"/>
    <col min="5392" max="5632" width="8" style="16" customWidth="1"/>
    <col min="5633" max="5633" width="5.25" style="16" customWidth="1"/>
    <col min="5634" max="5634" width="8.625" style="16" customWidth="1"/>
    <col min="5635" max="5635" width="19.5" style="16" customWidth="1"/>
    <col min="5636" max="5636" width="6.25" style="16" customWidth="1"/>
    <col min="5637" max="5637" width="3.125" style="16" customWidth="1"/>
    <col min="5638" max="5638" width="6.125" style="16" customWidth="1"/>
    <col min="5639" max="5639" width="8.375" style="16" customWidth="1"/>
    <col min="5640" max="5640" width="8.875" style="16" customWidth="1"/>
    <col min="5641" max="5641" width="9.875" style="16" customWidth="1"/>
    <col min="5642" max="5642" width="8.375" style="16" customWidth="1"/>
    <col min="5643" max="5643" width="0.875" style="16" customWidth="1"/>
    <col min="5644" max="5644" width="9" style="16" customWidth="1"/>
    <col min="5645" max="5645" width="9.625" style="16" customWidth="1"/>
    <col min="5646" max="5646" width="11" style="16" customWidth="1"/>
    <col min="5647" max="5647" width="11.125" style="16" customWidth="1"/>
    <col min="5648" max="5888" width="8" style="16" customWidth="1"/>
    <col min="5889" max="5889" width="5.25" style="16" customWidth="1"/>
    <col min="5890" max="5890" width="8.625" style="16" customWidth="1"/>
    <col min="5891" max="5891" width="19.5" style="16" customWidth="1"/>
    <col min="5892" max="5892" width="6.25" style="16" customWidth="1"/>
    <col min="5893" max="5893" width="3.125" style="16" customWidth="1"/>
    <col min="5894" max="5894" width="6.125" style="16" customWidth="1"/>
    <col min="5895" max="5895" width="8.375" style="16" customWidth="1"/>
    <col min="5896" max="5896" width="8.875" style="16" customWidth="1"/>
    <col min="5897" max="5897" width="9.875" style="16" customWidth="1"/>
    <col min="5898" max="5898" width="8.375" style="16" customWidth="1"/>
    <col min="5899" max="5899" width="0.875" style="16" customWidth="1"/>
    <col min="5900" max="5900" width="9" style="16" customWidth="1"/>
    <col min="5901" max="5901" width="9.625" style="16" customWidth="1"/>
    <col min="5902" max="5902" width="11" style="16" customWidth="1"/>
    <col min="5903" max="5903" width="11.125" style="16" customWidth="1"/>
    <col min="5904" max="6144" width="8" style="16" customWidth="1"/>
    <col min="6145" max="6145" width="5.25" style="16" customWidth="1"/>
    <col min="6146" max="6146" width="8.625" style="16" customWidth="1"/>
    <col min="6147" max="6147" width="19.5" style="16" customWidth="1"/>
    <col min="6148" max="6148" width="6.25" style="16" customWidth="1"/>
    <col min="6149" max="6149" width="3.125" style="16" customWidth="1"/>
    <col min="6150" max="6150" width="6.125" style="16" customWidth="1"/>
    <col min="6151" max="6151" width="8.375" style="16" customWidth="1"/>
    <col min="6152" max="6152" width="8.875" style="16" customWidth="1"/>
    <col min="6153" max="6153" width="9.875" style="16" customWidth="1"/>
    <col min="6154" max="6154" width="8.375" style="16" customWidth="1"/>
    <col min="6155" max="6155" width="0.875" style="16" customWidth="1"/>
    <col min="6156" max="6156" width="9" style="16" customWidth="1"/>
    <col min="6157" max="6157" width="9.625" style="16" customWidth="1"/>
    <col min="6158" max="6158" width="11" style="16" customWidth="1"/>
    <col min="6159" max="6159" width="11.125" style="16" customWidth="1"/>
    <col min="6160" max="6400" width="8" style="16" customWidth="1"/>
    <col min="6401" max="6401" width="5.25" style="16" customWidth="1"/>
    <col min="6402" max="6402" width="8.625" style="16" customWidth="1"/>
    <col min="6403" max="6403" width="19.5" style="16" customWidth="1"/>
    <col min="6404" max="6404" width="6.25" style="16" customWidth="1"/>
    <col min="6405" max="6405" width="3.125" style="16" customWidth="1"/>
    <col min="6406" max="6406" width="6.125" style="16" customWidth="1"/>
    <col min="6407" max="6407" width="8.375" style="16" customWidth="1"/>
    <col min="6408" max="6408" width="8.875" style="16" customWidth="1"/>
    <col min="6409" max="6409" width="9.875" style="16" customWidth="1"/>
    <col min="6410" max="6410" width="8.375" style="16" customWidth="1"/>
    <col min="6411" max="6411" width="0.875" style="16" customWidth="1"/>
    <col min="6412" max="6412" width="9" style="16" customWidth="1"/>
    <col min="6413" max="6413" width="9.625" style="16" customWidth="1"/>
    <col min="6414" max="6414" width="11" style="16" customWidth="1"/>
    <col min="6415" max="6415" width="11.125" style="16" customWidth="1"/>
    <col min="6416" max="6656" width="8" style="16" customWidth="1"/>
    <col min="6657" max="6657" width="5.25" style="16" customWidth="1"/>
    <col min="6658" max="6658" width="8.625" style="16" customWidth="1"/>
    <col min="6659" max="6659" width="19.5" style="16" customWidth="1"/>
    <col min="6660" max="6660" width="6.25" style="16" customWidth="1"/>
    <col min="6661" max="6661" width="3.125" style="16" customWidth="1"/>
    <col min="6662" max="6662" width="6.125" style="16" customWidth="1"/>
    <col min="6663" max="6663" width="8.375" style="16" customWidth="1"/>
    <col min="6664" max="6664" width="8.875" style="16" customWidth="1"/>
    <col min="6665" max="6665" width="9.875" style="16" customWidth="1"/>
    <col min="6666" max="6666" width="8.375" style="16" customWidth="1"/>
    <col min="6667" max="6667" width="0.875" style="16" customWidth="1"/>
    <col min="6668" max="6668" width="9" style="16" customWidth="1"/>
    <col min="6669" max="6669" width="9.625" style="16" customWidth="1"/>
    <col min="6670" max="6670" width="11" style="16" customWidth="1"/>
    <col min="6671" max="6671" width="11.125" style="16" customWidth="1"/>
    <col min="6672" max="6912" width="8" style="16" customWidth="1"/>
    <col min="6913" max="6913" width="5.25" style="16" customWidth="1"/>
    <col min="6914" max="6914" width="8.625" style="16" customWidth="1"/>
    <col min="6915" max="6915" width="19.5" style="16" customWidth="1"/>
    <col min="6916" max="6916" width="6.25" style="16" customWidth="1"/>
    <col min="6917" max="6917" width="3.125" style="16" customWidth="1"/>
    <col min="6918" max="6918" width="6.125" style="16" customWidth="1"/>
    <col min="6919" max="6919" width="8.375" style="16" customWidth="1"/>
    <col min="6920" max="6920" width="8.875" style="16" customWidth="1"/>
    <col min="6921" max="6921" width="9.875" style="16" customWidth="1"/>
    <col min="6922" max="6922" width="8.375" style="16" customWidth="1"/>
    <col min="6923" max="6923" width="0.875" style="16" customWidth="1"/>
    <col min="6924" max="6924" width="9" style="16" customWidth="1"/>
    <col min="6925" max="6925" width="9.625" style="16" customWidth="1"/>
    <col min="6926" max="6926" width="11" style="16" customWidth="1"/>
    <col min="6927" max="6927" width="11.125" style="16" customWidth="1"/>
    <col min="6928" max="7168" width="8" style="16" customWidth="1"/>
    <col min="7169" max="7169" width="5.25" style="16" customWidth="1"/>
    <col min="7170" max="7170" width="8.625" style="16" customWidth="1"/>
    <col min="7171" max="7171" width="19.5" style="16" customWidth="1"/>
    <col min="7172" max="7172" width="6.25" style="16" customWidth="1"/>
    <col min="7173" max="7173" width="3.125" style="16" customWidth="1"/>
    <col min="7174" max="7174" width="6.125" style="16" customWidth="1"/>
    <col min="7175" max="7175" width="8.375" style="16" customWidth="1"/>
    <col min="7176" max="7176" width="8.875" style="16" customWidth="1"/>
    <col min="7177" max="7177" width="9.875" style="16" customWidth="1"/>
    <col min="7178" max="7178" width="8.375" style="16" customWidth="1"/>
    <col min="7179" max="7179" width="0.875" style="16" customWidth="1"/>
    <col min="7180" max="7180" width="9" style="16" customWidth="1"/>
    <col min="7181" max="7181" width="9.625" style="16" customWidth="1"/>
    <col min="7182" max="7182" width="11" style="16" customWidth="1"/>
    <col min="7183" max="7183" width="11.125" style="16" customWidth="1"/>
    <col min="7184" max="7424" width="8" style="16" customWidth="1"/>
    <col min="7425" max="7425" width="5.25" style="16" customWidth="1"/>
    <col min="7426" max="7426" width="8.625" style="16" customWidth="1"/>
    <col min="7427" max="7427" width="19.5" style="16" customWidth="1"/>
    <col min="7428" max="7428" width="6.25" style="16" customWidth="1"/>
    <col min="7429" max="7429" width="3.125" style="16" customWidth="1"/>
    <col min="7430" max="7430" width="6.125" style="16" customWidth="1"/>
    <col min="7431" max="7431" width="8.375" style="16" customWidth="1"/>
    <col min="7432" max="7432" width="8.875" style="16" customWidth="1"/>
    <col min="7433" max="7433" width="9.875" style="16" customWidth="1"/>
    <col min="7434" max="7434" width="8.375" style="16" customWidth="1"/>
    <col min="7435" max="7435" width="0.875" style="16" customWidth="1"/>
    <col min="7436" max="7436" width="9" style="16" customWidth="1"/>
    <col min="7437" max="7437" width="9.625" style="16" customWidth="1"/>
    <col min="7438" max="7438" width="11" style="16" customWidth="1"/>
    <col min="7439" max="7439" width="11.125" style="16" customWidth="1"/>
    <col min="7440" max="7680" width="8" style="16" customWidth="1"/>
    <col min="7681" max="7681" width="5.25" style="16" customWidth="1"/>
    <col min="7682" max="7682" width="8.625" style="16" customWidth="1"/>
    <col min="7683" max="7683" width="19.5" style="16" customWidth="1"/>
    <col min="7684" max="7684" width="6.25" style="16" customWidth="1"/>
    <col min="7685" max="7685" width="3.125" style="16" customWidth="1"/>
    <col min="7686" max="7686" width="6.125" style="16" customWidth="1"/>
    <col min="7687" max="7687" width="8.375" style="16" customWidth="1"/>
    <col min="7688" max="7688" width="8.875" style="16" customWidth="1"/>
    <col min="7689" max="7689" width="9.875" style="16" customWidth="1"/>
    <col min="7690" max="7690" width="8.375" style="16" customWidth="1"/>
    <col min="7691" max="7691" width="0.875" style="16" customWidth="1"/>
    <col min="7692" max="7692" width="9" style="16" customWidth="1"/>
    <col min="7693" max="7693" width="9.625" style="16" customWidth="1"/>
    <col min="7694" max="7694" width="11" style="16" customWidth="1"/>
    <col min="7695" max="7695" width="11.125" style="16" customWidth="1"/>
    <col min="7696" max="7936" width="8" style="16" customWidth="1"/>
    <col min="7937" max="7937" width="5.25" style="16" customWidth="1"/>
    <col min="7938" max="7938" width="8.625" style="16" customWidth="1"/>
    <col min="7939" max="7939" width="19.5" style="16" customWidth="1"/>
    <col min="7940" max="7940" width="6.25" style="16" customWidth="1"/>
    <col min="7941" max="7941" width="3.125" style="16" customWidth="1"/>
    <col min="7942" max="7942" width="6.125" style="16" customWidth="1"/>
    <col min="7943" max="7943" width="8.375" style="16" customWidth="1"/>
    <col min="7944" max="7944" width="8.875" style="16" customWidth="1"/>
    <col min="7945" max="7945" width="9.875" style="16" customWidth="1"/>
    <col min="7946" max="7946" width="8.375" style="16" customWidth="1"/>
    <col min="7947" max="7947" width="0.875" style="16" customWidth="1"/>
    <col min="7948" max="7948" width="9" style="16" customWidth="1"/>
    <col min="7949" max="7949" width="9.625" style="16" customWidth="1"/>
    <col min="7950" max="7950" width="11" style="16" customWidth="1"/>
    <col min="7951" max="7951" width="11.125" style="16" customWidth="1"/>
    <col min="7952" max="8192" width="8" style="16" customWidth="1"/>
    <col min="8193" max="8193" width="5.25" style="16" customWidth="1"/>
    <col min="8194" max="8194" width="8.625" style="16" customWidth="1"/>
    <col min="8195" max="8195" width="19.5" style="16" customWidth="1"/>
    <col min="8196" max="8196" width="6.25" style="16" customWidth="1"/>
    <col min="8197" max="8197" width="3.125" style="16" customWidth="1"/>
    <col min="8198" max="8198" width="6.125" style="16" customWidth="1"/>
    <col min="8199" max="8199" width="8.375" style="16" customWidth="1"/>
    <col min="8200" max="8200" width="8.875" style="16" customWidth="1"/>
    <col min="8201" max="8201" width="9.875" style="16" customWidth="1"/>
    <col min="8202" max="8202" width="8.375" style="16" customWidth="1"/>
    <col min="8203" max="8203" width="0.875" style="16" customWidth="1"/>
    <col min="8204" max="8204" width="9" style="16" customWidth="1"/>
    <col min="8205" max="8205" width="9.625" style="16" customWidth="1"/>
    <col min="8206" max="8206" width="11" style="16" customWidth="1"/>
    <col min="8207" max="8207" width="11.125" style="16" customWidth="1"/>
    <col min="8208" max="8448" width="8" style="16" customWidth="1"/>
    <col min="8449" max="8449" width="5.25" style="16" customWidth="1"/>
    <col min="8450" max="8450" width="8.625" style="16" customWidth="1"/>
    <col min="8451" max="8451" width="19.5" style="16" customWidth="1"/>
    <col min="8452" max="8452" width="6.25" style="16" customWidth="1"/>
    <col min="8453" max="8453" width="3.125" style="16" customWidth="1"/>
    <col min="8454" max="8454" width="6.125" style="16" customWidth="1"/>
    <col min="8455" max="8455" width="8.375" style="16" customWidth="1"/>
    <col min="8456" max="8456" width="8.875" style="16" customWidth="1"/>
    <col min="8457" max="8457" width="9.875" style="16" customWidth="1"/>
    <col min="8458" max="8458" width="8.375" style="16" customWidth="1"/>
    <col min="8459" max="8459" width="0.875" style="16" customWidth="1"/>
    <col min="8460" max="8460" width="9" style="16" customWidth="1"/>
    <col min="8461" max="8461" width="9.625" style="16" customWidth="1"/>
    <col min="8462" max="8462" width="11" style="16" customWidth="1"/>
    <col min="8463" max="8463" width="11.125" style="16" customWidth="1"/>
    <col min="8464" max="8704" width="8" style="16" customWidth="1"/>
    <col min="8705" max="8705" width="5.25" style="16" customWidth="1"/>
    <col min="8706" max="8706" width="8.625" style="16" customWidth="1"/>
    <col min="8707" max="8707" width="19.5" style="16" customWidth="1"/>
    <col min="8708" max="8708" width="6.25" style="16" customWidth="1"/>
    <col min="8709" max="8709" width="3.125" style="16" customWidth="1"/>
    <col min="8710" max="8710" width="6.125" style="16" customWidth="1"/>
    <col min="8711" max="8711" width="8.375" style="16" customWidth="1"/>
    <col min="8712" max="8712" width="8.875" style="16" customWidth="1"/>
    <col min="8713" max="8713" width="9.875" style="16" customWidth="1"/>
    <col min="8714" max="8714" width="8.375" style="16" customWidth="1"/>
    <col min="8715" max="8715" width="0.875" style="16" customWidth="1"/>
    <col min="8716" max="8716" width="9" style="16" customWidth="1"/>
    <col min="8717" max="8717" width="9.625" style="16" customWidth="1"/>
    <col min="8718" max="8718" width="11" style="16" customWidth="1"/>
    <col min="8719" max="8719" width="11.125" style="16" customWidth="1"/>
    <col min="8720" max="8960" width="8" style="16" customWidth="1"/>
    <col min="8961" max="8961" width="5.25" style="16" customWidth="1"/>
    <col min="8962" max="8962" width="8.625" style="16" customWidth="1"/>
    <col min="8963" max="8963" width="19.5" style="16" customWidth="1"/>
    <col min="8964" max="8964" width="6.25" style="16" customWidth="1"/>
    <col min="8965" max="8965" width="3.125" style="16" customWidth="1"/>
    <col min="8966" max="8966" width="6.125" style="16" customWidth="1"/>
    <col min="8967" max="8967" width="8.375" style="16" customWidth="1"/>
    <col min="8968" max="8968" width="8.875" style="16" customWidth="1"/>
    <col min="8969" max="8969" width="9.875" style="16" customWidth="1"/>
    <col min="8970" max="8970" width="8.375" style="16" customWidth="1"/>
    <col min="8971" max="8971" width="0.875" style="16" customWidth="1"/>
    <col min="8972" max="8972" width="9" style="16" customWidth="1"/>
    <col min="8973" max="8973" width="9.625" style="16" customWidth="1"/>
    <col min="8974" max="8974" width="11" style="16" customWidth="1"/>
    <col min="8975" max="8975" width="11.125" style="16" customWidth="1"/>
    <col min="8976" max="9216" width="8" style="16" customWidth="1"/>
    <col min="9217" max="9217" width="5.25" style="16" customWidth="1"/>
    <col min="9218" max="9218" width="8.625" style="16" customWidth="1"/>
    <col min="9219" max="9219" width="19.5" style="16" customWidth="1"/>
    <col min="9220" max="9220" width="6.25" style="16" customWidth="1"/>
    <col min="9221" max="9221" width="3.125" style="16" customWidth="1"/>
    <col min="9222" max="9222" width="6.125" style="16" customWidth="1"/>
    <col min="9223" max="9223" width="8.375" style="16" customWidth="1"/>
    <col min="9224" max="9224" width="8.875" style="16" customWidth="1"/>
    <col min="9225" max="9225" width="9.875" style="16" customWidth="1"/>
    <col min="9226" max="9226" width="8.375" style="16" customWidth="1"/>
    <col min="9227" max="9227" width="0.875" style="16" customWidth="1"/>
    <col min="9228" max="9228" width="9" style="16" customWidth="1"/>
    <col min="9229" max="9229" width="9.625" style="16" customWidth="1"/>
    <col min="9230" max="9230" width="11" style="16" customWidth="1"/>
    <col min="9231" max="9231" width="11.125" style="16" customWidth="1"/>
    <col min="9232" max="9472" width="8" style="16" customWidth="1"/>
    <col min="9473" max="9473" width="5.25" style="16" customWidth="1"/>
    <col min="9474" max="9474" width="8.625" style="16" customWidth="1"/>
    <col min="9475" max="9475" width="19.5" style="16" customWidth="1"/>
    <col min="9476" max="9476" width="6.25" style="16" customWidth="1"/>
    <col min="9477" max="9477" width="3.125" style="16" customWidth="1"/>
    <col min="9478" max="9478" width="6.125" style="16" customWidth="1"/>
    <col min="9479" max="9479" width="8.375" style="16" customWidth="1"/>
    <col min="9480" max="9480" width="8.875" style="16" customWidth="1"/>
    <col min="9481" max="9481" width="9.875" style="16" customWidth="1"/>
    <col min="9482" max="9482" width="8.375" style="16" customWidth="1"/>
    <col min="9483" max="9483" width="0.875" style="16" customWidth="1"/>
    <col min="9484" max="9484" width="9" style="16" customWidth="1"/>
    <col min="9485" max="9485" width="9.625" style="16" customWidth="1"/>
    <col min="9486" max="9486" width="11" style="16" customWidth="1"/>
    <col min="9487" max="9487" width="11.125" style="16" customWidth="1"/>
    <col min="9488" max="9728" width="8" style="16" customWidth="1"/>
    <col min="9729" max="9729" width="5.25" style="16" customWidth="1"/>
    <col min="9730" max="9730" width="8.625" style="16" customWidth="1"/>
    <col min="9731" max="9731" width="19.5" style="16" customWidth="1"/>
    <col min="9732" max="9732" width="6.25" style="16" customWidth="1"/>
    <col min="9733" max="9733" width="3.125" style="16" customWidth="1"/>
    <col min="9734" max="9734" width="6.125" style="16" customWidth="1"/>
    <col min="9735" max="9735" width="8.375" style="16" customWidth="1"/>
    <col min="9736" max="9736" width="8.875" style="16" customWidth="1"/>
    <col min="9737" max="9737" width="9.875" style="16" customWidth="1"/>
    <col min="9738" max="9738" width="8.375" style="16" customWidth="1"/>
    <col min="9739" max="9739" width="0.875" style="16" customWidth="1"/>
    <col min="9740" max="9740" width="9" style="16" customWidth="1"/>
    <col min="9741" max="9741" width="9.625" style="16" customWidth="1"/>
    <col min="9742" max="9742" width="11" style="16" customWidth="1"/>
    <col min="9743" max="9743" width="11.125" style="16" customWidth="1"/>
    <col min="9744" max="9984" width="8" style="16" customWidth="1"/>
    <col min="9985" max="9985" width="5.25" style="16" customWidth="1"/>
    <col min="9986" max="9986" width="8.625" style="16" customWidth="1"/>
    <col min="9987" max="9987" width="19.5" style="16" customWidth="1"/>
    <col min="9988" max="9988" width="6.25" style="16" customWidth="1"/>
    <col min="9989" max="9989" width="3.125" style="16" customWidth="1"/>
    <col min="9990" max="9990" width="6.125" style="16" customWidth="1"/>
    <col min="9991" max="9991" width="8.375" style="16" customWidth="1"/>
    <col min="9992" max="9992" width="8.875" style="16" customWidth="1"/>
    <col min="9993" max="9993" width="9.875" style="16" customWidth="1"/>
    <col min="9994" max="9994" width="8.375" style="16" customWidth="1"/>
    <col min="9995" max="9995" width="0.875" style="16" customWidth="1"/>
    <col min="9996" max="9996" width="9" style="16" customWidth="1"/>
    <col min="9997" max="9997" width="9.625" style="16" customWidth="1"/>
    <col min="9998" max="9998" width="11" style="16" customWidth="1"/>
    <col min="9999" max="9999" width="11.125" style="16" customWidth="1"/>
    <col min="10000" max="10240" width="8" style="16" customWidth="1"/>
    <col min="10241" max="10241" width="5.25" style="16" customWidth="1"/>
    <col min="10242" max="10242" width="8.625" style="16" customWidth="1"/>
    <col min="10243" max="10243" width="19.5" style="16" customWidth="1"/>
    <col min="10244" max="10244" width="6.25" style="16" customWidth="1"/>
    <col min="10245" max="10245" width="3.125" style="16" customWidth="1"/>
    <col min="10246" max="10246" width="6.125" style="16" customWidth="1"/>
    <col min="10247" max="10247" width="8.375" style="16" customWidth="1"/>
    <col min="10248" max="10248" width="8.875" style="16" customWidth="1"/>
    <col min="10249" max="10249" width="9.875" style="16" customWidth="1"/>
    <col min="10250" max="10250" width="8.375" style="16" customWidth="1"/>
    <col min="10251" max="10251" width="0.875" style="16" customWidth="1"/>
    <col min="10252" max="10252" width="9" style="16" customWidth="1"/>
    <col min="10253" max="10253" width="9.625" style="16" customWidth="1"/>
    <col min="10254" max="10254" width="11" style="16" customWidth="1"/>
    <col min="10255" max="10255" width="11.125" style="16" customWidth="1"/>
    <col min="10256" max="10496" width="8" style="16" customWidth="1"/>
    <col min="10497" max="10497" width="5.25" style="16" customWidth="1"/>
    <col min="10498" max="10498" width="8.625" style="16" customWidth="1"/>
    <col min="10499" max="10499" width="19.5" style="16" customWidth="1"/>
    <col min="10500" max="10500" width="6.25" style="16" customWidth="1"/>
    <col min="10501" max="10501" width="3.125" style="16" customWidth="1"/>
    <col min="10502" max="10502" width="6.125" style="16" customWidth="1"/>
    <col min="10503" max="10503" width="8.375" style="16" customWidth="1"/>
    <col min="10504" max="10504" width="8.875" style="16" customWidth="1"/>
    <col min="10505" max="10505" width="9.875" style="16" customWidth="1"/>
    <col min="10506" max="10506" width="8.375" style="16" customWidth="1"/>
    <col min="10507" max="10507" width="0.875" style="16" customWidth="1"/>
    <col min="10508" max="10508" width="9" style="16" customWidth="1"/>
    <col min="10509" max="10509" width="9.625" style="16" customWidth="1"/>
    <col min="10510" max="10510" width="11" style="16" customWidth="1"/>
    <col min="10511" max="10511" width="11.125" style="16" customWidth="1"/>
    <col min="10512" max="10752" width="8" style="16" customWidth="1"/>
    <col min="10753" max="10753" width="5.25" style="16" customWidth="1"/>
    <col min="10754" max="10754" width="8.625" style="16" customWidth="1"/>
    <col min="10755" max="10755" width="19.5" style="16" customWidth="1"/>
    <col min="10756" max="10756" width="6.25" style="16" customWidth="1"/>
    <col min="10757" max="10757" width="3.125" style="16" customWidth="1"/>
    <col min="10758" max="10758" width="6.125" style="16" customWidth="1"/>
    <col min="10759" max="10759" width="8.375" style="16" customWidth="1"/>
    <col min="10760" max="10760" width="8.875" style="16" customWidth="1"/>
    <col min="10761" max="10761" width="9.875" style="16" customWidth="1"/>
    <col min="10762" max="10762" width="8.375" style="16" customWidth="1"/>
    <col min="10763" max="10763" width="0.875" style="16" customWidth="1"/>
    <col min="10764" max="10764" width="9" style="16" customWidth="1"/>
    <col min="10765" max="10765" width="9.625" style="16" customWidth="1"/>
    <col min="10766" max="10766" width="11" style="16" customWidth="1"/>
    <col min="10767" max="10767" width="11.125" style="16" customWidth="1"/>
    <col min="10768" max="11008" width="8" style="16" customWidth="1"/>
    <col min="11009" max="11009" width="5.25" style="16" customWidth="1"/>
    <col min="11010" max="11010" width="8.625" style="16" customWidth="1"/>
    <col min="11011" max="11011" width="19.5" style="16" customWidth="1"/>
    <col min="11012" max="11012" width="6.25" style="16" customWidth="1"/>
    <col min="11013" max="11013" width="3.125" style="16" customWidth="1"/>
    <col min="11014" max="11014" width="6.125" style="16" customWidth="1"/>
    <col min="11015" max="11015" width="8.375" style="16" customWidth="1"/>
    <col min="11016" max="11016" width="8.875" style="16" customWidth="1"/>
    <col min="11017" max="11017" width="9.875" style="16" customWidth="1"/>
    <col min="11018" max="11018" width="8.375" style="16" customWidth="1"/>
    <col min="11019" max="11019" width="0.875" style="16" customWidth="1"/>
    <col min="11020" max="11020" width="9" style="16" customWidth="1"/>
    <col min="11021" max="11021" width="9.625" style="16" customWidth="1"/>
    <col min="11022" max="11022" width="11" style="16" customWidth="1"/>
    <col min="11023" max="11023" width="11.125" style="16" customWidth="1"/>
    <col min="11024" max="11264" width="8" style="16" customWidth="1"/>
    <col min="11265" max="11265" width="5.25" style="16" customWidth="1"/>
    <col min="11266" max="11266" width="8.625" style="16" customWidth="1"/>
    <col min="11267" max="11267" width="19.5" style="16" customWidth="1"/>
    <col min="11268" max="11268" width="6.25" style="16" customWidth="1"/>
    <col min="11269" max="11269" width="3.125" style="16" customWidth="1"/>
    <col min="11270" max="11270" width="6.125" style="16" customWidth="1"/>
    <col min="11271" max="11271" width="8.375" style="16" customWidth="1"/>
    <col min="11272" max="11272" width="8.875" style="16" customWidth="1"/>
    <col min="11273" max="11273" width="9.875" style="16" customWidth="1"/>
    <col min="11274" max="11274" width="8.375" style="16" customWidth="1"/>
    <col min="11275" max="11275" width="0.875" style="16" customWidth="1"/>
    <col min="11276" max="11276" width="9" style="16" customWidth="1"/>
    <col min="11277" max="11277" width="9.625" style="16" customWidth="1"/>
    <col min="11278" max="11278" width="11" style="16" customWidth="1"/>
    <col min="11279" max="11279" width="11.125" style="16" customWidth="1"/>
    <col min="11280" max="11520" width="8" style="16" customWidth="1"/>
    <col min="11521" max="11521" width="5.25" style="16" customWidth="1"/>
    <col min="11522" max="11522" width="8.625" style="16" customWidth="1"/>
    <col min="11523" max="11523" width="19.5" style="16" customWidth="1"/>
    <col min="11524" max="11524" width="6.25" style="16" customWidth="1"/>
    <col min="11525" max="11525" width="3.125" style="16" customWidth="1"/>
    <col min="11526" max="11526" width="6.125" style="16" customWidth="1"/>
    <col min="11527" max="11527" width="8.375" style="16" customWidth="1"/>
    <col min="11528" max="11528" width="8.875" style="16" customWidth="1"/>
    <col min="11529" max="11529" width="9.875" style="16" customWidth="1"/>
    <col min="11530" max="11530" width="8.375" style="16" customWidth="1"/>
    <col min="11531" max="11531" width="0.875" style="16" customWidth="1"/>
    <col min="11532" max="11532" width="9" style="16" customWidth="1"/>
    <col min="11533" max="11533" width="9.625" style="16" customWidth="1"/>
    <col min="11534" max="11534" width="11" style="16" customWidth="1"/>
    <col min="11535" max="11535" width="11.125" style="16" customWidth="1"/>
    <col min="11536" max="11776" width="8" style="16" customWidth="1"/>
    <col min="11777" max="11777" width="5.25" style="16" customWidth="1"/>
    <col min="11778" max="11778" width="8.625" style="16" customWidth="1"/>
    <col min="11779" max="11779" width="19.5" style="16" customWidth="1"/>
    <col min="11780" max="11780" width="6.25" style="16" customWidth="1"/>
    <col min="11781" max="11781" width="3.125" style="16" customWidth="1"/>
    <col min="11782" max="11782" width="6.125" style="16" customWidth="1"/>
    <col min="11783" max="11783" width="8.375" style="16" customWidth="1"/>
    <col min="11784" max="11784" width="8.875" style="16" customWidth="1"/>
    <col min="11785" max="11785" width="9.875" style="16" customWidth="1"/>
    <col min="11786" max="11786" width="8.375" style="16" customWidth="1"/>
    <col min="11787" max="11787" width="0.875" style="16" customWidth="1"/>
    <col min="11788" max="11788" width="9" style="16" customWidth="1"/>
    <col min="11789" max="11789" width="9.625" style="16" customWidth="1"/>
    <col min="11790" max="11790" width="11" style="16" customWidth="1"/>
    <col min="11791" max="11791" width="11.125" style="16" customWidth="1"/>
    <col min="11792" max="12032" width="8" style="16" customWidth="1"/>
    <col min="12033" max="12033" width="5.25" style="16" customWidth="1"/>
    <col min="12034" max="12034" width="8.625" style="16" customWidth="1"/>
    <col min="12035" max="12035" width="19.5" style="16" customWidth="1"/>
    <col min="12036" max="12036" width="6.25" style="16" customWidth="1"/>
    <col min="12037" max="12037" width="3.125" style="16" customWidth="1"/>
    <col min="12038" max="12038" width="6.125" style="16" customWidth="1"/>
    <col min="12039" max="12039" width="8.375" style="16" customWidth="1"/>
    <col min="12040" max="12040" width="8.875" style="16" customWidth="1"/>
    <col min="12041" max="12041" width="9.875" style="16" customWidth="1"/>
    <col min="12042" max="12042" width="8.375" style="16" customWidth="1"/>
    <col min="12043" max="12043" width="0.875" style="16" customWidth="1"/>
    <col min="12044" max="12044" width="9" style="16" customWidth="1"/>
    <col min="12045" max="12045" width="9.625" style="16" customWidth="1"/>
    <col min="12046" max="12046" width="11" style="16" customWidth="1"/>
    <col min="12047" max="12047" width="11.125" style="16" customWidth="1"/>
    <col min="12048" max="12288" width="8" style="16" customWidth="1"/>
    <col min="12289" max="12289" width="5.25" style="16" customWidth="1"/>
    <col min="12290" max="12290" width="8.625" style="16" customWidth="1"/>
    <col min="12291" max="12291" width="19.5" style="16" customWidth="1"/>
    <col min="12292" max="12292" width="6.25" style="16" customWidth="1"/>
    <col min="12293" max="12293" width="3.125" style="16" customWidth="1"/>
    <col min="12294" max="12294" width="6.125" style="16" customWidth="1"/>
    <col min="12295" max="12295" width="8.375" style="16" customWidth="1"/>
    <col min="12296" max="12296" width="8.875" style="16" customWidth="1"/>
    <col min="12297" max="12297" width="9.875" style="16" customWidth="1"/>
    <col min="12298" max="12298" width="8.375" style="16" customWidth="1"/>
    <col min="12299" max="12299" width="0.875" style="16" customWidth="1"/>
    <col min="12300" max="12300" width="9" style="16" customWidth="1"/>
    <col min="12301" max="12301" width="9.625" style="16" customWidth="1"/>
    <col min="12302" max="12302" width="11" style="16" customWidth="1"/>
    <col min="12303" max="12303" width="11.125" style="16" customWidth="1"/>
    <col min="12304" max="12544" width="8" style="16" customWidth="1"/>
    <col min="12545" max="12545" width="5.25" style="16" customWidth="1"/>
    <col min="12546" max="12546" width="8.625" style="16" customWidth="1"/>
    <col min="12547" max="12547" width="19.5" style="16" customWidth="1"/>
    <col min="12548" max="12548" width="6.25" style="16" customWidth="1"/>
    <col min="12549" max="12549" width="3.125" style="16" customWidth="1"/>
    <col min="12550" max="12550" width="6.125" style="16" customWidth="1"/>
    <col min="12551" max="12551" width="8.375" style="16" customWidth="1"/>
    <col min="12552" max="12552" width="8.875" style="16" customWidth="1"/>
    <col min="12553" max="12553" width="9.875" style="16" customWidth="1"/>
    <col min="12554" max="12554" width="8.375" style="16" customWidth="1"/>
    <col min="12555" max="12555" width="0.875" style="16" customWidth="1"/>
    <col min="12556" max="12556" width="9" style="16" customWidth="1"/>
    <col min="12557" max="12557" width="9.625" style="16" customWidth="1"/>
    <col min="12558" max="12558" width="11" style="16" customWidth="1"/>
    <col min="12559" max="12559" width="11.125" style="16" customWidth="1"/>
    <col min="12560" max="12800" width="8" style="16" customWidth="1"/>
    <col min="12801" max="12801" width="5.25" style="16" customWidth="1"/>
    <col min="12802" max="12802" width="8.625" style="16" customWidth="1"/>
    <col min="12803" max="12803" width="19.5" style="16" customWidth="1"/>
    <col min="12804" max="12804" width="6.25" style="16" customWidth="1"/>
    <col min="12805" max="12805" width="3.125" style="16" customWidth="1"/>
    <col min="12806" max="12806" width="6.125" style="16" customWidth="1"/>
    <col min="12807" max="12807" width="8.375" style="16" customWidth="1"/>
    <col min="12808" max="12808" width="8.875" style="16" customWidth="1"/>
    <col min="12809" max="12809" width="9.875" style="16" customWidth="1"/>
    <col min="12810" max="12810" width="8.375" style="16" customWidth="1"/>
    <col min="12811" max="12811" width="0.875" style="16" customWidth="1"/>
    <col min="12812" max="12812" width="9" style="16" customWidth="1"/>
    <col min="12813" max="12813" width="9.625" style="16" customWidth="1"/>
    <col min="12814" max="12814" width="11" style="16" customWidth="1"/>
    <col min="12815" max="12815" width="11.125" style="16" customWidth="1"/>
    <col min="12816" max="13056" width="8" style="16" customWidth="1"/>
    <col min="13057" max="13057" width="5.25" style="16" customWidth="1"/>
    <col min="13058" max="13058" width="8.625" style="16" customWidth="1"/>
    <col min="13059" max="13059" width="19.5" style="16" customWidth="1"/>
    <col min="13060" max="13060" width="6.25" style="16" customWidth="1"/>
    <col min="13061" max="13061" width="3.125" style="16" customWidth="1"/>
    <col min="13062" max="13062" width="6.125" style="16" customWidth="1"/>
    <col min="13063" max="13063" width="8.375" style="16" customWidth="1"/>
    <col min="13064" max="13064" width="8.875" style="16" customWidth="1"/>
    <col min="13065" max="13065" width="9.875" style="16" customWidth="1"/>
    <col min="13066" max="13066" width="8.375" style="16" customWidth="1"/>
    <col min="13067" max="13067" width="0.875" style="16" customWidth="1"/>
    <col min="13068" max="13068" width="9" style="16" customWidth="1"/>
    <col min="13069" max="13069" width="9.625" style="16" customWidth="1"/>
    <col min="13070" max="13070" width="11" style="16" customWidth="1"/>
    <col min="13071" max="13071" width="11.125" style="16" customWidth="1"/>
    <col min="13072" max="13312" width="8" style="16" customWidth="1"/>
    <col min="13313" max="13313" width="5.25" style="16" customWidth="1"/>
    <col min="13314" max="13314" width="8.625" style="16" customWidth="1"/>
    <col min="13315" max="13315" width="19.5" style="16" customWidth="1"/>
    <col min="13316" max="13316" width="6.25" style="16" customWidth="1"/>
    <col min="13317" max="13317" width="3.125" style="16" customWidth="1"/>
    <col min="13318" max="13318" width="6.125" style="16" customWidth="1"/>
    <col min="13319" max="13319" width="8.375" style="16" customWidth="1"/>
    <col min="13320" max="13320" width="8.875" style="16" customWidth="1"/>
    <col min="13321" max="13321" width="9.875" style="16" customWidth="1"/>
    <col min="13322" max="13322" width="8.375" style="16" customWidth="1"/>
    <col min="13323" max="13323" width="0.875" style="16" customWidth="1"/>
    <col min="13324" max="13324" width="9" style="16" customWidth="1"/>
    <col min="13325" max="13325" width="9.625" style="16" customWidth="1"/>
    <col min="13326" max="13326" width="11" style="16" customWidth="1"/>
    <col min="13327" max="13327" width="11.125" style="16" customWidth="1"/>
    <col min="13328" max="13568" width="8" style="16" customWidth="1"/>
    <col min="13569" max="13569" width="5.25" style="16" customWidth="1"/>
    <col min="13570" max="13570" width="8.625" style="16" customWidth="1"/>
    <col min="13571" max="13571" width="19.5" style="16" customWidth="1"/>
    <col min="13572" max="13572" width="6.25" style="16" customWidth="1"/>
    <col min="13573" max="13573" width="3.125" style="16" customWidth="1"/>
    <col min="13574" max="13574" width="6.125" style="16" customWidth="1"/>
    <col min="13575" max="13575" width="8.375" style="16" customWidth="1"/>
    <col min="13576" max="13576" width="8.875" style="16" customWidth="1"/>
    <col min="13577" max="13577" width="9.875" style="16" customWidth="1"/>
    <col min="13578" max="13578" width="8.375" style="16" customWidth="1"/>
    <col min="13579" max="13579" width="0.875" style="16" customWidth="1"/>
    <col min="13580" max="13580" width="9" style="16" customWidth="1"/>
    <col min="13581" max="13581" width="9.625" style="16" customWidth="1"/>
    <col min="13582" max="13582" width="11" style="16" customWidth="1"/>
    <col min="13583" max="13583" width="11.125" style="16" customWidth="1"/>
    <col min="13584" max="13824" width="8" style="16" customWidth="1"/>
    <col min="13825" max="13825" width="5.25" style="16" customWidth="1"/>
    <col min="13826" max="13826" width="8.625" style="16" customWidth="1"/>
    <col min="13827" max="13827" width="19.5" style="16" customWidth="1"/>
    <col min="13828" max="13828" width="6.25" style="16" customWidth="1"/>
    <col min="13829" max="13829" width="3.125" style="16" customWidth="1"/>
    <col min="13830" max="13830" width="6.125" style="16" customWidth="1"/>
    <col min="13831" max="13831" width="8.375" style="16" customWidth="1"/>
    <col min="13832" max="13832" width="8.875" style="16" customWidth="1"/>
    <col min="13833" max="13833" width="9.875" style="16" customWidth="1"/>
    <col min="13834" max="13834" width="8.375" style="16" customWidth="1"/>
    <col min="13835" max="13835" width="0.875" style="16" customWidth="1"/>
    <col min="13836" max="13836" width="9" style="16" customWidth="1"/>
    <col min="13837" max="13837" width="9.625" style="16" customWidth="1"/>
    <col min="13838" max="13838" width="11" style="16" customWidth="1"/>
    <col min="13839" max="13839" width="11.125" style="16" customWidth="1"/>
    <col min="13840" max="14080" width="8" style="16" customWidth="1"/>
    <col min="14081" max="14081" width="5.25" style="16" customWidth="1"/>
    <col min="14082" max="14082" width="8.625" style="16" customWidth="1"/>
    <col min="14083" max="14083" width="19.5" style="16" customWidth="1"/>
    <col min="14084" max="14084" width="6.25" style="16" customWidth="1"/>
    <col min="14085" max="14085" width="3.125" style="16" customWidth="1"/>
    <col min="14086" max="14086" width="6.125" style="16" customWidth="1"/>
    <col min="14087" max="14087" width="8.375" style="16" customWidth="1"/>
    <col min="14088" max="14088" width="8.875" style="16" customWidth="1"/>
    <col min="14089" max="14089" width="9.875" style="16" customWidth="1"/>
    <col min="14090" max="14090" width="8.375" style="16" customWidth="1"/>
    <col min="14091" max="14091" width="0.875" style="16" customWidth="1"/>
    <col min="14092" max="14092" width="9" style="16" customWidth="1"/>
    <col min="14093" max="14093" width="9.625" style="16" customWidth="1"/>
    <col min="14094" max="14094" width="11" style="16" customWidth="1"/>
    <col min="14095" max="14095" width="11.125" style="16" customWidth="1"/>
    <col min="14096" max="14336" width="8" style="16" customWidth="1"/>
    <col min="14337" max="14337" width="5.25" style="16" customWidth="1"/>
    <col min="14338" max="14338" width="8.625" style="16" customWidth="1"/>
    <col min="14339" max="14339" width="19.5" style="16" customWidth="1"/>
    <col min="14340" max="14340" width="6.25" style="16" customWidth="1"/>
    <col min="14341" max="14341" width="3.125" style="16" customWidth="1"/>
    <col min="14342" max="14342" width="6.125" style="16" customWidth="1"/>
    <col min="14343" max="14343" width="8.375" style="16" customWidth="1"/>
    <col min="14344" max="14344" width="8.875" style="16" customWidth="1"/>
    <col min="14345" max="14345" width="9.875" style="16" customWidth="1"/>
    <col min="14346" max="14346" width="8.375" style="16" customWidth="1"/>
    <col min="14347" max="14347" width="0.875" style="16" customWidth="1"/>
    <col min="14348" max="14348" width="9" style="16" customWidth="1"/>
    <col min="14349" max="14349" width="9.625" style="16" customWidth="1"/>
    <col min="14350" max="14350" width="11" style="16" customWidth="1"/>
    <col min="14351" max="14351" width="11.125" style="16" customWidth="1"/>
    <col min="14352" max="14592" width="8" style="16" customWidth="1"/>
    <col min="14593" max="14593" width="5.25" style="16" customWidth="1"/>
    <col min="14594" max="14594" width="8.625" style="16" customWidth="1"/>
    <col min="14595" max="14595" width="19.5" style="16" customWidth="1"/>
    <col min="14596" max="14596" width="6.25" style="16" customWidth="1"/>
    <col min="14597" max="14597" width="3.125" style="16" customWidth="1"/>
    <col min="14598" max="14598" width="6.125" style="16" customWidth="1"/>
    <col min="14599" max="14599" width="8.375" style="16" customWidth="1"/>
    <col min="14600" max="14600" width="8.875" style="16" customWidth="1"/>
    <col min="14601" max="14601" width="9.875" style="16" customWidth="1"/>
    <col min="14602" max="14602" width="8.375" style="16" customWidth="1"/>
    <col min="14603" max="14603" width="0.875" style="16" customWidth="1"/>
    <col min="14604" max="14604" width="9" style="16" customWidth="1"/>
    <col min="14605" max="14605" width="9.625" style="16" customWidth="1"/>
    <col min="14606" max="14606" width="11" style="16" customWidth="1"/>
    <col min="14607" max="14607" width="11.125" style="16" customWidth="1"/>
    <col min="14608" max="14848" width="8" style="16" customWidth="1"/>
    <col min="14849" max="14849" width="5.25" style="16" customWidth="1"/>
    <col min="14850" max="14850" width="8.625" style="16" customWidth="1"/>
    <col min="14851" max="14851" width="19.5" style="16" customWidth="1"/>
    <col min="14852" max="14852" width="6.25" style="16" customWidth="1"/>
    <col min="14853" max="14853" width="3.125" style="16" customWidth="1"/>
    <col min="14854" max="14854" width="6.125" style="16" customWidth="1"/>
    <col min="14855" max="14855" width="8.375" style="16" customWidth="1"/>
    <col min="14856" max="14856" width="8.875" style="16" customWidth="1"/>
    <col min="14857" max="14857" width="9.875" style="16" customWidth="1"/>
    <col min="14858" max="14858" width="8.375" style="16" customWidth="1"/>
    <col min="14859" max="14859" width="0.875" style="16" customWidth="1"/>
    <col min="14860" max="14860" width="9" style="16" customWidth="1"/>
    <col min="14861" max="14861" width="9.625" style="16" customWidth="1"/>
    <col min="14862" max="14862" width="11" style="16" customWidth="1"/>
    <col min="14863" max="14863" width="11.125" style="16" customWidth="1"/>
    <col min="14864" max="15104" width="8" style="16" customWidth="1"/>
    <col min="15105" max="15105" width="5.25" style="16" customWidth="1"/>
    <col min="15106" max="15106" width="8.625" style="16" customWidth="1"/>
    <col min="15107" max="15107" width="19.5" style="16" customWidth="1"/>
    <col min="15108" max="15108" width="6.25" style="16" customWidth="1"/>
    <col min="15109" max="15109" width="3.125" style="16" customWidth="1"/>
    <col min="15110" max="15110" width="6.125" style="16" customWidth="1"/>
    <col min="15111" max="15111" width="8.375" style="16" customWidth="1"/>
    <col min="15112" max="15112" width="8.875" style="16" customWidth="1"/>
    <col min="15113" max="15113" width="9.875" style="16" customWidth="1"/>
    <col min="15114" max="15114" width="8.375" style="16" customWidth="1"/>
    <col min="15115" max="15115" width="0.875" style="16" customWidth="1"/>
    <col min="15116" max="15116" width="9" style="16" customWidth="1"/>
    <col min="15117" max="15117" width="9.625" style="16" customWidth="1"/>
    <col min="15118" max="15118" width="11" style="16" customWidth="1"/>
    <col min="15119" max="15119" width="11.125" style="16" customWidth="1"/>
    <col min="15120" max="15360" width="8" style="16" customWidth="1"/>
    <col min="15361" max="15361" width="5.25" style="16" customWidth="1"/>
    <col min="15362" max="15362" width="8.625" style="16" customWidth="1"/>
    <col min="15363" max="15363" width="19.5" style="16" customWidth="1"/>
    <col min="15364" max="15364" width="6.25" style="16" customWidth="1"/>
    <col min="15365" max="15365" width="3.125" style="16" customWidth="1"/>
    <col min="15366" max="15366" width="6.125" style="16" customWidth="1"/>
    <col min="15367" max="15367" width="8.375" style="16" customWidth="1"/>
    <col min="15368" max="15368" width="8.875" style="16" customWidth="1"/>
    <col min="15369" max="15369" width="9.875" style="16" customWidth="1"/>
    <col min="15370" max="15370" width="8.375" style="16" customWidth="1"/>
    <col min="15371" max="15371" width="0.875" style="16" customWidth="1"/>
    <col min="15372" max="15372" width="9" style="16" customWidth="1"/>
    <col min="15373" max="15373" width="9.625" style="16" customWidth="1"/>
    <col min="15374" max="15374" width="11" style="16" customWidth="1"/>
    <col min="15375" max="15375" width="11.125" style="16" customWidth="1"/>
    <col min="15376" max="15616" width="8" style="16" customWidth="1"/>
    <col min="15617" max="15617" width="5.25" style="16" customWidth="1"/>
    <col min="15618" max="15618" width="8.625" style="16" customWidth="1"/>
    <col min="15619" max="15619" width="19.5" style="16" customWidth="1"/>
    <col min="15620" max="15620" width="6.25" style="16" customWidth="1"/>
    <col min="15621" max="15621" width="3.125" style="16" customWidth="1"/>
    <col min="15622" max="15622" width="6.125" style="16" customWidth="1"/>
    <col min="15623" max="15623" width="8.375" style="16" customWidth="1"/>
    <col min="15624" max="15624" width="8.875" style="16" customWidth="1"/>
    <col min="15625" max="15625" width="9.875" style="16" customWidth="1"/>
    <col min="15626" max="15626" width="8.375" style="16" customWidth="1"/>
    <col min="15627" max="15627" width="0.875" style="16" customWidth="1"/>
    <col min="15628" max="15628" width="9" style="16" customWidth="1"/>
    <col min="15629" max="15629" width="9.625" style="16" customWidth="1"/>
    <col min="15630" max="15630" width="11" style="16" customWidth="1"/>
    <col min="15631" max="15631" width="11.125" style="16" customWidth="1"/>
    <col min="15632" max="15872" width="8" style="16" customWidth="1"/>
    <col min="15873" max="15873" width="5.25" style="16" customWidth="1"/>
    <col min="15874" max="15874" width="8.625" style="16" customWidth="1"/>
    <col min="15875" max="15875" width="19.5" style="16" customWidth="1"/>
    <col min="15876" max="15876" width="6.25" style="16" customWidth="1"/>
    <col min="15877" max="15877" width="3.125" style="16" customWidth="1"/>
    <col min="15878" max="15878" width="6.125" style="16" customWidth="1"/>
    <col min="15879" max="15879" width="8.375" style="16" customWidth="1"/>
    <col min="15880" max="15880" width="8.875" style="16" customWidth="1"/>
    <col min="15881" max="15881" width="9.875" style="16" customWidth="1"/>
    <col min="15882" max="15882" width="8.375" style="16" customWidth="1"/>
    <col min="15883" max="15883" width="0.875" style="16" customWidth="1"/>
    <col min="15884" max="15884" width="9" style="16" customWidth="1"/>
    <col min="15885" max="15885" width="9.625" style="16" customWidth="1"/>
    <col min="15886" max="15886" width="11" style="16" customWidth="1"/>
    <col min="15887" max="15887" width="11.125" style="16" customWidth="1"/>
    <col min="15888" max="16128" width="8" style="16" customWidth="1"/>
    <col min="16129" max="16129" width="5.25" style="16" customWidth="1"/>
    <col min="16130" max="16130" width="8.625" style="16" customWidth="1"/>
    <col min="16131" max="16131" width="19.5" style="16" customWidth="1"/>
    <col min="16132" max="16132" width="6.25" style="16" customWidth="1"/>
    <col min="16133" max="16133" width="3.125" style="16" customWidth="1"/>
    <col min="16134" max="16134" width="6.125" style="16" customWidth="1"/>
    <col min="16135" max="16135" width="8.375" style="16" customWidth="1"/>
    <col min="16136" max="16136" width="8.875" style="16" customWidth="1"/>
    <col min="16137" max="16137" width="9.875" style="16" customWidth="1"/>
    <col min="16138" max="16138" width="8.375" style="16" customWidth="1"/>
    <col min="16139" max="16139" width="0.875" style="16" customWidth="1"/>
    <col min="16140" max="16140" width="9" style="16" customWidth="1"/>
    <col min="16141" max="16141" width="9.625" style="16" customWidth="1"/>
    <col min="16142" max="16142" width="11" style="16" customWidth="1"/>
    <col min="16143" max="16143" width="11.125" style="16" customWidth="1"/>
    <col min="16144" max="16384" width="8" style="16" customWidth="1"/>
  </cols>
  <sheetData>
    <row r="1" spans="1:15" ht="35.25" customHeight="1">
      <c r="A1" s="377" t="s">
        <v>291</v>
      </c>
      <c r="B1" s="377" t="s">
        <v>110</v>
      </c>
      <c r="C1" s="377" t="s">
        <v>110</v>
      </c>
      <c r="D1" s="377" t="s">
        <v>110</v>
      </c>
      <c r="E1" s="377" t="s">
        <v>110</v>
      </c>
      <c r="F1" s="377" t="s">
        <v>110</v>
      </c>
      <c r="G1" s="377" t="s">
        <v>110</v>
      </c>
      <c r="H1" s="377" t="s">
        <v>110</v>
      </c>
      <c r="I1" s="377" t="s">
        <v>110</v>
      </c>
      <c r="J1" s="377" t="s">
        <v>110</v>
      </c>
      <c r="K1" s="377" t="s">
        <v>110</v>
      </c>
      <c r="L1" s="377" t="s">
        <v>110</v>
      </c>
      <c r="M1" s="377" t="s">
        <v>110</v>
      </c>
      <c r="N1" s="377" t="s">
        <v>110</v>
      </c>
      <c r="O1" s="377" t="s">
        <v>110</v>
      </c>
    </row>
    <row r="2" spans="1:15" ht="29.25" customHeight="1" thickBot="1">
      <c r="A2" s="372" t="s">
        <v>170</v>
      </c>
      <c r="B2" s="372" t="s">
        <v>110</v>
      </c>
      <c r="C2" s="372" t="s">
        <v>110</v>
      </c>
      <c r="D2" s="372" t="s">
        <v>110</v>
      </c>
      <c r="E2" s="372" t="s">
        <v>110</v>
      </c>
      <c r="F2" s="372" t="s">
        <v>110</v>
      </c>
      <c r="G2" s="372" t="s">
        <v>110</v>
      </c>
      <c r="H2" s="372" t="s">
        <v>110</v>
      </c>
      <c r="I2" s="372" t="s">
        <v>110</v>
      </c>
      <c r="J2" s="372" t="s">
        <v>110</v>
      </c>
      <c r="K2" s="367" t="s">
        <v>213</v>
      </c>
      <c r="L2" s="367" t="s">
        <v>110</v>
      </c>
      <c r="M2" s="367" t="s">
        <v>110</v>
      </c>
      <c r="N2" s="367" t="s">
        <v>110</v>
      </c>
      <c r="O2" s="367" t="s">
        <v>110</v>
      </c>
    </row>
    <row r="3" spans="1:15" ht="19.5" customHeight="1">
      <c r="A3" s="378" t="s">
        <v>112</v>
      </c>
      <c r="B3" s="371" t="s">
        <v>292</v>
      </c>
      <c r="C3" s="371" t="s">
        <v>293</v>
      </c>
      <c r="D3" s="371" t="s">
        <v>294</v>
      </c>
      <c r="E3" s="371" t="s">
        <v>110</v>
      </c>
      <c r="F3" s="371" t="s">
        <v>110</v>
      </c>
      <c r="G3" s="371" t="s">
        <v>295</v>
      </c>
      <c r="H3" s="371" t="s">
        <v>110</v>
      </c>
      <c r="I3" s="371" t="s">
        <v>296</v>
      </c>
      <c r="J3" s="371" t="s">
        <v>110</v>
      </c>
      <c r="K3" s="371" t="s">
        <v>110</v>
      </c>
      <c r="L3" s="371" t="s">
        <v>110</v>
      </c>
      <c r="M3" s="371" t="s">
        <v>110</v>
      </c>
      <c r="N3" s="371" t="s">
        <v>110</v>
      </c>
      <c r="O3" s="381" t="s">
        <v>297</v>
      </c>
    </row>
    <row r="4" spans="1:15" ht="18" customHeight="1">
      <c r="A4" s="379" t="s">
        <v>110</v>
      </c>
      <c r="B4" s="380" t="s">
        <v>110</v>
      </c>
      <c r="C4" s="380" t="s">
        <v>110</v>
      </c>
      <c r="D4" s="136" t="s">
        <v>133</v>
      </c>
      <c r="E4" s="380" t="s">
        <v>134</v>
      </c>
      <c r="F4" s="380" t="s">
        <v>110</v>
      </c>
      <c r="G4" s="136" t="s">
        <v>298</v>
      </c>
      <c r="H4" s="136" t="s">
        <v>299</v>
      </c>
      <c r="I4" s="136" t="s">
        <v>300</v>
      </c>
      <c r="J4" s="380" t="s">
        <v>301</v>
      </c>
      <c r="K4" s="380" t="s">
        <v>110</v>
      </c>
      <c r="L4" s="136" t="s">
        <v>302</v>
      </c>
      <c r="M4" s="136" t="s">
        <v>303</v>
      </c>
      <c r="N4" s="136" t="s">
        <v>304</v>
      </c>
      <c r="O4" s="382" t="s">
        <v>110</v>
      </c>
    </row>
    <row r="5" spans="1:15" ht="16.5" customHeight="1">
      <c r="A5" s="137" t="s">
        <v>110</v>
      </c>
      <c r="B5" s="138" t="s">
        <v>110</v>
      </c>
      <c r="C5" s="193" t="s">
        <v>165</v>
      </c>
      <c r="D5" s="138" t="s">
        <v>110</v>
      </c>
      <c r="E5" s="373" t="s">
        <v>110</v>
      </c>
      <c r="F5" s="373" t="s">
        <v>110</v>
      </c>
      <c r="G5" s="140" t="s">
        <v>110</v>
      </c>
      <c r="H5" s="140">
        <v>757360.37</v>
      </c>
      <c r="I5" s="140">
        <v>560038.56999999995</v>
      </c>
      <c r="J5" s="373">
        <v>163623.04999999999</v>
      </c>
      <c r="K5" s="373" t="s">
        <v>110</v>
      </c>
      <c r="L5" s="140">
        <v>33698.74</v>
      </c>
      <c r="M5" s="140">
        <v>2136450.16</v>
      </c>
      <c r="N5" s="140" t="s">
        <v>110</v>
      </c>
      <c r="O5" s="141">
        <v>6797.6203999999998</v>
      </c>
    </row>
    <row r="6" spans="1:15" ht="29.25" customHeight="1">
      <c r="A6" s="137">
        <v>1</v>
      </c>
      <c r="B6" s="138" t="s">
        <v>547</v>
      </c>
      <c r="C6" s="139" t="s">
        <v>548</v>
      </c>
      <c r="D6" s="138" t="s">
        <v>166</v>
      </c>
      <c r="E6" s="373">
        <v>10.4</v>
      </c>
      <c r="F6" s="373" t="s">
        <v>110</v>
      </c>
      <c r="G6" s="140">
        <v>261.42</v>
      </c>
      <c r="H6" s="140">
        <v>2718.77</v>
      </c>
      <c r="I6" s="140">
        <v>2198.14</v>
      </c>
      <c r="J6" s="373">
        <v>520.62</v>
      </c>
      <c r="K6" s="373" t="s">
        <v>110</v>
      </c>
      <c r="L6" s="140" t="s">
        <v>110</v>
      </c>
      <c r="M6" s="140">
        <v>63024</v>
      </c>
      <c r="N6" s="140" t="s">
        <v>110</v>
      </c>
      <c r="O6" s="141">
        <v>27.04</v>
      </c>
    </row>
    <row r="7" spans="1:15" ht="29.25" customHeight="1">
      <c r="A7" s="137" t="s">
        <v>110</v>
      </c>
      <c r="B7" s="138" t="s">
        <v>154</v>
      </c>
      <c r="C7" s="139" t="s">
        <v>549</v>
      </c>
      <c r="D7" s="138" t="s">
        <v>153</v>
      </c>
      <c r="E7" s="373">
        <v>105.04</v>
      </c>
      <c r="F7" s="373" t="s">
        <v>110</v>
      </c>
      <c r="G7" s="140">
        <v>600</v>
      </c>
      <c r="H7" s="140">
        <v>63024</v>
      </c>
      <c r="I7" s="140" t="s">
        <v>110</v>
      </c>
      <c r="J7" s="373" t="s">
        <v>110</v>
      </c>
      <c r="K7" s="373" t="s">
        <v>110</v>
      </c>
      <c r="L7" s="140" t="s">
        <v>110</v>
      </c>
      <c r="M7" s="140">
        <v>63024</v>
      </c>
      <c r="N7" s="140" t="s">
        <v>110</v>
      </c>
      <c r="O7" s="141" t="s">
        <v>110</v>
      </c>
    </row>
    <row r="8" spans="1:15" ht="29.25" customHeight="1">
      <c r="A8" s="137">
        <v>2</v>
      </c>
      <c r="B8" s="138" t="s">
        <v>547</v>
      </c>
      <c r="C8" s="139" t="s">
        <v>550</v>
      </c>
      <c r="D8" s="138" t="s">
        <v>166</v>
      </c>
      <c r="E8" s="373">
        <v>26</v>
      </c>
      <c r="F8" s="373" t="s">
        <v>110</v>
      </c>
      <c r="G8" s="140">
        <v>261.42</v>
      </c>
      <c r="H8" s="140">
        <v>6796.92</v>
      </c>
      <c r="I8" s="140">
        <v>5495.36</v>
      </c>
      <c r="J8" s="373">
        <v>1301.56</v>
      </c>
      <c r="K8" s="373" t="s">
        <v>110</v>
      </c>
      <c r="L8" s="140" t="s">
        <v>110</v>
      </c>
      <c r="M8" s="140">
        <v>118170</v>
      </c>
      <c r="N8" s="140" t="s">
        <v>110</v>
      </c>
      <c r="O8" s="141">
        <v>67.599999999999994</v>
      </c>
    </row>
    <row r="9" spans="1:15" ht="29.25" customHeight="1">
      <c r="A9" s="137" t="s">
        <v>110</v>
      </c>
      <c r="B9" s="138" t="s">
        <v>154</v>
      </c>
      <c r="C9" s="139" t="s">
        <v>551</v>
      </c>
      <c r="D9" s="138" t="s">
        <v>153</v>
      </c>
      <c r="E9" s="373">
        <v>262.60000000000002</v>
      </c>
      <c r="F9" s="373" t="s">
        <v>110</v>
      </c>
      <c r="G9" s="140">
        <v>450</v>
      </c>
      <c r="H9" s="140">
        <v>118170</v>
      </c>
      <c r="I9" s="140" t="s">
        <v>110</v>
      </c>
      <c r="J9" s="373" t="s">
        <v>110</v>
      </c>
      <c r="K9" s="373" t="s">
        <v>110</v>
      </c>
      <c r="L9" s="140" t="s">
        <v>110</v>
      </c>
      <c r="M9" s="140">
        <v>118170</v>
      </c>
      <c r="N9" s="140" t="s">
        <v>110</v>
      </c>
      <c r="O9" s="141" t="s">
        <v>110</v>
      </c>
    </row>
    <row r="10" spans="1:15" ht="29.25" customHeight="1">
      <c r="A10" s="137">
        <v>3</v>
      </c>
      <c r="B10" s="138" t="s">
        <v>547</v>
      </c>
      <c r="C10" s="139" t="s">
        <v>552</v>
      </c>
      <c r="D10" s="138" t="s">
        <v>166</v>
      </c>
      <c r="E10" s="373">
        <v>1.2</v>
      </c>
      <c r="F10" s="373" t="s">
        <v>110</v>
      </c>
      <c r="G10" s="140">
        <v>261.42</v>
      </c>
      <c r="H10" s="140">
        <v>313.7</v>
      </c>
      <c r="I10" s="140">
        <v>253.63</v>
      </c>
      <c r="J10" s="373">
        <v>60.07</v>
      </c>
      <c r="K10" s="373" t="s">
        <v>110</v>
      </c>
      <c r="L10" s="140" t="s">
        <v>110</v>
      </c>
      <c r="M10" s="140">
        <v>3878.4</v>
      </c>
      <c r="N10" s="140" t="s">
        <v>110</v>
      </c>
      <c r="O10" s="141">
        <v>3.12</v>
      </c>
    </row>
    <row r="11" spans="1:15" ht="29.25" customHeight="1">
      <c r="A11" s="137" t="s">
        <v>110</v>
      </c>
      <c r="B11" s="138" t="s">
        <v>154</v>
      </c>
      <c r="C11" s="139" t="s">
        <v>552</v>
      </c>
      <c r="D11" s="138" t="s">
        <v>153</v>
      </c>
      <c r="E11" s="373">
        <v>12.12</v>
      </c>
      <c r="F11" s="373" t="s">
        <v>110</v>
      </c>
      <c r="G11" s="140">
        <v>320</v>
      </c>
      <c r="H11" s="140">
        <v>3878.4</v>
      </c>
      <c r="I11" s="140" t="s">
        <v>110</v>
      </c>
      <c r="J11" s="373" t="s">
        <v>110</v>
      </c>
      <c r="K11" s="373" t="s">
        <v>110</v>
      </c>
      <c r="L11" s="140" t="s">
        <v>110</v>
      </c>
      <c r="M11" s="140">
        <v>3878.4</v>
      </c>
      <c r="N11" s="140" t="s">
        <v>110</v>
      </c>
      <c r="O11" s="141" t="s">
        <v>110</v>
      </c>
    </row>
    <row r="12" spans="1:15" ht="29.25" customHeight="1">
      <c r="A12" s="137">
        <v>4</v>
      </c>
      <c r="B12" s="138" t="s">
        <v>547</v>
      </c>
      <c r="C12" s="139" t="s">
        <v>553</v>
      </c>
      <c r="D12" s="138" t="s">
        <v>166</v>
      </c>
      <c r="E12" s="373">
        <v>4.2</v>
      </c>
      <c r="F12" s="373" t="s">
        <v>110</v>
      </c>
      <c r="G12" s="140">
        <v>261.42</v>
      </c>
      <c r="H12" s="140">
        <v>1097.96</v>
      </c>
      <c r="I12" s="140">
        <v>887.71</v>
      </c>
      <c r="J12" s="373">
        <v>210.25</v>
      </c>
      <c r="K12" s="373" t="s">
        <v>110</v>
      </c>
      <c r="L12" s="140" t="s">
        <v>110</v>
      </c>
      <c r="M12" s="140">
        <v>14847</v>
      </c>
      <c r="N12" s="140" t="s">
        <v>110</v>
      </c>
      <c r="O12" s="141">
        <v>10.92</v>
      </c>
    </row>
    <row r="13" spans="1:15" ht="29.25" customHeight="1">
      <c r="A13" s="137" t="s">
        <v>110</v>
      </c>
      <c r="B13" s="138" t="s">
        <v>154</v>
      </c>
      <c r="C13" s="139" t="s">
        <v>553</v>
      </c>
      <c r="D13" s="138" t="s">
        <v>153</v>
      </c>
      <c r="E13" s="373">
        <v>42.42</v>
      </c>
      <c r="F13" s="373" t="s">
        <v>110</v>
      </c>
      <c r="G13" s="140">
        <v>350</v>
      </c>
      <c r="H13" s="140">
        <v>14847</v>
      </c>
      <c r="I13" s="140" t="s">
        <v>110</v>
      </c>
      <c r="J13" s="373" t="s">
        <v>110</v>
      </c>
      <c r="K13" s="373" t="s">
        <v>110</v>
      </c>
      <c r="L13" s="140" t="s">
        <v>110</v>
      </c>
      <c r="M13" s="140">
        <v>14847</v>
      </c>
      <c r="N13" s="140" t="s">
        <v>110</v>
      </c>
      <c r="O13" s="141" t="s">
        <v>110</v>
      </c>
    </row>
    <row r="14" spans="1:15" ht="29.25" customHeight="1">
      <c r="A14" s="137">
        <v>5</v>
      </c>
      <c r="B14" s="138" t="s">
        <v>554</v>
      </c>
      <c r="C14" s="139" t="s">
        <v>555</v>
      </c>
      <c r="D14" s="138" t="s">
        <v>166</v>
      </c>
      <c r="E14" s="373">
        <v>2.4</v>
      </c>
      <c r="F14" s="373" t="s">
        <v>110</v>
      </c>
      <c r="G14" s="140">
        <v>220.47</v>
      </c>
      <c r="H14" s="140">
        <v>529.13</v>
      </c>
      <c r="I14" s="140">
        <v>353.57</v>
      </c>
      <c r="J14" s="373">
        <v>175.56</v>
      </c>
      <c r="K14" s="373" t="s">
        <v>110</v>
      </c>
      <c r="L14" s="140" t="s">
        <v>110</v>
      </c>
      <c r="M14" s="140">
        <v>2908.8</v>
      </c>
      <c r="N14" s="140" t="s">
        <v>110</v>
      </c>
      <c r="O14" s="141">
        <v>4.3440000000000003</v>
      </c>
    </row>
    <row r="15" spans="1:15" ht="29.25" customHeight="1">
      <c r="A15" s="137" t="s">
        <v>110</v>
      </c>
      <c r="B15" s="138" t="s">
        <v>154</v>
      </c>
      <c r="C15" s="139" t="s">
        <v>555</v>
      </c>
      <c r="D15" s="138" t="s">
        <v>153</v>
      </c>
      <c r="E15" s="373">
        <v>24.24</v>
      </c>
      <c r="F15" s="373" t="s">
        <v>110</v>
      </c>
      <c r="G15" s="140">
        <v>120</v>
      </c>
      <c r="H15" s="140">
        <v>2908.8</v>
      </c>
      <c r="I15" s="140" t="s">
        <v>110</v>
      </c>
      <c r="J15" s="373" t="s">
        <v>110</v>
      </c>
      <c r="K15" s="373" t="s">
        <v>110</v>
      </c>
      <c r="L15" s="140" t="s">
        <v>110</v>
      </c>
      <c r="M15" s="140">
        <v>2908.8</v>
      </c>
      <c r="N15" s="140" t="s">
        <v>110</v>
      </c>
      <c r="O15" s="141" t="s">
        <v>110</v>
      </c>
    </row>
    <row r="16" spans="1:15" ht="29.25" customHeight="1">
      <c r="A16" s="137">
        <v>6</v>
      </c>
      <c r="B16" s="138" t="s">
        <v>556</v>
      </c>
      <c r="C16" s="139" t="s">
        <v>557</v>
      </c>
      <c r="D16" s="138" t="s">
        <v>166</v>
      </c>
      <c r="E16" s="373">
        <v>1.5</v>
      </c>
      <c r="F16" s="373" t="s">
        <v>110</v>
      </c>
      <c r="G16" s="140">
        <v>315.39</v>
      </c>
      <c r="H16" s="140">
        <v>473.09</v>
      </c>
      <c r="I16" s="140">
        <v>358.55</v>
      </c>
      <c r="J16" s="373">
        <v>114.54</v>
      </c>
      <c r="K16" s="373" t="s">
        <v>110</v>
      </c>
      <c r="L16" s="140" t="s">
        <v>110</v>
      </c>
      <c r="M16" s="140">
        <v>5454</v>
      </c>
      <c r="N16" s="140" t="s">
        <v>110</v>
      </c>
      <c r="O16" s="141">
        <v>4.407</v>
      </c>
    </row>
    <row r="17" spans="1:15" ht="29.25" customHeight="1">
      <c r="A17" s="137" t="s">
        <v>110</v>
      </c>
      <c r="B17" s="138" t="s">
        <v>154</v>
      </c>
      <c r="C17" s="139" t="s">
        <v>557</v>
      </c>
      <c r="D17" s="138" t="s">
        <v>153</v>
      </c>
      <c r="E17" s="373">
        <v>15.15</v>
      </c>
      <c r="F17" s="373" t="s">
        <v>110</v>
      </c>
      <c r="G17" s="140">
        <v>360</v>
      </c>
      <c r="H17" s="140">
        <v>5454</v>
      </c>
      <c r="I17" s="140" t="s">
        <v>110</v>
      </c>
      <c r="J17" s="373" t="s">
        <v>110</v>
      </c>
      <c r="K17" s="373" t="s">
        <v>110</v>
      </c>
      <c r="L17" s="140" t="s">
        <v>110</v>
      </c>
      <c r="M17" s="140">
        <v>5454</v>
      </c>
      <c r="N17" s="140" t="s">
        <v>110</v>
      </c>
      <c r="O17" s="141" t="s">
        <v>110</v>
      </c>
    </row>
    <row r="18" spans="1:15" ht="22.5" customHeight="1" thickBot="1">
      <c r="A18" s="192">
        <v>7</v>
      </c>
      <c r="B18" s="194" t="s">
        <v>558</v>
      </c>
      <c r="C18" s="195" t="s">
        <v>559</v>
      </c>
      <c r="D18" s="194" t="s">
        <v>166</v>
      </c>
      <c r="E18" s="376">
        <v>47.9</v>
      </c>
      <c r="F18" s="376" t="s">
        <v>110</v>
      </c>
      <c r="G18" s="142">
        <v>266.33</v>
      </c>
      <c r="H18" s="142">
        <v>12757.21</v>
      </c>
      <c r="I18" s="142">
        <v>9287.33</v>
      </c>
      <c r="J18" s="376">
        <v>3469.88</v>
      </c>
      <c r="K18" s="376" t="s">
        <v>110</v>
      </c>
      <c r="L18" s="142" t="s">
        <v>110</v>
      </c>
      <c r="M18" s="142">
        <v>116109.6</v>
      </c>
      <c r="N18" s="142" t="s">
        <v>110</v>
      </c>
      <c r="O18" s="143">
        <v>114.14570000000001</v>
      </c>
    </row>
    <row r="19" spans="1:15" ht="16.5" customHeight="1">
      <c r="A19" s="372" t="s">
        <v>288</v>
      </c>
      <c r="B19" s="372" t="s">
        <v>110</v>
      </c>
      <c r="C19" s="372" t="s">
        <v>110</v>
      </c>
      <c r="D19" s="372" t="s">
        <v>110</v>
      </c>
      <c r="E19" s="372" t="s">
        <v>110</v>
      </c>
      <c r="F19" s="366" t="s">
        <v>289</v>
      </c>
      <c r="G19" s="366" t="s">
        <v>110</v>
      </c>
      <c r="H19" s="366" t="s">
        <v>110</v>
      </c>
      <c r="I19" s="366" t="s">
        <v>110</v>
      </c>
      <c r="J19" s="366" t="s">
        <v>110</v>
      </c>
      <c r="K19" s="367" t="s">
        <v>290</v>
      </c>
      <c r="L19" s="367" t="s">
        <v>110</v>
      </c>
      <c r="M19" s="367" t="s">
        <v>110</v>
      </c>
      <c r="N19" s="367" t="s">
        <v>110</v>
      </c>
      <c r="O19" s="367" t="s">
        <v>110</v>
      </c>
    </row>
    <row r="20" spans="1:15" ht="35.25" customHeight="1">
      <c r="A20" s="377" t="s">
        <v>291</v>
      </c>
      <c r="B20" s="377" t="s">
        <v>110</v>
      </c>
      <c r="C20" s="377" t="s">
        <v>110</v>
      </c>
      <c r="D20" s="377" t="s">
        <v>110</v>
      </c>
      <c r="E20" s="377" t="s">
        <v>110</v>
      </c>
      <c r="F20" s="377" t="s">
        <v>110</v>
      </c>
      <c r="G20" s="377" t="s">
        <v>110</v>
      </c>
      <c r="H20" s="377" t="s">
        <v>110</v>
      </c>
      <c r="I20" s="377" t="s">
        <v>110</v>
      </c>
      <c r="J20" s="377" t="s">
        <v>110</v>
      </c>
      <c r="K20" s="377" t="s">
        <v>110</v>
      </c>
      <c r="L20" s="377" t="s">
        <v>110</v>
      </c>
      <c r="M20" s="377" t="s">
        <v>110</v>
      </c>
      <c r="N20" s="377" t="s">
        <v>110</v>
      </c>
      <c r="O20" s="377" t="s">
        <v>110</v>
      </c>
    </row>
    <row r="21" spans="1:15" ht="29.25" customHeight="1" thickBot="1">
      <c r="A21" s="372" t="s">
        <v>170</v>
      </c>
      <c r="B21" s="372" t="s">
        <v>110</v>
      </c>
      <c r="C21" s="372" t="s">
        <v>110</v>
      </c>
      <c r="D21" s="372" t="s">
        <v>110</v>
      </c>
      <c r="E21" s="372" t="s">
        <v>110</v>
      </c>
      <c r="F21" s="372" t="s">
        <v>110</v>
      </c>
      <c r="G21" s="372" t="s">
        <v>110</v>
      </c>
      <c r="H21" s="372" t="s">
        <v>110</v>
      </c>
      <c r="I21" s="372" t="s">
        <v>110</v>
      </c>
      <c r="J21" s="372" t="s">
        <v>110</v>
      </c>
      <c r="K21" s="367" t="s">
        <v>214</v>
      </c>
      <c r="L21" s="367" t="s">
        <v>110</v>
      </c>
      <c r="M21" s="367" t="s">
        <v>110</v>
      </c>
      <c r="N21" s="367" t="s">
        <v>110</v>
      </c>
      <c r="O21" s="367" t="s">
        <v>110</v>
      </c>
    </row>
    <row r="22" spans="1:15" ht="19.5" customHeight="1">
      <c r="A22" s="378" t="s">
        <v>112</v>
      </c>
      <c r="B22" s="371" t="s">
        <v>292</v>
      </c>
      <c r="C22" s="371" t="s">
        <v>293</v>
      </c>
      <c r="D22" s="371" t="s">
        <v>294</v>
      </c>
      <c r="E22" s="371" t="s">
        <v>110</v>
      </c>
      <c r="F22" s="371" t="s">
        <v>110</v>
      </c>
      <c r="G22" s="371" t="s">
        <v>295</v>
      </c>
      <c r="H22" s="371" t="s">
        <v>110</v>
      </c>
      <c r="I22" s="371" t="s">
        <v>296</v>
      </c>
      <c r="J22" s="371" t="s">
        <v>110</v>
      </c>
      <c r="K22" s="371" t="s">
        <v>110</v>
      </c>
      <c r="L22" s="371" t="s">
        <v>110</v>
      </c>
      <c r="M22" s="371" t="s">
        <v>110</v>
      </c>
      <c r="N22" s="371" t="s">
        <v>110</v>
      </c>
      <c r="O22" s="381" t="s">
        <v>297</v>
      </c>
    </row>
    <row r="23" spans="1:15" ht="18" customHeight="1">
      <c r="A23" s="379" t="s">
        <v>110</v>
      </c>
      <c r="B23" s="380" t="s">
        <v>110</v>
      </c>
      <c r="C23" s="380" t="s">
        <v>110</v>
      </c>
      <c r="D23" s="136" t="s">
        <v>133</v>
      </c>
      <c r="E23" s="380" t="s">
        <v>134</v>
      </c>
      <c r="F23" s="380" t="s">
        <v>110</v>
      </c>
      <c r="G23" s="136" t="s">
        <v>298</v>
      </c>
      <c r="H23" s="136" t="s">
        <v>299</v>
      </c>
      <c r="I23" s="136" t="s">
        <v>300</v>
      </c>
      <c r="J23" s="380" t="s">
        <v>301</v>
      </c>
      <c r="K23" s="380" t="s">
        <v>110</v>
      </c>
      <c r="L23" s="136" t="s">
        <v>302</v>
      </c>
      <c r="M23" s="136" t="s">
        <v>303</v>
      </c>
      <c r="N23" s="136" t="s">
        <v>304</v>
      </c>
      <c r="O23" s="382" t="s">
        <v>110</v>
      </c>
    </row>
    <row r="24" spans="1:15" ht="19.5" customHeight="1">
      <c r="A24" s="137" t="s">
        <v>110</v>
      </c>
      <c r="B24" s="138" t="s">
        <v>110</v>
      </c>
      <c r="C24" s="139" t="s">
        <v>560</v>
      </c>
      <c r="D24" s="138" t="s">
        <v>110</v>
      </c>
      <c r="E24" s="373" t="s">
        <v>110</v>
      </c>
      <c r="F24" s="373" t="s">
        <v>110</v>
      </c>
      <c r="G24" s="140" t="s">
        <v>110</v>
      </c>
      <c r="H24" s="140" t="s">
        <v>110</v>
      </c>
      <c r="I24" s="140" t="s">
        <v>110</v>
      </c>
      <c r="J24" s="373" t="s">
        <v>110</v>
      </c>
      <c r="K24" s="373" t="s">
        <v>110</v>
      </c>
      <c r="L24" s="140" t="s">
        <v>110</v>
      </c>
      <c r="M24" s="140" t="s">
        <v>110</v>
      </c>
      <c r="N24" s="140" t="s">
        <v>110</v>
      </c>
      <c r="O24" s="141" t="s">
        <v>110</v>
      </c>
    </row>
    <row r="25" spans="1:15" ht="29.25" customHeight="1">
      <c r="A25" s="137" t="s">
        <v>110</v>
      </c>
      <c r="B25" s="138" t="s">
        <v>154</v>
      </c>
      <c r="C25" s="139" t="s">
        <v>561</v>
      </c>
      <c r="D25" s="138" t="s">
        <v>153</v>
      </c>
      <c r="E25" s="373">
        <v>483.79</v>
      </c>
      <c r="F25" s="373" t="s">
        <v>110</v>
      </c>
      <c r="G25" s="140">
        <v>240</v>
      </c>
      <c r="H25" s="140">
        <v>116109.6</v>
      </c>
      <c r="I25" s="140" t="s">
        <v>110</v>
      </c>
      <c r="J25" s="373" t="s">
        <v>110</v>
      </c>
      <c r="K25" s="373" t="s">
        <v>110</v>
      </c>
      <c r="L25" s="140" t="s">
        <v>110</v>
      </c>
      <c r="M25" s="140">
        <v>116109.6</v>
      </c>
      <c r="N25" s="140" t="s">
        <v>110</v>
      </c>
      <c r="O25" s="141" t="s">
        <v>110</v>
      </c>
    </row>
    <row r="26" spans="1:15" ht="29.25" customHeight="1">
      <c r="A26" s="137">
        <v>8</v>
      </c>
      <c r="B26" s="138" t="s">
        <v>554</v>
      </c>
      <c r="C26" s="139" t="s">
        <v>562</v>
      </c>
      <c r="D26" s="138" t="s">
        <v>166</v>
      </c>
      <c r="E26" s="373">
        <v>15</v>
      </c>
      <c r="F26" s="373" t="s">
        <v>110</v>
      </c>
      <c r="G26" s="140">
        <v>220.47</v>
      </c>
      <c r="H26" s="140">
        <v>3307.05</v>
      </c>
      <c r="I26" s="140">
        <v>2209.8000000000002</v>
      </c>
      <c r="J26" s="373">
        <v>1097.25</v>
      </c>
      <c r="K26" s="373" t="s">
        <v>110</v>
      </c>
      <c r="L26" s="140" t="s">
        <v>110</v>
      </c>
      <c r="M26" s="140">
        <v>19695</v>
      </c>
      <c r="N26" s="140" t="s">
        <v>110</v>
      </c>
      <c r="O26" s="141">
        <v>27.15</v>
      </c>
    </row>
    <row r="27" spans="1:15" ht="29.25" customHeight="1">
      <c r="A27" s="137" t="s">
        <v>110</v>
      </c>
      <c r="B27" s="138" t="s">
        <v>154</v>
      </c>
      <c r="C27" s="139" t="s">
        <v>562</v>
      </c>
      <c r="D27" s="138" t="s">
        <v>153</v>
      </c>
      <c r="E27" s="373">
        <v>151.5</v>
      </c>
      <c r="F27" s="373" t="s">
        <v>110</v>
      </c>
      <c r="G27" s="140">
        <v>130</v>
      </c>
      <c r="H27" s="140">
        <v>19695</v>
      </c>
      <c r="I27" s="140" t="s">
        <v>110</v>
      </c>
      <c r="J27" s="373" t="s">
        <v>110</v>
      </c>
      <c r="K27" s="373" t="s">
        <v>110</v>
      </c>
      <c r="L27" s="140" t="s">
        <v>110</v>
      </c>
      <c r="M27" s="140">
        <v>19695</v>
      </c>
      <c r="N27" s="140" t="s">
        <v>110</v>
      </c>
      <c r="O27" s="141" t="s">
        <v>110</v>
      </c>
    </row>
    <row r="28" spans="1:15" ht="42" customHeight="1">
      <c r="A28" s="137">
        <v>9</v>
      </c>
      <c r="B28" s="138" t="s">
        <v>554</v>
      </c>
      <c r="C28" s="139" t="s">
        <v>563</v>
      </c>
      <c r="D28" s="138" t="s">
        <v>166</v>
      </c>
      <c r="E28" s="373">
        <v>5.0999999999999996</v>
      </c>
      <c r="F28" s="373" t="s">
        <v>110</v>
      </c>
      <c r="G28" s="140">
        <v>220.47</v>
      </c>
      <c r="H28" s="140">
        <v>1124.4000000000001</v>
      </c>
      <c r="I28" s="140">
        <v>751.33</v>
      </c>
      <c r="J28" s="373">
        <v>373.07</v>
      </c>
      <c r="K28" s="373" t="s">
        <v>110</v>
      </c>
      <c r="L28" s="140" t="s">
        <v>110</v>
      </c>
      <c r="M28" s="140">
        <v>9271.7999999999993</v>
      </c>
      <c r="N28" s="140" t="s">
        <v>110</v>
      </c>
      <c r="O28" s="141">
        <v>9.2309999999999999</v>
      </c>
    </row>
    <row r="29" spans="1:15" ht="42" customHeight="1">
      <c r="A29" s="137" t="s">
        <v>110</v>
      </c>
      <c r="B29" s="138" t="s">
        <v>154</v>
      </c>
      <c r="C29" s="139" t="s">
        <v>563</v>
      </c>
      <c r="D29" s="138" t="s">
        <v>153</v>
      </c>
      <c r="E29" s="373">
        <v>51.51</v>
      </c>
      <c r="F29" s="373" t="s">
        <v>110</v>
      </c>
      <c r="G29" s="140">
        <v>180</v>
      </c>
      <c r="H29" s="140">
        <v>9271.7999999999993</v>
      </c>
      <c r="I29" s="140" t="s">
        <v>110</v>
      </c>
      <c r="J29" s="373" t="s">
        <v>110</v>
      </c>
      <c r="K29" s="373" t="s">
        <v>110</v>
      </c>
      <c r="L29" s="140" t="s">
        <v>110</v>
      </c>
      <c r="M29" s="140">
        <v>9271.7999999999993</v>
      </c>
      <c r="N29" s="140" t="s">
        <v>110</v>
      </c>
      <c r="O29" s="141" t="s">
        <v>110</v>
      </c>
    </row>
    <row r="30" spans="1:15" ht="42" customHeight="1">
      <c r="A30" s="137">
        <v>10</v>
      </c>
      <c r="B30" s="138" t="s">
        <v>554</v>
      </c>
      <c r="C30" s="139" t="s">
        <v>564</v>
      </c>
      <c r="D30" s="138" t="s">
        <v>166</v>
      </c>
      <c r="E30" s="373">
        <v>3</v>
      </c>
      <c r="F30" s="373" t="s">
        <v>110</v>
      </c>
      <c r="G30" s="140">
        <v>220.47</v>
      </c>
      <c r="H30" s="140">
        <v>661.41</v>
      </c>
      <c r="I30" s="140">
        <v>441.96</v>
      </c>
      <c r="J30" s="373">
        <v>219.45</v>
      </c>
      <c r="K30" s="373" t="s">
        <v>110</v>
      </c>
      <c r="L30" s="140" t="s">
        <v>110</v>
      </c>
      <c r="M30" s="140">
        <v>10908</v>
      </c>
      <c r="N30" s="140" t="s">
        <v>110</v>
      </c>
      <c r="O30" s="141">
        <v>5.43</v>
      </c>
    </row>
    <row r="31" spans="1:15" ht="42" customHeight="1">
      <c r="A31" s="137" t="s">
        <v>110</v>
      </c>
      <c r="B31" s="138" t="s">
        <v>154</v>
      </c>
      <c r="C31" s="139" t="s">
        <v>564</v>
      </c>
      <c r="D31" s="138" t="s">
        <v>153</v>
      </c>
      <c r="E31" s="373">
        <v>30.3</v>
      </c>
      <c r="F31" s="373" t="s">
        <v>110</v>
      </c>
      <c r="G31" s="140">
        <v>360</v>
      </c>
      <c r="H31" s="140">
        <v>10908</v>
      </c>
      <c r="I31" s="140" t="s">
        <v>110</v>
      </c>
      <c r="J31" s="373" t="s">
        <v>110</v>
      </c>
      <c r="K31" s="373" t="s">
        <v>110</v>
      </c>
      <c r="L31" s="140" t="s">
        <v>110</v>
      </c>
      <c r="M31" s="140">
        <v>10908</v>
      </c>
      <c r="N31" s="140" t="s">
        <v>110</v>
      </c>
      <c r="O31" s="141" t="s">
        <v>110</v>
      </c>
    </row>
    <row r="32" spans="1:15" ht="18" customHeight="1">
      <c r="A32" s="137">
        <v>11</v>
      </c>
      <c r="B32" s="138" t="s">
        <v>565</v>
      </c>
      <c r="C32" s="139" t="s">
        <v>566</v>
      </c>
      <c r="D32" s="138" t="s">
        <v>166</v>
      </c>
      <c r="E32" s="373">
        <v>22</v>
      </c>
      <c r="F32" s="373" t="s">
        <v>110</v>
      </c>
      <c r="G32" s="140">
        <v>197.03</v>
      </c>
      <c r="H32" s="140">
        <v>4334.66</v>
      </c>
      <c r="I32" s="140">
        <v>3402.08</v>
      </c>
      <c r="J32" s="373">
        <v>932.58</v>
      </c>
      <c r="K32" s="373" t="s">
        <v>110</v>
      </c>
      <c r="L32" s="140" t="s">
        <v>110</v>
      </c>
      <c r="M32" s="140">
        <v>48884</v>
      </c>
      <c r="N32" s="140" t="s">
        <v>110</v>
      </c>
      <c r="O32" s="141">
        <v>41.8</v>
      </c>
    </row>
    <row r="33" spans="1:15" ht="18" customHeight="1">
      <c r="A33" s="137" t="s">
        <v>110</v>
      </c>
      <c r="B33" s="138" t="s">
        <v>154</v>
      </c>
      <c r="C33" s="139" t="s">
        <v>566</v>
      </c>
      <c r="D33" s="138" t="s">
        <v>153</v>
      </c>
      <c r="E33" s="373">
        <v>222.2</v>
      </c>
      <c r="F33" s="373" t="s">
        <v>110</v>
      </c>
      <c r="G33" s="140">
        <v>220</v>
      </c>
      <c r="H33" s="140">
        <v>48884</v>
      </c>
      <c r="I33" s="140" t="s">
        <v>110</v>
      </c>
      <c r="J33" s="373" t="s">
        <v>110</v>
      </c>
      <c r="K33" s="373" t="s">
        <v>110</v>
      </c>
      <c r="L33" s="140" t="s">
        <v>110</v>
      </c>
      <c r="M33" s="140">
        <v>48884</v>
      </c>
      <c r="N33" s="140" t="s">
        <v>110</v>
      </c>
      <c r="O33" s="141" t="s">
        <v>110</v>
      </c>
    </row>
    <row r="34" spans="1:15" ht="18" customHeight="1">
      <c r="A34" s="137">
        <v>12</v>
      </c>
      <c r="B34" s="138" t="s">
        <v>567</v>
      </c>
      <c r="C34" s="139" t="s">
        <v>568</v>
      </c>
      <c r="D34" s="138" t="s">
        <v>166</v>
      </c>
      <c r="E34" s="373">
        <v>7.4</v>
      </c>
      <c r="F34" s="373" t="s">
        <v>110</v>
      </c>
      <c r="G34" s="140">
        <v>225.09</v>
      </c>
      <c r="H34" s="140">
        <v>1665.67</v>
      </c>
      <c r="I34" s="140">
        <v>1596.18</v>
      </c>
      <c r="J34" s="373">
        <v>69.489999999999995</v>
      </c>
      <c r="K34" s="373" t="s">
        <v>110</v>
      </c>
      <c r="L34" s="140" t="s">
        <v>110</v>
      </c>
      <c r="M34" s="140">
        <v>26906.400000000001</v>
      </c>
      <c r="N34" s="140" t="s">
        <v>110</v>
      </c>
      <c r="O34" s="141">
        <v>19.6248</v>
      </c>
    </row>
    <row r="35" spans="1:15" ht="18" customHeight="1">
      <c r="A35" s="137" t="s">
        <v>110</v>
      </c>
      <c r="B35" s="138" t="s">
        <v>154</v>
      </c>
      <c r="C35" s="139" t="s">
        <v>568</v>
      </c>
      <c r="D35" s="138" t="s">
        <v>153</v>
      </c>
      <c r="E35" s="373">
        <v>74.739999999999995</v>
      </c>
      <c r="F35" s="373" t="s">
        <v>110</v>
      </c>
      <c r="G35" s="140">
        <v>360</v>
      </c>
      <c r="H35" s="140">
        <v>26906.400000000001</v>
      </c>
      <c r="I35" s="140" t="s">
        <v>110</v>
      </c>
      <c r="J35" s="373" t="s">
        <v>110</v>
      </c>
      <c r="K35" s="373" t="s">
        <v>110</v>
      </c>
      <c r="L35" s="140" t="s">
        <v>110</v>
      </c>
      <c r="M35" s="140">
        <v>26906.400000000001</v>
      </c>
      <c r="N35" s="140" t="s">
        <v>110</v>
      </c>
      <c r="O35" s="141" t="s">
        <v>110</v>
      </c>
    </row>
    <row r="36" spans="1:15" ht="29.25" customHeight="1" thickBot="1">
      <c r="A36" s="192">
        <v>13</v>
      </c>
      <c r="B36" s="194" t="s">
        <v>569</v>
      </c>
      <c r="C36" s="195" t="s">
        <v>570</v>
      </c>
      <c r="D36" s="194" t="s">
        <v>166</v>
      </c>
      <c r="E36" s="376">
        <v>7</v>
      </c>
      <c r="F36" s="376" t="s">
        <v>110</v>
      </c>
      <c r="G36" s="142">
        <v>231.6</v>
      </c>
      <c r="H36" s="142">
        <v>1621.2</v>
      </c>
      <c r="I36" s="142">
        <v>1219.1199999999999</v>
      </c>
      <c r="J36" s="376">
        <v>402.08</v>
      </c>
      <c r="K36" s="376" t="s">
        <v>110</v>
      </c>
      <c r="L36" s="142" t="s">
        <v>110</v>
      </c>
      <c r="M36" s="142">
        <v>26159</v>
      </c>
      <c r="N36" s="142" t="s">
        <v>110</v>
      </c>
      <c r="O36" s="143">
        <v>14.98</v>
      </c>
    </row>
    <row r="37" spans="1:15" ht="16.5" customHeight="1">
      <c r="A37" s="372" t="s">
        <v>288</v>
      </c>
      <c r="B37" s="372" t="s">
        <v>110</v>
      </c>
      <c r="C37" s="372" t="s">
        <v>110</v>
      </c>
      <c r="D37" s="372" t="s">
        <v>110</v>
      </c>
      <c r="E37" s="372" t="s">
        <v>110</v>
      </c>
      <c r="F37" s="366" t="s">
        <v>289</v>
      </c>
      <c r="G37" s="366" t="s">
        <v>110</v>
      </c>
      <c r="H37" s="366" t="s">
        <v>110</v>
      </c>
      <c r="I37" s="366" t="s">
        <v>110</v>
      </c>
      <c r="J37" s="366" t="s">
        <v>110</v>
      </c>
      <c r="K37" s="367" t="s">
        <v>290</v>
      </c>
      <c r="L37" s="367" t="s">
        <v>110</v>
      </c>
      <c r="M37" s="367" t="s">
        <v>110</v>
      </c>
      <c r="N37" s="367" t="s">
        <v>110</v>
      </c>
      <c r="O37" s="367" t="s">
        <v>110</v>
      </c>
    </row>
    <row r="38" spans="1:15" ht="35.25" customHeight="1">
      <c r="A38" s="377" t="s">
        <v>291</v>
      </c>
      <c r="B38" s="377" t="s">
        <v>110</v>
      </c>
      <c r="C38" s="377" t="s">
        <v>110</v>
      </c>
      <c r="D38" s="377" t="s">
        <v>110</v>
      </c>
      <c r="E38" s="377" t="s">
        <v>110</v>
      </c>
      <c r="F38" s="377" t="s">
        <v>110</v>
      </c>
      <c r="G38" s="377" t="s">
        <v>110</v>
      </c>
      <c r="H38" s="377" t="s">
        <v>110</v>
      </c>
      <c r="I38" s="377" t="s">
        <v>110</v>
      </c>
      <c r="J38" s="377" t="s">
        <v>110</v>
      </c>
      <c r="K38" s="377" t="s">
        <v>110</v>
      </c>
      <c r="L38" s="377" t="s">
        <v>110</v>
      </c>
      <c r="M38" s="377" t="s">
        <v>110</v>
      </c>
      <c r="N38" s="377" t="s">
        <v>110</v>
      </c>
      <c r="O38" s="377" t="s">
        <v>110</v>
      </c>
    </row>
    <row r="39" spans="1:15" ht="29.25" customHeight="1" thickBot="1">
      <c r="A39" s="372" t="s">
        <v>170</v>
      </c>
      <c r="B39" s="372" t="s">
        <v>110</v>
      </c>
      <c r="C39" s="372" t="s">
        <v>110</v>
      </c>
      <c r="D39" s="372" t="s">
        <v>110</v>
      </c>
      <c r="E39" s="372" t="s">
        <v>110</v>
      </c>
      <c r="F39" s="372" t="s">
        <v>110</v>
      </c>
      <c r="G39" s="372" t="s">
        <v>110</v>
      </c>
      <c r="H39" s="372" t="s">
        <v>110</v>
      </c>
      <c r="I39" s="372" t="s">
        <v>110</v>
      </c>
      <c r="J39" s="372" t="s">
        <v>110</v>
      </c>
      <c r="K39" s="367" t="s">
        <v>215</v>
      </c>
      <c r="L39" s="367" t="s">
        <v>110</v>
      </c>
      <c r="M39" s="367" t="s">
        <v>110</v>
      </c>
      <c r="N39" s="367" t="s">
        <v>110</v>
      </c>
      <c r="O39" s="367" t="s">
        <v>110</v>
      </c>
    </row>
    <row r="40" spans="1:15" ht="19.5" customHeight="1">
      <c r="A40" s="378" t="s">
        <v>112</v>
      </c>
      <c r="B40" s="371" t="s">
        <v>292</v>
      </c>
      <c r="C40" s="371" t="s">
        <v>293</v>
      </c>
      <c r="D40" s="371" t="s">
        <v>294</v>
      </c>
      <c r="E40" s="371" t="s">
        <v>110</v>
      </c>
      <c r="F40" s="371" t="s">
        <v>110</v>
      </c>
      <c r="G40" s="371" t="s">
        <v>295</v>
      </c>
      <c r="H40" s="371" t="s">
        <v>110</v>
      </c>
      <c r="I40" s="371" t="s">
        <v>296</v>
      </c>
      <c r="J40" s="371" t="s">
        <v>110</v>
      </c>
      <c r="K40" s="371" t="s">
        <v>110</v>
      </c>
      <c r="L40" s="371" t="s">
        <v>110</v>
      </c>
      <c r="M40" s="371" t="s">
        <v>110</v>
      </c>
      <c r="N40" s="371" t="s">
        <v>110</v>
      </c>
      <c r="O40" s="381" t="s">
        <v>297</v>
      </c>
    </row>
    <row r="41" spans="1:15" ht="18" customHeight="1">
      <c r="A41" s="379" t="s">
        <v>110</v>
      </c>
      <c r="B41" s="380" t="s">
        <v>110</v>
      </c>
      <c r="C41" s="380" t="s">
        <v>110</v>
      </c>
      <c r="D41" s="136" t="s">
        <v>133</v>
      </c>
      <c r="E41" s="380" t="s">
        <v>134</v>
      </c>
      <c r="F41" s="380" t="s">
        <v>110</v>
      </c>
      <c r="G41" s="136" t="s">
        <v>298</v>
      </c>
      <c r="H41" s="136" t="s">
        <v>299</v>
      </c>
      <c r="I41" s="136" t="s">
        <v>300</v>
      </c>
      <c r="J41" s="380" t="s">
        <v>301</v>
      </c>
      <c r="K41" s="380" t="s">
        <v>110</v>
      </c>
      <c r="L41" s="136" t="s">
        <v>302</v>
      </c>
      <c r="M41" s="136" t="s">
        <v>303</v>
      </c>
      <c r="N41" s="136" t="s">
        <v>304</v>
      </c>
      <c r="O41" s="382" t="s">
        <v>110</v>
      </c>
    </row>
    <row r="42" spans="1:15" ht="29.25" customHeight="1">
      <c r="A42" s="137" t="s">
        <v>110</v>
      </c>
      <c r="B42" s="138" t="s">
        <v>154</v>
      </c>
      <c r="C42" s="139" t="s">
        <v>570</v>
      </c>
      <c r="D42" s="138" t="s">
        <v>153</v>
      </c>
      <c r="E42" s="373">
        <v>70.7</v>
      </c>
      <c r="F42" s="373" t="s">
        <v>110</v>
      </c>
      <c r="G42" s="140">
        <v>370</v>
      </c>
      <c r="H42" s="140">
        <v>26159</v>
      </c>
      <c r="I42" s="140" t="s">
        <v>110</v>
      </c>
      <c r="J42" s="373" t="s">
        <v>110</v>
      </c>
      <c r="K42" s="373" t="s">
        <v>110</v>
      </c>
      <c r="L42" s="140" t="s">
        <v>110</v>
      </c>
      <c r="M42" s="140">
        <v>26159</v>
      </c>
      <c r="N42" s="140" t="s">
        <v>110</v>
      </c>
      <c r="O42" s="141" t="s">
        <v>110</v>
      </c>
    </row>
    <row r="43" spans="1:15" ht="18" customHeight="1">
      <c r="A43" s="137">
        <v>14</v>
      </c>
      <c r="B43" s="138" t="s">
        <v>569</v>
      </c>
      <c r="C43" s="139" t="s">
        <v>571</v>
      </c>
      <c r="D43" s="138" t="s">
        <v>166</v>
      </c>
      <c r="E43" s="373">
        <v>2.6</v>
      </c>
      <c r="F43" s="373" t="s">
        <v>110</v>
      </c>
      <c r="G43" s="140">
        <v>231.6</v>
      </c>
      <c r="H43" s="140">
        <v>602.16</v>
      </c>
      <c r="I43" s="140">
        <v>452.82</v>
      </c>
      <c r="J43" s="373">
        <v>149.34</v>
      </c>
      <c r="K43" s="373" t="s">
        <v>110</v>
      </c>
      <c r="L43" s="140" t="s">
        <v>110</v>
      </c>
      <c r="M43" s="140">
        <v>9191</v>
      </c>
      <c r="N43" s="140" t="s">
        <v>110</v>
      </c>
      <c r="O43" s="141">
        <v>5.5640000000000001</v>
      </c>
    </row>
    <row r="44" spans="1:15" ht="18" customHeight="1">
      <c r="A44" s="137" t="s">
        <v>110</v>
      </c>
      <c r="B44" s="138" t="s">
        <v>154</v>
      </c>
      <c r="C44" s="139" t="s">
        <v>571</v>
      </c>
      <c r="D44" s="138" t="s">
        <v>153</v>
      </c>
      <c r="E44" s="373">
        <v>26.26</v>
      </c>
      <c r="F44" s="373" t="s">
        <v>110</v>
      </c>
      <c r="G44" s="140">
        <v>350</v>
      </c>
      <c r="H44" s="140">
        <v>9191</v>
      </c>
      <c r="I44" s="140" t="s">
        <v>110</v>
      </c>
      <c r="J44" s="373" t="s">
        <v>110</v>
      </c>
      <c r="K44" s="373" t="s">
        <v>110</v>
      </c>
      <c r="L44" s="140" t="s">
        <v>110</v>
      </c>
      <c r="M44" s="140">
        <v>9191</v>
      </c>
      <c r="N44" s="140" t="s">
        <v>110</v>
      </c>
      <c r="O44" s="141" t="s">
        <v>110</v>
      </c>
    </row>
    <row r="45" spans="1:15" ht="29.25" customHeight="1">
      <c r="A45" s="137">
        <v>15</v>
      </c>
      <c r="B45" s="138" t="s">
        <v>547</v>
      </c>
      <c r="C45" s="139" t="s">
        <v>572</v>
      </c>
      <c r="D45" s="138" t="s">
        <v>166</v>
      </c>
      <c r="E45" s="373">
        <v>8</v>
      </c>
      <c r="F45" s="373" t="s">
        <v>110</v>
      </c>
      <c r="G45" s="140">
        <v>261.42</v>
      </c>
      <c r="H45" s="140">
        <v>2091.36</v>
      </c>
      <c r="I45" s="140">
        <v>1690.88</v>
      </c>
      <c r="J45" s="373">
        <v>400.48</v>
      </c>
      <c r="K45" s="373" t="s">
        <v>110</v>
      </c>
      <c r="L45" s="140" t="s">
        <v>110</v>
      </c>
      <c r="M45" s="140">
        <v>18584</v>
      </c>
      <c r="N45" s="140" t="s">
        <v>110</v>
      </c>
      <c r="O45" s="141">
        <v>20.8</v>
      </c>
    </row>
    <row r="46" spans="1:15" ht="29.25" customHeight="1">
      <c r="A46" s="137" t="s">
        <v>110</v>
      </c>
      <c r="B46" s="138" t="s">
        <v>154</v>
      </c>
      <c r="C46" s="139" t="s">
        <v>572</v>
      </c>
      <c r="D46" s="138" t="s">
        <v>153</v>
      </c>
      <c r="E46" s="373">
        <v>80.8</v>
      </c>
      <c r="F46" s="373" t="s">
        <v>110</v>
      </c>
      <c r="G46" s="140">
        <v>230</v>
      </c>
      <c r="H46" s="140">
        <v>18584</v>
      </c>
      <c r="I46" s="140" t="s">
        <v>110</v>
      </c>
      <c r="J46" s="373" t="s">
        <v>110</v>
      </c>
      <c r="K46" s="373" t="s">
        <v>110</v>
      </c>
      <c r="L46" s="140" t="s">
        <v>110</v>
      </c>
      <c r="M46" s="140">
        <v>18584</v>
      </c>
      <c r="N46" s="140" t="s">
        <v>110</v>
      </c>
      <c r="O46" s="141" t="s">
        <v>110</v>
      </c>
    </row>
    <row r="47" spans="1:15" ht="29.25" customHeight="1">
      <c r="A47" s="137">
        <v>16</v>
      </c>
      <c r="B47" s="138" t="s">
        <v>573</v>
      </c>
      <c r="C47" s="139" t="s">
        <v>574</v>
      </c>
      <c r="D47" s="138" t="s">
        <v>166</v>
      </c>
      <c r="E47" s="373">
        <v>70</v>
      </c>
      <c r="F47" s="373" t="s">
        <v>110</v>
      </c>
      <c r="G47" s="140">
        <v>69.02</v>
      </c>
      <c r="H47" s="140">
        <v>4831.3999999999996</v>
      </c>
      <c r="I47" s="140">
        <v>4218.2</v>
      </c>
      <c r="J47" s="373">
        <v>613.20000000000005</v>
      </c>
      <c r="K47" s="373" t="s">
        <v>110</v>
      </c>
      <c r="L47" s="140" t="s">
        <v>110</v>
      </c>
      <c r="M47" s="140">
        <v>24990</v>
      </c>
      <c r="N47" s="140" t="s">
        <v>110</v>
      </c>
      <c r="O47" s="141">
        <v>49.28</v>
      </c>
    </row>
    <row r="48" spans="1:15" ht="29.25" customHeight="1">
      <c r="A48" s="137" t="s">
        <v>110</v>
      </c>
      <c r="B48" s="138" t="s">
        <v>154</v>
      </c>
      <c r="C48" s="139" t="s">
        <v>574</v>
      </c>
      <c r="D48" s="138" t="s">
        <v>153</v>
      </c>
      <c r="E48" s="373">
        <v>714</v>
      </c>
      <c r="F48" s="373" t="s">
        <v>110</v>
      </c>
      <c r="G48" s="140">
        <v>35</v>
      </c>
      <c r="H48" s="140">
        <v>24990</v>
      </c>
      <c r="I48" s="140" t="s">
        <v>110</v>
      </c>
      <c r="J48" s="373" t="s">
        <v>110</v>
      </c>
      <c r="K48" s="373" t="s">
        <v>110</v>
      </c>
      <c r="L48" s="140" t="s">
        <v>110</v>
      </c>
      <c r="M48" s="140">
        <v>24990</v>
      </c>
      <c r="N48" s="140" t="s">
        <v>110</v>
      </c>
      <c r="O48" s="141" t="s">
        <v>110</v>
      </c>
    </row>
    <row r="49" spans="1:15" ht="18" customHeight="1">
      <c r="A49" s="137">
        <v>17</v>
      </c>
      <c r="B49" s="138" t="s">
        <v>575</v>
      </c>
      <c r="C49" s="139" t="s">
        <v>576</v>
      </c>
      <c r="D49" s="138" t="s">
        <v>330</v>
      </c>
      <c r="E49" s="373">
        <v>9</v>
      </c>
      <c r="F49" s="373" t="s">
        <v>110</v>
      </c>
      <c r="G49" s="140">
        <v>36.36</v>
      </c>
      <c r="H49" s="140">
        <v>327.24</v>
      </c>
      <c r="I49" s="140">
        <v>281.97000000000003</v>
      </c>
      <c r="J49" s="373">
        <v>45.27</v>
      </c>
      <c r="K49" s="373" t="s">
        <v>110</v>
      </c>
      <c r="L49" s="140" t="s">
        <v>110</v>
      </c>
      <c r="M49" s="140">
        <v>91800</v>
      </c>
      <c r="N49" s="140" t="s">
        <v>110</v>
      </c>
      <c r="O49" s="141">
        <v>3.456</v>
      </c>
    </row>
    <row r="50" spans="1:15" ht="18" customHeight="1">
      <c r="A50" s="137" t="s">
        <v>110</v>
      </c>
      <c r="B50" s="138" t="s">
        <v>154</v>
      </c>
      <c r="C50" s="139" t="s">
        <v>577</v>
      </c>
      <c r="D50" s="138" t="s">
        <v>157</v>
      </c>
      <c r="E50" s="373">
        <v>91.8</v>
      </c>
      <c r="F50" s="373" t="s">
        <v>110</v>
      </c>
      <c r="G50" s="140">
        <v>1000</v>
      </c>
      <c r="H50" s="140">
        <v>91800</v>
      </c>
      <c r="I50" s="140" t="s">
        <v>110</v>
      </c>
      <c r="J50" s="373" t="s">
        <v>110</v>
      </c>
      <c r="K50" s="373" t="s">
        <v>110</v>
      </c>
      <c r="L50" s="140" t="s">
        <v>110</v>
      </c>
      <c r="M50" s="140">
        <v>91800</v>
      </c>
      <c r="N50" s="140" t="s">
        <v>110</v>
      </c>
      <c r="O50" s="141" t="s">
        <v>110</v>
      </c>
    </row>
    <row r="51" spans="1:15" ht="29.25" customHeight="1">
      <c r="A51" s="137">
        <v>18</v>
      </c>
      <c r="B51" s="138" t="s">
        <v>573</v>
      </c>
      <c r="C51" s="139" t="s">
        <v>578</v>
      </c>
      <c r="D51" s="138" t="s">
        <v>166</v>
      </c>
      <c r="E51" s="373">
        <v>4.2</v>
      </c>
      <c r="F51" s="373" t="s">
        <v>110</v>
      </c>
      <c r="G51" s="140">
        <v>69.02</v>
      </c>
      <c r="H51" s="140">
        <v>289.88</v>
      </c>
      <c r="I51" s="140">
        <v>253.09</v>
      </c>
      <c r="J51" s="373">
        <v>36.79</v>
      </c>
      <c r="K51" s="373" t="s">
        <v>110</v>
      </c>
      <c r="L51" s="140" t="s">
        <v>110</v>
      </c>
      <c r="M51" s="140">
        <v>1927.8</v>
      </c>
      <c r="N51" s="140" t="s">
        <v>110</v>
      </c>
      <c r="O51" s="141">
        <v>2.9567999999999999</v>
      </c>
    </row>
    <row r="52" spans="1:15" ht="29.25" customHeight="1">
      <c r="A52" s="137" t="s">
        <v>110</v>
      </c>
      <c r="B52" s="138" t="s">
        <v>154</v>
      </c>
      <c r="C52" s="139" t="s">
        <v>578</v>
      </c>
      <c r="D52" s="138" t="s">
        <v>153</v>
      </c>
      <c r="E52" s="373">
        <v>42.84</v>
      </c>
      <c r="F52" s="373" t="s">
        <v>110</v>
      </c>
      <c r="G52" s="140">
        <v>45</v>
      </c>
      <c r="H52" s="140">
        <v>1927.8</v>
      </c>
      <c r="I52" s="140" t="s">
        <v>110</v>
      </c>
      <c r="J52" s="373" t="s">
        <v>110</v>
      </c>
      <c r="K52" s="373" t="s">
        <v>110</v>
      </c>
      <c r="L52" s="140" t="s">
        <v>110</v>
      </c>
      <c r="M52" s="140">
        <v>1927.8</v>
      </c>
      <c r="N52" s="140" t="s">
        <v>110</v>
      </c>
      <c r="O52" s="141" t="s">
        <v>110</v>
      </c>
    </row>
    <row r="53" spans="1:15" ht="29.25" customHeight="1">
      <c r="A53" s="137">
        <v>19</v>
      </c>
      <c r="B53" s="138" t="s">
        <v>573</v>
      </c>
      <c r="C53" s="139" t="s">
        <v>579</v>
      </c>
      <c r="D53" s="138" t="s">
        <v>166</v>
      </c>
      <c r="E53" s="373">
        <v>2.4</v>
      </c>
      <c r="F53" s="373" t="s">
        <v>110</v>
      </c>
      <c r="G53" s="140">
        <v>69.02</v>
      </c>
      <c r="H53" s="140">
        <v>165.65</v>
      </c>
      <c r="I53" s="140">
        <v>144.62</v>
      </c>
      <c r="J53" s="373">
        <v>21.02</v>
      </c>
      <c r="K53" s="373" t="s">
        <v>110</v>
      </c>
      <c r="L53" s="140" t="s">
        <v>110</v>
      </c>
      <c r="M53" s="140">
        <v>807.84</v>
      </c>
      <c r="N53" s="140" t="s">
        <v>110</v>
      </c>
      <c r="O53" s="141">
        <v>1.6896</v>
      </c>
    </row>
    <row r="54" spans="1:15" ht="29.25" customHeight="1">
      <c r="A54" s="137" t="s">
        <v>110</v>
      </c>
      <c r="B54" s="138" t="s">
        <v>154</v>
      </c>
      <c r="C54" s="139" t="s">
        <v>579</v>
      </c>
      <c r="D54" s="138" t="s">
        <v>153</v>
      </c>
      <c r="E54" s="373">
        <v>24.48</v>
      </c>
      <c r="F54" s="373" t="s">
        <v>110</v>
      </c>
      <c r="G54" s="140">
        <v>33</v>
      </c>
      <c r="H54" s="140">
        <v>807.84</v>
      </c>
      <c r="I54" s="140" t="s">
        <v>110</v>
      </c>
      <c r="J54" s="373" t="s">
        <v>110</v>
      </c>
      <c r="K54" s="373" t="s">
        <v>110</v>
      </c>
      <c r="L54" s="140" t="s">
        <v>110</v>
      </c>
      <c r="M54" s="140">
        <v>807.84</v>
      </c>
      <c r="N54" s="140" t="s">
        <v>110</v>
      </c>
      <c r="O54" s="141" t="s">
        <v>110</v>
      </c>
    </row>
    <row r="55" spans="1:15" ht="29.25" customHeight="1">
      <c r="A55" s="137">
        <v>20</v>
      </c>
      <c r="B55" s="138" t="s">
        <v>580</v>
      </c>
      <c r="C55" s="139" t="s">
        <v>581</v>
      </c>
      <c r="D55" s="138" t="s">
        <v>166</v>
      </c>
      <c r="E55" s="373">
        <v>13</v>
      </c>
      <c r="F55" s="373" t="s">
        <v>110</v>
      </c>
      <c r="G55" s="140">
        <v>66.31</v>
      </c>
      <c r="H55" s="140">
        <v>862.03</v>
      </c>
      <c r="I55" s="140">
        <v>801.19</v>
      </c>
      <c r="J55" s="373">
        <v>60.84</v>
      </c>
      <c r="K55" s="373" t="s">
        <v>110</v>
      </c>
      <c r="L55" s="140" t="s">
        <v>110</v>
      </c>
      <c r="M55" s="140">
        <v>3315</v>
      </c>
      <c r="N55" s="140" t="s">
        <v>110</v>
      </c>
      <c r="O55" s="141">
        <v>9.36</v>
      </c>
    </row>
    <row r="56" spans="1:15" ht="25.5" customHeight="1" thickBot="1">
      <c r="A56" s="192" t="s">
        <v>110</v>
      </c>
      <c r="B56" s="194" t="s">
        <v>154</v>
      </c>
      <c r="C56" s="195" t="s">
        <v>582</v>
      </c>
      <c r="D56" s="194" t="s">
        <v>169</v>
      </c>
      <c r="E56" s="376">
        <v>132.6</v>
      </c>
      <c r="F56" s="376" t="s">
        <v>110</v>
      </c>
      <c r="G56" s="142">
        <v>25</v>
      </c>
      <c r="H56" s="142">
        <v>3315</v>
      </c>
      <c r="I56" s="142" t="s">
        <v>110</v>
      </c>
      <c r="J56" s="376" t="s">
        <v>110</v>
      </c>
      <c r="K56" s="376" t="s">
        <v>110</v>
      </c>
      <c r="L56" s="142" t="s">
        <v>110</v>
      </c>
      <c r="M56" s="142">
        <v>3315</v>
      </c>
      <c r="N56" s="142" t="s">
        <v>110</v>
      </c>
      <c r="O56" s="143" t="s">
        <v>110</v>
      </c>
    </row>
    <row r="57" spans="1:15" ht="16.5" customHeight="1">
      <c r="A57" s="372" t="s">
        <v>288</v>
      </c>
      <c r="B57" s="372" t="s">
        <v>110</v>
      </c>
      <c r="C57" s="372" t="s">
        <v>110</v>
      </c>
      <c r="D57" s="372" t="s">
        <v>110</v>
      </c>
      <c r="E57" s="372" t="s">
        <v>110</v>
      </c>
      <c r="F57" s="366" t="s">
        <v>289</v>
      </c>
      <c r="G57" s="366" t="s">
        <v>110</v>
      </c>
      <c r="H57" s="366" t="s">
        <v>110</v>
      </c>
      <c r="I57" s="366" t="s">
        <v>110</v>
      </c>
      <c r="J57" s="366" t="s">
        <v>110</v>
      </c>
      <c r="K57" s="367" t="s">
        <v>290</v>
      </c>
      <c r="L57" s="367" t="s">
        <v>110</v>
      </c>
      <c r="M57" s="367" t="s">
        <v>110</v>
      </c>
      <c r="N57" s="367" t="s">
        <v>110</v>
      </c>
      <c r="O57" s="367" t="s">
        <v>110</v>
      </c>
    </row>
    <row r="58" spans="1:15" ht="35.25" customHeight="1">
      <c r="A58" s="377" t="s">
        <v>291</v>
      </c>
      <c r="B58" s="377" t="s">
        <v>110</v>
      </c>
      <c r="C58" s="377" t="s">
        <v>110</v>
      </c>
      <c r="D58" s="377" t="s">
        <v>110</v>
      </c>
      <c r="E58" s="377" t="s">
        <v>110</v>
      </c>
      <c r="F58" s="377" t="s">
        <v>110</v>
      </c>
      <c r="G58" s="377" t="s">
        <v>110</v>
      </c>
      <c r="H58" s="377" t="s">
        <v>110</v>
      </c>
      <c r="I58" s="377" t="s">
        <v>110</v>
      </c>
      <c r="J58" s="377" t="s">
        <v>110</v>
      </c>
      <c r="K58" s="377" t="s">
        <v>110</v>
      </c>
      <c r="L58" s="377" t="s">
        <v>110</v>
      </c>
      <c r="M58" s="377" t="s">
        <v>110</v>
      </c>
      <c r="N58" s="377" t="s">
        <v>110</v>
      </c>
      <c r="O58" s="377" t="s">
        <v>110</v>
      </c>
    </row>
    <row r="59" spans="1:15" ht="29.25" customHeight="1" thickBot="1">
      <c r="A59" s="372" t="s">
        <v>170</v>
      </c>
      <c r="B59" s="372" t="s">
        <v>110</v>
      </c>
      <c r="C59" s="372" t="s">
        <v>110</v>
      </c>
      <c r="D59" s="372" t="s">
        <v>110</v>
      </c>
      <c r="E59" s="372" t="s">
        <v>110</v>
      </c>
      <c r="F59" s="372" t="s">
        <v>110</v>
      </c>
      <c r="G59" s="372" t="s">
        <v>110</v>
      </c>
      <c r="H59" s="372" t="s">
        <v>110</v>
      </c>
      <c r="I59" s="372" t="s">
        <v>110</v>
      </c>
      <c r="J59" s="372" t="s">
        <v>110</v>
      </c>
      <c r="K59" s="367" t="s">
        <v>216</v>
      </c>
      <c r="L59" s="367" t="s">
        <v>110</v>
      </c>
      <c r="M59" s="367" t="s">
        <v>110</v>
      </c>
      <c r="N59" s="367" t="s">
        <v>110</v>
      </c>
      <c r="O59" s="367" t="s">
        <v>110</v>
      </c>
    </row>
    <row r="60" spans="1:15" ht="19.5" customHeight="1">
      <c r="A60" s="378" t="s">
        <v>112</v>
      </c>
      <c r="B60" s="371" t="s">
        <v>292</v>
      </c>
      <c r="C60" s="371" t="s">
        <v>293</v>
      </c>
      <c r="D60" s="371" t="s">
        <v>294</v>
      </c>
      <c r="E60" s="371" t="s">
        <v>110</v>
      </c>
      <c r="F60" s="371" t="s">
        <v>110</v>
      </c>
      <c r="G60" s="371" t="s">
        <v>295</v>
      </c>
      <c r="H60" s="371" t="s">
        <v>110</v>
      </c>
      <c r="I60" s="371" t="s">
        <v>296</v>
      </c>
      <c r="J60" s="371" t="s">
        <v>110</v>
      </c>
      <c r="K60" s="371" t="s">
        <v>110</v>
      </c>
      <c r="L60" s="371" t="s">
        <v>110</v>
      </c>
      <c r="M60" s="371" t="s">
        <v>110</v>
      </c>
      <c r="N60" s="371" t="s">
        <v>110</v>
      </c>
      <c r="O60" s="381" t="s">
        <v>297</v>
      </c>
    </row>
    <row r="61" spans="1:15" ht="18" customHeight="1">
      <c r="A61" s="379" t="s">
        <v>110</v>
      </c>
      <c r="B61" s="380" t="s">
        <v>110</v>
      </c>
      <c r="C61" s="380" t="s">
        <v>110</v>
      </c>
      <c r="D61" s="136" t="s">
        <v>133</v>
      </c>
      <c r="E61" s="380" t="s">
        <v>134</v>
      </c>
      <c r="F61" s="380" t="s">
        <v>110</v>
      </c>
      <c r="G61" s="136" t="s">
        <v>298</v>
      </c>
      <c r="H61" s="136" t="s">
        <v>299</v>
      </c>
      <c r="I61" s="136" t="s">
        <v>300</v>
      </c>
      <c r="J61" s="380" t="s">
        <v>301</v>
      </c>
      <c r="K61" s="380" t="s">
        <v>110</v>
      </c>
      <c r="L61" s="136" t="s">
        <v>302</v>
      </c>
      <c r="M61" s="136" t="s">
        <v>303</v>
      </c>
      <c r="N61" s="136" t="s">
        <v>304</v>
      </c>
      <c r="O61" s="382" t="s">
        <v>110</v>
      </c>
    </row>
    <row r="62" spans="1:15" ht="19.5" customHeight="1">
      <c r="A62" s="137" t="s">
        <v>110</v>
      </c>
      <c r="B62" s="138" t="s">
        <v>110</v>
      </c>
      <c r="C62" s="139" t="s">
        <v>583</v>
      </c>
      <c r="D62" s="138" t="s">
        <v>110</v>
      </c>
      <c r="E62" s="373" t="s">
        <v>110</v>
      </c>
      <c r="F62" s="373" t="s">
        <v>110</v>
      </c>
      <c r="G62" s="140" t="s">
        <v>110</v>
      </c>
      <c r="H62" s="140" t="s">
        <v>110</v>
      </c>
      <c r="I62" s="140" t="s">
        <v>110</v>
      </c>
      <c r="J62" s="373" t="s">
        <v>110</v>
      </c>
      <c r="K62" s="373" t="s">
        <v>110</v>
      </c>
      <c r="L62" s="140" t="s">
        <v>110</v>
      </c>
      <c r="M62" s="140" t="s">
        <v>110</v>
      </c>
      <c r="N62" s="140" t="s">
        <v>110</v>
      </c>
      <c r="O62" s="141" t="s">
        <v>110</v>
      </c>
    </row>
    <row r="63" spans="1:15" ht="29.25" customHeight="1">
      <c r="A63" s="137">
        <v>21</v>
      </c>
      <c r="B63" s="138" t="s">
        <v>584</v>
      </c>
      <c r="C63" s="139" t="s">
        <v>585</v>
      </c>
      <c r="D63" s="138" t="s">
        <v>166</v>
      </c>
      <c r="E63" s="373">
        <v>20</v>
      </c>
      <c r="F63" s="373" t="s">
        <v>110</v>
      </c>
      <c r="G63" s="140">
        <v>71.13</v>
      </c>
      <c r="H63" s="140">
        <v>1422.6</v>
      </c>
      <c r="I63" s="140">
        <v>1294.4000000000001</v>
      </c>
      <c r="J63" s="373">
        <v>128.19999999999999</v>
      </c>
      <c r="K63" s="373" t="s">
        <v>110</v>
      </c>
      <c r="L63" s="140" t="s">
        <v>110</v>
      </c>
      <c r="M63" s="140">
        <v>6732</v>
      </c>
      <c r="N63" s="140" t="s">
        <v>110</v>
      </c>
      <c r="O63" s="141">
        <v>15.12</v>
      </c>
    </row>
    <row r="64" spans="1:15" ht="29.25" customHeight="1">
      <c r="A64" s="137" t="s">
        <v>110</v>
      </c>
      <c r="B64" s="138" t="s">
        <v>154</v>
      </c>
      <c r="C64" s="139" t="s">
        <v>585</v>
      </c>
      <c r="D64" s="138" t="s">
        <v>169</v>
      </c>
      <c r="E64" s="373">
        <v>204</v>
      </c>
      <c r="F64" s="373" t="s">
        <v>110</v>
      </c>
      <c r="G64" s="140">
        <v>33</v>
      </c>
      <c r="H64" s="140">
        <v>6732</v>
      </c>
      <c r="I64" s="140" t="s">
        <v>110</v>
      </c>
      <c r="J64" s="373" t="s">
        <v>110</v>
      </c>
      <c r="K64" s="373" t="s">
        <v>110</v>
      </c>
      <c r="L64" s="140" t="s">
        <v>110</v>
      </c>
      <c r="M64" s="140">
        <v>6732</v>
      </c>
      <c r="N64" s="140" t="s">
        <v>110</v>
      </c>
      <c r="O64" s="141" t="s">
        <v>110</v>
      </c>
    </row>
    <row r="65" spans="1:15" ht="29.25" customHeight="1">
      <c r="A65" s="137">
        <v>22</v>
      </c>
      <c r="B65" s="138" t="s">
        <v>586</v>
      </c>
      <c r="C65" s="139" t="s">
        <v>587</v>
      </c>
      <c r="D65" s="138" t="s">
        <v>166</v>
      </c>
      <c r="E65" s="373">
        <v>3</v>
      </c>
      <c r="F65" s="373" t="s">
        <v>110</v>
      </c>
      <c r="G65" s="140">
        <v>75.959999999999994</v>
      </c>
      <c r="H65" s="140">
        <v>227.88</v>
      </c>
      <c r="I65" s="140">
        <v>203.43</v>
      </c>
      <c r="J65" s="373">
        <v>24.45</v>
      </c>
      <c r="K65" s="373" t="s">
        <v>110</v>
      </c>
      <c r="L65" s="140" t="s">
        <v>110</v>
      </c>
      <c r="M65" s="140">
        <v>1071</v>
      </c>
      <c r="N65" s="140" t="s">
        <v>110</v>
      </c>
      <c r="O65" s="141">
        <v>2.3759999999999999</v>
      </c>
    </row>
    <row r="66" spans="1:15" ht="29.25" customHeight="1">
      <c r="A66" s="137" t="s">
        <v>110</v>
      </c>
      <c r="B66" s="138" t="s">
        <v>154</v>
      </c>
      <c r="C66" s="139" t="s">
        <v>587</v>
      </c>
      <c r="D66" s="138" t="s">
        <v>169</v>
      </c>
      <c r="E66" s="373">
        <v>30.6</v>
      </c>
      <c r="F66" s="373" t="s">
        <v>110</v>
      </c>
      <c r="G66" s="140">
        <v>35</v>
      </c>
      <c r="H66" s="140">
        <v>1071</v>
      </c>
      <c r="I66" s="140" t="s">
        <v>110</v>
      </c>
      <c r="J66" s="373" t="s">
        <v>110</v>
      </c>
      <c r="K66" s="373" t="s">
        <v>110</v>
      </c>
      <c r="L66" s="140" t="s">
        <v>110</v>
      </c>
      <c r="M66" s="140">
        <v>1071</v>
      </c>
      <c r="N66" s="140" t="s">
        <v>110</v>
      </c>
      <c r="O66" s="141" t="s">
        <v>110</v>
      </c>
    </row>
    <row r="67" spans="1:15" ht="42" customHeight="1">
      <c r="A67" s="137">
        <v>23</v>
      </c>
      <c r="B67" s="138" t="s">
        <v>580</v>
      </c>
      <c r="C67" s="139" t="s">
        <v>588</v>
      </c>
      <c r="D67" s="138" t="s">
        <v>166</v>
      </c>
      <c r="E67" s="373">
        <v>0.4</v>
      </c>
      <c r="F67" s="373" t="s">
        <v>110</v>
      </c>
      <c r="G67" s="140">
        <v>66.31</v>
      </c>
      <c r="H67" s="140">
        <v>26.52</v>
      </c>
      <c r="I67" s="140">
        <v>24.65</v>
      </c>
      <c r="J67" s="373">
        <v>1.87</v>
      </c>
      <c r="K67" s="373" t="s">
        <v>110</v>
      </c>
      <c r="L67" s="140" t="s">
        <v>110</v>
      </c>
      <c r="M67" s="140">
        <v>155.04</v>
      </c>
      <c r="N67" s="140" t="s">
        <v>110</v>
      </c>
      <c r="O67" s="141">
        <v>0.28799999999999998</v>
      </c>
    </row>
    <row r="68" spans="1:15" ht="42" customHeight="1">
      <c r="A68" s="137" t="s">
        <v>110</v>
      </c>
      <c r="B68" s="138" t="s">
        <v>154</v>
      </c>
      <c r="C68" s="139" t="s">
        <v>588</v>
      </c>
      <c r="D68" s="138" t="s">
        <v>169</v>
      </c>
      <c r="E68" s="373">
        <v>4.08</v>
      </c>
      <c r="F68" s="373" t="s">
        <v>110</v>
      </c>
      <c r="G68" s="140">
        <v>38</v>
      </c>
      <c r="H68" s="140">
        <v>155.04</v>
      </c>
      <c r="I68" s="140" t="s">
        <v>110</v>
      </c>
      <c r="J68" s="373" t="s">
        <v>110</v>
      </c>
      <c r="K68" s="373" t="s">
        <v>110</v>
      </c>
      <c r="L68" s="140" t="s">
        <v>110</v>
      </c>
      <c r="M68" s="140">
        <v>155.04</v>
      </c>
      <c r="N68" s="140" t="s">
        <v>110</v>
      </c>
      <c r="O68" s="141" t="s">
        <v>110</v>
      </c>
    </row>
    <row r="69" spans="1:15" ht="29.25" customHeight="1">
      <c r="A69" s="137">
        <v>24</v>
      </c>
      <c r="B69" s="138" t="s">
        <v>589</v>
      </c>
      <c r="C69" s="139" t="s">
        <v>590</v>
      </c>
      <c r="D69" s="138" t="s">
        <v>155</v>
      </c>
      <c r="E69" s="373">
        <v>17</v>
      </c>
      <c r="F69" s="373" t="s">
        <v>110</v>
      </c>
      <c r="G69" s="140">
        <v>1133.29</v>
      </c>
      <c r="H69" s="140">
        <v>19265.93</v>
      </c>
      <c r="I69" s="140">
        <v>11199.6</v>
      </c>
      <c r="J69" s="373">
        <v>5585.01</v>
      </c>
      <c r="K69" s="373" t="s">
        <v>110</v>
      </c>
      <c r="L69" s="140">
        <v>2481.3200000000002</v>
      </c>
      <c r="M69" s="140">
        <v>148920</v>
      </c>
      <c r="N69" s="140" t="s">
        <v>110</v>
      </c>
      <c r="O69" s="141">
        <v>137.69999999999999</v>
      </c>
    </row>
    <row r="70" spans="1:15" ht="29.25" customHeight="1">
      <c r="A70" s="137" t="s">
        <v>110</v>
      </c>
      <c r="B70" s="138" t="s">
        <v>154</v>
      </c>
      <c r="C70" s="139" t="s">
        <v>590</v>
      </c>
      <c r="D70" s="138" t="s">
        <v>156</v>
      </c>
      <c r="E70" s="373">
        <v>17</v>
      </c>
      <c r="F70" s="373" t="s">
        <v>110</v>
      </c>
      <c r="G70" s="140">
        <v>8760</v>
      </c>
      <c r="H70" s="140">
        <v>148920</v>
      </c>
      <c r="I70" s="140" t="s">
        <v>110</v>
      </c>
      <c r="J70" s="373" t="s">
        <v>110</v>
      </c>
      <c r="K70" s="373" t="s">
        <v>110</v>
      </c>
      <c r="L70" s="140" t="s">
        <v>110</v>
      </c>
      <c r="M70" s="140">
        <v>148920</v>
      </c>
      <c r="N70" s="140" t="s">
        <v>110</v>
      </c>
      <c r="O70" s="141" t="s">
        <v>110</v>
      </c>
    </row>
    <row r="71" spans="1:15" ht="29.25" customHeight="1">
      <c r="A71" s="137">
        <v>25</v>
      </c>
      <c r="B71" s="138" t="s">
        <v>591</v>
      </c>
      <c r="C71" s="139" t="s">
        <v>592</v>
      </c>
      <c r="D71" s="138" t="s">
        <v>155</v>
      </c>
      <c r="E71" s="373">
        <v>61.5</v>
      </c>
      <c r="F71" s="373" t="s">
        <v>110</v>
      </c>
      <c r="G71" s="140">
        <v>890.34</v>
      </c>
      <c r="H71" s="140">
        <v>54755.91</v>
      </c>
      <c r="I71" s="140">
        <v>29936.97</v>
      </c>
      <c r="J71" s="373">
        <v>17076.09</v>
      </c>
      <c r="K71" s="373" t="s">
        <v>110</v>
      </c>
      <c r="L71" s="140">
        <v>7742.85</v>
      </c>
      <c r="M71" s="140">
        <v>295815</v>
      </c>
      <c r="N71" s="140" t="s">
        <v>110</v>
      </c>
      <c r="O71" s="141">
        <v>368.07749999999999</v>
      </c>
    </row>
    <row r="72" spans="1:15" ht="29.25" customHeight="1">
      <c r="A72" s="137" t="s">
        <v>110</v>
      </c>
      <c r="B72" s="138" t="s">
        <v>154</v>
      </c>
      <c r="C72" s="139" t="s">
        <v>592</v>
      </c>
      <c r="D72" s="138" t="s">
        <v>156</v>
      </c>
      <c r="E72" s="373">
        <v>61.5</v>
      </c>
      <c r="F72" s="373" t="s">
        <v>110</v>
      </c>
      <c r="G72" s="140">
        <v>4810</v>
      </c>
      <c r="H72" s="140">
        <v>295815</v>
      </c>
      <c r="I72" s="140" t="s">
        <v>110</v>
      </c>
      <c r="J72" s="373" t="s">
        <v>110</v>
      </c>
      <c r="K72" s="373" t="s">
        <v>110</v>
      </c>
      <c r="L72" s="140" t="s">
        <v>110</v>
      </c>
      <c r="M72" s="140">
        <v>295815</v>
      </c>
      <c r="N72" s="140" t="s">
        <v>110</v>
      </c>
      <c r="O72" s="141" t="s">
        <v>110</v>
      </c>
    </row>
    <row r="73" spans="1:15" ht="29.25" customHeight="1">
      <c r="A73" s="137">
        <v>26</v>
      </c>
      <c r="B73" s="138" t="s">
        <v>593</v>
      </c>
      <c r="C73" s="139" t="s">
        <v>594</v>
      </c>
      <c r="D73" s="138" t="s">
        <v>155</v>
      </c>
      <c r="E73" s="373">
        <v>56</v>
      </c>
      <c r="F73" s="373" t="s">
        <v>110</v>
      </c>
      <c r="G73" s="140">
        <v>663.34</v>
      </c>
      <c r="H73" s="140">
        <v>37147.040000000001</v>
      </c>
      <c r="I73" s="140">
        <v>18173.12</v>
      </c>
      <c r="J73" s="373">
        <v>12298.16</v>
      </c>
      <c r="K73" s="373" t="s">
        <v>110</v>
      </c>
      <c r="L73" s="140">
        <v>6675.76</v>
      </c>
      <c r="M73" s="140">
        <v>210000</v>
      </c>
      <c r="N73" s="140" t="s">
        <v>110</v>
      </c>
      <c r="O73" s="141">
        <v>223.44</v>
      </c>
    </row>
    <row r="74" spans="1:15" ht="23.25" customHeight="1" thickBot="1">
      <c r="A74" s="192" t="s">
        <v>110</v>
      </c>
      <c r="B74" s="194" t="s">
        <v>154</v>
      </c>
      <c r="C74" s="195" t="s">
        <v>595</v>
      </c>
      <c r="D74" s="194" t="s">
        <v>156</v>
      </c>
      <c r="E74" s="376">
        <v>56</v>
      </c>
      <c r="F74" s="376" t="s">
        <v>110</v>
      </c>
      <c r="G74" s="142">
        <v>3750</v>
      </c>
      <c r="H74" s="142">
        <v>210000</v>
      </c>
      <c r="I74" s="142" t="s">
        <v>110</v>
      </c>
      <c r="J74" s="376" t="s">
        <v>110</v>
      </c>
      <c r="K74" s="376" t="s">
        <v>110</v>
      </c>
      <c r="L74" s="142" t="s">
        <v>110</v>
      </c>
      <c r="M74" s="142">
        <v>210000</v>
      </c>
      <c r="N74" s="142" t="s">
        <v>110</v>
      </c>
      <c r="O74" s="143" t="s">
        <v>110</v>
      </c>
    </row>
    <row r="75" spans="1:15" ht="16.5" customHeight="1">
      <c r="A75" s="372" t="s">
        <v>288</v>
      </c>
      <c r="B75" s="372" t="s">
        <v>110</v>
      </c>
      <c r="C75" s="372" t="s">
        <v>110</v>
      </c>
      <c r="D75" s="372" t="s">
        <v>110</v>
      </c>
      <c r="E75" s="372" t="s">
        <v>110</v>
      </c>
      <c r="F75" s="366" t="s">
        <v>289</v>
      </c>
      <c r="G75" s="366" t="s">
        <v>110</v>
      </c>
      <c r="H75" s="366" t="s">
        <v>110</v>
      </c>
      <c r="I75" s="366" t="s">
        <v>110</v>
      </c>
      <c r="J75" s="366" t="s">
        <v>110</v>
      </c>
      <c r="K75" s="367" t="s">
        <v>290</v>
      </c>
      <c r="L75" s="367" t="s">
        <v>110</v>
      </c>
      <c r="M75" s="367" t="s">
        <v>110</v>
      </c>
      <c r="N75" s="367" t="s">
        <v>110</v>
      </c>
      <c r="O75" s="367" t="s">
        <v>110</v>
      </c>
    </row>
    <row r="76" spans="1:15" ht="35.25" customHeight="1">
      <c r="A76" s="377" t="s">
        <v>291</v>
      </c>
      <c r="B76" s="377" t="s">
        <v>110</v>
      </c>
      <c r="C76" s="377" t="s">
        <v>110</v>
      </c>
      <c r="D76" s="377" t="s">
        <v>110</v>
      </c>
      <c r="E76" s="377" t="s">
        <v>110</v>
      </c>
      <c r="F76" s="377" t="s">
        <v>110</v>
      </c>
      <c r="G76" s="377" t="s">
        <v>110</v>
      </c>
      <c r="H76" s="377" t="s">
        <v>110</v>
      </c>
      <c r="I76" s="377" t="s">
        <v>110</v>
      </c>
      <c r="J76" s="377" t="s">
        <v>110</v>
      </c>
      <c r="K76" s="377" t="s">
        <v>110</v>
      </c>
      <c r="L76" s="377" t="s">
        <v>110</v>
      </c>
      <c r="M76" s="377" t="s">
        <v>110</v>
      </c>
      <c r="N76" s="377" t="s">
        <v>110</v>
      </c>
      <c r="O76" s="377" t="s">
        <v>110</v>
      </c>
    </row>
    <row r="77" spans="1:15" ht="29.25" customHeight="1" thickBot="1">
      <c r="A77" s="372" t="s">
        <v>170</v>
      </c>
      <c r="B77" s="372" t="s">
        <v>110</v>
      </c>
      <c r="C77" s="372" t="s">
        <v>110</v>
      </c>
      <c r="D77" s="372" t="s">
        <v>110</v>
      </c>
      <c r="E77" s="372" t="s">
        <v>110</v>
      </c>
      <c r="F77" s="372" t="s">
        <v>110</v>
      </c>
      <c r="G77" s="372" t="s">
        <v>110</v>
      </c>
      <c r="H77" s="372" t="s">
        <v>110</v>
      </c>
      <c r="I77" s="372" t="s">
        <v>110</v>
      </c>
      <c r="J77" s="372" t="s">
        <v>110</v>
      </c>
      <c r="K77" s="367" t="s">
        <v>217</v>
      </c>
      <c r="L77" s="367" t="s">
        <v>110</v>
      </c>
      <c r="M77" s="367" t="s">
        <v>110</v>
      </c>
      <c r="N77" s="367" t="s">
        <v>110</v>
      </c>
      <c r="O77" s="367" t="s">
        <v>110</v>
      </c>
    </row>
    <row r="78" spans="1:15" ht="19.5" customHeight="1">
      <c r="A78" s="378" t="s">
        <v>112</v>
      </c>
      <c r="B78" s="371" t="s">
        <v>292</v>
      </c>
      <c r="C78" s="371" t="s">
        <v>293</v>
      </c>
      <c r="D78" s="371" t="s">
        <v>294</v>
      </c>
      <c r="E78" s="371" t="s">
        <v>110</v>
      </c>
      <c r="F78" s="371" t="s">
        <v>110</v>
      </c>
      <c r="G78" s="371" t="s">
        <v>295</v>
      </c>
      <c r="H78" s="371" t="s">
        <v>110</v>
      </c>
      <c r="I78" s="371" t="s">
        <v>296</v>
      </c>
      <c r="J78" s="371" t="s">
        <v>110</v>
      </c>
      <c r="K78" s="371" t="s">
        <v>110</v>
      </c>
      <c r="L78" s="371" t="s">
        <v>110</v>
      </c>
      <c r="M78" s="371" t="s">
        <v>110</v>
      </c>
      <c r="N78" s="371" t="s">
        <v>110</v>
      </c>
      <c r="O78" s="381" t="s">
        <v>297</v>
      </c>
    </row>
    <row r="79" spans="1:15" ht="18" customHeight="1">
      <c r="A79" s="379" t="s">
        <v>110</v>
      </c>
      <c r="B79" s="380" t="s">
        <v>110</v>
      </c>
      <c r="C79" s="380" t="s">
        <v>110</v>
      </c>
      <c r="D79" s="136" t="s">
        <v>133</v>
      </c>
      <c r="E79" s="380" t="s">
        <v>134</v>
      </c>
      <c r="F79" s="380" t="s">
        <v>110</v>
      </c>
      <c r="G79" s="136" t="s">
        <v>298</v>
      </c>
      <c r="H79" s="136" t="s">
        <v>299</v>
      </c>
      <c r="I79" s="136" t="s">
        <v>300</v>
      </c>
      <c r="J79" s="380" t="s">
        <v>301</v>
      </c>
      <c r="K79" s="380" t="s">
        <v>110</v>
      </c>
      <c r="L79" s="136" t="s">
        <v>302</v>
      </c>
      <c r="M79" s="136" t="s">
        <v>303</v>
      </c>
      <c r="N79" s="136" t="s">
        <v>304</v>
      </c>
      <c r="O79" s="382" t="s">
        <v>110</v>
      </c>
    </row>
    <row r="80" spans="1:15" ht="32.25" customHeight="1">
      <c r="A80" s="137" t="s">
        <v>110</v>
      </c>
      <c r="B80" s="138" t="s">
        <v>110</v>
      </c>
      <c r="C80" s="139" t="s">
        <v>596</v>
      </c>
      <c r="D80" s="138" t="s">
        <v>110</v>
      </c>
      <c r="E80" s="373" t="s">
        <v>110</v>
      </c>
      <c r="F80" s="373" t="s">
        <v>110</v>
      </c>
      <c r="G80" s="140" t="s">
        <v>110</v>
      </c>
      <c r="H80" s="140" t="s">
        <v>110</v>
      </c>
      <c r="I80" s="140" t="s">
        <v>110</v>
      </c>
      <c r="J80" s="373" t="s">
        <v>110</v>
      </c>
      <c r="K80" s="373" t="s">
        <v>110</v>
      </c>
      <c r="L80" s="140" t="s">
        <v>110</v>
      </c>
      <c r="M80" s="140" t="s">
        <v>110</v>
      </c>
      <c r="N80" s="140" t="s">
        <v>110</v>
      </c>
      <c r="O80" s="141" t="s">
        <v>110</v>
      </c>
    </row>
    <row r="81" spans="1:15" ht="29.25" customHeight="1">
      <c r="A81" s="137">
        <v>27</v>
      </c>
      <c r="B81" s="138" t="s">
        <v>593</v>
      </c>
      <c r="C81" s="139" t="s">
        <v>597</v>
      </c>
      <c r="D81" s="138" t="s">
        <v>155</v>
      </c>
      <c r="E81" s="373">
        <v>12</v>
      </c>
      <c r="F81" s="373" t="s">
        <v>110</v>
      </c>
      <c r="G81" s="140">
        <v>663.34</v>
      </c>
      <c r="H81" s="140">
        <v>7960.08</v>
      </c>
      <c r="I81" s="140">
        <v>3894.24</v>
      </c>
      <c r="J81" s="373">
        <v>2635.32</v>
      </c>
      <c r="K81" s="373" t="s">
        <v>110</v>
      </c>
      <c r="L81" s="140">
        <v>1430.52</v>
      </c>
      <c r="M81" s="140">
        <v>36000</v>
      </c>
      <c r="N81" s="140" t="s">
        <v>110</v>
      </c>
      <c r="O81" s="141">
        <v>47.88</v>
      </c>
    </row>
    <row r="82" spans="1:15" ht="29.25" customHeight="1">
      <c r="A82" s="137" t="s">
        <v>110</v>
      </c>
      <c r="B82" s="138" t="s">
        <v>154</v>
      </c>
      <c r="C82" s="139" t="s">
        <v>597</v>
      </c>
      <c r="D82" s="138" t="s">
        <v>156</v>
      </c>
      <c r="E82" s="373">
        <v>12</v>
      </c>
      <c r="F82" s="373" t="s">
        <v>110</v>
      </c>
      <c r="G82" s="140">
        <v>3000</v>
      </c>
      <c r="H82" s="140">
        <v>36000</v>
      </c>
      <c r="I82" s="140" t="s">
        <v>110</v>
      </c>
      <c r="J82" s="373" t="s">
        <v>110</v>
      </c>
      <c r="K82" s="373" t="s">
        <v>110</v>
      </c>
      <c r="L82" s="140" t="s">
        <v>110</v>
      </c>
      <c r="M82" s="140">
        <v>36000</v>
      </c>
      <c r="N82" s="140" t="s">
        <v>110</v>
      </c>
      <c r="O82" s="141" t="s">
        <v>110</v>
      </c>
    </row>
    <row r="83" spans="1:15" ht="29.25" customHeight="1">
      <c r="A83" s="137">
        <v>28</v>
      </c>
      <c r="B83" s="138" t="s">
        <v>598</v>
      </c>
      <c r="C83" s="139" t="s">
        <v>599</v>
      </c>
      <c r="D83" s="138" t="s">
        <v>155</v>
      </c>
      <c r="E83" s="373">
        <v>42.5</v>
      </c>
      <c r="F83" s="373" t="s">
        <v>110</v>
      </c>
      <c r="G83" s="140">
        <v>537.70000000000005</v>
      </c>
      <c r="H83" s="140">
        <v>22852.25</v>
      </c>
      <c r="I83" s="140">
        <v>11052.13</v>
      </c>
      <c r="J83" s="373">
        <v>7301.93</v>
      </c>
      <c r="K83" s="373" t="s">
        <v>110</v>
      </c>
      <c r="L83" s="140">
        <v>4498.2</v>
      </c>
      <c r="M83" s="140">
        <v>102000</v>
      </c>
      <c r="N83" s="140" t="s">
        <v>110</v>
      </c>
      <c r="O83" s="141">
        <v>135.83000000000001</v>
      </c>
    </row>
    <row r="84" spans="1:15" ht="29.25" customHeight="1">
      <c r="A84" s="137" t="s">
        <v>110</v>
      </c>
      <c r="B84" s="138" t="s">
        <v>154</v>
      </c>
      <c r="C84" s="139" t="s">
        <v>599</v>
      </c>
      <c r="D84" s="138" t="s">
        <v>156</v>
      </c>
      <c r="E84" s="373">
        <v>42.5</v>
      </c>
      <c r="F84" s="373" t="s">
        <v>110</v>
      </c>
      <c r="G84" s="140">
        <v>2400</v>
      </c>
      <c r="H84" s="140">
        <v>102000</v>
      </c>
      <c r="I84" s="140" t="s">
        <v>110</v>
      </c>
      <c r="J84" s="373" t="s">
        <v>110</v>
      </c>
      <c r="K84" s="373" t="s">
        <v>110</v>
      </c>
      <c r="L84" s="140" t="s">
        <v>110</v>
      </c>
      <c r="M84" s="140">
        <v>102000</v>
      </c>
      <c r="N84" s="140" t="s">
        <v>110</v>
      </c>
      <c r="O84" s="141" t="s">
        <v>110</v>
      </c>
    </row>
    <row r="85" spans="1:15" ht="29.25" customHeight="1">
      <c r="A85" s="137">
        <v>29</v>
      </c>
      <c r="B85" s="138" t="s">
        <v>598</v>
      </c>
      <c r="C85" s="139" t="s">
        <v>600</v>
      </c>
      <c r="D85" s="138" t="s">
        <v>155</v>
      </c>
      <c r="E85" s="373">
        <v>30</v>
      </c>
      <c r="F85" s="373" t="s">
        <v>110</v>
      </c>
      <c r="G85" s="140">
        <v>537.70000000000005</v>
      </c>
      <c r="H85" s="140">
        <v>16131</v>
      </c>
      <c r="I85" s="140">
        <v>7801.5</v>
      </c>
      <c r="J85" s="373">
        <v>5154.3</v>
      </c>
      <c r="K85" s="373" t="s">
        <v>110</v>
      </c>
      <c r="L85" s="140">
        <v>3175.2</v>
      </c>
      <c r="M85" s="140">
        <v>56700</v>
      </c>
      <c r="N85" s="140" t="s">
        <v>110</v>
      </c>
      <c r="O85" s="141">
        <v>95.88</v>
      </c>
    </row>
    <row r="86" spans="1:15" ht="29.25" customHeight="1">
      <c r="A86" s="137" t="s">
        <v>110</v>
      </c>
      <c r="B86" s="138" t="s">
        <v>154</v>
      </c>
      <c r="C86" s="139" t="s">
        <v>600</v>
      </c>
      <c r="D86" s="138" t="s">
        <v>156</v>
      </c>
      <c r="E86" s="373">
        <v>30</v>
      </c>
      <c r="F86" s="373" t="s">
        <v>110</v>
      </c>
      <c r="G86" s="140">
        <v>1890</v>
      </c>
      <c r="H86" s="140">
        <v>56700</v>
      </c>
      <c r="I86" s="140" t="s">
        <v>110</v>
      </c>
      <c r="J86" s="373" t="s">
        <v>110</v>
      </c>
      <c r="K86" s="373" t="s">
        <v>110</v>
      </c>
      <c r="L86" s="140" t="s">
        <v>110</v>
      </c>
      <c r="M86" s="140">
        <v>56700</v>
      </c>
      <c r="N86" s="140" t="s">
        <v>110</v>
      </c>
      <c r="O86" s="141" t="s">
        <v>110</v>
      </c>
    </row>
    <row r="87" spans="1:15" ht="18" customHeight="1">
      <c r="A87" s="137">
        <v>30</v>
      </c>
      <c r="B87" s="138" t="s">
        <v>601</v>
      </c>
      <c r="C87" s="139" t="s">
        <v>602</v>
      </c>
      <c r="D87" s="138" t="s">
        <v>155</v>
      </c>
      <c r="E87" s="373">
        <v>10</v>
      </c>
      <c r="F87" s="373" t="s">
        <v>110</v>
      </c>
      <c r="G87" s="140">
        <v>387.11</v>
      </c>
      <c r="H87" s="140">
        <v>3871.1</v>
      </c>
      <c r="I87" s="140">
        <v>3318.4</v>
      </c>
      <c r="J87" s="373">
        <v>376.9</v>
      </c>
      <c r="K87" s="373" t="s">
        <v>110</v>
      </c>
      <c r="L87" s="140">
        <v>175.8</v>
      </c>
      <c r="M87" s="140">
        <v>13457</v>
      </c>
      <c r="N87" s="140" t="s">
        <v>110</v>
      </c>
      <c r="O87" s="141">
        <v>40.799999999999997</v>
      </c>
    </row>
    <row r="88" spans="1:15" ht="18" customHeight="1">
      <c r="A88" s="137" t="s">
        <v>110</v>
      </c>
      <c r="B88" s="138" t="s">
        <v>154</v>
      </c>
      <c r="C88" s="139" t="s">
        <v>602</v>
      </c>
      <c r="D88" s="138" t="s">
        <v>156</v>
      </c>
      <c r="E88" s="373">
        <v>100.5</v>
      </c>
      <c r="F88" s="373" t="s">
        <v>110</v>
      </c>
      <c r="G88" s="140">
        <v>133.9</v>
      </c>
      <c r="H88" s="140">
        <v>13456.95</v>
      </c>
      <c r="I88" s="140" t="s">
        <v>110</v>
      </c>
      <c r="J88" s="373" t="s">
        <v>110</v>
      </c>
      <c r="K88" s="373" t="s">
        <v>110</v>
      </c>
      <c r="L88" s="140" t="s">
        <v>110</v>
      </c>
      <c r="M88" s="140">
        <v>13456.95</v>
      </c>
      <c r="N88" s="140" t="s">
        <v>110</v>
      </c>
      <c r="O88" s="141" t="s">
        <v>110</v>
      </c>
    </row>
    <row r="89" spans="1:15" ht="18" customHeight="1">
      <c r="A89" s="137">
        <v>31</v>
      </c>
      <c r="B89" s="138" t="s">
        <v>601</v>
      </c>
      <c r="C89" s="139" t="s">
        <v>603</v>
      </c>
      <c r="D89" s="138" t="s">
        <v>155</v>
      </c>
      <c r="E89" s="373">
        <v>20</v>
      </c>
      <c r="F89" s="373" t="s">
        <v>110</v>
      </c>
      <c r="G89" s="140">
        <v>387.11</v>
      </c>
      <c r="H89" s="140">
        <v>7742.2</v>
      </c>
      <c r="I89" s="140">
        <v>6636.8</v>
      </c>
      <c r="J89" s="373">
        <v>753.8</v>
      </c>
      <c r="K89" s="373" t="s">
        <v>110</v>
      </c>
      <c r="L89" s="140">
        <v>351.6</v>
      </c>
      <c r="M89" s="140">
        <v>22954.2</v>
      </c>
      <c r="N89" s="140" t="s">
        <v>110</v>
      </c>
      <c r="O89" s="141">
        <v>81.599999999999994</v>
      </c>
    </row>
    <row r="90" spans="1:15" ht="18" customHeight="1">
      <c r="A90" s="137" t="s">
        <v>110</v>
      </c>
      <c r="B90" s="138" t="s">
        <v>154</v>
      </c>
      <c r="C90" s="139" t="s">
        <v>603</v>
      </c>
      <c r="D90" s="138" t="s">
        <v>156</v>
      </c>
      <c r="E90" s="373">
        <v>201</v>
      </c>
      <c r="F90" s="373" t="s">
        <v>110</v>
      </c>
      <c r="G90" s="140">
        <v>114.2</v>
      </c>
      <c r="H90" s="140">
        <v>22954.2</v>
      </c>
      <c r="I90" s="140" t="s">
        <v>110</v>
      </c>
      <c r="J90" s="373" t="s">
        <v>110</v>
      </c>
      <c r="K90" s="373" t="s">
        <v>110</v>
      </c>
      <c r="L90" s="140" t="s">
        <v>110</v>
      </c>
      <c r="M90" s="140">
        <v>22954.2</v>
      </c>
      <c r="N90" s="140" t="s">
        <v>110</v>
      </c>
      <c r="O90" s="141" t="s">
        <v>110</v>
      </c>
    </row>
    <row r="91" spans="1:15" ht="18" customHeight="1">
      <c r="A91" s="137">
        <v>32</v>
      </c>
      <c r="B91" s="138" t="s">
        <v>601</v>
      </c>
      <c r="C91" s="139" t="s">
        <v>604</v>
      </c>
      <c r="D91" s="138" t="s">
        <v>155</v>
      </c>
      <c r="E91" s="373">
        <v>90</v>
      </c>
      <c r="F91" s="373" t="s">
        <v>110</v>
      </c>
      <c r="G91" s="140">
        <v>387.11</v>
      </c>
      <c r="H91" s="140">
        <v>34839.9</v>
      </c>
      <c r="I91" s="140">
        <v>29865.599999999999</v>
      </c>
      <c r="J91" s="373">
        <v>3392.1</v>
      </c>
      <c r="K91" s="373" t="s">
        <v>110</v>
      </c>
      <c r="L91" s="140">
        <v>1582.2</v>
      </c>
      <c r="M91" s="140">
        <v>72360</v>
      </c>
      <c r="N91" s="140" t="s">
        <v>110</v>
      </c>
      <c r="O91" s="141">
        <v>367.2</v>
      </c>
    </row>
    <row r="92" spans="1:15" ht="18" customHeight="1">
      <c r="A92" s="137" t="s">
        <v>110</v>
      </c>
      <c r="B92" s="138" t="s">
        <v>154</v>
      </c>
      <c r="C92" s="139" t="s">
        <v>604</v>
      </c>
      <c r="D92" s="138" t="s">
        <v>156</v>
      </c>
      <c r="E92" s="373">
        <v>904.5</v>
      </c>
      <c r="F92" s="373" t="s">
        <v>110</v>
      </c>
      <c r="G92" s="140">
        <v>80</v>
      </c>
      <c r="H92" s="140">
        <v>72360</v>
      </c>
      <c r="I92" s="140" t="s">
        <v>110</v>
      </c>
      <c r="J92" s="373" t="s">
        <v>110</v>
      </c>
      <c r="K92" s="373" t="s">
        <v>110</v>
      </c>
      <c r="L92" s="140" t="s">
        <v>110</v>
      </c>
      <c r="M92" s="140">
        <v>72360</v>
      </c>
      <c r="N92" s="140" t="s">
        <v>110</v>
      </c>
      <c r="O92" s="141" t="s">
        <v>110</v>
      </c>
    </row>
    <row r="93" spans="1:15" ht="18" customHeight="1">
      <c r="A93" s="137">
        <v>33</v>
      </c>
      <c r="B93" s="138" t="s">
        <v>605</v>
      </c>
      <c r="C93" s="139" t="s">
        <v>606</v>
      </c>
      <c r="D93" s="138" t="s">
        <v>155</v>
      </c>
      <c r="E93" s="373">
        <v>250</v>
      </c>
      <c r="F93" s="373" t="s">
        <v>110</v>
      </c>
      <c r="G93" s="140">
        <v>251.25</v>
      </c>
      <c r="H93" s="140">
        <v>62812.5</v>
      </c>
      <c r="I93" s="140">
        <v>51620</v>
      </c>
      <c r="J93" s="373">
        <v>8535</v>
      </c>
      <c r="K93" s="373" t="s">
        <v>110</v>
      </c>
      <c r="L93" s="140">
        <v>2657.5</v>
      </c>
      <c r="M93" s="140">
        <v>151252.5</v>
      </c>
      <c r="N93" s="140" t="s">
        <v>110</v>
      </c>
      <c r="O93" s="141">
        <v>635</v>
      </c>
    </row>
    <row r="94" spans="1:15" ht="18" customHeight="1">
      <c r="A94" s="137" t="s">
        <v>110</v>
      </c>
      <c r="B94" s="138" t="s">
        <v>154</v>
      </c>
      <c r="C94" s="139" t="s">
        <v>606</v>
      </c>
      <c r="D94" s="138" t="s">
        <v>156</v>
      </c>
      <c r="E94" s="373">
        <v>2512.5</v>
      </c>
      <c r="F94" s="373" t="s">
        <v>110</v>
      </c>
      <c r="G94" s="140">
        <v>60.2</v>
      </c>
      <c r="H94" s="140">
        <v>151252.5</v>
      </c>
      <c r="I94" s="140" t="s">
        <v>110</v>
      </c>
      <c r="J94" s="373" t="s">
        <v>110</v>
      </c>
      <c r="K94" s="373" t="s">
        <v>110</v>
      </c>
      <c r="L94" s="140" t="s">
        <v>110</v>
      </c>
      <c r="M94" s="140">
        <v>151252.5</v>
      </c>
      <c r="N94" s="140" t="s">
        <v>110</v>
      </c>
      <c r="O94" s="141" t="s">
        <v>110</v>
      </c>
    </row>
    <row r="95" spans="1:15" ht="29.25" customHeight="1" thickBot="1">
      <c r="A95" s="192">
        <v>34</v>
      </c>
      <c r="B95" s="194" t="s">
        <v>607</v>
      </c>
      <c r="C95" s="195" t="s">
        <v>608</v>
      </c>
      <c r="D95" s="194" t="s">
        <v>140</v>
      </c>
      <c r="E95" s="376">
        <v>1</v>
      </c>
      <c r="F95" s="376" t="s">
        <v>110</v>
      </c>
      <c r="G95" s="142">
        <v>1828.84</v>
      </c>
      <c r="H95" s="142">
        <v>1828.84</v>
      </c>
      <c r="I95" s="142">
        <v>1083.78</v>
      </c>
      <c r="J95" s="376">
        <v>395.93</v>
      </c>
      <c r="K95" s="376" t="s">
        <v>110</v>
      </c>
      <c r="L95" s="142">
        <v>349.13</v>
      </c>
      <c r="M95" s="142">
        <v>40256.58</v>
      </c>
      <c r="N95" s="142" t="s">
        <v>110</v>
      </c>
      <c r="O95" s="143">
        <v>14.3</v>
      </c>
    </row>
    <row r="96" spans="1:15" ht="16.5" customHeight="1">
      <c r="A96" s="372" t="s">
        <v>288</v>
      </c>
      <c r="B96" s="372" t="s">
        <v>110</v>
      </c>
      <c r="C96" s="372" t="s">
        <v>110</v>
      </c>
      <c r="D96" s="372" t="s">
        <v>110</v>
      </c>
      <c r="E96" s="372" t="s">
        <v>110</v>
      </c>
      <c r="F96" s="366" t="s">
        <v>289</v>
      </c>
      <c r="G96" s="366" t="s">
        <v>110</v>
      </c>
      <c r="H96" s="366" t="s">
        <v>110</v>
      </c>
      <c r="I96" s="366" t="s">
        <v>110</v>
      </c>
      <c r="J96" s="366" t="s">
        <v>110</v>
      </c>
      <c r="K96" s="367" t="s">
        <v>290</v>
      </c>
      <c r="L96" s="367" t="s">
        <v>110</v>
      </c>
      <c r="M96" s="367" t="s">
        <v>110</v>
      </c>
      <c r="N96" s="367" t="s">
        <v>110</v>
      </c>
      <c r="O96" s="367" t="s">
        <v>110</v>
      </c>
    </row>
    <row r="97" spans="1:15" ht="35.25" customHeight="1">
      <c r="A97" s="377" t="s">
        <v>291</v>
      </c>
      <c r="B97" s="377" t="s">
        <v>110</v>
      </c>
      <c r="C97" s="377" t="s">
        <v>110</v>
      </c>
      <c r="D97" s="377" t="s">
        <v>110</v>
      </c>
      <c r="E97" s="377" t="s">
        <v>110</v>
      </c>
      <c r="F97" s="377" t="s">
        <v>110</v>
      </c>
      <c r="G97" s="377" t="s">
        <v>110</v>
      </c>
      <c r="H97" s="377" t="s">
        <v>110</v>
      </c>
      <c r="I97" s="377" t="s">
        <v>110</v>
      </c>
      <c r="J97" s="377" t="s">
        <v>110</v>
      </c>
      <c r="K97" s="377" t="s">
        <v>110</v>
      </c>
      <c r="L97" s="377" t="s">
        <v>110</v>
      </c>
      <c r="M97" s="377" t="s">
        <v>110</v>
      </c>
      <c r="N97" s="377" t="s">
        <v>110</v>
      </c>
      <c r="O97" s="377" t="s">
        <v>110</v>
      </c>
    </row>
    <row r="98" spans="1:15" ht="29.25" customHeight="1" thickBot="1">
      <c r="A98" s="372" t="s">
        <v>170</v>
      </c>
      <c r="B98" s="372" t="s">
        <v>110</v>
      </c>
      <c r="C98" s="372" t="s">
        <v>110</v>
      </c>
      <c r="D98" s="372" t="s">
        <v>110</v>
      </c>
      <c r="E98" s="372" t="s">
        <v>110</v>
      </c>
      <c r="F98" s="372" t="s">
        <v>110</v>
      </c>
      <c r="G98" s="372" t="s">
        <v>110</v>
      </c>
      <c r="H98" s="372" t="s">
        <v>110</v>
      </c>
      <c r="I98" s="372" t="s">
        <v>110</v>
      </c>
      <c r="J98" s="372" t="s">
        <v>110</v>
      </c>
      <c r="K98" s="367" t="s">
        <v>218</v>
      </c>
      <c r="L98" s="367" t="s">
        <v>110</v>
      </c>
      <c r="M98" s="367" t="s">
        <v>110</v>
      </c>
      <c r="N98" s="367" t="s">
        <v>110</v>
      </c>
      <c r="O98" s="367" t="s">
        <v>110</v>
      </c>
    </row>
    <row r="99" spans="1:15" ht="19.5" customHeight="1">
      <c r="A99" s="378" t="s">
        <v>112</v>
      </c>
      <c r="B99" s="371" t="s">
        <v>292</v>
      </c>
      <c r="C99" s="371" t="s">
        <v>293</v>
      </c>
      <c r="D99" s="371" t="s">
        <v>294</v>
      </c>
      <c r="E99" s="371" t="s">
        <v>110</v>
      </c>
      <c r="F99" s="371" t="s">
        <v>110</v>
      </c>
      <c r="G99" s="371" t="s">
        <v>295</v>
      </c>
      <c r="H99" s="371" t="s">
        <v>110</v>
      </c>
      <c r="I99" s="371" t="s">
        <v>296</v>
      </c>
      <c r="J99" s="371" t="s">
        <v>110</v>
      </c>
      <c r="K99" s="371" t="s">
        <v>110</v>
      </c>
      <c r="L99" s="371" t="s">
        <v>110</v>
      </c>
      <c r="M99" s="371" t="s">
        <v>110</v>
      </c>
      <c r="N99" s="371" t="s">
        <v>110</v>
      </c>
      <c r="O99" s="381" t="s">
        <v>297</v>
      </c>
    </row>
    <row r="100" spans="1:15" ht="18" customHeight="1">
      <c r="A100" s="379" t="s">
        <v>110</v>
      </c>
      <c r="B100" s="380" t="s">
        <v>110</v>
      </c>
      <c r="C100" s="380" t="s">
        <v>110</v>
      </c>
      <c r="D100" s="136" t="s">
        <v>133</v>
      </c>
      <c r="E100" s="380" t="s">
        <v>134</v>
      </c>
      <c r="F100" s="380" t="s">
        <v>110</v>
      </c>
      <c r="G100" s="136" t="s">
        <v>298</v>
      </c>
      <c r="H100" s="136" t="s">
        <v>299</v>
      </c>
      <c r="I100" s="136" t="s">
        <v>300</v>
      </c>
      <c r="J100" s="380" t="s">
        <v>301</v>
      </c>
      <c r="K100" s="380" t="s">
        <v>110</v>
      </c>
      <c r="L100" s="136" t="s">
        <v>302</v>
      </c>
      <c r="M100" s="136" t="s">
        <v>303</v>
      </c>
      <c r="N100" s="136" t="s">
        <v>304</v>
      </c>
      <c r="O100" s="382" t="s">
        <v>110</v>
      </c>
    </row>
    <row r="101" spans="1:15" ht="29.25" customHeight="1">
      <c r="A101" s="137" t="s">
        <v>110</v>
      </c>
      <c r="B101" s="138" t="s">
        <v>154</v>
      </c>
      <c r="C101" s="139" t="s">
        <v>608</v>
      </c>
      <c r="D101" s="138" t="s">
        <v>156</v>
      </c>
      <c r="E101" s="373">
        <v>101</v>
      </c>
      <c r="F101" s="373" t="s">
        <v>110</v>
      </c>
      <c r="G101" s="140">
        <v>398.58</v>
      </c>
      <c r="H101" s="140">
        <v>40256.58</v>
      </c>
      <c r="I101" s="140" t="s">
        <v>110</v>
      </c>
      <c r="J101" s="373" t="s">
        <v>110</v>
      </c>
      <c r="K101" s="373" t="s">
        <v>110</v>
      </c>
      <c r="L101" s="140" t="s">
        <v>110</v>
      </c>
      <c r="M101" s="140">
        <v>40256.58</v>
      </c>
      <c r="N101" s="140" t="s">
        <v>110</v>
      </c>
      <c r="O101" s="141" t="s">
        <v>110</v>
      </c>
    </row>
    <row r="102" spans="1:15" ht="29.25" customHeight="1">
      <c r="A102" s="137">
        <v>35</v>
      </c>
      <c r="B102" s="138" t="s">
        <v>609</v>
      </c>
      <c r="C102" s="139" t="s">
        <v>610</v>
      </c>
      <c r="D102" s="138" t="s">
        <v>140</v>
      </c>
      <c r="E102" s="373">
        <v>1</v>
      </c>
      <c r="F102" s="373" t="s">
        <v>110</v>
      </c>
      <c r="G102" s="140">
        <v>1176.3599999999999</v>
      </c>
      <c r="H102" s="140">
        <v>1176.3599999999999</v>
      </c>
      <c r="I102" s="140">
        <v>768.54</v>
      </c>
      <c r="J102" s="373">
        <v>344.05</v>
      </c>
      <c r="K102" s="373" t="s">
        <v>110</v>
      </c>
      <c r="L102" s="140">
        <v>63.77</v>
      </c>
      <c r="M102" s="140">
        <v>20777.72</v>
      </c>
      <c r="N102" s="140" t="s">
        <v>110</v>
      </c>
      <c r="O102" s="141">
        <v>10.14</v>
      </c>
    </row>
    <row r="103" spans="1:15" ht="29.25" customHeight="1">
      <c r="A103" s="137" t="s">
        <v>110</v>
      </c>
      <c r="B103" s="138" t="s">
        <v>154</v>
      </c>
      <c r="C103" s="139" t="s">
        <v>610</v>
      </c>
      <c r="D103" s="138" t="s">
        <v>156</v>
      </c>
      <c r="E103" s="373">
        <v>101</v>
      </c>
      <c r="F103" s="373" t="s">
        <v>110</v>
      </c>
      <c r="G103" s="140">
        <v>205.72</v>
      </c>
      <c r="H103" s="140">
        <v>20777.72</v>
      </c>
      <c r="I103" s="140" t="s">
        <v>110</v>
      </c>
      <c r="J103" s="373" t="s">
        <v>110</v>
      </c>
      <c r="K103" s="373" t="s">
        <v>110</v>
      </c>
      <c r="L103" s="140" t="s">
        <v>110</v>
      </c>
      <c r="M103" s="140">
        <v>20777.72</v>
      </c>
      <c r="N103" s="140" t="s">
        <v>110</v>
      </c>
      <c r="O103" s="141" t="s">
        <v>110</v>
      </c>
    </row>
    <row r="104" spans="1:15" ht="29.25" customHeight="1">
      <c r="A104" s="137">
        <v>36</v>
      </c>
      <c r="B104" s="138" t="s">
        <v>609</v>
      </c>
      <c r="C104" s="139" t="s">
        <v>611</v>
      </c>
      <c r="D104" s="138" t="s">
        <v>140</v>
      </c>
      <c r="E104" s="373">
        <v>2</v>
      </c>
      <c r="F104" s="373" t="s">
        <v>110</v>
      </c>
      <c r="G104" s="140">
        <v>1176.3599999999999</v>
      </c>
      <c r="H104" s="140">
        <v>2352.7199999999998</v>
      </c>
      <c r="I104" s="140">
        <v>1537.08</v>
      </c>
      <c r="J104" s="373">
        <v>688.1</v>
      </c>
      <c r="K104" s="373" t="s">
        <v>110</v>
      </c>
      <c r="L104" s="140">
        <v>127.54</v>
      </c>
      <c r="M104" s="140">
        <v>30354.54</v>
      </c>
      <c r="N104" s="140" t="s">
        <v>110</v>
      </c>
      <c r="O104" s="141">
        <v>20.28</v>
      </c>
    </row>
    <row r="105" spans="1:15" ht="29.25" customHeight="1">
      <c r="A105" s="137" t="s">
        <v>110</v>
      </c>
      <c r="B105" s="138" t="s">
        <v>154</v>
      </c>
      <c r="C105" s="139" t="s">
        <v>611</v>
      </c>
      <c r="D105" s="138" t="s">
        <v>156</v>
      </c>
      <c r="E105" s="373">
        <v>202</v>
      </c>
      <c r="F105" s="373" t="s">
        <v>110</v>
      </c>
      <c r="G105" s="140">
        <v>150.27000000000001</v>
      </c>
      <c r="H105" s="140">
        <v>30354.54</v>
      </c>
      <c r="I105" s="140" t="s">
        <v>110</v>
      </c>
      <c r="J105" s="373" t="s">
        <v>110</v>
      </c>
      <c r="K105" s="373" t="s">
        <v>110</v>
      </c>
      <c r="L105" s="140" t="s">
        <v>110</v>
      </c>
      <c r="M105" s="140">
        <v>30354.54</v>
      </c>
      <c r="N105" s="140" t="s">
        <v>110</v>
      </c>
      <c r="O105" s="141" t="s">
        <v>110</v>
      </c>
    </row>
    <row r="106" spans="1:15" ht="29.25" customHeight="1">
      <c r="A106" s="137">
        <v>37</v>
      </c>
      <c r="B106" s="138" t="s">
        <v>612</v>
      </c>
      <c r="C106" s="139" t="s">
        <v>613</v>
      </c>
      <c r="D106" s="138" t="s">
        <v>140</v>
      </c>
      <c r="E106" s="373">
        <v>2</v>
      </c>
      <c r="F106" s="373" t="s">
        <v>110</v>
      </c>
      <c r="G106" s="140">
        <v>722.11</v>
      </c>
      <c r="H106" s="140">
        <v>1444.22</v>
      </c>
      <c r="I106" s="140">
        <v>851.12</v>
      </c>
      <c r="J106" s="373">
        <v>574.88</v>
      </c>
      <c r="K106" s="373" t="s">
        <v>110</v>
      </c>
      <c r="L106" s="140">
        <v>18.22</v>
      </c>
      <c r="M106" s="140">
        <v>15398.46</v>
      </c>
      <c r="N106" s="140" t="s">
        <v>110</v>
      </c>
      <c r="O106" s="141">
        <v>11.24</v>
      </c>
    </row>
    <row r="107" spans="1:15" ht="29.25" customHeight="1">
      <c r="A107" s="137" t="s">
        <v>110</v>
      </c>
      <c r="B107" s="138" t="s">
        <v>154</v>
      </c>
      <c r="C107" s="139" t="s">
        <v>613</v>
      </c>
      <c r="D107" s="138" t="s">
        <v>156</v>
      </c>
      <c r="E107" s="373">
        <v>202</v>
      </c>
      <c r="F107" s="373" t="s">
        <v>110</v>
      </c>
      <c r="G107" s="140">
        <v>76.23</v>
      </c>
      <c r="H107" s="140">
        <v>15398.46</v>
      </c>
      <c r="I107" s="140" t="s">
        <v>110</v>
      </c>
      <c r="J107" s="373" t="s">
        <v>110</v>
      </c>
      <c r="K107" s="373" t="s">
        <v>110</v>
      </c>
      <c r="L107" s="140" t="s">
        <v>110</v>
      </c>
      <c r="M107" s="140">
        <v>15398.46</v>
      </c>
      <c r="N107" s="140" t="s">
        <v>110</v>
      </c>
      <c r="O107" s="141" t="s">
        <v>110</v>
      </c>
    </row>
    <row r="108" spans="1:15" ht="18" customHeight="1">
      <c r="A108" s="137">
        <v>38</v>
      </c>
      <c r="B108" s="138" t="s">
        <v>612</v>
      </c>
      <c r="C108" s="139" t="s">
        <v>614</v>
      </c>
      <c r="D108" s="138" t="s">
        <v>140</v>
      </c>
      <c r="E108" s="373">
        <v>3</v>
      </c>
      <c r="F108" s="373" t="s">
        <v>110</v>
      </c>
      <c r="G108" s="140">
        <v>722.11</v>
      </c>
      <c r="H108" s="140">
        <v>2166.33</v>
      </c>
      <c r="I108" s="140">
        <v>1276.68</v>
      </c>
      <c r="J108" s="373">
        <v>862.32</v>
      </c>
      <c r="K108" s="373" t="s">
        <v>110</v>
      </c>
      <c r="L108" s="140">
        <v>27.33</v>
      </c>
      <c r="M108" s="140">
        <v>14228.88</v>
      </c>
      <c r="N108" s="140" t="s">
        <v>110</v>
      </c>
      <c r="O108" s="141">
        <v>16.86</v>
      </c>
    </row>
    <row r="109" spans="1:15" ht="18" customHeight="1">
      <c r="A109" s="137" t="s">
        <v>110</v>
      </c>
      <c r="B109" s="138" t="s">
        <v>154</v>
      </c>
      <c r="C109" s="139" t="s">
        <v>614</v>
      </c>
      <c r="D109" s="138" t="s">
        <v>156</v>
      </c>
      <c r="E109" s="373">
        <v>303</v>
      </c>
      <c r="F109" s="373" t="s">
        <v>110</v>
      </c>
      <c r="G109" s="140">
        <v>46.96</v>
      </c>
      <c r="H109" s="140">
        <v>14228.88</v>
      </c>
      <c r="I109" s="140" t="s">
        <v>110</v>
      </c>
      <c r="J109" s="373" t="s">
        <v>110</v>
      </c>
      <c r="K109" s="373" t="s">
        <v>110</v>
      </c>
      <c r="L109" s="140" t="s">
        <v>110</v>
      </c>
      <c r="M109" s="140">
        <v>14228.88</v>
      </c>
      <c r="N109" s="140" t="s">
        <v>110</v>
      </c>
      <c r="O109" s="141" t="s">
        <v>110</v>
      </c>
    </row>
    <row r="110" spans="1:15" ht="18" customHeight="1">
      <c r="A110" s="137">
        <v>39</v>
      </c>
      <c r="B110" s="138" t="s">
        <v>612</v>
      </c>
      <c r="C110" s="139" t="s">
        <v>615</v>
      </c>
      <c r="D110" s="138" t="s">
        <v>140</v>
      </c>
      <c r="E110" s="373">
        <v>10</v>
      </c>
      <c r="F110" s="373" t="s">
        <v>110</v>
      </c>
      <c r="G110" s="140">
        <v>722.11</v>
      </c>
      <c r="H110" s="140">
        <v>7221.1</v>
      </c>
      <c r="I110" s="140">
        <v>4255.6000000000004</v>
      </c>
      <c r="J110" s="373">
        <v>2874.4</v>
      </c>
      <c r="K110" s="373" t="s">
        <v>110</v>
      </c>
      <c r="L110" s="140">
        <v>91.1</v>
      </c>
      <c r="M110" s="140">
        <v>30946.400000000001</v>
      </c>
      <c r="N110" s="140" t="s">
        <v>110</v>
      </c>
      <c r="O110" s="141">
        <v>56.2</v>
      </c>
    </row>
    <row r="111" spans="1:15" ht="18" customHeight="1">
      <c r="A111" s="137" t="s">
        <v>110</v>
      </c>
      <c r="B111" s="138" t="s">
        <v>154</v>
      </c>
      <c r="C111" s="139" t="s">
        <v>615</v>
      </c>
      <c r="D111" s="138" t="s">
        <v>156</v>
      </c>
      <c r="E111" s="373">
        <v>1010</v>
      </c>
      <c r="F111" s="373" t="s">
        <v>110</v>
      </c>
      <c r="G111" s="140">
        <v>30.64</v>
      </c>
      <c r="H111" s="140">
        <v>30946.400000000001</v>
      </c>
      <c r="I111" s="140" t="s">
        <v>110</v>
      </c>
      <c r="J111" s="373" t="s">
        <v>110</v>
      </c>
      <c r="K111" s="373" t="s">
        <v>110</v>
      </c>
      <c r="L111" s="140" t="s">
        <v>110</v>
      </c>
      <c r="M111" s="140">
        <v>30946.400000000001</v>
      </c>
      <c r="N111" s="140" t="s">
        <v>110</v>
      </c>
      <c r="O111" s="141" t="s">
        <v>110</v>
      </c>
    </row>
    <row r="112" spans="1:15" ht="18" customHeight="1">
      <c r="A112" s="137">
        <v>40</v>
      </c>
      <c r="B112" s="138" t="s">
        <v>616</v>
      </c>
      <c r="C112" s="139" t="s">
        <v>617</v>
      </c>
      <c r="D112" s="138" t="s">
        <v>155</v>
      </c>
      <c r="E112" s="373">
        <v>1800</v>
      </c>
      <c r="F112" s="373" t="s">
        <v>110</v>
      </c>
      <c r="G112" s="140">
        <v>56.17</v>
      </c>
      <c r="H112" s="140">
        <v>101106</v>
      </c>
      <c r="I112" s="140">
        <v>61110</v>
      </c>
      <c r="J112" s="373">
        <v>39996</v>
      </c>
      <c r="K112" s="373" t="s">
        <v>110</v>
      </c>
      <c r="L112" s="140" t="s">
        <v>110</v>
      </c>
      <c r="M112" s="140">
        <v>22392</v>
      </c>
      <c r="N112" s="140" t="s">
        <v>110</v>
      </c>
      <c r="O112" s="141">
        <v>720</v>
      </c>
    </row>
    <row r="113" spans="1:15" ht="18" customHeight="1">
      <c r="A113" s="137" t="s">
        <v>110</v>
      </c>
      <c r="B113" s="138" t="s">
        <v>154</v>
      </c>
      <c r="C113" s="139" t="s">
        <v>617</v>
      </c>
      <c r="D113" s="138" t="s">
        <v>156</v>
      </c>
      <c r="E113" s="373">
        <v>18360</v>
      </c>
      <c r="F113" s="373" t="s">
        <v>110</v>
      </c>
      <c r="G113" s="140">
        <v>1.22</v>
      </c>
      <c r="H113" s="140">
        <v>22399.200000000001</v>
      </c>
      <c r="I113" s="140" t="s">
        <v>110</v>
      </c>
      <c r="J113" s="373" t="s">
        <v>110</v>
      </c>
      <c r="K113" s="373" t="s">
        <v>110</v>
      </c>
      <c r="L113" s="140" t="s">
        <v>110</v>
      </c>
      <c r="M113" s="140">
        <v>22399.200000000001</v>
      </c>
      <c r="N113" s="140" t="s">
        <v>110</v>
      </c>
      <c r="O113" s="141" t="s">
        <v>110</v>
      </c>
    </row>
    <row r="114" spans="1:15" ht="18" customHeight="1">
      <c r="A114" s="137">
        <v>41</v>
      </c>
      <c r="B114" s="138" t="s">
        <v>618</v>
      </c>
      <c r="C114" s="139" t="s">
        <v>619</v>
      </c>
      <c r="D114" s="138" t="s">
        <v>155</v>
      </c>
      <c r="E114" s="373">
        <v>1000</v>
      </c>
      <c r="F114" s="373" t="s">
        <v>110</v>
      </c>
      <c r="G114" s="140">
        <v>63.36</v>
      </c>
      <c r="H114" s="140">
        <v>63360</v>
      </c>
      <c r="I114" s="140">
        <v>41140</v>
      </c>
      <c r="J114" s="373">
        <v>22220</v>
      </c>
      <c r="K114" s="373" t="s">
        <v>110</v>
      </c>
      <c r="L114" s="140" t="s">
        <v>110</v>
      </c>
      <c r="M114" s="140">
        <v>19380</v>
      </c>
      <c r="N114" s="140" t="s">
        <v>110</v>
      </c>
      <c r="O114" s="141">
        <v>482</v>
      </c>
    </row>
    <row r="115" spans="1:15" ht="18" customHeight="1">
      <c r="A115" s="137" t="s">
        <v>110</v>
      </c>
      <c r="B115" s="138" t="s">
        <v>154</v>
      </c>
      <c r="C115" s="139" t="s">
        <v>619</v>
      </c>
      <c r="D115" s="138" t="s">
        <v>156</v>
      </c>
      <c r="E115" s="373">
        <v>10200</v>
      </c>
      <c r="F115" s="373" t="s">
        <v>110</v>
      </c>
      <c r="G115" s="140">
        <v>1.9</v>
      </c>
      <c r="H115" s="140">
        <v>19380</v>
      </c>
      <c r="I115" s="140" t="s">
        <v>110</v>
      </c>
      <c r="J115" s="373" t="s">
        <v>110</v>
      </c>
      <c r="K115" s="373" t="s">
        <v>110</v>
      </c>
      <c r="L115" s="140" t="s">
        <v>110</v>
      </c>
      <c r="M115" s="140">
        <v>19380</v>
      </c>
      <c r="N115" s="140" t="s">
        <v>110</v>
      </c>
      <c r="O115" s="141" t="s">
        <v>110</v>
      </c>
    </row>
    <row r="116" spans="1:15" ht="18" customHeight="1">
      <c r="A116" s="137">
        <v>42</v>
      </c>
      <c r="B116" s="138" t="s">
        <v>620</v>
      </c>
      <c r="C116" s="139" t="s">
        <v>621</v>
      </c>
      <c r="D116" s="138" t="s">
        <v>155</v>
      </c>
      <c r="E116" s="373">
        <v>600</v>
      </c>
      <c r="F116" s="373" t="s">
        <v>110</v>
      </c>
      <c r="G116" s="140">
        <v>146.18</v>
      </c>
      <c r="H116" s="140">
        <v>87708</v>
      </c>
      <c r="I116" s="140">
        <v>77622</v>
      </c>
      <c r="J116" s="373">
        <v>9522</v>
      </c>
      <c r="K116" s="373" t="s">
        <v>110</v>
      </c>
      <c r="L116" s="140">
        <v>564</v>
      </c>
      <c r="M116" s="140">
        <v>66096</v>
      </c>
      <c r="N116" s="140" t="s">
        <v>110</v>
      </c>
      <c r="O116" s="141">
        <v>942</v>
      </c>
    </row>
    <row r="117" spans="1:15" ht="18" customHeight="1" thickBot="1">
      <c r="A117" s="192" t="s">
        <v>110</v>
      </c>
      <c r="B117" s="194" t="s">
        <v>154</v>
      </c>
      <c r="C117" s="195" t="s">
        <v>621</v>
      </c>
      <c r="D117" s="194" t="s">
        <v>156</v>
      </c>
      <c r="E117" s="376">
        <v>6120</v>
      </c>
      <c r="F117" s="376" t="s">
        <v>110</v>
      </c>
      <c r="G117" s="142">
        <v>10.8</v>
      </c>
      <c r="H117" s="142">
        <v>66096</v>
      </c>
      <c r="I117" s="142" t="s">
        <v>110</v>
      </c>
      <c r="J117" s="376" t="s">
        <v>110</v>
      </c>
      <c r="K117" s="376" t="s">
        <v>110</v>
      </c>
      <c r="L117" s="142" t="s">
        <v>110</v>
      </c>
      <c r="M117" s="142">
        <v>66096</v>
      </c>
      <c r="N117" s="142" t="s">
        <v>110</v>
      </c>
      <c r="O117" s="143" t="s">
        <v>110</v>
      </c>
    </row>
    <row r="118" spans="1:15" ht="16.5" customHeight="1">
      <c r="A118" s="372" t="s">
        <v>288</v>
      </c>
      <c r="B118" s="372" t="s">
        <v>110</v>
      </c>
      <c r="C118" s="372" t="s">
        <v>110</v>
      </c>
      <c r="D118" s="372" t="s">
        <v>110</v>
      </c>
      <c r="E118" s="372" t="s">
        <v>110</v>
      </c>
      <c r="F118" s="366" t="s">
        <v>289</v>
      </c>
      <c r="G118" s="366" t="s">
        <v>110</v>
      </c>
      <c r="H118" s="366" t="s">
        <v>110</v>
      </c>
      <c r="I118" s="366" t="s">
        <v>110</v>
      </c>
      <c r="J118" s="366" t="s">
        <v>110</v>
      </c>
      <c r="K118" s="367" t="s">
        <v>290</v>
      </c>
      <c r="L118" s="367" t="s">
        <v>110</v>
      </c>
      <c r="M118" s="367" t="s">
        <v>110</v>
      </c>
      <c r="N118" s="367" t="s">
        <v>110</v>
      </c>
      <c r="O118" s="367" t="s">
        <v>110</v>
      </c>
    </row>
    <row r="119" spans="1:15" ht="35.25" customHeight="1">
      <c r="A119" s="377" t="s">
        <v>291</v>
      </c>
      <c r="B119" s="377" t="s">
        <v>110</v>
      </c>
      <c r="C119" s="377" t="s">
        <v>110</v>
      </c>
      <c r="D119" s="377" t="s">
        <v>110</v>
      </c>
      <c r="E119" s="377" t="s">
        <v>110</v>
      </c>
      <c r="F119" s="377" t="s">
        <v>110</v>
      </c>
      <c r="G119" s="377" t="s">
        <v>110</v>
      </c>
      <c r="H119" s="377" t="s">
        <v>110</v>
      </c>
      <c r="I119" s="377" t="s">
        <v>110</v>
      </c>
      <c r="J119" s="377" t="s">
        <v>110</v>
      </c>
      <c r="K119" s="377" t="s">
        <v>110</v>
      </c>
      <c r="L119" s="377" t="s">
        <v>110</v>
      </c>
      <c r="M119" s="377" t="s">
        <v>110</v>
      </c>
      <c r="N119" s="377" t="s">
        <v>110</v>
      </c>
      <c r="O119" s="377" t="s">
        <v>110</v>
      </c>
    </row>
    <row r="120" spans="1:15" ht="29.25" customHeight="1" thickBot="1">
      <c r="A120" s="372" t="s">
        <v>170</v>
      </c>
      <c r="B120" s="372" t="s">
        <v>110</v>
      </c>
      <c r="C120" s="372" t="s">
        <v>110</v>
      </c>
      <c r="D120" s="372" t="s">
        <v>110</v>
      </c>
      <c r="E120" s="372" t="s">
        <v>110</v>
      </c>
      <c r="F120" s="372" t="s">
        <v>110</v>
      </c>
      <c r="G120" s="372" t="s">
        <v>110</v>
      </c>
      <c r="H120" s="372" t="s">
        <v>110</v>
      </c>
      <c r="I120" s="372" t="s">
        <v>110</v>
      </c>
      <c r="J120" s="372" t="s">
        <v>110</v>
      </c>
      <c r="K120" s="367" t="s">
        <v>219</v>
      </c>
      <c r="L120" s="367" t="s">
        <v>110</v>
      </c>
      <c r="M120" s="367" t="s">
        <v>110</v>
      </c>
      <c r="N120" s="367" t="s">
        <v>110</v>
      </c>
      <c r="O120" s="367" t="s">
        <v>110</v>
      </c>
    </row>
    <row r="121" spans="1:15" ht="19.5" customHeight="1">
      <c r="A121" s="378" t="s">
        <v>112</v>
      </c>
      <c r="B121" s="371" t="s">
        <v>292</v>
      </c>
      <c r="C121" s="371" t="s">
        <v>293</v>
      </c>
      <c r="D121" s="371" t="s">
        <v>294</v>
      </c>
      <c r="E121" s="371" t="s">
        <v>110</v>
      </c>
      <c r="F121" s="371" t="s">
        <v>110</v>
      </c>
      <c r="G121" s="371" t="s">
        <v>295</v>
      </c>
      <c r="H121" s="371" t="s">
        <v>110</v>
      </c>
      <c r="I121" s="371" t="s">
        <v>296</v>
      </c>
      <c r="J121" s="371" t="s">
        <v>110</v>
      </c>
      <c r="K121" s="371" t="s">
        <v>110</v>
      </c>
      <c r="L121" s="371" t="s">
        <v>110</v>
      </c>
      <c r="M121" s="371" t="s">
        <v>110</v>
      </c>
      <c r="N121" s="371" t="s">
        <v>110</v>
      </c>
      <c r="O121" s="381" t="s">
        <v>297</v>
      </c>
    </row>
    <row r="122" spans="1:15" ht="18" customHeight="1">
      <c r="A122" s="379" t="s">
        <v>110</v>
      </c>
      <c r="B122" s="380" t="s">
        <v>110</v>
      </c>
      <c r="C122" s="380" t="s">
        <v>110</v>
      </c>
      <c r="D122" s="136" t="s">
        <v>133</v>
      </c>
      <c r="E122" s="380" t="s">
        <v>134</v>
      </c>
      <c r="F122" s="380" t="s">
        <v>110</v>
      </c>
      <c r="G122" s="136" t="s">
        <v>298</v>
      </c>
      <c r="H122" s="136" t="s">
        <v>299</v>
      </c>
      <c r="I122" s="136" t="s">
        <v>300</v>
      </c>
      <c r="J122" s="380" t="s">
        <v>301</v>
      </c>
      <c r="K122" s="380" t="s">
        <v>110</v>
      </c>
      <c r="L122" s="136" t="s">
        <v>302</v>
      </c>
      <c r="M122" s="136" t="s">
        <v>303</v>
      </c>
      <c r="N122" s="136" t="s">
        <v>304</v>
      </c>
      <c r="O122" s="382" t="s">
        <v>110</v>
      </c>
    </row>
    <row r="123" spans="1:15" ht="18" customHeight="1">
      <c r="A123" s="137">
        <v>43</v>
      </c>
      <c r="B123" s="138" t="s">
        <v>622</v>
      </c>
      <c r="C123" s="139" t="s">
        <v>623</v>
      </c>
      <c r="D123" s="138" t="s">
        <v>155</v>
      </c>
      <c r="E123" s="373">
        <v>1000</v>
      </c>
      <c r="F123" s="373" t="s">
        <v>110</v>
      </c>
      <c r="G123" s="140">
        <v>139.15</v>
      </c>
      <c r="H123" s="140">
        <v>139150</v>
      </c>
      <c r="I123" s="140">
        <v>129370</v>
      </c>
      <c r="J123" s="373">
        <v>8840</v>
      </c>
      <c r="K123" s="373" t="s">
        <v>110</v>
      </c>
      <c r="L123" s="140">
        <v>940</v>
      </c>
      <c r="M123" s="140">
        <v>85680</v>
      </c>
      <c r="N123" s="140" t="s">
        <v>110</v>
      </c>
      <c r="O123" s="141">
        <v>1570</v>
      </c>
    </row>
    <row r="124" spans="1:15" ht="18" customHeight="1">
      <c r="A124" s="137" t="s">
        <v>110</v>
      </c>
      <c r="B124" s="138" t="s">
        <v>154</v>
      </c>
      <c r="C124" s="139" t="s">
        <v>623</v>
      </c>
      <c r="D124" s="138" t="s">
        <v>156</v>
      </c>
      <c r="E124" s="373">
        <v>10200</v>
      </c>
      <c r="F124" s="373" t="s">
        <v>110</v>
      </c>
      <c r="G124" s="140">
        <v>8.4</v>
      </c>
      <c r="H124" s="140">
        <v>85680</v>
      </c>
      <c r="I124" s="140" t="s">
        <v>110</v>
      </c>
      <c r="J124" s="373" t="s">
        <v>110</v>
      </c>
      <c r="K124" s="373" t="s">
        <v>110</v>
      </c>
      <c r="L124" s="140" t="s">
        <v>110</v>
      </c>
      <c r="M124" s="140">
        <v>85680</v>
      </c>
      <c r="N124" s="140" t="s">
        <v>110</v>
      </c>
      <c r="O124" s="141" t="s">
        <v>110</v>
      </c>
    </row>
    <row r="125" spans="1:15" ht="18" customHeight="1">
      <c r="A125" s="137">
        <v>44</v>
      </c>
      <c r="B125" s="138" t="s">
        <v>624</v>
      </c>
      <c r="C125" s="139" t="s">
        <v>625</v>
      </c>
      <c r="D125" s="138" t="s">
        <v>155</v>
      </c>
      <c r="E125" s="373">
        <v>120</v>
      </c>
      <c r="F125" s="373" t="s">
        <v>110</v>
      </c>
      <c r="G125" s="140">
        <v>216.62</v>
      </c>
      <c r="H125" s="140">
        <v>25994.400000000001</v>
      </c>
      <c r="I125" s="140">
        <v>22731.599999999999</v>
      </c>
      <c r="J125" s="373">
        <v>2750.4</v>
      </c>
      <c r="K125" s="373" t="s">
        <v>110</v>
      </c>
      <c r="L125" s="140">
        <v>512.4</v>
      </c>
      <c r="M125" s="140">
        <v>36597.599999999999</v>
      </c>
      <c r="N125" s="140" t="s">
        <v>110</v>
      </c>
      <c r="O125" s="141">
        <v>275.88</v>
      </c>
    </row>
    <row r="126" spans="1:15" ht="18" customHeight="1">
      <c r="A126" s="137" t="s">
        <v>110</v>
      </c>
      <c r="B126" s="138" t="s">
        <v>154</v>
      </c>
      <c r="C126" s="139" t="s">
        <v>625</v>
      </c>
      <c r="D126" s="138" t="s">
        <v>156</v>
      </c>
      <c r="E126" s="373">
        <v>1224</v>
      </c>
      <c r="F126" s="373" t="s">
        <v>110</v>
      </c>
      <c r="G126" s="140">
        <v>29.9</v>
      </c>
      <c r="H126" s="140">
        <v>36597.599999999999</v>
      </c>
      <c r="I126" s="140" t="s">
        <v>110</v>
      </c>
      <c r="J126" s="373" t="s">
        <v>110</v>
      </c>
      <c r="K126" s="373" t="s">
        <v>110</v>
      </c>
      <c r="L126" s="140" t="s">
        <v>110</v>
      </c>
      <c r="M126" s="140">
        <v>36597.599999999999</v>
      </c>
      <c r="N126" s="140" t="s">
        <v>110</v>
      </c>
      <c r="O126" s="141" t="s">
        <v>110</v>
      </c>
    </row>
    <row r="127" spans="1:15" ht="18" customHeight="1">
      <c r="A127" s="137">
        <v>45</v>
      </c>
      <c r="B127" s="138" t="s">
        <v>393</v>
      </c>
      <c r="C127" s="139" t="s">
        <v>626</v>
      </c>
      <c r="D127" s="138" t="s">
        <v>155</v>
      </c>
      <c r="E127" s="373">
        <v>30</v>
      </c>
      <c r="F127" s="373" t="s">
        <v>110</v>
      </c>
      <c r="G127" s="140">
        <v>274.22000000000003</v>
      </c>
      <c r="H127" s="140">
        <v>8226.6</v>
      </c>
      <c r="I127" s="140">
        <v>6973.8</v>
      </c>
      <c r="J127" s="373">
        <v>1018.5</v>
      </c>
      <c r="K127" s="373" t="s">
        <v>110</v>
      </c>
      <c r="L127" s="140">
        <v>234.3</v>
      </c>
      <c r="M127" s="140">
        <v>20073.599999999999</v>
      </c>
      <c r="N127" s="140" t="s">
        <v>110</v>
      </c>
      <c r="O127" s="141">
        <v>84.63</v>
      </c>
    </row>
    <row r="128" spans="1:15" ht="18" customHeight="1">
      <c r="A128" s="137" t="s">
        <v>110</v>
      </c>
      <c r="B128" s="138" t="s">
        <v>154</v>
      </c>
      <c r="C128" s="139" t="s">
        <v>626</v>
      </c>
      <c r="D128" s="138" t="s">
        <v>156</v>
      </c>
      <c r="E128" s="373">
        <v>306</v>
      </c>
      <c r="F128" s="373" t="s">
        <v>110</v>
      </c>
      <c r="G128" s="140">
        <v>65.599999999999994</v>
      </c>
      <c r="H128" s="140">
        <v>20073.599999999999</v>
      </c>
      <c r="I128" s="140" t="s">
        <v>110</v>
      </c>
      <c r="J128" s="373" t="s">
        <v>110</v>
      </c>
      <c r="K128" s="373" t="s">
        <v>110</v>
      </c>
      <c r="L128" s="140" t="s">
        <v>110</v>
      </c>
      <c r="M128" s="140">
        <v>20073.599999999999</v>
      </c>
      <c r="N128" s="140" t="s">
        <v>110</v>
      </c>
      <c r="O128" s="141" t="s">
        <v>110</v>
      </c>
    </row>
    <row r="129" spans="1:15" ht="29.25" customHeight="1">
      <c r="A129" s="137">
        <v>46</v>
      </c>
      <c r="B129" s="138" t="s">
        <v>167</v>
      </c>
      <c r="C129" s="139" t="s">
        <v>627</v>
      </c>
      <c r="D129" s="138" t="s">
        <v>156</v>
      </c>
      <c r="E129" s="373">
        <v>1</v>
      </c>
      <c r="F129" s="373" t="s">
        <v>110</v>
      </c>
      <c r="G129" s="140">
        <v>12</v>
      </c>
      <c r="H129" s="140">
        <v>12</v>
      </c>
      <c r="I129" s="140" t="s">
        <v>110</v>
      </c>
      <c r="J129" s="373" t="s">
        <v>110</v>
      </c>
      <c r="K129" s="373" t="s">
        <v>110</v>
      </c>
      <c r="L129" s="140" t="s">
        <v>110</v>
      </c>
      <c r="M129" s="140">
        <v>12</v>
      </c>
      <c r="N129" s="140" t="s">
        <v>110</v>
      </c>
      <c r="O129" s="141" t="s">
        <v>110</v>
      </c>
    </row>
    <row r="130" spans="1:15" ht="29.25" customHeight="1">
      <c r="A130" s="137">
        <v>47</v>
      </c>
      <c r="B130" s="138" t="s">
        <v>158</v>
      </c>
      <c r="C130" s="139" t="s">
        <v>628</v>
      </c>
      <c r="D130" s="138" t="s">
        <v>156</v>
      </c>
      <c r="E130" s="373">
        <v>1</v>
      </c>
      <c r="F130" s="373" t="s">
        <v>110</v>
      </c>
      <c r="G130" s="140">
        <v>8</v>
      </c>
      <c r="H130" s="140">
        <v>8</v>
      </c>
      <c r="I130" s="140" t="s">
        <v>110</v>
      </c>
      <c r="J130" s="373" t="s">
        <v>110</v>
      </c>
      <c r="K130" s="373" t="s">
        <v>110</v>
      </c>
      <c r="L130" s="140" t="s">
        <v>110</v>
      </c>
      <c r="M130" s="140">
        <v>8</v>
      </c>
      <c r="N130" s="140" t="s">
        <v>110</v>
      </c>
      <c r="O130" s="141" t="s">
        <v>110</v>
      </c>
    </row>
    <row r="131" spans="1:15" ht="16.5" customHeight="1">
      <c r="A131" s="137" t="s">
        <v>110</v>
      </c>
      <c r="B131" s="138" t="s">
        <v>110</v>
      </c>
      <c r="C131" s="193" t="s">
        <v>168</v>
      </c>
      <c r="D131" s="138" t="s">
        <v>110</v>
      </c>
      <c r="E131" s="373" t="s">
        <v>110</v>
      </c>
      <c r="F131" s="373" t="s">
        <v>110</v>
      </c>
      <c r="G131" s="140" t="s">
        <v>110</v>
      </c>
      <c r="H131" s="140">
        <v>45489.279999999999</v>
      </c>
      <c r="I131" s="140">
        <v>38982.879999999997</v>
      </c>
      <c r="J131" s="373">
        <v>4832.8</v>
      </c>
      <c r="K131" s="373" t="s">
        <v>110</v>
      </c>
      <c r="L131" s="140">
        <v>1673.6</v>
      </c>
      <c r="M131" s="140">
        <v>429835.2</v>
      </c>
      <c r="N131" s="140" t="s">
        <v>110</v>
      </c>
      <c r="O131" s="141">
        <v>479.4</v>
      </c>
    </row>
    <row r="132" spans="1:15" ht="18" customHeight="1">
      <c r="A132" s="137">
        <v>1</v>
      </c>
      <c r="B132" s="138" t="s">
        <v>629</v>
      </c>
      <c r="C132" s="139" t="s">
        <v>630</v>
      </c>
      <c r="D132" s="138" t="s">
        <v>330</v>
      </c>
      <c r="E132" s="373">
        <v>42</v>
      </c>
      <c r="F132" s="373" t="s">
        <v>110</v>
      </c>
      <c r="G132" s="140">
        <v>105.84</v>
      </c>
      <c r="H132" s="140">
        <v>4445.28</v>
      </c>
      <c r="I132" s="140">
        <v>4445.28</v>
      </c>
      <c r="J132" s="373" t="s">
        <v>110</v>
      </c>
      <c r="K132" s="373" t="s">
        <v>110</v>
      </c>
      <c r="L132" s="140" t="s">
        <v>110</v>
      </c>
      <c r="M132" s="140">
        <v>11138.4</v>
      </c>
      <c r="N132" s="140" t="s">
        <v>110</v>
      </c>
      <c r="O132" s="141">
        <v>54.6</v>
      </c>
    </row>
    <row r="133" spans="1:15" ht="18" customHeight="1">
      <c r="A133" s="137" t="s">
        <v>110</v>
      </c>
      <c r="B133" s="138" t="s">
        <v>154</v>
      </c>
      <c r="C133" s="139" t="s">
        <v>630</v>
      </c>
      <c r="D133" s="138" t="s">
        <v>157</v>
      </c>
      <c r="E133" s="373">
        <v>428.4</v>
      </c>
      <c r="F133" s="373" t="s">
        <v>110</v>
      </c>
      <c r="G133" s="140">
        <v>26</v>
      </c>
      <c r="H133" s="140">
        <v>11138.4</v>
      </c>
      <c r="I133" s="140" t="s">
        <v>110</v>
      </c>
      <c r="J133" s="373" t="s">
        <v>110</v>
      </c>
      <c r="K133" s="373" t="s">
        <v>110</v>
      </c>
      <c r="L133" s="140" t="s">
        <v>110</v>
      </c>
      <c r="M133" s="140">
        <v>11138.4</v>
      </c>
      <c r="N133" s="140" t="s">
        <v>110</v>
      </c>
      <c r="O133" s="141" t="s">
        <v>110</v>
      </c>
    </row>
    <row r="134" spans="1:15" ht="18" customHeight="1">
      <c r="A134" s="137">
        <v>2</v>
      </c>
      <c r="B134" s="138" t="s">
        <v>605</v>
      </c>
      <c r="C134" s="139" t="s">
        <v>631</v>
      </c>
      <c r="D134" s="138" t="s">
        <v>155</v>
      </c>
      <c r="E134" s="373">
        <v>120</v>
      </c>
      <c r="F134" s="373" t="s">
        <v>110</v>
      </c>
      <c r="G134" s="140">
        <v>251.25</v>
      </c>
      <c r="H134" s="140">
        <v>30150</v>
      </c>
      <c r="I134" s="140">
        <v>24777.599999999999</v>
      </c>
      <c r="J134" s="373">
        <v>4096.8</v>
      </c>
      <c r="K134" s="373" t="s">
        <v>110</v>
      </c>
      <c r="L134" s="140">
        <v>1275.5999999999999</v>
      </c>
      <c r="M134" s="140">
        <v>51496.800000000003</v>
      </c>
      <c r="N134" s="140" t="s">
        <v>110</v>
      </c>
      <c r="O134" s="141">
        <v>304.8</v>
      </c>
    </row>
    <row r="135" spans="1:15" ht="18" customHeight="1">
      <c r="A135" s="137" t="s">
        <v>110</v>
      </c>
      <c r="B135" s="138" t="s">
        <v>154</v>
      </c>
      <c r="C135" s="139" t="s">
        <v>631</v>
      </c>
      <c r="D135" s="138" t="s">
        <v>156</v>
      </c>
      <c r="E135" s="373">
        <v>1206</v>
      </c>
      <c r="F135" s="373" t="s">
        <v>110</v>
      </c>
      <c r="G135" s="140">
        <v>42.7</v>
      </c>
      <c r="H135" s="140">
        <v>51496.2</v>
      </c>
      <c r="I135" s="140" t="s">
        <v>110</v>
      </c>
      <c r="J135" s="373" t="s">
        <v>110</v>
      </c>
      <c r="K135" s="373" t="s">
        <v>110</v>
      </c>
      <c r="L135" s="140" t="s">
        <v>110</v>
      </c>
      <c r="M135" s="140">
        <v>51496.2</v>
      </c>
      <c r="N135" s="140" t="s">
        <v>110</v>
      </c>
      <c r="O135" s="141" t="s">
        <v>110</v>
      </c>
    </row>
    <row r="136" spans="1:15" ht="18" customHeight="1">
      <c r="A136" s="137">
        <v>3</v>
      </c>
      <c r="B136" s="138" t="s">
        <v>632</v>
      </c>
      <c r="C136" s="139" t="s">
        <v>633</v>
      </c>
      <c r="D136" s="138" t="s">
        <v>140</v>
      </c>
      <c r="E136" s="373">
        <v>200</v>
      </c>
      <c r="F136" s="373" t="s">
        <v>110</v>
      </c>
      <c r="G136" s="140">
        <v>54.47</v>
      </c>
      <c r="H136" s="140">
        <v>10894</v>
      </c>
      <c r="I136" s="140">
        <v>9760</v>
      </c>
      <c r="J136" s="373">
        <v>736</v>
      </c>
      <c r="K136" s="373" t="s">
        <v>110</v>
      </c>
      <c r="L136" s="140">
        <v>398</v>
      </c>
      <c r="M136" s="140">
        <v>367200</v>
      </c>
      <c r="N136" s="140" t="s">
        <v>110</v>
      </c>
      <c r="O136" s="141">
        <v>120</v>
      </c>
    </row>
    <row r="137" spans="1:15" ht="18" customHeight="1">
      <c r="A137" s="137" t="s">
        <v>110</v>
      </c>
      <c r="B137" s="138" t="s">
        <v>154</v>
      </c>
      <c r="C137" s="139" t="s">
        <v>633</v>
      </c>
      <c r="D137" s="138" t="s">
        <v>156</v>
      </c>
      <c r="E137" s="373">
        <v>20400</v>
      </c>
      <c r="F137" s="373" t="s">
        <v>110</v>
      </c>
      <c r="G137" s="140">
        <v>18</v>
      </c>
      <c r="H137" s="140">
        <v>367200</v>
      </c>
      <c r="I137" s="140" t="s">
        <v>110</v>
      </c>
      <c r="J137" s="373" t="s">
        <v>110</v>
      </c>
      <c r="K137" s="373" t="s">
        <v>110</v>
      </c>
      <c r="L137" s="140" t="s">
        <v>110</v>
      </c>
      <c r="M137" s="140">
        <v>367200</v>
      </c>
      <c r="N137" s="140" t="s">
        <v>110</v>
      </c>
      <c r="O137" s="141" t="s">
        <v>110</v>
      </c>
    </row>
    <row r="138" spans="1:15" ht="18" customHeight="1">
      <c r="A138" s="137" t="s">
        <v>110</v>
      </c>
      <c r="B138" s="138" t="s">
        <v>110</v>
      </c>
      <c r="C138" s="139" t="s">
        <v>110</v>
      </c>
      <c r="D138" s="138" t="s">
        <v>110</v>
      </c>
      <c r="E138" s="373" t="s">
        <v>110</v>
      </c>
      <c r="F138" s="373" t="s">
        <v>110</v>
      </c>
      <c r="G138" s="140" t="s">
        <v>110</v>
      </c>
      <c r="H138" s="140" t="s">
        <v>110</v>
      </c>
      <c r="I138" s="140" t="s">
        <v>110</v>
      </c>
      <c r="J138" s="373" t="s">
        <v>110</v>
      </c>
      <c r="K138" s="373" t="s">
        <v>110</v>
      </c>
      <c r="L138" s="140" t="s">
        <v>110</v>
      </c>
      <c r="M138" s="140" t="s">
        <v>110</v>
      </c>
      <c r="N138" s="140" t="s">
        <v>110</v>
      </c>
      <c r="O138" s="141" t="s">
        <v>110</v>
      </c>
    </row>
    <row r="139" spans="1:15" ht="18" customHeight="1">
      <c r="A139" s="137" t="s">
        <v>110</v>
      </c>
      <c r="B139" s="138" t="s">
        <v>110</v>
      </c>
      <c r="C139" s="139" t="s">
        <v>110</v>
      </c>
      <c r="D139" s="138" t="s">
        <v>110</v>
      </c>
      <c r="E139" s="373" t="s">
        <v>110</v>
      </c>
      <c r="F139" s="373" t="s">
        <v>110</v>
      </c>
      <c r="G139" s="140" t="s">
        <v>110</v>
      </c>
      <c r="H139" s="140" t="s">
        <v>110</v>
      </c>
      <c r="I139" s="140" t="s">
        <v>110</v>
      </c>
      <c r="J139" s="373" t="s">
        <v>110</v>
      </c>
      <c r="K139" s="373" t="s">
        <v>110</v>
      </c>
      <c r="L139" s="140" t="s">
        <v>110</v>
      </c>
      <c r="M139" s="140" t="s">
        <v>110</v>
      </c>
      <c r="N139" s="140" t="s">
        <v>110</v>
      </c>
      <c r="O139" s="141" t="s">
        <v>110</v>
      </c>
    </row>
    <row r="140" spans="1:15" ht="18" customHeight="1">
      <c r="A140" s="137" t="s">
        <v>110</v>
      </c>
      <c r="B140" s="138" t="s">
        <v>110</v>
      </c>
      <c r="C140" s="139" t="s">
        <v>110</v>
      </c>
      <c r="D140" s="138" t="s">
        <v>110</v>
      </c>
      <c r="E140" s="373" t="s">
        <v>110</v>
      </c>
      <c r="F140" s="373" t="s">
        <v>110</v>
      </c>
      <c r="G140" s="140" t="s">
        <v>110</v>
      </c>
      <c r="H140" s="140" t="s">
        <v>110</v>
      </c>
      <c r="I140" s="140" t="s">
        <v>110</v>
      </c>
      <c r="J140" s="373" t="s">
        <v>110</v>
      </c>
      <c r="K140" s="373" t="s">
        <v>110</v>
      </c>
      <c r="L140" s="140" t="s">
        <v>110</v>
      </c>
      <c r="M140" s="140" t="s">
        <v>110</v>
      </c>
      <c r="N140" s="140" t="s">
        <v>110</v>
      </c>
      <c r="O140" s="141" t="s">
        <v>110</v>
      </c>
    </row>
    <row r="141" spans="1:15" ht="29.25" customHeight="1" thickBot="1">
      <c r="A141" s="374" t="s">
        <v>135</v>
      </c>
      <c r="B141" s="375" t="s">
        <v>110</v>
      </c>
      <c r="C141" s="375" t="s">
        <v>110</v>
      </c>
      <c r="D141" s="375" t="s">
        <v>110</v>
      </c>
      <c r="E141" s="375" t="s">
        <v>110</v>
      </c>
      <c r="F141" s="375" t="s">
        <v>110</v>
      </c>
      <c r="G141" s="375" t="s">
        <v>110</v>
      </c>
      <c r="H141" s="142">
        <v>3369135.01</v>
      </c>
      <c r="I141" s="142">
        <v>599021.44999999995</v>
      </c>
      <c r="J141" s="376">
        <v>168455.85</v>
      </c>
      <c r="K141" s="376" t="s">
        <v>110</v>
      </c>
      <c r="L141" s="142">
        <v>35372.339999999997</v>
      </c>
      <c r="M141" s="142">
        <v>2566285.36</v>
      </c>
      <c r="N141" s="142" t="s">
        <v>110</v>
      </c>
      <c r="O141" s="143">
        <v>7277.0204000000003</v>
      </c>
    </row>
    <row r="142" spans="1:15" ht="16.5" customHeight="1">
      <c r="A142" s="372" t="s">
        <v>288</v>
      </c>
      <c r="B142" s="372" t="s">
        <v>110</v>
      </c>
      <c r="C142" s="372" t="s">
        <v>110</v>
      </c>
      <c r="D142" s="372" t="s">
        <v>110</v>
      </c>
      <c r="E142" s="372" t="s">
        <v>110</v>
      </c>
      <c r="F142" s="366" t="s">
        <v>289</v>
      </c>
      <c r="G142" s="366" t="s">
        <v>110</v>
      </c>
      <c r="H142" s="366" t="s">
        <v>110</v>
      </c>
      <c r="I142" s="366" t="s">
        <v>110</v>
      </c>
      <c r="J142" s="366" t="s">
        <v>110</v>
      </c>
      <c r="K142" s="367" t="s">
        <v>290</v>
      </c>
      <c r="L142" s="367" t="s">
        <v>110</v>
      </c>
      <c r="M142" s="367" t="s">
        <v>110</v>
      </c>
      <c r="N142" s="367" t="s">
        <v>110</v>
      </c>
      <c r="O142" s="367" t="s">
        <v>110</v>
      </c>
    </row>
  </sheetData>
  <mergeCells count="319"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7:F7"/>
    <mergeCell ref="J7:K7"/>
    <mergeCell ref="E8:F8"/>
    <mergeCell ref="J8:K8"/>
    <mergeCell ref="E9:F9"/>
    <mergeCell ref="J9:K9"/>
    <mergeCell ref="E4:F4"/>
    <mergeCell ref="J4:K4"/>
    <mergeCell ref="E5:F5"/>
    <mergeCell ref="J5:K5"/>
    <mergeCell ref="E6:F6"/>
    <mergeCell ref="J6:K6"/>
    <mergeCell ref="E13:F13"/>
    <mergeCell ref="J13:K13"/>
    <mergeCell ref="E14:F14"/>
    <mergeCell ref="J14:K14"/>
    <mergeCell ref="E15:F15"/>
    <mergeCell ref="J15:K15"/>
    <mergeCell ref="E10:F10"/>
    <mergeCell ref="J10:K10"/>
    <mergeCell ref="E11:F11"/>
    <mergeCell ref="J11:K11"/>
    <mergeCell ref="E12:F12"/>
    <mergeCell ref="J12:K12"/>
    <mergeCell ref="A19:E19"/>
    <mergeCell ref="F19:J19"/>
    <mergeCell ref="K19:O19"/>
    <mergeCell ref="A20:O20"/>
    <mergeCell ref="A21:J21"/>
    <mergeCell ref="K21:O21"/>
    <mergeCell ref="E16:F16"/>
    <mergeCell ref="J16:K16"/>
    <mergeCell ref="E17:F17"/>
    <mergeCell ref="J17:K17"/>
    <mergeCell ref="E18:F18"/>
    <mergeCell ref="J18:K18"/>
    <mergeCell ref="O22:O23"/>
    <mergeCell ref="E23:F23"/>
    <mergeCell ref="J23:K23"/>
    <mergeCell ref="E24:F24"/>
    <mergeCell ref="J24:K24"/>
    <mergeCell ref="E25:F25"/>
    <mergeCell ref="J25:K25"/>
    <mergeCell ref="A22:A23"/>
    <mergeCell ref="B22:B23"/>
    <mergeCell ref="C22:C23"/>
    <mergeCell ref="D22:F22"/>
    <mergeCell ref="G22:H22"/>
    <mergeCell ref="I22:N22"/>
    <mergeCell ref="E29:F29"/>
    <mergeCell ref="J29:K29"/>
    <mergeCell ref="E30:F30"/>
    <mergeCell ref="J30:K30"/>
    <mergeCell ref="E31:F31"/>
    <mergeCell ref="J31:K31"/>
    <mergeCell ref="E26:F26"/>
    <mergeCell ref="J26:K26"/>
    <mergeCell ref="E27:F27"/>
    <mergeCell ref="J27:K27"/>
    <mergeCell ref="E28:F28"/>
    <mergeCell ref="J28:K28"/>
    <mergeCell ref="E35:F35"/>
    <mergeCell ref="J35:K35"/>
    <mergeCell ref="E36:F36"/>
    <mergeCell ref="J36:K36"/>
    <mergeCell ref="A37:E37"/>
    <mergeCell ref="F37:J37"/>
    <mergeCell ref="K37:O37"/>
    <mergeCell ref="E32:F32"/>
    <mergeCell ref="J32:K32"/>
    <mergeCell ref="E33:F33"/>
    <mergeCell ref="J33:K33"/>
    <mergeCell ref="E34:F34"/>
    <mergeCell ref="J34:K34"/>
    <mergeCell ref="A38:O38"/>
    <mergeCell ref="A39:J39"/>
    <mergeCell ref="K39:O39"/>
    <mergeCell ref="A40:A41"/>
    <mergeCell ref="B40:B41"/>
    <mergeCell ref="C40:C41"/>
    <mergeCell ref="D40:F40"/>
    <mergeCell ref="G40:H40"/>
    <mergeCell ref="I40:N40"/>
    <mergeCell ref="O40:O41"/>
    <mergeCell ref="E44:F44"/>
    <mergeCell ref="J44:K44"/>
    <mergeCell ref="E45:F45"/>
    <mergeCell ref="J45:K45"/>
    <mergeCell ref="E46:F46"/>
    <mergeCell ref="J46:K46"/>
    <mergeCell ref="E41:F41"/>
    <mergeCell ref="J41:K41"/>
    <mergeCell ref="E42:F42"/>
    <mergeCell ref="J42:K42"/>
    <mergeCell ref="E43:F43"/>
    <mergeCell ref="J43:K43"/>
    <mergeCell ref="E50:F50"/>
    <mergeCell ref="J50:K50"/>
    <mergeCell ref="E51:F51"/>
    <mergeCell ref="J51:K51"/>
    <mergeCell ref="E52:F52"/>
    <mergeCell ref="J52:K52"/>
    <mergeCell ref="E47:F47"/>
    <mergeCell ref="J47:K47"/>
    <mergeCell ref="E48:F48"/>
    <mergeCell ref="J48:K48"/>
    <mergeCell ref="E49:F49"/>
    <mergeCell ref="J49:K49"/>
    <mergeCell ref="E56:F56"/>
    <mergeCell ref="J56:K56"/>
    <mergeCell ref="A57:E57"/>
    <mergeCell ref="F57:J57"/>
    <mergeCell ref="K57:O57"/>
    <mergeCell ref="A58:O58"/>
    <mergeCell ref="E53:F53"/>
    <mergeCell ref="J53:K53"/>
    <mergeCell ref="E54:F54"/>
    <mergeCell ref="J54:K54"/>
    <mergeCell ref="E55:F55"/>
    <mergeCell ref="J55:K55"/>
    <mergeCell ref="J61:K61"/>
    <mergeCell ref="E62:F62"/>
    <mergeCell ref="J62:K62"/>
    <mergeCell ref="E63:F63"/>
    <mergeCell ref="J63:K63"/>
    <mergeCell ref="E64:F64"/>
    <mergeCell ref="J64:K64"/>
    <mergeCell ref="A59:J59"/>
    <mergeCell ref="K59:O59"/>
    <mergeCell ref="A60:A61"/>
    <mergeCell ref="B60:B61"/>
    <mergeCell ref="C60:C61"/>
    <mergeCell ref="D60:F60"/>
    <mergeCell ref="G60:H60"/>
    <mergeCell ref="I60:N60"/>
    <mergeCell ref="O60:O61"/>
    <mergeCell ref="E61:F61"/>
    <mergeCell ref="E68:F68"/>
    <mergeCell ref="J68:K68"/>
    <mergeCell ref="E69:F69"/>
    <mergeCell ref="J69:K69"/>
    <mergeCell ref="E70:F70"/>
    <mergeCell ref="J70:K70"/>
    <mergeCell ref="E65:F65"/>
    <mergeCell ref="J65:K65"/>
    <mergeCell ref="E66:F66"/>
    <mergeCell ref="J66:K66"/>
    <mergeCell ref="E67:F67"/>
    <mergeCell ref="J67:K67"/>
    <mergeCell ref="E74:F74"/>
    <mergeCell ref="J74:K74"/>
    <mergeCell ref="A75:E75"/>
    <mergeCell ref="F75:J75"/>
    <mergeCell ref="K75:O75"/>
    <mergeCell ref="A76:O76"/>
    <mergeCell ref="E71:F71"/>
    <mergeCell ref="J71:K71"/>
    <mergeCell ref="E72:F72"/>
    <mergeCell ref="J72:K72"/>
    <mergeCell ref="E73:F73"/>
    <mergeCell ref="J73:K73"/>
    <mergeCell ref="A77:J77"/>
    <mergeCell ref="K77:O77"/>
    <mergeCell ref="A78:A79"/>
    <mergeCell ref="B78:B79"/>
    <mergeCell ref="C78:C79"/>
    <mergeCell ref="D78:F78"/>
    <mergeCell ref="G78:H78"/>
    <mergeCell ref="I78:N78"/>
    <mergeCell ref="O78:O79"/>
    <mergeCell ref="E79:F79"/>
    <mergeCell ref="E83:F83"/>
    <mergeCell ref="J83:K83"/>
    <mergeCell ref="E84:F84"/>
    <mergeCell ref="J84:K84"/>
    <mergeCell ref="E85:F85"/>
    <mergeCell ref="J85:K85"/>
    <mergeCell ref="J79:K79"/>
    <mergeCell ref="E80:F80"/>
    <mergeCell ref="J80:K80"/>
    <mergeCell ref="E81:F81"/>
    <mergeCell ref="J81:K81"/>
    <mergeCell ref="E82:F82"/>
    <mergeCell ref="J82:K82"/>
    <mergeCell ref="E89:F89"/>
    <mergeCell ref="J89:K89"/>
    <mergeCell ref="E90:F90"/>
    <mergeCell ref="J90:K90"/>
    <mergeCell ref="E91:F91"/>
    <mergeCell ref="J91:K91"/>
    <mergeCell ref="E86:F86"/>
    <mergeCell ref="J86:K86"/>
    <mergeCell ref="E87:F87"/>
    <mergeCell ref="J87:K87"/>
    <mergeCell ref="E88:F88"/>
    <mergeCell ref="J88:K88"/>
    <mergeCell ref="E95:F95"/>
    <mergeCell ref="J95:K95"/>
    <mergeCell ref="A96:E96"/>
    <mergeCell ref="F96:J96"/>
    <mergeCell ref="K96:O96"/>
    <mergeCell ref="A97:O97"/>
    <mergeCell ref="E92:F92"/>
    <mergeCell ref="J92:K92"/>
    <mergeCell ref="E93:F93"/>
    <mergeCell ref="J93:K93"/>
    <mergeCell ref="E94:F94"/>
    <mergeCell ref="J94:K94"/>
    <mergeCell ref="A98:J98"/>
    <mergeCell ref="K98:O98"/>
    <mergeCell ref="A99:A100"/>
    <mergeCell ref="B99:B100"/>
    <mergeCell ref="C99:C100"/>
    <mergeCell ref="D99:F99"/>
    <mergeCell ref="G99:H99"/>
    <mergeCell ref="I99:N99"/>
    <mergeCell ref="O99:O100"/>
    <mergeCell ref="E100:F100"/>
    <mergeCell ref="E104:F104"/>
    <mergeCell ref="J104:K104"/>
    <mergeCell ref="E105:F105"/>
    <mergeCell ref="J105:K105"/>
    <mergeCell ref="E106:F106"/>
    <mergeCell ref="J106:K106"/>
    <mergeCell ref="J100:K100"/>
    <mergeCell ref="E101:F101"/>
    <mergeCell ref="J101:K101"/>
    <mergeCell ref="E102:F102"/>
    <mergeCell ref="J102:K102"/>
    <mergeCell ref="E103:F103"/>
    <mergeCell ref="J103:K103"/>
    <mergeCell ref="E110:F110"/>
    <mergeCell ref="J110:K110"/>
    <mergeCell ref="E111:F111"/>
    <mergeCell ref="J111:K111"/>
    <mergeCell ref="E112:F112"/>
    <mergeCell ref="J112:K112"/>
    <mergeCell ref="E107:F107"/>
    <mergeCell ref="J107:K107"/>
    <mergeCell ref="E108:F108"/>
    <mergeCell ref="J108:K108"/>
    <mergeCell ref="E109:F109"/>
    <mergeCell ref="J109:K109"/>
    <mergeCell ref="E116:F116"/>
    <mergeCell ref="J116:K116"/>
    <mergeCell ref="E117:F117"/>
    <mergeCell ref="J117:K117"/>
    <mergeCell ref="A118:E118"/>
    <mergeCell ref="F118:J118"/>
    <mergeCell ref="K118:O118"/>
    <mergeCell ref="E113:F113"/>
    <mergeCell ref="J113:K113"/>
    <mergeCell ref="E114:F114"/>
    <mergeCell ref="J114:K114"/>
    <mergeCell ref="E115:F115"/>
    <mergeCell ref="J115:K115"/>
    <mergeCell ref="E122:F122"/>
    <mergeCell ref="J122:K122"/>
    <mergeCell ref="E123:F123"/>
    <mergeCell ref="J123:K123"/>
    <mergeCell ref="E124:F124"/>
    <mergeCell ref="J124:K124"/>
    <mergeCell ref="A119:O119"/>
    <mergeCell ref="A120:J120"/>
    <mergeCell ref="K120:O120"/>
    <mergeCell ref="A121:A122"/>
    <mergeCell ref="B121:B122"/>
    <mergeCell ref="C121:C122"/>
    <mergeCell ref="D121:F121"/>
    <mergeCell ref="G121:H121"/>
    <mergeCell ref="I121:N121"/>
    <mergeCell ref="O121:O122"/>
    <mergeCell ref="E128:F128"/>
    <mergeCell ref="J128:K128"/>
    <mergeCell ref="E129:F129"/>
    <mergeCell ref="J129:K129"/>
    <mergeCell ref="E130:F130"/>
    <mergeCell ref="J130:K130"/>
    <mergeCell ref="E125:F125"/>
    <mergeCell ref="J125:K125"/>
    <mergeCell ref="E126:F126"/>
    <mergeCell ref="J126:K126"/>
    <mergeCell ref="E127:F127"/>
    <mergeCell ref="J127:K127"/>
    <mergeCell ref="E134:F134"/>
    <mergeCell ref="J134:K134"/>
    <mergeCell ref="E135:F135"/>
    <mergeCell ref="J135:K135"/>
    <mergeCell ref="E136:F136"/>
    <mergeCell ref="J136:K136"/>
    <mergeCell ref="E131:F131"/>
    <mergeCell ref="J131:K131"/>
    <mergeCell ref="E132:F132"/>
    <mergeCell ref="J132:K132"/>
    <mergeCell ref="E133:F133"/>
    <mergeCell ref="J133:K133"/>
    <mergeCell ref="E140:F140"/>
    <mergeCell ref="J140:K140"/>
    <mergeCell ref="A141:G141"/>
    <mergeCell ref="J141:K141"/>
    <mergeCell ref="A142:E142"/>
    <mergeCell ref="F142:J142"/>
    <mergeCell ref="K142:O142"/>
    <mergeCell ref="E137:F137"/>
    <mergeCell ref="J137:K137"/>
    <mergeCell ref="E138:F138"/>
    <mergeCell ref="J138:K138"/>
    <mergeCell ref="E139:F139"/>
    <mergeCell ref="J139:K139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8"/>
  <sheetViews>
    <sheetView topLeftCell="A31" workbookViewId="0">
      <selection activeCell="I18" sqref="I18"/>
    </sheetView>
  </sheetViews>
  <sheetFormatPr defaultRowHeight="12"/>
  <cols>
    <col min="1" max="1" width="4.625" style="167" customWidth="1"/>
    <col min="2" max="2" width="5.625" style="168" customWidth="1"/>
    <col min="3" max="3" width="31.75" style="167" customWidth="1"/>
    <col min="4" max="4" width="39.125" style="169" customWidth="1"/>
    <col min="5" max="5" width="4.75" style="168" bestFit="1" customWidth="1"/>
    <col min="6" max="6" width="6" style="170" bestFit="1" customWidth="1"/>
    <col min="7" max="7" width="8.5" style="177" customWidth="1"/>
    <col min="8" max="8" width="7.75" style="178" bestFit="1" customWidth="1"/>
    <col min="9" max="9" width="6.625" style="167" customWidth="1"/>
    <col min="10" max="10" width="7.375" style="173" customWidth="1"/>
    <col min="11" max="26" width="9" style="173"/>
    <col min="27" max="256" width="9" style="167"/>
    <col min="257" max="257" width="4.625" style="167" customWidth="1"/>
    <col min="258" max="258" width="5.625" style="167" customWidth="1"/>
    <col min="259" max="259" width="31.75" style="167" customWidth="1"/>
    <col min="260" max="260" width="39.125" style="167" customWidth="1"/>
    <col min="261" max="261" width="4.75" style="167" bestFit="1" customWidth="1"/>
    <col min="262" max="262" width="6" style="167" bestFit="1" customWidth="1"/>
    <col min="263" max="263" width="8.5" style="167" customWidth="1"/>
    <col min="264" max="264" width="7.5" style="167" bestFit="1" customWidth="1"/>
    <col min="265" max="265" width="6.625" style="167" customWidth="1"/>
    <col min="266" max="266" width="7.375" style="167" customWidth="1"/>
    <col min="267" max="512" width="9" style="167"/>
    <col min="513" max="513" width="4.625" style="167" customWidth="1"/>
    <col min="514" max="514" width="5.625" style="167" customWidth="1"/>
    <col min="515" max="515" width="31.75" style="167" customWidth="1"/>
    <col min="516" max="516" width="39.125" style="167" customWidth="1"/>
    <col min="517" max="517" width="4.75" style="167" bestFit="1" customWidth="1"/>
    <col min="518" max="518" width="6" style="167" bestFit="1" customWidth="1"/>
    <col min="519" max="519" width="8.5" style="167" customWidth="1"/>
    <col min="520" max="520" width="7.5" style="167" bestFit="1" customWidth="1"/>
    <col min="521" max="521" width="6.625" style="167" customWidth="1"/>
    <col min="522" max="522" width="7.375" style="167" customWidth="1"/>
    <col min="523" max="768" width="9" style="167"/>
    <col min="769" max="769" width="4.625" style="167" customWidth="1"/>
    <col min="770" max="770" width="5.625" style="167" customWidth="1"/>
    <col min="771" max="771" width="31.75" style="167" customWidth="1"/>
    <col min="772" max="772" width="39.125" style="167" customWidth="1"/>
    <col min="773" max="773" width="4.75" style="167" bestFit="1" customWidth="1"/>
    <col min="774" max="774" width="6" style="167" bestFit="1" customWidth="1"/>
    <col min="775" max="775" width="8.5" style="167" customWidth="1"/>
    <col min="776" max="776" width="7.5" style="167" bestFit="1" customWidth="1"/>
    <col min="777" max="777" width="6.625" style="167" customWidth="1"/>
    <col min="778" max="778" width="7.375" style="167" customWidth="1"/>
    <col min="779" max="1024" width="9" style="167"/>
    <col min="1025" max="1025" width="4.625" style="167" customWidth="1"/>
    <col min="1026" max="1026" width="5.625" style="167" customWidth="1"/>
    <col min="1027" max="1027" width="31.75" style="167" customWidth="1"/>
    <col min="1028" max="1028" width="39.125" style="167" customWidth="1"/>
    <col min="1029" max="1029" width="4.75" style="167" bestFit="1" customWidth="1"/>
    <col min="1030" max="1030" width="6" style="167" bestFit="1" customWidth="1"/>
    <col min="1031" max="1031" width="8.5" style="167" customWidth="1"/>
    <col min="1032" max="1032" width="7.5" style="167" bestFit="1" customWidth="1"/>
    <col min="1033" max="1033" width="6.625" style="167" customWidth="1"/>
    <col min="1034" max="1034" width="7.375" style="167" customWidth="1"/>
    <col min="1035" max="1280" width="9" style="167"/>
    <col min="1281" max="1281" width="4.625" style="167" customWidth="1"/>
    <col min="1282" max="1282" width="5.625" style="167" customWidth="1"/>
    <col min="1283" max="1283" width="31.75" style="167" customWidth="1"/>
    <col min="1284" max="1284" width="39.125" style="167" customWidth="1"/>
    <col min="1285" max="1285" width="4.75" style="167" bestFit="1" customWidth="1"/>
    <col min="1286" max="1286" width="6" style="167" bestFit="1" customWidth="1"/>
    <col min="1287" max="1287" width="8.5" style="167" customWidth="1"/>
    <col min="1288" max="1288" width="7.5" style="167" bestFit="1" customWidth="1"/>
    <col min="1289" max="1289" width="6.625" style="167" customWidth="1"/>
    <col min="1290" max="1290" width="7.375" style="167" customWidth="1"/>
    <col min="1291" max="1536" width="9" style="167"/>
    <col min="1537" max="1537" width="4.625" style="167" customWidth="1"/>
    <col min="1538" max="1538" width="5.625" style="167" customWidth="1"/>
    <col min="1539" max="1539" width="31.75" style="167" customWidth="1"/>
    <col min="1540" max="1540" width="39.125" style="167" customWidth="1"/>
    <col min="1541" max="1541" width="4.75" style="167" bestFit="1" customWidth="1"/>
    <col min="1542" max="1542" width="6" style="167" bestFit="1" customWidth="1"/>
    <col min="1543" max="1543" width="8.5" style="167" customWidth="1"/>
    <col min="1544" max="1544" width="7.5" style="167" bestFit="1" customWidth="1"/>
    <col min="1545" max="1545" width="6.625" style="167" customWidth="1"/>
    <col min="1546" max="1546" width="7.375" style="167" customWidth="1"/>
    <col min="1547" max="1792" width="9" style="167"/>
    <col min="1793" max="1793" width="4.625" style="167" customWidth="1"/>
    <col min="1794" max="1794" width="5.625" style="167" customWidth="1"/>
    <col min="1795" max="1795" width="31.75" style="167" customWidth="1"/>
    <col min="1796" max="1796" width="39.125" style="167" customWidth="1"/>
    <col min="1797" max="1797" width="4.75" style="167" bestFit="1" customWidth="1"/>
    <col min="1798" max="1798" width="6" style="167" bestFit="1" customWidth="1"/>
    <col min="1799" max="1799" width="8.5" style="167" customWidth="1"/>
    <col min="1800" max="1800" width="7.5" style="167" bestFit="1" customWidth="1"/>
    <col min="1801" max="1801" width="6.625" style="167" customWidth="1"/>
    <col min="1802" max="1802" width="7.375" style="167" customWidth="1"/>
    <col min="1803" max="2048" width="9" style="167"/>
    <col min="2049" max="2049" width="4.625" style="167" customWidth="1"/>
    <col min="2050" max="2050" width="5.625" style="167" customWidth="1"/>
    <col min="2051" max="2051" width="31.75" style="167" customWidth="1"/>
    <col min="2052" max="2052" width="39.125" style="167" customWidth="1"/>
    <col min="2053" max="2053" width="4.75" style="167" bestFit="1" customWidth="1"/>
    <col min="2054" max="2054" width="6" style="167" bestFit="1" customWidth="1"/>
    <col min="2055" max="2055" width="8.5" style="167" customWidth="1"/>
    <col min="2056" max="2056" width="7.5" style="167" bestFit="1" customWidth="1"/>
    <col min="2057" max="2057" width="6.625" style="167" customWidth="1"/>
    <col min="2058" max="2058" width="7.375" style="167" customWidth="1"/>
    <col min="2059" max="2304" width="9" style="167"/>
    <col min="2305" max="2305" width="4.625" style="167" customWidth="1"/>
    <col min="2306" max="2306" width="5.625" style="167" customWidth="1"/>
    <col min="2307" max="2307" width="31.75" style="167" customWidth="1"/>
    <col min="2308" max="2308" width="39.125" style="167" customWidth="1"/>
    <col min="2309" max="2309" width="4.75" style="167" bestFit="1" customWidth="1"/>
    <col min="2310" max="2310" width="6" style="167" bestFit="1" customWidth="1"/>
    <col min="2311" max="2311" width="8.5" style="167" customWidth="1"/>
    <col min="2312" max="2312" width="7.5" style="167" bestFit="1" customWidth="1"/>
    <col min="2313" max="2313" width="6.625" style="167" customWidth="1"/>
    <col min="2314" max="2314" width="7.375" style="167" customWidth="1"/>
    <col min="2315" max="2560" width="9" style="167"/>
    <col min="2561" max="2561" width="4.625" style="167" customWidth="1"/>
    <col min="2562" max="2562" width="5.625" style="167" customWidth="1"/>
    <col min="2563" max="2563" width="31.75" style="167" customWidth="1"/>
    <col min="2564" max="2564" width="39.125" style="167" customWidth="1"/>
    <col min="2565" max="2565" width="4.75" style="167" bestFit="1" customWidth="1"/>
    <col min="2566" max="2566" width="6" style="167" bestFit="1" customWidth="1"/>
    <col min="2567" max="2567" width="8.5" style="167" customWidth="1"/>
    <col min="2568" max="2568" width="7.5" style="167" bestFit="1" customWidth="1"/>
    <col min="2569" max="2569" width="6.625" style="167" customWidth="1"/>
    <col min="2570" max="2570" width="7.375" style="167" customWidth="1"/>
    <col min="2571" max="2816" width="9" style="167"/>
    <col min="2817" max="2817" width="4.625" style="167" customWidth="1"/>
    <col min="2818" max="2818" width="5.625" style="167" customWidth="1"/>
    <col min="2819" max="2819" width="31.75" style="167" customWidth="1"/>
    <col min="2820" max="2820" width="39.125" style="167" customWidth="1"/>
    <col min="2821" max="2821" width="4.75" style="167" bestFit="1" customWidth="1"/>
    <col min="2822" max="2822" width="6" style="167" bestFit="1" customWidth="1"/>
    <col min="2823" max="2823" width="8.5" style="167" customWidth="1"/>
    <col min="2824" max="2824" width="7.5" style="167" bestFit="1" customWidth="1"/>
    <col min="2825" max="2825" width="6.625" style="167" customWidth="1"/>
    <col min="2826" max="2826" width="7.375" style="167" customWidth="1"/>
    <col min="2827" max="3072" width="9" style="167"/>
    <col min="3073" max="3073" width="4.625" style="167" customWidth="1"/>
    <col min="3074" max="3074" width="5.625" style="167" customWidth="1"/>
    <col min="3075" max="3075" width="31.75" style="167" customWidth="1"/>
    <col min="3076" max="3076" width="39.125" style="167" customWidth="1"/>
    <col min="3077" max="3077" width="4.75" style="167" bestFit="1" customWidth="1"/>
    <col min="3078" max="3078" width="6" style="167" bestFit="1" customWidth="1"/>
    <col min="3079" max="3079" width="8.5" style="167" customWidth="1"/>
    <col min="3080" max="3080" width="7.5" style="167" bestFit="1" customWidth="1"/>
    <col min="3081" max="3081" width="6.625" style="167" customWidth="1"/>
    <col min="3082" max="3082" width="7.375" style="167" customWidth="1"/>
    <col min="3083" max="3328" width="9" style="167"/>
    <col min="3329" max="3329" width="4.625" style="167" customWidth="1"/>
    <col min="3330" max="3330" width="5.625" style="167" customWidth="1"/>
    <col min="3331" max="3331" width="31.75" style="167" customWidth="1"/>
    <col min="3332" max="3332" width="39.125" style="167" customWidth="1"/>
    <col min="3333" max="3333" width="4.75" style="167" bestFit="1" customWidth="1"/>
    <col min="3334" max="3334" width="6" style="167" bestFit="1" customWidth="1"/>
    <col min="3335" max="3335" width="8.5" style="167" customWidth="1"/>
    <col min="3336" max="3336" width="7.5" style="167" bestFit="1" customWidth="1"/>
    <col min="3337" max="3337" width="6.625" style="167" customWidth="1"/>
    <col min="3338" max="3338" width="7.375" style="167" customWidth="1"/>
    <col min="3339" max="3584" width="9" style="167"/>
    <col min="3585" max="3585" width="4.625" style="167" customWidth="1"/>
    <col min="3586" max="3586" width="5.625" style="167" customWidth="1"/>
    <col min="3587" max="3587" width="31.75" style="167" customWidth="1"/>
    <col min="3588" max="3588" width="39.125" style="167" customWidth="1"/>
    <col min="3589" max="3589" width="4.75" style="167" bestFit="1" customWidth="1"/>
    <col min="3590" max="3590" width="6" style="167" bestFit="1" customWidth="1"/>
    <col min="3591" max="3591" width="8.5" style="167" customWidth="1"/>
    <col min="3592" max="3592" width="7.5" style="167" bestFit="1" customWidth="1"/>
    <col min="3593" max="3593" width="6.625" style="167" customWidth="1"/>
    <col min="3594" max="3594" width="7.375" style="167" customWidth="1"/>
    <col min="3595" max="3840" width="9" style="167"/>
    <col min="3841" max="3841" width="4.625" style="167" customWidth="1"/>
    <col min="3842" max="3842" width="5.625" style="167" customWidth="1"/>
    <col min="3843" max="3843" width="31.75" style="167" customWidth="1"/>
    <col min="3844" max="3844" width="39.125" style="167" customWidth="1"/>
    <col min="3845" max="3845" width="4.75" style="167" bestFit="1" customWidth="1"/>
    <col min="3846" max="3846" width="6" style="167" bestFit="1" customWidth="1"/>
    <col min="3847" max="3847" width="8.5" style="167" customWidth="1"/>
    <col min="3848" max="3848" width="7.5" style="167" bestFit="1" customWidth="1"/>
    <col min="3849" max="3849" width="6.625" style="167" customWidth="1"/>
    <col min="3850" max="3850" width="7.375" style="167" customWidth="1"/>
    <col min="3851" max="4096" width="9" style="167"/>
    <col min="4097" max="4097" width="4.625" style="167" customWidth="1"/>
    <col min="4098" max="4098" width="5.625" style="167" customWidth="1"/>
    <col min="4099" max="4099" width="31.75" style="167" customWidth="1"/>
    <col min="4100" max="4100" width="39.125" style="167" customWidth="1"/>
    <col min="4101" max="4101" width="4.75" style="167" bestFit="1" customWidth="1"/>
    <col min="4102" max="4102" width="6" style="167" bestFit="1" customWidth="1"/>
    <col min="4103" max="4103" width="8.5" style="167" customWidth="1"/>
    <col min="4104" max="4104" width="7.5" style="167" bestFit="1" customWidth="1"/>
    <col min="4105" max="4105" width="6.625" style="167" customWidth="1"/>
    <col min="4106" max="4106" width="7.375" style="167" customWidth="1"/>
    <col min="4107" max="4352" width="9" style="167"/>
    <col min="4353" max="4353" width="4.625" style="167" customWidth="1"/>
    <col min="4354" max="4354" width="5.625" style="167" customWidth="1"/>
    <col min="4355" max="4355" width="31.75" style="167" customWidth="1"/>
    <col min="4356" max="4356" width="39.125" style="167" customWidth="1"/>
    <col min="4357" max="4357" width="4.75" style="167" bestFit="1" customWidth="1"/>
    <col min="4358" max="4358" width="6" style="167" bestFit="1" customWidth="1"/>
    <col min="4359" max="4359" width="8.5" style="167" customWidth="1"/>
    <col min="4360" max="4360" width="7.5" style="167" bestFit="1" customWidth="1"/>
    <col min="4361" max="4361" width="6.625" style="167" customWidth="1"/>
    <col min="4362" max="4362" width="7.375" style="167" customWidth="1"/>
    <col min="4363" max="4608" width="9" style="167"/>
    <col min="4609" max="4609" width="4.625" style="167" customWidth="1"/>
    <col min="4610" max="4610" width="5.625" style="167" customWidth="1"/>
    <col min="4611" max="4611" width="31.75" style="167" customWidth="1"/>
    <col min="4612" max="4612" width="39.125" style="167" customWidth="1"/>
    <col min="4613" max="4613" width="4.75" style="167" bestFit="1" customWidth="1"/>
    <col min="4614" max="4614" width="6" style="167" bestFit="1" customWidth="1"/>
    <col min="4615" max="4615" width="8.5" style="167" customWidth="1"/>
    <col min="4616" max="4616" width="7.5" style="167" bestFit="1" customWidth="1"/>
    <col min="4617" max="4617" width="6.625" style="167" customWidth="1"/>
    <col min="4618" max="4618" width="7.375" style="167" customWidth="1"/>
    <col min="4619" max="4864" width="9" style="167"/>
    <col min="4865" max="4865" width="4.625" style="167" customWidth="1"/>
    <col min="4866" max="4866" width="5.625" style="167" customWidth="1"/>
    <col min="4867" max="4867" width="31.75" style="167" customWidth="1"/>
    <col min="4868" max="4868" width="39.125" style="167" customWidth="1"/>
    <col min="4869" max="4869" width="4.75" style="167" bestFit="1" customWidth="1"/>
    <col min="4870" max="4870" width="6" style="167" bestFit="1" customWidth="1"/>
    <col min="4871" max="4871" width="8.5" style="167" customWidth="1"/>
    <col min="4872" max="4872" width="7.5" style="167" bestFit="1" customWidth="1"/>
    <col min="4873" max="4873" width="6.625" style="167" customWidth="1"/>
    <col min="4874" max="4874" width="7.375" style="167" customWidth="1"/>
    <col min="4875" max="5120" width="9" style="167"/>
    <col min="5121" max="5121" width="4.625" style="167" customWidth="1"/>
    <col min="5122" max="5122" width="5.625" style="167" customWidth="1"/>
    <col min="5123" max="5123" width="31.75" style="167" customWidth="1"/>
    <col min="5124" max="5124" width="39.125" style="167" customWidth="1"/>
    <col min="5125" max="5125" width="4.75" style="167" bestFit="1" customWidth="1"/>
    <col min="5126" max="5126" width="6" style="167" bestFit="1" customWidth="1"/>
    <col min="5127" max="5127" width="8.5" style="167" customWidth="1"/>
    <col min="5128" max="5128" width="7.5" style="167" bestFit="1" customWidth="1"/>
    <col min="5129" max="5129" width="6.625" style="167" customWidth="1"/>
    <col min="5130" max="5130" width="7.375" style="167" customWidth="1"/>
    <col min="5131" max="5376" width="9" style="167"/>
    <col min="5377" max="5377" width="4.625" style="167" customWidth="1"/>
    <col min="5378" max="5378" width="5.625" style="167" customWidth="1"/>
    <col min="5379" max="5379" width="31.75" style="167" customWidth="1"/>
    <col min="5380" max="5380" width="39.125" style="167" customWidth="1"/>
    <col min="5381" max="5381" width="4.75" style="167" bestFit="1" customWidth="1"/>
    <col min="5382" max="5382" width="6" style="167" bestFit="1" customWidth="1"/>
    <col min="5383" max="5383" width="8.5" style="167" customWidth="1"/>
    <col min="5384" max="5384" width="7.5" style="167" bestFit="1" customWidth="1"/>
    <col min="5385" max="5385" width="6.625" style="167" customWidth="1"/>
    <col min="5386" max="5386" width="7.375" style="167" customWidth="1"/>
    <col min="5387" max="5632" width="9" style="167"/>
    <col min="5633" max="5633" width="4.625" style="167" customWidth="1"/>
    <col min="5634" max="5634" width="5.625" style="167" customWidth="1"/>
    <col min="5635" max="5635" width="31.75" style="167" customWidth="1"/>
    <col min="5636" max="5636" width="39.125" style="167" customWidth="1"/>
    <col min="5637" max="5637" width="4.75" style="167" bestFit="1" customWidth="1"/>
    <col min="5638" max="5638" width="6" style="167" bestFit="1" customWidth="1"/>
    <col min="5639" max="5639" width="8.5" style="167" customWidth="1"/>
    <col min="5640" max="5640" width="7.5" style="167" bestFit="1" customWidth="1"/>
    <col min="5641" max="5641" width="6.625" style="167" customWidth="1"/>
    <col min="5642" max="5642" width="7.375" style="167" customWidth="1"/>
    <col min="5643" max="5888" width="9" style="167"/>
    <col min="5889" max="5889" width="4.625" style="167" customWidth="1"/>
    <col min="5890" max="5890" width="5.625" style="167" customWidth="1"/>
    <col min="5891" max="5891" width="31.75" style="167" customWidth="1"/>
    <col min="5892" max="5892" width="39.125" style="167" customWidth="1"/>
    <col min="5893" max="5893" width="4.75" style="167" bestFit="1" customWidth="1"/>
    <col min="5894" max="5894" width="6" style="167" bestFit="1" customWidth="1"/>
    <col min="5895" max="5895" width="8.5" style="167" customWidth="1"/>
    <col min="5896" max="5896" width="7.5" style="167" bestFit="1" customWidth="1"/>
    <col min="5897" max="5897" width="6.625" style="167" customWidth="1"/>
    <col min="5898" max="5898" width="7.375" style="167" customWidth="1"/>
    <col min="5899" max="6144" width="9" style="167"/>
    <col min="6145" max="6145" width="4.625" style="167" customWidth="1"/>
    <col min="6146" max="6146" width="5.625" style="167" customWidth="1"/>
    <col min="6147" max="6147" width="31.75" style="167" customWidth="1"/>
    <col min="6148" max="6148" width="39.125" style="167" customWidth="1"/>
    <col min="6149" max="6149" width="4.75" style="167" bestFit="1" customWidth="1"/>
    <col min="6150" max="6150" width="6" style="167" bestFit="1" customWidth="1"/>
    <col min="6151" max="6151" width="8.5" style="167" customWidth="1"/>
    <col min="6152" max="6152" width="7.5" style="167" bestFit="1" customWidth="1"/>
    <col min="6153" max="6153" width="6.625" style="167" customWidth="1"/>
    <col min="6154" max="6154" width="7.375" style="167" customWidth="1"/>
    <col min="6155" max="6400" width="9" style="167"/>
    <col min="6401" max="6401" width="4.625" style="167" customWidth="1"/>
    <col min="6402" max="6402" width="5.625" style="167" customWidth="1"/>
    <col min="6403" max="6403" width="31.75" style="167" customWidth="1"/>
    <col min="6404" max="6404" width="39.125" style="167" customWidth="1"/>
    <col min="6405" max="6405" width="4.75" style="167" bestFit="1" customWidth="1"/>
    <col min="6406" max="6406" width="6" style="167" bestFit="1" customWidth="1"/>
    <col min="6407" max="6407" width="8.5" style="167" customWidth="1"/>
    <col min="6408" max="6408" width="7.5" style="167" bestFit="1" customWidth="1"/>
    <col min="6409" max="6409" width="6.625" style="167" customWidth="1"/>
    <col min="6410" max="6410" width="7.375" style="167" customWidth="1"/>
    <col min="6411" max="6656" width="9" style="167"/>
    <col min="6657" max="6657" width="4.625" style="167" customWidth="1"/>
    <col min="6658" max="6658" width="5.625" style="167" customWidth="1"/>
    <col min="6659" max="6659" width="31.75" style="167" customWidth="1"/>
    <col min="6660" max="6660" width="39.125" style="167" customWidth="1"/>
    <col min="6661" max="6661" width="4.75" style="167" bestFit="1" customWidth="1"/>
    <col min="6662" max="6662" width="6" style="167" bestFit="1" customWidth="1"/>
    <col min="6663" max="6663" width="8.5" style="167" customWidth="1"/>
    <col min="6664" max="6664" width="7.5" style="167" bestFit="1" customWidth="1"/>
    <col min="6665" max="6665" width="6.625" style="167" customWidth="1"/>
    <col min="6666" max="6666" width="7.375" style="167" customWidth="1"/>
    <col min="6667" max="6912" width="9" style="167"/>
    <col min="6913" max="6913" width="4.625" style="167" customWidth="1"/>
    <col min="6914" max="6914" width="5.625" style="167" customWidth="1"/>
    <col min="6915" max="6915" width="31.75" style="167" customWidth="1"/>
    <col min="6916" max="6916" width="39.125" style="167" customWidth="1"/>
    <col min="6917" max="6917" width="4.75" style="167" bestFit="1" customWidth="1"/>
    <col min="6918" max="6918" width="6" style="167" bestFit="1" customWidth="1"/>
    <col min="6919" max="6919" width="8.5" style="167" customWidth="1"/>
    <col min="6920" max="6920" width="7.5" style="167" bestFit="1" customWidth="1"/>
    <col min="6921" max="6921" width="6.625" style="167" customWidth="1"/>
    <col min="6922" max="6922" width="7.375" style="167" customWidth="1"/>
    <col min="6923" max="7168" width="9" style="167"/>
    <col min="7169" max="7169" width="4.625" style="167" customWidth="1"/>
    <col min="7170" max="7170" width="5.625" style="167" customWidth="1"/>
    <col min="7171" max="7171" width="31.75" style="167" customWidth="1"/>
    <col min="7172" max="7172" width="39.125" style="167" customWidth="1"/>
    <col min="7173" max="7173" width="4.75" style="167" bestFit="1" customWidth="1"/>
    <col min="7174" max="7174" width="6" style="167" bestFit="1" customWidth="1"/>
    <col min="7175" max="7175" width="8.5" style="167" customWidth="1"/>
    <col min="7176" max="7176" width="7.5" style="167" bestFit="1" customWidth="1"/>
    <col min="7177" max="7177" width="6.625" style="167" customWidth="1"/>
    <col min="7178" max="7178" width="7.375" style="167" customWidth="1"/>
    <col min="7179" max="7424" width="9" style="167"/>
    <col min="7425" max="7425" width="4.625" style="167" customWidth="1"/>
    <col min="7426" max="7426" width="5.625" style="167" customWidth="1"/>
    <col min="7427" max="7427" width="31.75" style="167" customWidth="1"/>
    <col min="7428" max="7428" width="39.125" style="167" customWidth="1"/>
    <col min="7429" max="7429" width="4.75" style="167" bestFit="1" customWidth="1"/>
    <col min="7430" max="7430" width="6" style="167" bestFit="1" customWidth="1"/>
    <col min="7431" max="7431" width="8.5" style="167" customWidth="1"/>
    <col min="7432" max="7432" width="7.5" style="167" bestFit="1" customWidth="1"/>
    <col min="7433" max="7433" width="6.625" style="167" customWidth="1"/>
    <col min="7434" max="7434" width="7.375" style="167" customWidth="1"/>
    <col min="7435" max="7680" width="9" style="167"/>
    <col min="7681" max="7681" width="4.625" style="167" customWidth="1"/>
    <col min="7682" max="7682" width="5.625" style="167" customWidth="1"/>
    <col min="7683" max="7683" width="31.75" style="167" customWidth="1"/>
    <col min="7684" max="7684" width="39.125" style="167" customWidth="1"/>
    <col min="7685" max="7685" width="4.75" style="167" bestFit="1" customWidth="1"/>
    <col min="7686" max="7686" width="6" style="167" bestFit="1" customWidth="1"/>
    <col min="7687" max="7687" width="8.5" style="167" customWidth="1"/>
    <col min="7688" max="7688" width="7.5" style="167" bestFit="1" customWidth="1"/>
    <col min="7689" max="7689" width="6.625" style="167" customWidth="1"/>
    <col min="7690" max="7690" width="7.375" style="167" customWidth="1"/>
    <col min="7691" max="7936" width="9" style="167"/>
    <col min="7937" max="7937" width="4.625" style="167" customWidth="1"/>
    <col min="7938" max="7938" width="5.625" style="167" customWidth="1"/>
    <col min="7939" max="7939" width="31.75" style="167" customWidth="1"/>
    <col min="7940" max="7940" width="39.125" style="167" customWidth="1"/>
    <col min="7941" max="7941" width="4.75" style="167" bestFit="1" customWidth="1"/>
    <col min="7942" max="7942" width="6" style="167" bestFit="1" customWidth="1"/>
    <col min="7943" max="7943" width="8.5" style="167" customWidth="1"/>
    <col min="7944" max="7944" width="7.5" style="167" bestFit="1" customWidth="1"/>
    <col min="7945" max="7945" width="6.625" style="167" customWidth="1"/>
    <col min="7946" max="7946" width="7.375" style="167" customWidth="1"/>
    <col min="7947" max="8192" width="9" style="167"/>
    <col min="8193" max="8193" width="4.625" style="167" customWidth="1"/>
    <col min="8194" max="8194" width="5.625" style="167" customWidth="1"/>
    <col min="8195" max="8195" width="31.75" style="167" customWidth="1"/>
    <col min="8196" max="8196" width="39.125" style="167" customWidth="1"/>
    <col min="8197" max="8197" width="4.75" style="167" bestFit="1" customWidth="1"/>
    <col min="8198" max="8198" width="6" style="167" bestFit="1" customWidth="1"/>
    <col min="8199" max="8199" width="8.5" style="167" customWidth="1"/>
    <col min="8200" max="8200" width="7.5" style="167" bestFit="1" customWidth="1"/>
    <col min="8201" max="8201" width="6.625" style="167" customWidth="1"/>
    <col min="8202" max="8202" width="7.375" style="167" customWidth="1"/>
    <col min="8203" max="8448" width="9" style="167"/>
    <col min="8449" max="8449" width="4.625" style="167" customWidth="1"/>
    <col min="8450" max="8450" width="5.625" style="167" customWidth="1"/>
    <col min="8451" max="8451" width="31.75" style="167" customWidth="1"/>
    <col min="8452" max="8452" width="39.125" style="167" customWidth="1"/>
    <col min="8453" max="8453" width="4.75" style="167" bestFit="1" customWidth="1"/>
    <col min="8454" max="8454" width="6" style="167" bestFit="1" customWidth="1"/>
    <col min="8455" max="8455" width="8.5" style="167" customWidth="1"/>
    <col min="8456" max="8456" width="7.5" style="167" bestFit="1" customWidth="1"/>
    <col min="8457" max="8457" width="6.625" style="167" customWidth="1"/>
    <col min="8458" max="8458" width="7.375" style="167" customWidth="1"/>
    <col min="8459" max="8704" width="9" style="167"/>
    <col min="8705" max="8705" width="4.625" style="167" customWidth="1"/>
    <col min="8706" max="8706" width="5.625" style="167" customWidth="1"/>
    <col min="8707" max="8707" width="31.75" style="167" customWidth="1"/>
    <col min="8708" max="8708" width="39.125" style="167" customWidth="1"/>
    <col min="8709" max="8709" width="4.75" style="167" bestFit="1" customWidth="1"/>
    <col min="8710" max="8710" width="6" style="167" bestFit="1" customWidth="1"/>
    <col min="8711" max="8711" width="8.5" style="167" customWidth="1"/>
    <col min="8712" max="8712" width="7.5" style="167" bestFit="1" customWidth="1"/>
    <col min="8713" max="8713" width="6.625" style="167" customWidth="1"/>
    <col min="8714" max="8714" width="7.375" style="167" customWidth="1"/>
    <col min="8715" max="8960" width="9" style="167"/>
    <col min="8961" max="8961" width="4.625" style="167" customWidth="1"/>
    <col min="8962" max="8962" width="5.625" style="167" customWidth="1"/>
    <col min="8963" max="8963" width="31.75" style="167" customWidth="1"/>
    <col min="8964" max="8964" width="39.125" style="167" customWidth="1"/>
    <col min="8965" max="8965" width="4.75" style="167" bestFit="1" customWidth="1"/>
    <col min="8966" max="8966" width="6" style="167" bestFit="1" customWidth="1"/>
    <col min="8967" max="8967" width="8.5" style="167" customWidth="1"/>
    <col min="8968" max="8968" width="7.5" style="167" bestFit="1" customWidth="1"/>
    <col min="8969" max="8969" width="6.625" style="167" customWidth="1"/>
    <col min="8970" max="8970" width="7.375" style="167" customWidth="1"/>
    <col min="8971" max="9216" width="9" style="167"/>
    <col min="9217" max="9217" width="4.625" style="167" customWidth="1"/>
    <col min="9218" max="9218" width="5.625" style="167" customWidth="1"/>
    <col min="9219" max="9219" width="31.75" style="167" customWidth="1"/>
    <col min="9220" max="9220" width="39.125" style="167" customWidth="1"/>
    <col min="9221" max="9221" width="4.75" style="167" bestFit="1" customWidth="1"/>
    <col min="9222" max="9222" width="6" style="167" bestFit="1" customWidth="1"/>
    <col min="9223" max="9223" width="8.5" style="167" customWidth="1"/>
    <col min="9224" max="9224" width="7.5" style="167" bestFit="1" customWidth="1"/>
    <col min="9225" max="9225" width="6.625" style="167" customWidth="1"/>
    <col min="9226" max="9226" width="7.375" style="167" customWidth="1"/>
    <col min="9227" max="9472" width="9" style="167"/>
    <col min="9473" max="9473" width="4.625" style="167" customWidth="1"/>
    <col min="9474" max="9474" width="5.625" style="167" customWidth="1"/>
    <col min="9475" max="9475" width="31.75" style="167" customWidth="1"/>
    <col min="9476" max="9476" width="39.125" style="167" customWidth="1"/>
    <col min="9477" max="9477" width="4.75" style="167" bestFit="1" customWidth="1"/>
    <col min="9478" max="9478" width="6" style="167" bestFit="1" customWidth="1"/>
    <col min="9479" max="9479" width="8.5" style="167" customWidth="1"/>
    <col min="9480" max="9480" width="7.5" style="167" bestFit="1" customWidth="1"/>
    <col min="9481" max="9481" width="6.625" style="167" customWidth="1"/>
    <col min="9482" max="9482" width="7.375" style="167" customWidth="1"/>
    <col min="9483" max="9728" width="9" style="167"/>
    <col min="9729" max="9729" width="4.625" style="167" customWidth="1"/>
    <col min="9730" max="9730" width="5.625" style="167" customWidth="1"/>
    <col min="9731" max="9731" width="31.75" style="167" customWidth="1"/>
    <col min="9732" max="9732" width="39.125" style="167" customWidth="1"/>
    <col min="9733" max="9733" width="4.75" style="167" bestFit="1" customWidth="1"/>
    <col min="9734" max="9734" width="6" style="167" bestFit="1" customWidth="1"/>
    <col min="9735" max="9735" width="8.5" style="167" customWidth="1"/>
    <col min="9736" max="9736" width="7.5" style="167" bestFit="1" customWidth="1"/>
    <col min="9737" max="9737" width="6.625" style="167" customWidth="1"/>
    <col min="9738" max="9738" width="7.375" style="167" customWidth="1"/>
    <col min="9739" max="9984" width="9" style="167"/>
    <col min="9985" max="9985" width="4.625" style="167" customWidth="1"/>
    <col min="9986" max="9986" width="5.625" style="167" customWidth="1"/>
    <col min="9987" max="9987" width="31.75" style="167" customWidth="1"/>
    <col min="9988" max="9988" width="39.125" style="167" customWidth="1"/>
    <col min="9989" max="9989" width="4.75" style="167" bestFit="1" customWidth="1"/>
    <col min="9990" max="9990" width="6" style="167" bestFit="1" customWidth="1"/>
    <col min="9991" max="9991" width="8.5" style="167" customWidth="1"/>
    <col min="9992" max="9992" width="7.5" style="167" bestFit="1" customWidth="1"/>
    <col min="9993" max="9993" width="6.625" style="167" customWidth="1"/>
    <col min="9994" max="9994" width="7.375" style="167" customWidth="1"/>
    <col min="9995" max="10240" width="9" style="167"/>
    <col min="10241" max="10241" width="4.625" style="167" customWidth="1"/>
    <col min="10242" max="10242" width="5.625" style="167" customWidth="1"/>
    <col min="10243" max="10243" width="31.75" style="167" customWidth="1"/>
    <col min="10244" max="10244" width="39.125" style="167" customWidth="1"/>
    <col min="10245" max="10245" width="4.75" style="167" bestFit="1" customWidth="1"/>
    <col min="10246" max="10246" width="6" style="167" bestFit="1" customWidth="1"/>
    <col min="10247" max="10247" width="8.5" style="167" customWidth="1"/>
    <col min="10248" max="10248" width="7.5" style="167" bestFit="1" customWidth="1"/>
    <col min="10249" max="10249" width="6.625" style="167" customWidth="1"/>
    <col min="10250" max="10250" width="7.375" style="167" customWidth="1"/>
    <col min="10251" max="10496" width="9" style="167"/>
    <col min="10497" max="10497" width="4.625" style="167" customWidth="1"/>
    <col min="10498" max="10498" width="5.625" style="167" customWidth="1"/>
    <col min="10499" max="10499" width="31.75" style="167" customWidth="1"/>
    <col min="10500" max="10500" width="39.125" style="167" customWidth="1"/>
    <col min="10501" max="10501" width="4.75" style="167" bestFit="1" customWidth="1"/>
    <col min="10502" max="10502" width="6" style="167" bestFit="1" customWidth="1"/>
    <col min="10503" max="10503" width="8.5" style="167" customWidth="1"/>
    <col min="10504" max="10504" width="7.5" style="167" bestFit="1" customWidth="1"/>
    <col min="10505" max="10505" width="6.625" style="167" customWidth="1"/>
    <col min="10506" max="10506" width="7.375" style="167" customWidth="1"/>
    <col min="10507" max="10752" width="9" style="167"/>
    <col min="10753" max="10753" width="4.625" style="167" customWidth="1"/>
    <col min="10754" max="10754" width="5.625" style="167" customWidth="1"/>
    <col min="10755" max="10755" width="31.75" style="167" customWidth="1"/>
    <col min="10756" max="10756" width="39.125" style="167" customWidth="1"/>
    <col min="10757" max="10757" width="4.75" style="167" bestFit="1" customWidth="1"/>
    <col min="10758" max="10758" width="6" style="167" bestFit="1" customWidth="1"/>
    <col min="10759" max="10759" width="8.5" style="167" customWidth="1"/>
    <col min="10760" max="10760" width="7.5" style="167" bestFit="1" customWidth="1"/>
    <col min="10761" max="10761" width="6.625" style="167" customWidth="1"/>
    <col min="10762" max="10762" width="7.375" style="167" customWidth="1"/>
    <col min="10763" max="11008" width="9" style="167"/>
    <col min="11009" max="11009" width="4.625" style="167" customWidth="1"/>
    <col min="11010" max="11010" width="5.625" style="167" customWidth="1"/>
    <col min="11011" max="11011" width="31.75" style="167" customWidth="1"/>
    <col min="11012" max="11012" width="39.125" style="167" customWidth="1"/>
    <col min="11013" max="11013" width="4.75" style="167" bestFit="1" customWidth="1"/>
    <col min="11014" max="11014" width="6" style="167" bestFit="1" customWidth="1"/>
    <col min="11015" max="11015" width="8.5" style="167" customWidth="1"/>
    <col min="11016" max="11016" width="7.5" style="167" bestFit="1" customWidth="1"/>
    <col min="11017" max="11017" width="6.625" style="167" customWidth="1"/>
    <col min="11018" max="11018" width="7.375" style="167" customWidth="1"/>
    <col min="11019" max="11264" width="9" style="167"/>
    <col min="11265" max="11265" width="4.625" style="167" customWidth="1"/>
    <col min="11266" max="11266" width="5.625" style="167" customWidth="1"/>
    <col min="11267" max="11267" width="31.75" style="167" customWidth="1"/>
    <col min="11268" max="11268" width="39.125" style="167" customWidth="1"/>
    <col min="11269" max="11269" width="4.75" style="167" bestFit="1" customWidth="1"/>
    <col min="11270" max="11270" width="6" style="167" bestFit="1" customWidth="1"/>
    <col min="11271" max="11271" width="8.5" style="167" customWidth="1"/>
    <col min="11272" max="11272" width="7.5" style="167" bestFit="1" customWidth="1"/>
    <col min="11273" max="11273" width="6.625" style="167" customWidth="1"/>
    <col min="11274" max="11274" width="7.375" style="167" customWidth="1"/>
    <col min="11275" max="11520" width="9" style="167"/>
    <col min="11521" max="11521" width="4.625" style="167" customWidth="1"/>
    <col min="11522" max="11522" width="5.625" style="167" customWidth="1"/>
    <col min="11523" max="11523" width="31.75" style="167" customWidth="1"/>
    <col min="11524" max="11524" width="39.125" style="167" customWidth="1"/>
    <col min="11525" max="11525" width="4.75" style="167" bestFit="1" customWidth="1"/>
    <col min="11526" max="11526" width="6" style="167" bestFit="1" customWidth="1"/>
    <col min="11527" max="11527" width="8.5" style="167" customWidth="1"/>
    <col min="11528" max="11528" width="7.5" style="167" bestFit="1" customWidth="1"/>
    <col min="11529" max="11529" width="6.625" style="167" customWidth="1"/>
    <col min="11530" max="11530" width="7.375" style="167" customWidth="1"/>
    <col min="11531" max="11776" width="9" style="167"/>
    <col min="11777" max="11777" width="4.625" style="167" customWidth="1"/>
    <col min="11778" max="11778" width="5.625" style="167" customWidth="1"/>
    <col min="11779" max="11779" width="31.75" style="167" customWidth="1"/>
    <col min="11780" max="11780" width="39.125" style="167" customWidth="1"/>
    <col min="11781" max="11781" width="4.75" style="167" bestFit="1" customWidth="1"/>
    <col min="11782" max="11782" width="6" style="167" bestFit="1" customWidth="1"/>
    <col min="11783" max="11783" width="8.5" style="167" customWidth="1"/>
    <col min="11784" max="11784" width="7.5" style="167" bestFit="1" customWidth="1"/>
    <col min="11785" max="11785" width="6.625" style="167" customWidth="1"/>
    <col min="11786" max="11786" width="7.375" style="167" customWidth="1"/>
    <col min="11787" max="12032" width="9" style="167"/>
    <col min="12033" max="12033" width="4.625" style="167" customWidth="1"/>
    <col min="12034" max="12034" width="5.625" style="167" customWidth="1"/>
    <col min="12035" max="12035" width="31.75" style="167" customWidth="1"/>
    <col min="12036" max="12036" width="39.125" style="167" customWidth="1"/>
    <col min="12037" max="12037" width="4.75" style="167" bestFit="1" customWidth="1"/>
    <col min="12038" max="12038" width="6" style="167" bestFit="1" customWidth="1"/>
    <col min="12039" max="12039" width="8.5" style="167" customWidth="1"/>
    <col min="12040" max="12040" width="7.5" style="167" bestFit="1" customWidth="1"/>
    <col min="12041" max="12041" width="6.625" style="167" customWidth="1"/>
    <col min="12042" max="12042" width="7.375" style="167" customWidth="1"/>
    <col min="12043" max="12288" width="9" style="167"/>
    <col min="12289" max="12289" width="4.625" style="167" customWidth="1"/>
    <col min="12290" max="12290" width="5.625" style="167" customWidth="1"/>
    <col min="12291" max="12291" width="31.75" style="167" customWidth="1"/>
    <col min="12292" max="12292" width="39.125" style="167" customWidth="1"/>
    <col min="12293" max="12293" width="4.75" style="167" bestFit="1" customWidth="1"/>
    <col min="12294" max="12294" width="6" style="167" bestFit="1" customWidth="1"/>
    <col min="12295" max="12295" width="8.5" style="167" customWidth="1"/>
    <col min="12296" max="12296" width="7.5" style="167" bestFit="1" customWidth="1"/>
    <col min="12297" max="12297" width="6.625" style="167" customWidth="1"/>
    <col min="12298" max="12298" width="7.375" style="167" customWidth="1"/>
    <col min="12299" max="12544" width="9" style="167"/>
    <col min="12545" max="12545" width="4.625" style="167" customWidth="1"/>
    <col min="12546" max="12546" width="5.625" style="167" customWidth="1"/>
    <col min="12547" max="12547" width="31.75" style="167" customWidth="1"/>
    <col min="12548" max="12548" width="39.125" style="167" customWidth="1"/>
    <col min="12549" max="12549" width="4.75" style="167" bestFit="1" customWidth="1"/>
    <col min="12550" max="12550" width="6" style="167" bestFit="1" customWidth="1"/>
    <col min="12551" max="12551" width="8.5" style="167" customWidth="1"/>
    <col min="12552" max="12552" width="7.5" style="167" bestFit="1" customWidth="1"/>
    <col min="12553" max="12553" width="6.625" style="167" customWidth="1"/>
    <col min="12554" max="12554" width="7.375" style="167" customWidth="1"/>
    <col min="12555" max="12800" width="9" style="167"/>
    <col min="12801" max="12801" width="4.625" style="167" customWidth="1"/>
    <col min="12802" max="12802" width="5.625" style="167" customWidth="1"/>
    <col min="12803" max="12803" width="31.75" style="167" customWidth="1"/>
    <col min="12804" max="12804" width="39.125" style="167" customWidth="1"/>
    <col min="12805" max="12805" width="4.75" style="167" bestFit="1" customWidth="1"/>
    <col min="12806" max="12806" width="6" style="167" bestFit="1" customWidth="1"/>
    <col min="12807" max="12807" width="8.5" style="167" customWidth="1"/>
    <col min="12808" max="12808" width="7.5" style="167" bestFit="1" customWidth="1"/>
    <col min="12809" max="12809" width="6.625" style="167" customWidth="1"/>
    <col min="12810" max="12810" width="7.375" style="167" customWidth="1"/>
    <col min="12811" max="13056" width="9" style="167"/>
    <col min="13057" max="13057" width="4.625" style="167" customWidth="1"/>
    <col min="13058" max="13058" width="5.625" style="167" customWidth="1"/>
    <col min="13059" max="13059" width="31.75" style="167" customWidth="1"/>
    <col min="13060" max="13060" width="39.125" style="167" customWidth="1"/>
    <col min="13061" max="13061" width="4.75" style="167" bestFit="1" customWidth="1"/>
    <col min="13062" max="13062" width="6" style="167" bestFit="1" customWidth="1"/>
    <col min="13063" max="13063" width="8.5" style="167" customWidth="1"/>
    <col min="13064" max="13064" width="7.5" style="167" bestFit="1" customWidth="1"/>
    <col min="13065" max="13065" width="6.625" style="167" customWidth="1"/>
    <col min="13066" max="13066" width="7.375" style="167" customWidth="1"/>
    <col min="13067" max="13312" width="9" style="167"/>
    <col min="13313" max="13313" width="4.625" style="167" customWidth="1"/>
    <col min="13314" max="13314" width="5.625" style="167" customWidth="1"/>
    <col min="13315" max="13315" width="31.75" style="167" customWidth="1"/>
    <col min="13316" max="13316" width="39.125" style="167" customWidth="1"/>
    <col min="13317" max="13317" width="4.75" style="167" bestFit="1" customWidth="1"/>
    <col min="13318" max="13318" width="6" style="167" bestFit="1" customWidth="1"/>
    <col min="13319" max="13319" width="8.5" style="167" customWidth="1"/>
    <col min="13320" max="13320" width="7.5" style="167" bestFit="1" customWidth="1"/>
    <col min="13321" max="13321" width="6.625" style="167" customWidth="1"/>
    <col min="13322" max="13322" width="7.375" style="167" customWidth="1"/>
    <col min="13323" max="13568" width="9" style="167"/>
    <col min="13569" max="13569" width="4.625" style="167" customWidth="1"/>
    <col min="13570" max="13570" width="5.625" style="167" customWidth="1"/>
    <col min="13571" max="13571" width="31.75" style="167" customWidth="1"/>
    <col min="13572" max="13572" width="39.125" style="167" customWidth="1"/>
    <col min="13573" max="13573" width="4.75" style="167" bestFit="1" customWidth="1"/>
    <col min="13574" max="13574" width="6" style="167" bestFit="1" customWidth="1"/>
    <col min="13575" max="13575" width="8.5" style="167" customWidth="1"/>
    <col min="13576" max="13576" width="7.5" style="167" bestFit="1" customWidth="1"/>
    <col min="13577" max="13577" width="6.625" style="167" customWidth="1"/>
    <col min="13578" max="13578" width="7.375" style="167" customWidth="1"/>
    <col min="13579" max="13824" width="9" style="167"/>
    <col min="13825" max="13825" width="4.625" style="167" customWidth="1"/>
    <col min="13826" max="13826" width="5.625" style="167" customWidth="1"/>
    <col min="13827" max="13827" width="31.75" style="167" customWidth="1"/>
    <col min="13828" max="13828" width="39.125" style="167" customWidth="1"/>
    <col min="13829" max="13829" width="4.75" style="167" bestFit="1" customWidth="1"/>
    <col min="13830" max="13830" width="6" style="167" bestFit="1" customWidth="1"/>
    <col min="13831" max="13831" width="8.5" style="167" customWidth="1"/>
    <col min="13832" max="13832" width="7.5" style="167" bestFit="1" customWidth="1"/>
    <col min="13833" max="13833" width="6.625" style="167" customWidth="1"/>
    <col min="13834" max="13834" width="7.375" style="167" customWidth="1"/>
    <col min="13835" max="14080" width="9" style="167"/>
    <col min="14081" max="14081" width="4.625" style="167" customWidth="1"/>
    <col min="14082" max="14082" width="5.625" style="167" customWidth="1"/>
    <col min="14083" max="14083" width="31.75" style="167" customWidth="1"/>
    <col min="14084" max="14084" width="39.125" style="167" customWidth="1"/>
    <col min="14085" max="14085" width="4.75" style="167" bestFit="1" customWidth="1"/>
    <col min="14086" max="14086" width="6" style="167" bestFit="1" customWidth="1"/>
    <col min="14087" max="14087" width="8.5" style="167" customWidth="1"/>
    <col min="14088" max="14088" width="7.5" style="167" bestFit="1" customWidth="1"/>
    <col min="14089" max="14089" width="6.625" style="167" customWidth="1"/>
    <col min="14090" max="14090" width="7.375" style="167" customWidth="1"/>
    <col min="14091" max="14336" width="9" style="167"/>
    <col min="14337" max="14337" width="4.625" style="167" customWidth="1"/>
    <col min="14338" max="14338" width="5.625" style="167" customWidth="1"/>
    <col min="14339" max="14339" width="31.75" style="167" customWidth="1"/>
    <col min="14340" max="14340" width="39.125" style="167" customWidth="1"/>
    <col min="14341" max="14341" width="4.75" style="167" bestFit="1" customWidth="1"/>
    <col min="14342" max="14342" width="6" style="167" bestFit="1" customWidth="1"/>
    <col min="14343" max="14343" width="8.5" style="167" customWidth="1"/>
    <col min="14344" max="14344" width="7.5" style="167" bestFit="1" customWidth="1"/>
    <col min="14345" max="14345" width="6.625" style="167" customWidth="1"/>
    <col min="14346" max="14346" width="7.375" style="167" customWidth="1"/>
    <col min="14347" max="14592" width="9" style="167"/>
    <col min="14593" max="14593" width="4.625" style="167" customWidth="1"/>
    <col min="14594" max="14594" width="5.625" style="167" customWidth="1"/>
    <col min="14595" max="14595" width="31.75" style="167" customWidth="1"/>
    <col min="14596" max="14596" width="39.125" style="167" customWidth="1"/>
    <col min="14597" max="14597" width="4.75" style="167" bestFit="1" customWidth="1"/>
    <col min="14598" max="14598" width="6" style="167" bestFit="1" customWidth="1"/>
    <col min="14599" max="14599" width="8.5" style="167" customWidth="1"/>
    <col min="14600" max="14600" width="7.5" style="167" bestFit="1" customWidth="1"/>
    <col min="14601" max="14601" width="6.625" style="167" customWidth="1"/>
    <col min="14602" max="14602" width="7.375" style="167" customWidth="1"/>
    <col min="14603" max="14848" width="9" style="167"/>
    <col min="14849" max="14849" width="4.625" style="167" customWidth="1"/>
    <col min="14850" max="14850" width="5.625" style="167" customWidth="1"/>
    <col min="14851" max="14851" width="31.75" style="167" customWidth="1"/>
    <col min="14852" max="14852" width="39.125" style="167" customWidth="1"/>
    <col min="14853" max="14853" width="4.75" style="167" bestFit="1" customWidth="1"/>
    <col min="14854" max="14854" width="6" style="167" bestFit="1" customWidth="1"/>
    <col min="14855" max="14855" width="8.5" style="167" customWidth="1"/>
    <col min="14856" max="14856" width="7.5" style="167" bestFit="1" customWidth="1"/>
    <col min="14857" max="14857" width="6.625" style="167" customWidth="1"/>
    <col min="14858" max="14858" width="7.375" style="167" customWidth="1"/>
    <col min="14859" max="15104" width="9" style="167"/>
    <col min="15105" max="15105" width="4.625" style="167" customWidth="1"/>
    <col min="15106" max="15106" width="5.625" style="167" customWidth="1"/>
    <col min="15107" max="15107" width="31.75" style="167" customWidth="1"/>
    <col min="15108" max="15108" width="39.125" style="167" customWidth="1"/>
    <col min="15109" max="15109" width="4.75" style="167" bestFit="1" customWidth="1"/>
    <col min="15110" max="15110" width="6" style="167" bestFit="1" customWidth="1"/>
    <col min="15111" max="15111" width="8.5" style="167" customWidth="1"/>
    <col min="15112" max="15112" width="7.5" style="167" bestFit="1" customWidth="1"/>
    <col min="15113" max="15113" width="6.625" style="167" customWidth="1"/>
    <col min="15114" max="15114" width="7.375" style="167" customWidth="1"/>
    <col min="15115" max="15360" width="9" style="167"/>
    <col min="15361" max="15361" width="4.625" style="167" customWidth="1"/>
    <col min="15362" max="15362" width="5.625" style="167" customWidth="1"/>
    <col min="15363" max="15363" width="31.75" style="167" customWidth="1"/>
    <col min="15364" max="15364" width="39.125" style="167" customWidth="1"/>
    <col min="15365" max="15365" width="4.75" style="167" bestFit="1" customWidth="1"/>
    <col min="15366" max="15366" width="6" style="167" bestFit="1" customWidth="1"/>
    <col min="15367" max="15367" width="8.5" style="167" customWidth="1"/>
    <col min="15368" max="15368" width="7.5" style="167" bestFit="1" customWidth="1"/>
    <col min="15369" max="15369" width="6.625" style="167" customWidth="1"/>
    <col min="15370" max="15370" width="7.375" style="167" customWidth="1"/>
    <col min="15371" max="15616" width="9" style="167"/>
    <col min="15617" max="15617" width="4.625" style="167" customWidth="1"/>
    <col min="15618" max="15618" width="5.625" style="167" customWidth="1"/>
    <col min="15619" max="15619" width="31.75" style="167" customWidth="1"/>
    <col min="15620" max="15620" width="39.125" style="167" customWidth="1"/>
    <col min="15621" max="15621" width="4.75" style="167" bestFit="1" customWidth="1"/>
    <col min="15622" max="15622" width="6" style="167" bestFit="1" customWidth="1"/>
    <col min="15623" max="15623" width="8.5" style="167" customWidth="1"/>
    <col min="15624" max="15624" width="7.5" style="167" bestFit="1" customWidth="1"/>
    <col min="15625" max="15625" width="6.625" style="167" customWidth="1"/>
    <col min="15626" max="15626" width="7.375" style="167" customWidth="1"/>
    <col min="15627" max="15872" width="9" style="167"/>
    <col min="15873" max="15873" width="4.625" style="167" customWidth="1"/>
    <col min="15874" max="15874" width="5.625" style="167" customWidth="1"/>
    <col min="15875" max="15875" width="31.75" style="167" customWidth="1"/>
    <col min="15876" max="15876" width="39.125" style="167" customWidth="1"/>
    <col min="15877" max="15877" width="4.75" style="167" bestFit="1" customWidth="1"/>
    <col min="15878" max="15878" width="6" style="167" bestFit="1" customWidth="1"/>
    <col min="15879" max="15879" width="8.5" style="167" customWidth="1"/>
    <col min="15880" max="15880" width="7.5" style="167" bestFit="1" customWidth="1"/>
    <col min="15881" max="15881" width="6.625" style="167" customWidth="1"/>
    <col min="15882" max="15882" width="7.375" style="167" customWidth="1"/>
    <col min="15883" max="16128" width="9" style="167"/>
    <col min="16129" max="16129" width="4.625" style="167" customWidth="1"/>
    <col min="16130" max="16130" width="5.625" style="167" customWidth="1"/>
    <col min="16131" max="16131" width="31.75" style="167" customWidth="1"/>
    <col min="16132" max="16132" width="39.125" style="167" customWidth="1"/>
    <col min="16133" max="16133" width="4.75" style="167" bestFit="1" customWidth="1"/>
    <col min="16134" max="16134" width="6" style="167" bestFit="1" customWidth="1"/>
    <col min="16135" max="16135" width="8.5" style="167" customWidth="1"/>
    <col min="16136" max="16136" width="7.5" style="167" bestFit="1" customWidth="1"/>
    <col min="16137" max="16137" width="6.625" style="167" customWidth="1"/>
    <col min="16138" max="16138" width="7.375" style="167" customWidth="1"/>
    <col min="16139" max="16384" width="9" style="167"/>
  </cols>
  <sheetData>
    <row r="1" spans="1:26" s="147" customFormat="1" ht="20.25">
      <c r="A1" s="76" t="s">
        <v>410</v>
      </c>
      <c r="B1" s="144"/>
      <c r="C1" s="77"/>
      <c r="D1" s="78"/>
      <c r="E1" s="79"/>
      <c r="F1" s="145"/>
      <c r="G1" s="81"/>
      <c r="H1" s="82"/>
      <c r="I1" s="83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s="148" customFormat="1" ht="20.25">
      <c r="A2" s="354" t="s">
        <v>424</v>
      </c>
      <c r="B2" s="354"/>
      <c r="C2" s="354"/>
      <c r="D2" s="354"/>
      <c r="E2" s="354"/>
      <c r="F2" s="354"/>
      <c r="G2" s="354"/>
      <c r="H2" s="354"/>
      <c r="I2" s="35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s="148" customFormat="1">
      <c r="A3" s="355"/>
      <c r="B3" s="355"/>
      <c r="C3" s="355"/>
      <c r="D3" s="355"/>
      <c r="E3" s="355"/>
      <c r="F3" s="355"/>
      <c r="G3" s="86"/>
      <c r="H3" s="87"/>
      <c r="I3" s="88"/>
      <c r="J3" s="87" t="s">
        <v>412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s="150" customFormat="1" ht="13.5">
      <c r="A4" s="361" t="s">
        <v>112</v>
      </c>
      <c r="B4" s="384" t="s">
        <v>425</v>
      </c>
      <c r="C4" s="351" t="s">
        <v>413</v>
      </c>
      <c r="D4" s="351" t="s">
        <v>414</v>
      </c>
      <c r="E4" s="362" t="s">
        <v>133</v>
      </c>
      <c r="F4" s="386" t="s">
        <v>134</v>
      </c>
      <c r="G4" s="357" t="s">
        <v>298</v>
      </c>
      <c r="H4" s="359" t="s">
        <v>135</v>
      </c>
      <c r="I4" s="351" t="s">
        <v>470</v>
      </c>
      <c r="J4" s="352" t="s">
        <v>471</v>
      </c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s="150" customFormat="1" ht="13.5">
      <c r="A5" s="361"/>
      <c r="B5" s="385"/>
      <c r="C5" s="351"/>
      <c r="D5" s="351"/>
      <c r="E5" s="363"/>
      <c r="F5" s="386"/>
      <c r="G5" s="358"/>
      <c r="H5" s="360"/>
      <c r="I5" s="351"/>
      <c r="J5" s="353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s="153" customFormat="1" ht="15">
      <c r="A6" s="90">
        <v>1</v>
      </c>
      <c r="B6" s="90"/>
      <c r="C6" s="134" t="s">
        <v>472</v>
      </c>
      <c r="D6" s="91" t="s">
        <v>473</v>
      </c>
      <c r="E6" s="102" t="s">
        <v>474</v>
      </c>
      <c r="F6" s="151">
        <v>1</v>
      </c>
      <c r="G6" s="174">
        <v>28</v>
      </c>
      <c r="H6" s="175">
        <f>F6*G6</f>
        <v>28</v>
      </c>
      <c r="I6" s="96">
        <f>H6*0.1</f>
        <v>2.8000000000000003</v>
      </c>
      <c r="J6" s="97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s="153" customFormat="1" ht="15">
      <c r="A7" s="90">
        <v>2</v>
      </c>
      <c r="B7" s="99"/>
      <c r="C7" s="134" t="s">
        <v>472</v>
      </c>
      <c r="D7" s="91" t="s">
        <v>475</v>
      </c>
      <c r="E7" s="102" t="s">
        <v>474</v>
      </c>
      <c r="F7" s="151">
        <v>2</v>
      </c>
      <c r="G7" s="174">
        <v>22</v>
      </c>
      <c r="H7" s="175">
        <f t="shared" ref="H7:H17" si="0">F7*G7</f>
        <v>44</v>
      </c>
      <c r="I7" s="96">
        <f t="shared" ref="I7:I16" si="1">H7*0.1</f>
        <v>4.4000000000000004</v>
      </c>
      <c r="J7" s="97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s="154" customFormat="1" ht="15">
      <c r="A8" s="90">
        <v>3</v>
      </c>
      <c r="B8" s="90"/>
      <c r="C8" s="134" t="s">
        <v>476</v>
      </c>
      <c r="D8" s="101" t="s">
        <v>477</v>
      </c>
      <c r="E8" s="102" t="s">
        <v>478</v>
      </c>
      <c r="F8" s="151">
        <v>4</v>
      </c>
      <c r="G8" s="174">
        <v>18</v>
      </c>
      <c r="H8" s="175">
        <f t="shared" si="0"/>
        <v>72</v>
      </c>
      <c r="I8" s="96">
        <f t="shared" si="1"/>
        <v>7.2</v>
      </c>
      <c r="J8" s="104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s="154" customFormat="1" ht="15">
      <c r="A9" s="90">
        <v>4</v>
      </c>
      <c r="B9" s="90"/>
      <c r="C9" s="106" t="s">
        <v>479</v>
      </c>
      <c r="D9" s="106" t="s">
        <v>480</v>
      </c>
      <c r="E9" s="102" t="s">
        <v>478</v>
      </c>
      <c r="F9" s="155">
        <v>16</v>
      </c>
      <c r="G9" s="174">
        <v>3</v>
      </c>
      <c r="H9" s="175">
        <f t="shared" si="0"/>
        <v>48</v>
      </c>
      <c r="I9" s="96">
        <f t="shared" si="1"/>
        <v>4.8000000000000007</v>
      </c>
      <c r="J9" s="104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s="154" customFormat="1" ht="15">
      <c r="A10" s="90">
        <v>5</v>
      </c>
      <c r="B10" s="90"/>
      <c r="C10" s="106" t="s">
        <v>481</v>
      </c>
      <c r="D10" s="110" t="s">
        <v>482</v>
      </c>
      <c r="E10" s="102" t="s">
        <v>478</v>
      </c>
      <c r="F10" s="155">
        <v>6</v>
      </c>
      <c r="G10" s="174">
        <v>3.5</v>
      </c>
      <c r="H10" s="175">
        <f t="shared" si="0"/>
        <v>21</v>
      </c>
      <c r="I10" s="96">
        <f t="shared" si="1"/>
        <v>2.1</v>
      </c>
      <c r="J10" s="104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s="154" customFormat="1" ht="15">
      <c r="A11" s="90">
        <v>6</v>
      </c>
      <c r="B11" s="90"/>
      <c r="C11" s="106" t="s">
        <v>483</v>
      </c>
      <c r="D11" s="110" t="s">
        <v>484</v>
      </c>
      <c r="E11" s="102" t="s">
        <v>474</v>
      </c>
      <c r="F11" s="155">
        <v>37</v>
      </c>
      <c r="G11" s="174">
        <v>2</v>
      </c>
      <c r="H11" s="175">
        <f t="shared" si="0"/>
        <v>74</v>
      </c>
      <c r="I11" s="96">
        <f t="shared" si="1"/>
        <v>7.4</v>
      </c>
      <c r="J11" s="104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s="154" customFormat="1" ht="15">
      <c r="A12" s="90">
        <v>7</v>
      </c>
      <c r="B12" s="90"/>
      <c r="C12" s="106" t="s">
        <v>485</v>
      </c>
      <c r="D12" s="106" t="s">
        <v>486</v>
      </c>
      <c r="E12" s="102" t="s">
        <v>474</v>
      </c>
      <c r="F12" s="151">
        <v>26</v>
      </c>
      <c r="G12" s="174">
        <v>0.5</v>
      </c>
      <c r="H12" s="175">
        <f t="shared" si="0"/>
        <v>13</v>
      </c>
      <c r="I12" s="96">
        <f t="shared" si="1"/>
        <v>1.3</v>
      </c>
      <c r="J12" s="104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s="154" customFormat="1" ht="15">
      <c r="A13" s="90">
        <v>8</v>
      </c>
      <c r="B13" s="90"/>
      <c r="C13" s="106" t="s">
        <v>487</v>
      </c>
      <c r="D13" s="101"/>
      <c r="E13" s="102" t="s">
        <v>488</v>
      </c>
      <c r="F13" s="151">
        <v>8</v>
      </c>
      <c r="G13" s="174">
        <v>0.6</v>
      </c>
      <c r="H13" s="175">
        <f t="shared" si="0"/>
        <v>4.8</v>
      </c>
      <c r="I13" s="96">
        <f t="shared" si="1"/>
        <v>0.48</v>
      </c>
      <c r="J13" s="104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s="154" customFormat="1" ht="15">
      <c r="A14" s="90">
        <v>9</v>
      </c>
      <c r="B14" s="90"/>
      <c r="C14" s="106" t="s">
        <v>489</v>
      </c>
      <c r="D14" s="101"/>
      <c r="E14" s="102" t="s">
        <v>488</v>
      </c>
      <c r="F14" s="155">
        <v>6</v>
      </c>
      <c r="G14" s="174">
        <v>0.65</v>
      </c>
      <c r="H14" s="175">
        <f t="shared" si="0"/>
        <v>3.9000000000000004</v>
      </c>
      <c r="I14" s="96">
        <f t="shared" si="1"/>
        <v>0.39000000000000007</v>
      </c>
      <c r="J14" s="104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s="154" customFormat="1" ht="15">
      <c r="A15" s="90">
        <v>10</v>
      </c>
      <c r="B15" s="90"/>
      <c r="C15" s="106" t="s">
        <v>490</v>
      </c>
      <c r="D15" s="110"/>
      <c r="E15" s="102" t="s">
        <v>488</v>
      </c>
      <c r="F15" s="155">
        <v>6</v>
      </c>
      <c r="G15" s="174">
        <v>2.1</v>
      </c>
      <c r="H15" s="175">
        <f t="shared" si="0"/>
        <v>12.600000000000001</v>
      </c>
      <c r="I15" s="96">
        <f t="shared" si="1"/>
        <v>1.2600000000000002</v>
      </c>
      <c r="J15" s="104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s="154" customFormat="1" ht="15">
      <c r="A16" s="90">
        <v>11</v>
      </c>
      <c r="B16" s="90"/>
      <c r="C16" s="106" t="s">
        <v>491</v>
      </c>
      <c r="D16" s="110" t="s">
        <v>492</v>
      </c>
      <c r="E16" s="102" t="s">
        <v>488</v>
      </c>
      <c r="F16" s="155">
        <v>78</v>
      </c>
      <c r="G16" s="174">
        <v>3</v>
      </c>
      <c r="H16" s="175">
        <f t="shared" si="0"/>
        <v>234</v>
      </c>
      <c r="I16" s="96">
        <f t="shared" si="1"/>
        <v>23.400000000000002</v>
      </c>
      <c r="J16" s="104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s="154" customFormat="1" ht="15">
      <c r="A17" s="90">
        <v>12</v>
      </c>
      <c r="B17" s="90"/>
      <c r="C17" s="158" t="s">
        <v>493</v>
      </c>
      <c r="D17" s="106" t="s">
        <v>494</v>
      </c>
      <c r="E17" s="102" t="s">
        <v>488</v>
      </c>
      <c r="F17" s="151">
        <v>20</v>
      </c>
      <c r="G17" s="174">
        <v>1</v>
      </c>
      <c r="H17" s="175">
        <f t="shared" si="0"/>
        <v>20</v>
      </c>
      <c r="I17" s="96">
        <f>H17*0.1</f>
        <v>2</v>
      </c>
      <c r="J17" s="104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s="154" customFormat="1" ht="15">
      <c r="A18" s="100"/>
      <c r="B18" s="90"/>
      <c r="C18" s="110"/>
      <c r="D18" s="101"/>
      <c r="E18" s="102"/>
      <c r="F18" s="151"/>
      <c r="G18" s="94"/>
      <c r="H18" s="95"/>
      <c r="I18" s="103"/>
      <c r="J18" s="104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s="154" customFormat="1" ht="15">
      <c r="A19" s="100"/>
      <c r="B19" s="90"/>
      <c r="C19" s="110"/>
      <c r="D19" s="101"/>
      <c r="E19" s="107"/>
      <c r="F19" s="155"/>
      <c r="G19" s="94"/>
      <c r="H19" s="95"/>
      <c r="I19" s="103"/>
      <c r="J19" s="104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s="154" customFormat="1" ht="15">
      <c r="A20" s="100"/>
      <c r="B20" s="90"/>
      <c r="C20" s="109"/>
      <c r="D20" s="110"/>
      <c r="E20" s="107"/>
      <c r="F20" s="155"/>
      <c r="G20" s="94"/>
      <c r="H20" s="95"/>
      <c r="I20" s="103"/>
      <c r="J20" s="104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s="154" customFormat="1" ht="15">
      <c r="A21" s="100"/>
      <c r="B21" s="90"/>
      <c r="C21" s="109"/>
      <c r="D21" s="110"/>
      <c r="E21" s="113"/>
      <c r="F21" s="151"/>
      <c r="G21" s="94"/>
      <c r="H21" s="95"/>
      <c r="I21" s="103"/>
      <c r="J21" s="104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s="154" customFormat="1" ht="15">
      <c r="A22" s="100"/>
      <c r="B22" s="160"/>
      <c r="C22" s="99"/>
      <c r="D22" s="110"/>
      <c r="E22" s="113"/>
      <c r="F22" s="151"/>
      <c r="G22" s="94"/>
      <c r="H22" s="95"/>
      <c r="I22" s="103"/>
      <c r="J22" s="104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s="153" customFormat="1" ht="15">
      <c r="A23" s="90"/>
      <c r="B23" s="160"/>
      <c r="C23" s="114"/>
      <c r="D23" s="114"/>
      <c r="E23" s="92"/>
      <c r="F23" s="151"/>
      <c r="G23" s="94"/>
      <c r="H23" s="95"/>
      <c r="I23" s="115"/>
      <c r="J23" s="97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s="153" customFormat="1" ht="15">
      <c r="A24" s="90"/>
      <c r="B24" s="90"/>
      <c r="C24" s="161"/>
      <c r="D24" s="117"/>
      <c r="E24" s="92"/>
      <c r="F24" s="151"/>
      <c r="G24" s="94"/>
      <c r="H24" s="95"/>
      <c r="I24" s="118"/>
      <c r="J24" s="97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s="153" customFormat="1" ht="15">
      <c r="A25" s="90"/>
      <c r="B25" s="99"/>
      <c r="C25" s="109"/>
      <c r="D25" s="119"/>
      <c r="E25" s="92"/>
      <c r="F25" s="151"/>
      <c r="G25" s="94"/>
      <c r="H25" s="95"/>
      <c r="I25" s="118"/>
      <c r="J25" s="97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s="153" customFormat="1" ht="15">
      <c r="A26" s="90"/>
      <c r="B26" s="90"/>
      <c r="C26" s="120"/>
      <c r="D26" s="117"/>
      <c r="E26" s="102"/>
      <c r="F26" s="151"/>
      <c r="G26" s="94"/>
      <c r="H26" s="95"/>
      <c r="I26" s="118"/>
      <c r="J26" s="97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s="153" customFormat="1" ht="15">
      <c r="A27" s="90"/>
      <c r="B27" s="90"/>
      <c r="C27" s="120"/>
      <c r="D27" s="117"/>
      <c r="E27" s="92"/>
      <c r="F27" s="151"/>
      <c r="G27" s="94"/>
      <c r="H27" s="95"/>
      <c r="I27" s="118"/>
      <c r="J27" s="97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s="153" customFormat="1" ht="15">
      <c r="A28" s="90"/>
      <c r="B28" s="90"/>
      <c r="C28" s="120"/>
      <c r="D28" s="117"/>
      <c r="E28" s="92"/>
      <c r="F28" s="151"/>
      <c r="G28" s="94"/>
      <c r="H28" s="95"/>
      <c r="I28" s="118"/>
      <c r="J28" s="97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s="153" customFormat="1" ht="15">
      <c r="A29" s="90"/>
      <c r="B29" s="90"/>
      <c r="C29" s="109"/>
      <c r="D29" s="109"/>
      <c r="E29" s="121"/>
      <c r="F29" s="164"/>
      <c r="G29" s="94"/>
      <c r="H29" s="95"/>
      <c r="I29" s="118"/>
      <c r="J29" s="97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s="153" customFormat="1" ht="15">
      <c r="A30" s="90"/>
      <c r="B30" s="90"/>
      <c r="C30" s="109"/>
      <c r="D30" s="109"/>
      <c r="E30" s="121"/>
      <c r="F30" s="164"/>
      <c r="G30" s="94"/>
      <c r="H30" s="95"/>
      <c r="I30" s="118"/>
      <c r="J30" s="97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s="153" customFormat="1" ht="15">
      <c r="A31" s="90"/>
      <c r="B31" s="90"/>
      <c r="C31" s="123"/>
      <c r="D31" s="109"/>
      <c r="E31" s="121"/>
      <c r="F31" s="164"/>
      <c r="G31" s="94"/>
      <c r="H31" s="95"/>
      <c r="I31" s="118"/>
      <c r="J31" s="97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s="153" customFormat="1" ht="15">
      <c r="A32" s="90"/>
      <c r="B32" s="90"/>
      <c r="C32" s="114"/>
      <c r="D32" s="117"/>
      <c r="E32" s="92"/>
      <c r="F32" s="151"/>
      <c r="G32" s="94"/>
      <c r="H32" s="95"/>
      <c r="I32" s="118"/>
      <c r="J32" s="97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s="153" customFormat="1" ht="15">
      <c r="A33" s="90"/>
      <c r="B33" s="99"/>
      <c r="C33" s="109"/>
      <c r="D33" s="117"/>
      <c r="E33" s="92"/>
      <c r="F33" s="151"/>
      <c r="G33" s="94"/>
      <c r="H33" s="95"/>
      <c r="I33" s="118"/>
      <c r="J33" s="97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s="153" customFormat="1" ht="15">
      <c r="A34" s="90"/>
      <c r="B34" s="90"/>
      <c r="C34" s="120"/>
      <c r="D34" s="117"/>
      <c r="E34" s="92"/>
      <c r="F34" s="151"/>
      <c r="G34" s="94"/>
      <c r="H34" s="95"/>
      <c r="I34" s="118"/>
      <c r="J34" s="97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s="153" customFormat="1" ht="15">
      <c r="A35" s="90"/>
      <c r="B35" s="90"/>
      <c r="C35" s="109"/>
      <c r="D35" s="109"/>
      <c r="E35" s="121"/>
      <c r="F35" s="164"/>
      <c r="G35" s="94"/>
      <c r="H35" s="95"/>
      <c r="I35" s="118"/>
      <c r="J35" s="97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s="153" customFormat="1" ht="15">
      <c r="A36" s="90"/>
      <c r="B36" s="90"/>
      <c r="C36" s="109"/>
      <c r="D36" s="109"/>
      <c r="E36" s="121"/>
      <c r="F36" s="164"/>
      <c r="G36" s="94"/>
      <c r="H36" s="95"/>
      <c r="I36" s="118"/>
      <c r="J36" s="97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s="153" customFormat="1" ht="15">
      <c r="A37" s="90"/>
      <c r="B37" s="90"/>
      <c r="C37" s="123"/>
      <c r="D37" s="109"/>
      <c r="E37" s="121"/>
      <c r="F37" s="164"/>
      <c r="G37" s="94"/>
      <c r="H37" s="95"/>
      <c r="I37" s="118"/>
      <c r="J37" s="97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s="153" customFormat="1" ht="15">
      <c r="A38" s="90"/>
      <c r="B38" s="90"/>
      <c r="C38" s="114"/>
      <c r="D38" s="117"/>
      <c r="E38" s="92"/>
      <c r="F38" s="151"/>
      <c r="G38" s="94"/>
      <c r="H38" s="95"/>
      <c r="I38" s="115"/>
      <c r="J38" s="97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s="153" customFormat="1" ht="15">
      <c r="A39" s="90"/>
      <c r="B39" s="99"/>
      <c r="C39" s="109"/>
      <c r="D39" s="117"/>
      <c r="E39" s="92"/>
      <c r="F39" s="151"/>
      <c r="G39" s="94"/>
      <c r="H39" s="95"/>
      <c r="I39" s="118"/>
      <c r="J39" s="97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s="153" customFormat="1" ht="15">
      <c r="A40" s="90"/>
      <c r="B40" s="90"/>
      <c r="C40" s="120"/>
      <c r="D40" s="117"/>
      <c r="E40" s="92"/>
      <c r="F40" s="151"/>
      <c r="G40" s="94"/>
      <c r="H40" s="95"/>
      <c r="I40" s="118"/>
      <c r="J40" s="97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s="153" customFormat="1" ht="15">
      <c r="A41" s="90"/>
      <c r="B41" s="90"/>
      <c r="C41" s="120"/>
      <c r="D41" s="117"/>
      <c r="E41" s="92"/>
      <c r="F41" s="151"/>
      <c r="G41" s="94"/>
      <c r="H41" s="95"/>
      <c r="I41" s="118"/>
      <c r="J41" s="97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s="153" customFormat="1" ht="15">
      <c r="A42" s="90"/>
      <c r="B42" s="90"/>
      <c r="C42" s="120"/>
      <c r="D42" s="117"/>
      <c r="E42" s="92"/>
      <c r="F42" s="151"/>
      <c r="G42" s="94"/>
      <c r="H42" s="95"/>
      <c r="I42" s="118"/>
      <c r="J42" s="97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s="153" customFormat="1" ht="15">
      <c r="A43" s="90"/>
      <c r="B43" s="90"/>
      <c r="C43" s="109"/>
      <c r="D43" s="109"/>
      <c r="E43" s="121"/>
      <c r="F43" s="164"/>
      <c r="G43" s="94"/>
      <c r="H43" s="95"/>
      <c r="I43" s="118"/>
      <c r="J43" s="97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s="153" customFormat="1" ht="15">
      <c r="A44" s="90"/>
      <c r="B44" s="90"/>
      <c r="C44" s="109"/>
      <c r="D44" s="109"/>
      <c r="E44" s="121"/>
      <c r="F44" s="164"/>
      <c r="G44" s="94"/>
      <c r="H44" s="95"/>
      <c r="I44" s="118"/>
      <c r="J44" s="97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s="153" customFormat="1" ht="15">
      <c r="A45" s="90"/>
      <c r="B45" s="90"/>
      <c r="C45" s="114"/>
      <c r="D45" s="117"/>
      <c r="E45" s="92"/>
      <c r="F45" s="151"/>
      <c r="G45" s="94"/>
      <c r="H45" s="95"/>
      <c r="I45" s="115"/>
      <c r="J45" s="97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s="153" customFormat="1" ht="15">
      <c r="A46" s="90"/>
      <c r="B46" s="99"/>
      <c r="C46" s="109"/>
      <c r="D46" s="119"/>
      <c r="E46" s="92"/>
      <c r="F46" s="151"/>
      <c r="G46" s="94"/>
      <c r="H46" s="95"/>
      <c r="I46" s="118"/>
      <c r="J46" s="97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s="153" customFormat="1" ht="15">
      <c r="A47" s="90"/>
      <c r="B47" s="90"/>
      <c r="C47" s="120"/>
      <c r="D47" s="124"/>
      <c r="E47" s="125"/>
      <c r="F47" s="151"/>
      <c r="G47" s="94"/>
      <c r="H47" s="95"/>
      <c r="I47" s="118"/>
      <c r="J47" s="97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s="153" customFormat="1" ht="15">
      <c r="A48" s="90"/>
      <c r="B48" s="90"/>
      <c r="C48" s="109"/>
      <c r="D48" s="109"/>
      <c r="E48" s="121"/>
      <c r="F48" s="164"/>
      <c r="G48" s="94"/>
      <c r="H48" s="95"/>
      <c r="I48" s="118"/>
      <c r="J48" s="97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s="153" customFormat="1" ht="15">
      <c r="A49" s="90"/>
      <c r="B49" s="90"/>
      <c r="C49" s="109"/>
      <c r="D49" s="109"/>
      <c r="E49" s="121"/>
      <c r="F49" s="164"/>
      <c r="G49" s="94"/>
      <c r="H49" s="95"/>
      <c r="I49" s="118"/>
      <c r="J49" s="97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s="153" customFormat="1" ht="15">
      <c r="A50" s="90"/>
      <c r="B50" s="90"/>
      <c r="C50" s="114"/>
      <c r="D50" s="117"/>
      <c r="E50" s="92"/>
      <c r="F50" s="151"/>
      <c r="G50" s="94"/>
      <c r="H50" s="95"/>
      <c r="I50" s="115"/>
      <c r="J50" s="97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s="165" customFormat="1" ht="15">
      <c r="A51" s="90"/>
      <c r="B51" s="90"/>
      <c r="C51" s="109"/>
      <c r="D51" s="117"/>
      <c r="E51" s="92"/>
      <c r="F51" s="151"/>
      <c r="G51" s="94"/>
      <c r="H51" s="95"/>
      <c r="I51" s="118"/>
      <c r="J51" s="126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s="165" customFormat="1" ht="15">
      <c r="A52" s="90"/>
      <c r="B52" s="90"/>
      <c r="C52" s="109"/>
      <c r="D52" s="117"/>
      <c r="E52" s="92"/>
      <c r="F52" s="151"/>
      <c r="G52" s="94"/>
      <c r="H52" s="95"/>
      <c r="I52" s="118"/>
      <c r="J52" s="126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s="165" customFormat="1" ht="15">
      <c r="A53" s="90"/>
      <c r="B53" s="90"/>
      <c r="C53" s="109"/>
      <c r="D53" s="117"/>
      <c r="E53" s="92"/>
      <c r="F53" s="151"/>
      <c r="G53" s="94"/>
      <c r="H53" s="95"/>
      <c r="I53" s="118"/>
      <c r="J53" s="126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s="165" customFormat="1" ht="15">
      <c r="A54" s="90"/>
      <c r="B54" s="90"/>
      <c r="C54" s="109"/>
      <c r="D54" s="128"/>
      <c r="E54" s="102"/>
      <c r="F54" s="151"/>
      <c r="G54" s="94"/>
      <c r="H54" s="95"/>
      <c r="I54" s="118"/>
      <c r="J54" s="126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s="165" customFormat="1" ht="15">
      <c r="A55" s="90"/>
      <c r="B55" s="90"/>
      <c r="C55" s="109"/>
      <c r="D55" s="128"/>
      <c r="E55" s="102"/>
      <c r="F55" s="151"/>
      <c r="G55" s="94"/>
      <c r="H55" s="95"/>
      <c r="I55" s="118"/>
      <c r="J55" s="126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s="165" customFormat="1" ht="15">
      <c r="A56" s="90"/>
      <c r="B56" s="90"/>
      <c r="C56" s="109"/>
      <c r="D56" s="128"/>
      <c r="E56" s="102"/>
      <c r="F56" s="151"/>
      <c r="G56" s="94"/>
      <c r="H56" s="95"/>
      <c r="I56" s="118"/>
      <c r="J56" s="126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s="165" customFormat="1" ht="15">
      <c r="A57" s="90"/>
      <c r="B57" s="90"/>
      <c r="C57" s="109"/>
      <c r="D57" s="128"/>
      <c r="E57" s="102"/>
      <c r="F57" s="151"/>
      <c r="G57" s="94"/>
      <c r="H57" s="95"/>
      <c r="I57" s="118"/>
      <c r="J57" s="126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s="165" customFormat="1" ht="13.5">
      <c r="A58" s="129"/>
      <c r="B58" s="129"/>
      <c r="C58" s="129" t="s">
        <v>495</v>
      </c>
      <c r="D58" s="130"/>
      <c r="E58" s="131"/>
      <c r="F58" s="166">
        <f>SUM(F6:F57)</f>
        <v>210</v>
      </c>
      <c r="G58" s="176"/>
      <c r="H58" s="166">
        <f>SUM(H6:H57)</f>
        <v>575.29999999999995</v>
      </c>
      <c r="I58" s="166">
        <f>SUM(I6:I57)</f>
        <v>57.53</v>
      </c>
      <c r="J58" s="126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</sheetData>
  <mergeCells count="12">
    <mergeCell ref="I4:I5"/>
    <mergeCell ref="J4:J5"/>
    <mergeCell ref="A2:I2"/>
    <mergeCell ref="A3:F3"/>
    <mergeCell ref="A4:A5"/>
    <mergeCell ref="B4:B5"/>
    <mergeCell ref="C4:C5"/>
    <mergeCell ref="D4:D5"/>
    <mergeCell ref="E4:E5"/>
    <mergeCell ref="F4:F5"/>
    <mergeCell ref="G4:G5"/>
    <mergeCell ref="H4:H5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9" workbookViewId="0">
      <selection sqref="A1:XFD1048576"/>
    </sheetView>
  </sheetViews>
  <sheetFormatPr defaultRowHeight="13.5"/>
  <cols>
    <col min="1" max="1" width="7.25" style="16" customWidth="1"/>
    <col min="2" max="2" width="19.5" style="16" customWidth="1"/>
    <col min="3" max="3" width="3" style="16" customWidth="1"/>
    <col min="4" max="4" width="28.375" style="16" customWidth="1"/>
    <col min="5" max="5" width="1.375" style="16" customWidth="1"/>
    <col min="6" max="6" width="8.875" style="16" customWidth="1"/>
    <col min="7" max="7" width="16.5" style="16" customWidth="1"/>
    <col min="8" max="256" width="8" style="16" customWidth="1"/>
    <col min="257" max="257" width="7.25" style="16" customWidth="1"/>
    <col min="258" max="258" width="19.5" style="16" customWidth="1"/>
    <col min="259" max="259" width="3" style="16" customWidth="1"/>
    <col min="260" max="260" width="28.375" style="16" customWidth="1"/>
    <col min="261" max="261" width="1.375" style="16" customWidth="1"/>
    <col min="262" max="262" width="8.875" style="16" customWidth="1"/>
    <col min="263" max="263" width="16.5" style="16" customWidth="1"/>
    <col min="264" max="512" width="8" style="16" customWidth="1"/>
    <col min="513" max="513" width="7.25" style="16" customWidth="1"/>
    <col min="514" max="514" width="19.5" style="16" customWidth="1"/>
    <col min="515" max="515" width="3" style="16" customWidth="1"/>
    <col min="516" max="516" width="28.375" style="16" customWidth="1"/>
    <col min="517" max="517" width="1.375" style="16" customWidth="1"/>
    <col min="518" max="518" width="8.875" style="16" customWidth="1"/>
    <col min="519" max="519" width="16.5" style="16" customWidth="1"/>
    <col min="520" max="768" width="8" style="16" customWidth="1"/>
    <col min="769" max="769" width="7.25" style="16" customWidth="1"/>
    <col min="770" max="770" width="19.5" style="16" customWidth="1"/>
    <col min="771" max="771" width="3" style="16" customWidth="1"/>
    <col min="772" max="772" width="28.375" style="16" customWidth="1"/>
    <col min="773" max="773" width="1.375" style="16" customWidth="1"/>
    <col min="774" max="774" width="8.875" style="16" customWidth="1"/>
    <col min="775" max="775" width="16.5" style="16" customWidth="1"/>
    <col min="776" max="1024" width="8" style="16" customWidth="1"/>
    <col min="1025" max="1025" width="7.25" style="16" customWidth="1"/>
    <col min="1026" max="1026" width="19.5" style="16" customWidth="1"/>
    <col min="1027" max="1027" width="3" style="16" customWidth="1"/>
    <col min="1028" max="1028" width="28.375" style="16" customWidth="1"/>
    <col min="1029" max="1029" width="1.375" style="16" customWidth="1"/>
    <col min="1030" max="1030" width="8.875" style="16" customWidth="1"/>
    <col min="1031" max="1031" width="16.5" style="16" customWidth="1"/>
    <col min="1032" max="1280" width="8" style="16" customWidth="1"/>
    <col min="1281" max="1281" width="7.25" style="16" customWidth="1"/>
    <col min="1282" max="1282" width="19.5" style="16" customWidth="1"/>
    <col min="1283" max="1283" width="3" style="16" customWidth="1"/>
    <col min="1284" max="1284" width="28.375" style="16" customWidth="1"/>
    <col min="1285" max="1285" width="1.375" style="16" customWidth="1"/>
    <col min="1286" max="1286" width="8.875" style="16" customWidth="1"/>
    <col min="1287" max="1287" width="16.5" style="16" customWidth="1"/>
    <col min="1288" max="1536" width="8" style="16" customWidth="1"/>
    <col min="1537" max="1537" width="7.25" style="16" customWidth="1"/>
    <col min="1538" max="1538" width="19.5" style="16" customWidth="1"/>
    <col min="1539" max="1539" width="3" style="16" customWidth="1"/>
    <col min="1540" max="1540" width="28.375" style="16" customWidth="1"/>
    <col min="1541" max="1541" width="1.375" style="16" customWidth="1"/>
    <col min="1542" max="1542" width="8.875" style="16" customWidth="1"/>
    <col min="1543" max="1543" width="16.5" style="16" customWidth="1"/>
    <col min="1544" max="1792" width="8" style="16" customWidth="1"/>
    <col min="1793" max="1793" width="7.25" style="16" customWidth="1"/>
    <col min="1794" max="1794" width="19.5" style="16" customWidth="1"/>
    <col min="1795" max="1795" width="3" style="16" customWidth="1"/>
    <col min="1796" max="1796" width="28.375" style="16" customWidth="1"/>
    <col min="1797" max="1797" width="1.375" style="16" customWidth="1"/>
    <col min="1798" max="1798" width="8.875" style="16" customWidth="1"/>
    <col min="1799" max="1799" width="16.5" style="16" customWidth="1"/>
    <col min="1800" max="2048" width="8" style="16" customWidth="1"/>
    <col min="2049" max="2049" width="7.25" style="16" customWidth="1"/>
    <col min="2050" max="2050" width="19.5" style="16" customWidth="1"/>
    <col min="2051" max="2051" width="3" style="16" customWidth="1"/>
    <col min="2052" max="2052" width="28.375" style="16" customWidth="1"/>
    <col min="2053" max="2053" width="1.375" style="16" customWidth="1"/>
    <col min="2054" max="2054" width="8.875" style="16" customWidth="1"/>
    <col min="2055" max="2055" width="16.5" style="16" customWidth="1"/>
    <col min="2056" max="2304" width="8" style="16" customWidth="1"/>
    <col min="2305" max="2305" width="7.25" style="16" customWidth="1"/>
    <col min="2306" max="2306" width="19.5" style="16" customWidth="1"/>
    <col min="2307" max="2307" width="3" style="16" customWidth="1"/>
    <col min="2308" max="2308" width="28.375" style="16" customWidth="1"/>
    <col min="2309" max="2309" width="1.375" style="16" customWidth="1"/>
    <col min="2310" max="2310" width="8.875" style="16" customWidth="1"/>
    <col min="2311" max="2311" width="16.5" style="16" customWidth="1"/>
    <col min="2312" max="2560" width="8" style="16" customWidth="1"/>
    <col min="2561" max="2561" width="7.25" style="16" customWidth="1"/>
    <col min="2562" max="2562" width="19.5" style="16" customWidth="1"/>
    <col min="2563" max="2563" width="3" style="16" customWidth="1"/>
    <col min="2564" max="2564" width="28.375" style="16" customWidth="1"/>
    <col min="2565" max="2565" width="1.375" style="16" customWidth="1"/>
    <col min="2566" max="2566" width="8.875" style="16" customWidth="1"/>
    <col min="2567" max="2567" width="16.5" style="16" customWidth="1"/>
    <col min="2568" max="2816" width="8" style="16" customWidth="1"/>
    <col min="2817" max="2817" width="7.25" style="16" customWidth="1"/>
    <col min="2818" max="2818" width="19.5" style="16" customWidth="1"/>
    <col min="2819" max="2819" width="3" style="16" customWidth="1"/>
    <col min="2820" max="2820" width="28.375" style="16" customWidth="1"/>
    <col min="2821" max="2821" width="1.375" style="16" customWidth="1"/>
    <col min="2822" max="2822" width="8.875" style="16" customWidth="1"/>
    <col min="2823" max="2823" width="16.5" style="16" customWidth="1"/>
    <col min="2824" max="3072" width="8" style="16" customWidth="1"/>
    <col min="3073" max="3073" width="7.25" style="16" customWidth="1"/>
    <col min="3074" max="3074" width="19.5" style="16" customWidth="1"/>
    <col min="3075" max="3075" width="3" style="16" customWidth="1"/>
    <col min="3076" max="3076" width="28.375" style="16" customWidth="1"/>
    <col min="3077" max="3077" width="1.375" style="16" customWidth="1"/>
    <col min="3078" max="3078" width="8.875" style="16" customWidth="1"/>
    <col min="3079" max="3079" width="16.5" style="16" customWidth="1"/>
    <col min="3080" max="3328" width="8" style="16" customWidth="1"/>
    <col min="3329" max="3329" width="7.25" style="16" customWidth="1"/>
    <col min="3330" max="3330" width="19.5" style="16" customWidth="1"/>
    <col min="3331" max="3331" width="3" style="16" customWidth="1"/>
    <col min="3332" max="3332" width="28.375" style="16" customWidth="1"/>
    <col min="3333" max="3333" width="1.375" style="16" customWidth="1"/>
    <col min="3334" max="3334" width="8.875" style="16" customWidth="1"/>
    <col min="3335" max="3335" width="16.5" style="16" customWidth="1"/>
    <col min="3336" max="3584" width="8" style="16" customWidth="1"/>
    <col min="3585" max="3585" width="7.25" style="16" customWidth="1"/>
    <col min="3586" max="3586" width="19.5" style="16" customWidth="1"/>
    <col min="3587" max="3587" width="3" style="16" customWidth="1"/>
    <col min="3588" max="3588" width="28.375" style="16" customWidth="1"/>
    <col min="3589" max="3589" width="1.375" style="16" customWidth="1"/>
    <col min="3590" max="3590" width="8.875" style="16" customWidth="1"/>
    <col min="3591" max="3591" width="16.5" style="16" customWidth="1"/>
    <col min="3592" max="3840" width="8" style="16" customWidth="1"/>
    <col min="3841" max="3841" width="7.25" style="16" customWidth="1"/>
    <col min="3842" max="3842" width="19.5" style="16" customWidth="1"/>
    <col min="3843" max="3843" width="3" style="16" customWidth="1"/>
    <col min="3844" max="3844" width="28.375" style="16" customWidth="1"/>
    <col min="3845" max="3845" width="1.375" style="16" customWidth="1"/>
    <col min="3846" max="3846" width="8.875" style="16" customWidth="1"/>
    <col min="3847" max="3847" width="16.5" style="16" customWidth="1"/>
    <col min="3848" max="4096" width="8" style="16" customWidth="1"/>
    <col min="4097" max="4097" width="7.25" style="16" customWidth="1"/>
    <col min="4098" max="4098" width="19.5" style="16" customWidth="1"/>
    <col min="4099" max="4099" width="3" style="16" customWidth="1"/>
    <col min="4100" max="4100" width="28.375" style="16" customWidth="1"/>
    <col min="4101" max="4101" width="1.375" style="16" customWidth="1"/>
    <col min="4102" max="4102" width="8.875" style="16" customWidth="1"/>
    <col min="4103" max="4103" width="16.5" style="16" customWidth="1"/>
    <col min="4104" max="4352" width="8" style="16" customWidth="1"/>
    <col min="4353" max="4353" width="7.25" style="16" customWidth="1"/>
    <col min="4354" max="4354" width="19.5" style="16" customWidth="1"/>
    <col min="4355" max="4355" width="3" style="16" customWidth="1"/>
    <col min="4356" max="4356" width="28.375" style="16" customWidth="1"/>
    <col min="4357" max="4357" width="1.375" style="16" customWidth="1"/>
    <col min="4358" max="4358" width="8.875" style="16" customWidth="1"/>
    <col min="4359" max="4359" width="16.5" style="16" customWidth="1"/>
    <col min="4360" max="4608" width="8" style="16" customWidth="1"/>
    <col min="4609" max="4609" width="7.25" style="16" customWidth="1"/>
    <col min="4610" max="4610" width="19.5" style="16" customWidth="1"/>
    <col min="4611" max="4611" width="3" style="16" customWidth="1"/>
    <col min="4612" max="4612" width="28.375" style="16" customWidth="1"/>
    <col min="4613" max="4613" width="1.375" style="16" customWidth="1"/>
    <col min="4614" max="4614" width="8.875" style="16" customWidth="1"/>
    <col min="4615" max="4615" width="16.5" style="16" customWidth="1"/>
    <col min="4616" max="4864" width="8" style="16" customWidth="1"/>
    <col min="4865" max="4865" width="7.25" style="16" customWidth="1"/>
    <col min="4866" max="4866" width="19.5" style="16" customWidth="1"/>
    <col min="4867" max="4867" width="3" style="16" customWidth="1"/>
    <col min="4868" max="4868" width="28.375" style="16" customWidth="1"/>
    <col min="4869" max="4869" width="1.375" style="16" customWidth="1"/>
    <col min="4870" max="4870" width="8.875" style="16" customWidth="1"/>
    <col min="4871" max="4871" width="16.5" style="16" customWidth="1"/>
    <col min="4872" max="5120" width="8" style="16" customWidth="1"/>
    <col min="5121" max="5121" width="7.25" style="16" customWidth="1"/>
    <col min="5122" max="5122" width="19.5" style="16" customWidth="1"/>
    <col min="5123" max="5123" width="3" style="16" customWidth="1"/>
    <col min="5124" max="5124" width="28.375" style="16" customWidth="1"/>
    <col min="5125" max="5125" width="1.375" style="16" customWidth="1"/>
    <col min="5126" max="5126" width="8.875" style="16" customWidth="1"/>
    <col min="5127" max="5127" width="16.5" style="16" customWidth="1"/>
    <col min="5128" max="5376" width="8" style="16" customWidth="1"/>
    <col min="5377" max="5377" width="7.25" style="16" customWidth="1"/>
    <col min="5378" max="5378" width="19.5" style="16" customWidth="1"/>
    <col min="5379" max="5379" width="3" style="16" customWidth="1"/>
    <col min="5380" max="5380" width="28.375" style="16" customWidth="1"/>
    <col min="5381" max="5381" width="1.375" style="16" customWidth="1"/>
    <col min="5382" max="5382" width="8.875" style="16" customWidth="1"/>
    <col min="5383" max="5383" width="16.5" style="16" customWidth="1"/>
    <col min="5384" max="5632" width="8" style="16" customWidth="1"/>
    <col min="5633" max="5633" width="7.25" style="16" customWidth="1"/>
    <col min="5634" max="5634" width="19.5" style="16" customWidth="1"/>
    <col min="5635" max="5635" width="3" style="16" customWidth="1"/>
    <col min="5636" max="5636" width="28.375" style="16" customWidth="1"/>
    <col min="5637" max="5637" width="1.375" style="16" customWidth="1"/>
    <col min="5638" max="5638" width="8.875" style="16" customWidth="1"/>
    <col min="5639" max="5639" width="16.5" style="16" customWidth="1"/>
    <col min="5640" max="5888" width="8" style="16" customWidth="1"/>
    <col min="5889" max="5889" width="7.25" style="16" customWidth="1"/>
    <col min="5890" max="5890" width="19.5" style="16" customWidth="1"/>
    <col min="5891" max="5891" width="3" style="16" customWidth="1"/>
    <col min="5892" max="5892" width="28.375" style="16" customWidth="1"/>
    <col min="5893" max="5893" width="1.375" style="16" customWidth="1"/>
    <col min="5894" max="5894" width="8.875" style="16" customWidth="1"/>
    <col min="5895" max="5895" width="16.5" style="16" customWidth="1"/>
    <col min="5896" max="6144" width="8" style="16" customWidth="1"/>
    <col min="6145" max="6145" width="7.25" style="16" customWidth="1"/>
    <col min="6146" max="6146" width="19.5" style="16" customWidth="1"/>
    <col min="6147" max="6147" width="3" style="16" customWidth="1"/>
    <col min="6148" max="6148" width="28.375" style="16" customWidth="1"/>
    <col min="6149" max="6149" width="1.375" style="16" customWidth="1"/>
    <col min="6150" max="6150" width="8.875" style="16" customWidth="1"/>
    <col min="6151" max="6151" width="16.5" style="16" customWidth="1"/>
    <col min="6152" max="6400" width="8" style="16" customWidth="1"/>
    <col min="6401" max="6401" width="7.25" style="16" customWidth="1"/>
    <col min="6402" max="6402" width="19.5" style="16" customWidth="1"/>
    <col min="6403" max="6403" width="3" style="16" customWidth="1"/>
    <col min="6404" max="6404" width="28.375" style="16" customWidth="1"/>
    <col min="6405" max="6405" width="1.375" style="16" customWidth="1"/>
    <col min="6406" max="6406" width="8.875" style="16" customWidth="1"/>
    <col min="6407" max="6407" width="16.5" style="16" customWidth="1"/>
    <col min="6408" max="6656" width="8" style="16" customWidth="1"/>
    <col min="6657" max="6657" width="7.25" style="16" customWidth="1"/>
    <col min="6658" max="6658" width="19.5" style="16" customWidth="1"/>
    <col min="6659" max="6659" width="3" style="16" customWidth="1"/>
    <col min="6660" max="6660" width="28.375" style="16" customWidth="1"/>
    <col min="6661" max="6661" width="1.375" style="16" customWidth="1"/>
    <col min="6662" max="6662" width="8.875" style="16" customWidth="1"/>
    <col min="6663" max="6663" width="16.5" style="16" customWidth="1"/>
    <col min="6664" max="6912" width="8" style="16" customWidth="1"/>
    <col min="6913" max="6913" width="7.25" style="16" customWidth="1"/>
    <col min="6914" max="6914" width="19.5" style="16" customWidth="1"/>
    <col min="6915" max="6915" width="3" style="16" customWidth="1"/>
    <col min="6916" max="6916" width="28.375" style="16" customWidth="1"/>
    <col min="6917" max="6917" width="1.375" style="16" customWidth="1"/>
    <col min="6918" max="6918" width="8.875" style="16" customWidth="1"/>
    <col min="6919" max="6919" width="16.5" style="16" customWidth="1"/>
    <col min="6920" max="7168" width="8" style="16" customWidth="1"/>
    <col min="7169" max="7169" width="7.25" style="16" customWidth="1"/>
    <col min="7170" max="7170" width="19.5" style="16" customWidth="1"/>
    <col min="7171" max="7171" width="3" style="16" customWidth="1"/>
    <col min="7172" max="7172" width="28.375" style="16" customWidth="1"/>
    <col min="7173" max="7173" width="1.375" style="16" customWidth="1"/>
    <col min="7174" max="7174" width="8.875" style="16" customWidth="1"/>
    <col min="7175" max="7175" width="16.5" style="16" customWidth="1"/>
    <col min="7176" max="7424" width="8" style="16" customWidth="1"/>
    <col min="7425" max="7425" width="7.25" style="16" customWidth="1"/>
    <col min="7426" max="7426" width="19.5" style="16" customWidth="1"/>
    <col min="7427" max="7427" width="3" style="16" customWidth="1"/>
    <col min="7428" max="7428" width="28.375" style="16" customWidth="1"/>
    <col min="7429" max="7429" width="1.375" style="16" customWidth="1"/>
    <col min="7430" max="7430" width="8.875" style="16" customWidth="1"/>
    <col min="7431" max="7431" width="16.5" style="16" customWidth="1"/>
    <col min="7432" max="7680" width="8" style="16" customWidth="1"/>
    <col min="7681" max="7681" width="7.25" style="16" customWidth="1"/>
    <col min="7682" max="7682" width="19.5" style="16" customWidth="1"/>
    <col min="7683" max="7683" width="3" style="16" customWidth="1"/>
    <col min="7684" max="7684" width="28.375" style="16" customWidth="1"/>
    <col min="7685" max="7685" width="1.375" style="16" customWidth="1"/>
    <col min="7686" max="7686" width="8.875" style="16" customWidth="1"/>
    <col min="7687" max="7687" width="16.5" style="16" customWidth="1"/>
    <col min="7688" max="7936" width="8" style="16" customWidth="1"/>
    <col min="7937" max="7937" width="7.25" style="16" customWidth="1"/>
    <col min="7938" max="7938" width="19.5" style="16" customWidth="1"/>
    <col min="7939" max="7939" width="3" style="16" customWidth="1"/>
    <col min="7940" max="7940" width="28.375" style="16" customWidth="1"/>
    <col min="7941" max="7941" width="1.375" style="16" customWidth="1"/>
    <col min="7942" max="7942" width="8.875" style="16" customWidth="1"/>
    <col min="7943" max="7943" width="16.5" style="16" customWidth="1"/>
    <col min="7944" max="8192" width="8" style="16" customWidth="1"/>
    <col min="8193" max="8193" width="7.25" style="16" customWidth="1"/>
    <col min="8194" max="8194" width="19.5" style="16" customWidth="1"/>
    <col min="8195" max="8195" width="3" style="16" customWidth="1"/>
    <col min="8196" max="8196" width="28.375" style="16" customWidth="1"/>
    <col min="8197" max="8197" width="1.375" style="16" customWidth="1"/>
    <col min="8198" max="8198" width="8.875" style="16" customWidth="1"/>
    <col min="8199" max="8199" width="16.5" style="16" customWidth="1"/>
    <col min="8200" max="8448" width="8" style="16" customWidth="1"/>
    <col min="8449" max="8449" width="7.25" style="16" customWidth="1"/>
    <col min="8450" max="8450" width="19.5" style="16" customWidth="1"/>
    <col min="8451" max="8451" width="3" style="16" customWidth="1"/>
    <col min="8452" max="8452" width="28.375" style="16" customWidth="1"/>
    <col min="8453" max="8453" width="1.375" style="16" customWidth="1"/>
    <col min="8454" max="8454" width="8.875" style="16" customWidth="1"/>
    <col min="8455" max="8455" width="16.5" style="16" customWidth="1"/>
    <col min="8456" max="8704" width="8" style="16" customWidth="1"/>
    <col min="8705" max="8705" width="7.25" style="16" customWidth="1"/>
    <col min="8706" max="8706" width="19.5" style="16" customWidth="1"/>
    <col min="8707" max="8707" width="3" style="16" customWidth="1"/>
    <col min="8708" max="8708" width="28.375" style="16" customWidth="1"/>
    <col min="8709" max="8709" width="1.375" style="16" customWidth="1"/>
    <col min="8710" max="8710" width="8.875" style="16" customWidth="1"/>
    <col min="8711" max="8711" width="16.5" style="16" customWidth="1"/>
    <col min="8712" max="8960" width="8" style="16" customWidth="1"/>
    <col min="8961" max="8961" width="7.25" style="16" customWidth="1"/>
    <col min="8962" max="8962" width="19.5" style="16" customWidth="1"/>
    <col min="8963" max="8963" width="3" style="16" customWidth="1"/>
    <col min="8964" max="8964" width="28.375" style="16" customWidth="1"/>
    <col min="8965" max="8965" width="1.375" style="16" customWidth="1"/>
    <col min="8966" max="8966" width="8.875" style="16" customWidth="1"/>
    <col min="8967" max="8967" width="16.5" style="16" customWidth="1"/>
    <col min="8968" max="9216" width="8" style="16" customWidth="1"/>
    <col min="9217" max="9217" width="7.25" style="16" customWidth="1"/>
    <col min="9218" max="9218" width="19.5" style="16" customWidth="1"/>
    <col min="9219" max="9219" width="3" style="16" customWidth="1"/>
    <col min="9220" max="9220" width="28.375" style="16" customWidth="1"/>
    <col min="9221" max="9221" width="1.375" style="16" customWidth="1"/>
    <col min="9222" max="9222" width="8.875" style="16" customWidth="1"/>
    <col min="9223" max="9223" width="16.5" style="16" customWidth="1"/>
    <col min="9224" max="9472" width="8" style="16" customWidth="1"/>
    <col min="9473" max="9473" width="7.25" style="16" customWidth="1"/>
    <col min="9474" max="9474" width="19.5" style="16" customWidth="1"/>
    <col min="9475" max="9475" width="3" style="16" customWidth="1"/>
    <col min="9476" max="9476" width="28.375" style="16" customWidth="1"/>
    <col min="9477" max="9477" width="1.375" style="16" customWidth="1"/>
    <col min="9478" max="9478" width="8.875" style="16" customWidth="1"/>
    <col min="9479" max="9479" width="16.5" style="16" customWidth="1"/>
    <col min="9480" max="9728" width="8" style="16" customWidth="1"/>
    <col min="9729" max="9729" width="7.25" style="16" customWidth="1"/>
    <col min="9730" max="9730" width="19.5" style="16" customWidth="1"/>
    <col min="9731" max="9731" width="3" style="16" customWidth="1"/>
    <col min="9732" max="9732" width="28.375" style="16" customWidth="1"/>
    <col min="9733" max="9733" width="1.375" style="16" customWidth="1"/>
    <col min="9734" max="9734" width="8.875" style="16" customWidth="1"/>
    <col min="9735" max="9735" width="16.5" style="16" customWidth="1"/>
    <col min="9736" max="9984" width="8" style="16" customWidth="1"/>
    <col min="9985" max="9985" width="7.25" style="16" customWidth="1"/>
    <col min="9986" max="9986" width="19.5" style="16" customWidth="1"/>
    <col min="9987" max="9987" width="3" style="16" customWidth="1"/>
    <col min="9988" max="9988" width="28.375" style="16" customWidth="1"/>
    <col min="9989" max="9989" width="1.375" style="16" customWidth="1"/>
    <col min="9990" max="9990" width="8.875" style="16" customWidth="1"/>
    <col min="9991" max="9991" width="16.5" style="16" customWidth="1"/>
    <col min="9992" max="10240" width="8" style="16" customWidth="1"/>
    <col min="10241" max="10241" width="7.25" style="16" customWidth="1"/>
    <col min="10242" max="10242" width="19.5" style="16" customWidth="1"/>
    <col min="10243" max="10243" width="3" style="16" customWidth="1"/>
    <col min="10244" max="10244" width="28.375" style="16" customWidth="1"/>
    <col min="10245" max="10245" width="1.375" style="16" customWidth="1"/>
    <col min="10246" max="10246" width="8.875" style="16" customWidth="1"/>
    <col min="10247" max="10247" width="16.5" style="16" customWidth="1"/>
    <col min="10248" max="10496" width="8" style="16" customWidth="1"/>
    <col min="10497" max="10497" width="7.25" style="16" customWidth="1"/>
    <col min="10498" max="10498" width="19.5" style="16" customWidth="1"/>
    <col min="10499" max="10499" width="3" style="16" customWidth="1"/>
    <col min="10500" max="10500" width="28.375" style="16" customWidth="1"/>
    <col min="10501" max="10501" width="1.375" style="16" customWidth="1"/>
    <col min="10502" max="10502" width="8.875" style="16" customWidth="1"/>
    <col min="10503" max="10503" width="16.5" style="16" customWidth="1"/>
    <col min="10504" max="10752" width="8" style="16" customWidth="1"/>
    <col min="10753" max="10753" width="7.25" style="16" customWidth="1"/>
    <col min="10754" max="10754" width="19.5" style="16" customWidth="1"/>
    <col min="10755" max="10755" width="3" style="16" customWidth="1"/>
    <col min="10756" max="10756" width="28.375" style="16" customWidth="1"/>
    <col min="10757" max="10757" width="1.375" style="16" customWidth="1"/>
    <col min="10758" max="10758" width="8.875" style="16" customWidth="1"/>
    <col min="10759" max="10759" width="16.5" style="16" customWidth="1"/>
    <col min="10760" max="11008" width="8" style="16" customWidth="1"/>
    <col min="11009" max="11009" width="7.25" style="16" customWidth="1"/>
    <col min="11010" max="11010" width="19.5" style="16" customWidth="1"/>
    <col min="11011" max="11011" width="3" style="16" customWidth="1"/>
    <col min="11012" max="11012" width="28.375" style="16" customWidth="1"/>
    <col min="11013" max="11013" width="1.375" style="16" customWidth="1"/>
    <col min="11014" max="11014" width="8.875" style="16" customWidth="1"/>
    <col min="11015" max="11015" width="16.5" style="16" customWidth="1"/>
    <col min="11016" max="11264" width="8" style="16" customWidth="1"/>
    <col min="11265" max="11265" width="7.25" style="16" customWidth="1"/>
    <col min="11266" max="11266" width="19.5" style="16" customWidth="1"/>
    <col min="11267" max="11267" width="3" style="16" customWidth="1"/>
    <col min="11268" max="11268" width="28.375" style="16" customWidth="1"/>
    <col min="11269" max="11269" width="1.375" style="16" customWidth="1"/>
    <col min="11270" max="11270" width="8.875" style="16" customWidth="1"/>
    <col min="11271" max="11271" width="16.5" style="16" customWidth="1"/>
    <col min="11272" max="11520" width="8" style="16" customWidth="1"/>
    <col min="11521" max="11521" width="7.25" style="16" customWidth="1"/>
    <col min="11522" max="11522" width="19.5" style="16" customWidth="1"/>
    <col min="11523" max="11523" width="3" style="16" customWidth="1"/>
    <col min="11524" max="11524" width="28.375" style="16" customWidth="1"/>
    <col min="11525" max="11525" width="1.375" style="16" customWidth="1"/>
    <col min="11526" max="11526" width="8.875" style="16" customWidth="1"/>
    <col min="11527" max="11527" width="16.5" style="16" customWidth="1"/>
    <col min="11528" max="11776" width="8" style="16" customWidth="1"/>
    <col min="11777" max="11777" width="7.25" style="16" customWidth="1"/>
    <col min="11778" max="11778" width="19.5" style="16" customWidth="1"/>
    <col min="11779" max="11779" width="3" style="16" customWidth="1"/>
    <col min="11780" max="11780" width="28.375" style="16" customWidth="1"/>
    <col min="11781" max="11781" width="1.375" style="16" customWidth="1"/>
    <col min="11782" max="11782" width="8.875" style="16" customWidth="1"/>
    <col min="11783" max="11783" width="16.5" style="16" customWidth="1"/>
    <col min="11784" max="12032" width="8" style="16" customWidth="1"/>
    <col min="12033" max="12033" width="7.25" style="16" customWidth="1"/>
    <col min="12034" max="12034" width="19.5" style="16" customWidth="1"/>
    <col min="12035" max="12035" width="3" style="16" customWidth="1"/>
    <col min="12036" max="12036" width="28.375" style="16" customWidth="1"/>
    <col min="12037" max="12037" width="1.375" style="16" customWidth="1"/>
    <col min="12038" max="12038" width="8.875" style="16" customWidth="1"/>
    <col min="12039" max="12039" width="16.5" style="16" customWidth="1"/>
    <col min="12040" max="12288" width="8" style="16" customWidth="1"/>
    <col min="12289" max="12289" width="7.25" style="16" customWidth="1"/>
    <col min="12290" max="12290" width="19.5" style="16" customWidth="1"/>
    <col min="12291" max="12291" width="3" style="16" customWidth="1"/>
    <col min="12292" max="12292" width="28.375" style="16" customWidth="1"/>
    <col min="12293" max="12293" width="1.375" style="16" customWidth="1"/>
    <col min="12294" max="12294" width="8.875" style="16" customWidth="1"/>
    <col min="12295" max="12295" width="16.5" style="16" customWidth="1"/>
    <col min="12296" max="12544" width="8" style="16" customWidth="1"/>
    <col min="12545" max="12545" width="7.25" style="16" customWidth="1"/>
    <col min="12546" max="12546" width="19.5" style="16" customWidth="1"/>
    <col min="12547" max="12547" width="3" style="16" customWidth="1"/>
    <col min="12548" max="12548" width="28.375" style="16" customWidth="1"/>
    <col min="12549" max="12549" width="1.375" style="16" customWidth="1"/>
    <col min="12550" max="12550" width="8.875" style="16" customWidth="1"/>
    <col min="12551" max="12551" width="16.5" style="16" customWidth="1"/>
    <col min="12552" max="12800" width="8" style="16" customWidth="1"/>
    <col min="12801" max="12801" width="7.25" style="16" customWidth="1"/>
    <col min="12802" max="12802" width="19.5" style="16" customWidth="1"/>
    <col min="12803" max="12803" width="3" style="16" customWidth="1"/>
    <col min="12804" max="12804" width="28.375" style="16" customWidth="1"/>
    <col min="12805" max="12805" width="1.375" style="16" customWidth="1"/>
    <col min="12806" max="12806" width="8.875" style="16" customWidth="1"/>
    <col min="12807" max="12807" width="16.5" style="16" customWidth="1"/>
    <col min="12808" max="13056" width="8" style="16" customWidth="1"/>
    <col min="13057" max="13057" width="7.25" style="16" customWidth="1"/>
    <col min="13058" max="13058" width="19.5" style="16" customWidth="1"/>
    <col min="13059" max="13059" width="3" style="16" customWidth="1"/>
    <col min="13060" max="13060" width="28.375" style="16" customWidth="1"/>
    <col min="13061" max="13061" width="1.375" style="16" customWidth="1"/>
    <col min="13062" max="13062" width="8.875" style="16" customWidth="1"/>
    <col min="13063" max="13063" width="16.5" style="16" customWidth="1"/>
    <col min="13064" max="13312" width="8" style="16" customWidth="1"/>
    <col min="13313" max="13313" width="7.25" style="16" customWidth="1"/>
    <col min="13314" max="13314" width="19.5" style="16" customWidth="1"/>
    <col min="13315" max="13315" width="3" style="16" customWidth="1"/>
    <col min="13316" max="13316" width="28.375" style="16" customWidth="1"/>
    <col min="13317" max="13317" width="1.375" style="16" customWidth="1"/>
    <col min="13318" max="13318" width="8.875" style="16" customWidth="1"/>
    <col min="13319" max="13319" width="16.5" style="16" customWidth="1"/>
    <col min="13320" max="13568" width="8" style="16" customWidth="1"/>
    <col min="13569" max="13569" width="7.25" style="16" customWidth="1"/>
    <col min="13570" max="13570" width="19.5" style="16" customWidth="1"/>
    <col min="13571" max="13571" width="3" style="16" customWidth="1"/>
    <col min="13572" max="13572" width="28.375" style="16" customWidth="1"/>
    <col min="13573" max="13573" width="1.375" style="16" customWidth="1"/>
    <col min="13574" max="13574" width="8.875" style="16" customWidth="1"/>
    <col min="13575" max="13575" width="16.5" style="16" customWidth="1"/>
    <col min="13576" max="13824" width="8" style="16" customWidth="1"/>
    <col min="13825" max="13825" width="7.25" style="16" customWidth="1"/>
    <col min="13826" max="13826" width="19.5" style="16" customWidth="1"/>
    <col min="13827" max="13827" width="3" style="16" customWidth="1"/>
    <col min="13828" max="13828" width="28.375" style="16" customWidth="1"/>
    <col min="13829" max="13829" width="1.375" style="16" customWidth="1"/>
    <col min="13830" max="13830" width="8.875" style="16" customWidth="1"/>
    <col min="13831" max="13831" width="16.5" style="16" customWidth="1"/>
    <col min="13832" max="14080" width="8" style="16" customWidth="1"/>
    <col min="14081" max="14081" width="7.25" style="16" customWidth="1"/>
    <col min="14082" max="14082" width="19.5" style="16" customWidth="1"/>
    <col min="14083" max="14083" width="3" style="16" customWidth="1"/>
    <col min="14084" max="14084" width="28.375" style="16" customWidth="1"/>
    <col min="14085" max="14085" width="1.375" style="16" customWidth="1"/>
    <col min="14086" max="14086" width="8.875" style="16" customWidth="1"/>
    <col min="14087" max="14087" width="16.5" style="16" customWidth="1"/>
    <col min="14088" max="14336" width="8" style="16" customWidth="1"/>
    <col min="14337" max="14337" width="7.25" style="16" customWidth="1"/>
    <col min="14338" max="14338" width="19.5" style="16" customWidth="1"/>
    <col min="14339" max="14339" width="3" style="16" customWidth="1"/>
    <col min="14340" max="14340" width="28.375" style="16" customWidth="1"/>
    <col min="14341" max="14341" width="1.375" style="16" customWidth="1"/>
    <col min="14342" max="14342" width="8.875" style="16" customWidth="1"/>
    <col min="14343" max="14343" width="16.5" style="16" customWidth="1"/>
    <col min="14344" max="14592" width="8" style="16" customWidth="1"/>
    <col min="14593" max="14593" width="7.25" style="16" customWidth="1"/>
    <col min="14594" max="14594" width="19.5" style="16" customWidth="1"/>
    <col min="14595" max="14595" width="3" style="16" customWidth="1"/>
    <col min="14596" max="14596" width="28.375" style="16" customWidth="1"/>
    <col min="14597" max="14597" width="1.375" style="16" customWidth="1"/>
    <col min="14598" max="14598" width="8.875" style="16" customWidth="1"/>
    <col min="14599" max="14599" width="16.5" style="16" customWidth="1"/>
    <col min="14600" max="14848" width="8" style="16" customWidth="1"/>
    <col min="14849" max="14849" width="7.25" style="16" customWidth="1"/>
    <col min="14850" max="14850" width="19.5" style="16" customWidth="1"/>
    <col min="14851" max="14851" width="3" style="16" customWidth="1"/>
    <col min="14852" max="14852" width="28.375" style="16" customWidth="1"/>
    <col min="14853" max="14853" width="1.375" style="16" customWidth="1"/>
    <col min="14854" max="14854" width="8.875" style="16" customWidth="1"/>
    <col min="14855" max="14855" width="16.5" style="16" customWidth="1"/>
    <col min="14856" max="15104" width="8" style="16" customWidth="1"/>
    <col min="15105" max="15105" width="7.25" style="16" customWidth="1"/>
    <col min="15106" max="15106" width="19.5" style="16" customWidth="1"/>
    <col min="15107" max="15107" width="3" style="16" customWidth="1"/>
    <col min="15108" max="15108" width="28.375" style="16" customWidth="1"/>
    <col min="15109" max="15109" width="1.375" style="16" customWidth="1"/>
    <col min="15110" max="15110" width="8.875" style="16" customWidth="1"/>
    <col min="15111" max="15111" width="16.5" style="16" customWidth="1"/>
    <col min="15112" max="15360" width="8" style="16" customWidth="1"/>
    <col min="15361" max="15361" width="7.25" style="16" customWidth="1"/>
    <col min="15362" max="15362" width="19.5" style="16" customWidth="1"/>
    <col min="15363" max="15363" width="3" style="16" customWidth="1"/>
    <col min="15364" max="15364" width="28.375" style="16" customWidth="1"/>
    <col min="15365" max="15365" width="1.375" style="16" customWidth="1"/>
    <col min="15366" max="15366" width="8.875" style="16" customWidth="1"/>
    <col min="15367" max="15367" width="16.5" style="16" customWidth="1"/>
    <col min="15368" max="15616" width="8" style="16" customWidth="1"/>
    <col min="15617" max="15617" width="7.25" style="16" customWidth="1"/>
    <col min="15618" max="15618" width="19.5" style="16" customWidth="1"/>
    <col min="15619" max="15619" width="3" style="16" customWidth="1"/>
    <col min="15620" max="15620" width="28.375" style="16" customWidth="1"/>
    <col min="15621" max="15621" width="1.375" style="16" customWidth="1"/>
    <col min="15622" max="15622" width="8.875" style="16" customWidth="1"/>
    <col min="15623" max="15623" width="16.5" style="16" customWidth="1"/>
    <col min="15624" max="15872" width="8" style="16" customWidth="1"/>
    <col min="15873" max="15873" width="7.25" style="16" customWidth="1"/>
    <col min="15874" max="15874" width="19.5" style="16" customWidth="1"/>
    <col min="15875" max="15875" width="3" style="16" customWidth="1"/>
    <col min="15876" max="15876" width="28.375" style="16" customWidth="1"/>
    <col min="15877" max="15877" width="1.375" style="16" customWidth="1"/>
    <col min="15878" max="15878" width="8.875" style="16" customWidth="1"/>
    <col min="15879" max="15879" width="16.5" style="16" customWidth="1"/>
    <col min="15880" max="16128" width="8" style="16" customWidth="1"/>
    <col min="16129" max="16129" width="7.25" style="16" customWidth="1"/>
    <col min="16130" max="16130" width="19.5" style="16" customWidth="1"/>
    <col min="16131" max="16131" width="3" style="16" customWidth="1"/>
    <col min="16132" max="16132" width="28.375" style="16" customWidth="1"/>
    <col min="16133" max="16133" width="1.375" style="16" customWidth="1"/>
    <col min="16134" max="16134" width="8.875" style="16" customWidth="1"/>
    <col min="16135" max="16135" width="16.5" style="16" customWidth="1"/>
    <col min="16136" max="16384" width="8" style="16" customWidth="1"/>
  </cols>
  <sheetData>
    <row r="1" spans="1:7" ht="35.25" customHeight="1">
      <c r="A1" s="370" t="s">
        <v>228</v>
      </c>
      <c r="B1" s="370" t="s">
        <v>110</v>
      </c>
      <c r="C1" s="370" t="s">
        <v>110</v>
      </c>
      <c r="D1" s="370" t="s">
        <v>110</v>
      </c>
      <c r="E1" s="370" t="s">
        <v>110</v>
      </c>
      <c r="F1" s="370" t="s">
        <v>110</v>
      </c>
      <c r="G1" s="370" t="s">
        <v>110</v>
      </c>
    </row>
    <row r="2" spans="1:7" ht="29.25" customHeight="1" thickBot="1">
      <c r="A2" s="365" t="s">
        <v>175</v>
      </c>
      <c r="B2" s="365" t="s">
        <v>110</v>
      </c>
      <c r="C2" s="365" t="s">
        <v>110</v>
      </c>
      <c r="D2" s="365" t="s">
        <v>110</v>
      </c>
      <c r="E2" s="367" t="s">
        <v>111</v>
      </c>
      <c r="F2" s="367" t="s">
        <v>110</v>
      </c>
      <c r="G2" s="367" t="s">
        <v>110</v>
      </c>
    </row>
    <row r="3" spans="1:7" ht="18" customHeight="1">
      <c r="A3" s="189" t="s">
        <v>112</v>
      </c>
      <c r="B3" s="371" t="s">
        <v>229</v>
      </c>
      <c r="C3" s="371" t="s">
        <v>110</v>
      </c>
      <c r="D3" s="371" t="s">
        <v>230</v>
      </c>
      <c r="E3" s="371" t="s">
        <v>110</v>
      </c>
      <c r="F3" s="190" t="s">
        <v>231</v>
      </c>
      <c r="G3" s="191" t="s">
        <v>232</v>
      </c>
    </row>
    <row r="4" spans="1:7" ht="16.5" customHeight="1">
      <c r="A4" s="137" t="s">
        <v>233</v>
      </c>
      <c r="B4" s="368" t="s">
        <v>234</v>
      </c>
      <c r="C4" s="368" t="s">
        <v>110</v>
      </c>
      <c r="D4" s="368" t="s">
        <v>234</v>
      </c>
      <c r="E4" s="368" t="s">
        <v>110</v>
      </c>
      <c r="F4" s="140" t="s">
        <v>110</v>
      </c>
      <c r="G4" s="141">
        <v>583246.05000000005</v>
      </c>
    </row>
    <row r="5" spans="1:7" ht="29.25" customHeight="1">
      <c r="A5" s="137" t="s">
        <v>114</v>
      </c>
      <c r="B5" s="368" t="s">
        <v>235</v>
      </c>
      <c r="C5" s="368" t="s">
        <v>110</v>
      </c>
      <c r="D5" s="368" t="s">
        <v>236</v>
      </c>
      <c r="E5" s="368" t="s">
        <v>110</v>
      </c>
      <c r="F5" s="140" t="s">
        <v>546</v>
      </c>
      <c r="G5" s="141">
        <v>520359.5</v>
      </c>
    </row>
    <row r="6" spans="1:7" ht="16.5" customHeight="1">
      <c r="A6" s="137" t="s">
        <v>233</v>
      </c>
      <c r="B6" s="368" t="s">
        <v>115</v>
      </c>
      <c r="C6" s="368" t="s">
        <v>110</v>
      </c>
      <c r="D6" s="368" t="s">
        <v>115</v>
      </c>
      <c r="E6" s="368" t="s">
        <v>110</v>
      </c>
      <c r="F6" s="140" t="s">
        <v>110</v>
      </c>
      <c r="G6" s="141">
        <v>75560.23</v>
      </c>
    </row>
    <row r="7" spans="1:7" ht="16.5" customHeight="1">
      <c r="A7" s="137" t="s">
        <v>238</v>
      </c>
      <c r="B7" s="368" t="s">
        <v>116</v>
      </c>
      <c r="C7" s="368" t="s">
        <v>110</v>
      </c>
      <c r="D7" s="368" t="s">
        <v>116</v>
      </c>
      <c r="E7" s="368" t="s">
        <v>110</v>
      </c>
      <c r="F7" s="140" t="s">
        <v>110</v>
      </c>
      <c r="G7" s="141">
        <v>3830.83</v>
      </c>
    </row>
    <row r="8" spans="1:7" ht="16.5" customHeight="1">
      <c r="A8" s="137" t="s">
        <v>239</v>
      </c>
      <c r="B8" s="368" t="s">
        <v>240</v>
      </c>
      <c r="C8" s="368" t="s">
        <v>110</v>
      </c>
      <c r="D8" s="368" t="s">
        <v>241</v>
      </c>
      <c r="E8" s="368" t="s">
        <v>110</v>
      </c>
      <c r="F8" s="140" t="s">
        <v>110</v>
      </c>
      <c r="G8" s="141">
        <v>422770.32</v>
      </c>
    </row>
    <row r="9" spans="1:7" ht="16.5" customHeight="1">
      <c r="A9" s="137" t="s">
        <v>242</v>
      </c>
      <c r="B9" s="368" t="s">
        <v>243</v>
      </c>
      <c r="C9" s="368" t="s">
        <v>110</v>
      </c>
      <c r="D9" s="368" t="s">
        <v>117</v>
      </c>
      <c r="E9" s="368" t="s">
        <v>110</v>
      </c>
      <c r="F9" s="140" t="s">
        <v>110</v>
      </c>
      <c r="G9" s="141">
        <v>3042.02</v>
      </c>
    </row>
    <row r="10" spans="1:7" ht="16.5" customHeight="1">
      <c r="A10" s="137" t="s">
        <v>244</v>
      </c>
      <c r="B10" s="368" t="s">
        <v>245</v>
      </c>
      <c r="C10" s="368" t="s">
        <v>110</v>
      </c>
      <c r="D10" s="368" t="s">
        <v>245</v>
      </c>
      <c r="E10" s="368" t="s">
        <v>110</v>
      </c>
      <c r="F10" s="140" t="s">
        <v>110</v>
      </c>
      <c r="G10" s="141" t="s">
        <v>110</v>
      </c>
    </row>
    <row r="11" spans="1:7" ht="16.5" customHeight="1">
      <c r="A11" s="137" t="s">
        <v>118</v>
      </c>
      <c r="B11" s="368" t="s">
        <v>246</v>
      </c>
      <c r="C11" s="368" t="s">
        <v>110</v>
      </c>
      <c r="D11" s="368" t="s">
        <v>247</v>
      </c>
      <c r="E11" s="368" t="s">
        <v>110</v>
      </c>
      <c r="F11" s="140" t="s">
        <v>110</v>
      </c>
      <c r="G11" s="141">
        <v>7624.41</v>
      </c>
    </row>
    <row r="12" spans="1:7" ht="16.5" customHeight="1">
      <c r="A12" s="137" t="s">
        <v>119</v>
      </c>
      <c r="B12" s="368" t="s">
        <v>248</v>
      </c>
      <c r="C12" s="368" t="s">
        <v>110</v>
      </c>
      <c r="D12" s="368" t="s">
        <v>249</v>
      </c>
      <c r="E12" s="368" t="s">
        <v>110</v>
      </c>
      <c r="F12" s="140" t="s">
        <v>110</v>
      </c>
      <c r="G12" s="141" t="s">
        <v>110</v>
      </c>
    </row>
    <row r="13" spans="1:7" ht="16.5" customHeight="1">
      <c r="A13" s="137" t="s">
        <v>120</v>
      </c>
      <c r="B13" s="368" t="s">
        <v>115</v>
      </c>
      <c r="C13" s="368" t="s">
        <v>110</v>
      </c>
      <c r="D13" s="368" t="s">
        <v>250</v>
      </c>
      <c r="E13" s="368" t="s">
        <v>110</v>
      </c>
      <c r="F13" s="140" t="s">
        <v>110</v>
      </c>
      <c r="G13" s="141" t="s">
        <v>110</v>
      </c>
    </row>
    <row r="14" spans="1:7" ht="16.5" customHeight="1">
      <c r="A14" s="137" t="s">
        <v>251</v>
      </c>
      <c r="B14" s="368" t="s">
        <v>116</v>
      </c>
      <c r="C14" s="368" t="s">
        <v>110</v>
      </c>
      <c r="D14" s="368" t="s">
        <v>252</v>
      </c>
      <c r="E14" s="368" t="s">
        <v>110</v>
      </c>
      <c r="F14" s="140" t="s">
        <v>110</v>
      </c>
      <c r="G14" s="141" t="s">
        <v>110</v>
      </c>
    </row>
    <row r="15" spans="1:7" ht="16.5" customHeight="1">
      <c r="A15" s="137" t="s">
        <v>253</v>
      </c>
      <c r="B15" s="368" t="s">
        <v>243</v>
      </c>
      <c r="C15" s="368" t="s">
        <v>110</v>
      </c>
      <c r="D15" s="368" t="s">
        <v>254</v>
      </c>
      <c r="E15" s="368" t="s">
        <v>110</v>
      </c>
      <c r="F15" s="140" t="s">
        <v>110</v>
      </c>
      <c r="G15" s="141" t="s">
        <v>110</v>
      </c>
    </row>
    <row r="16" spans="1:7" ht="16.5" customHeight="1">
      <c r="A16" s="137" t="s">
        <v>121</v>
      </c>
      <c r="B16" s="368" t="s">
        <v>255</v>
      </c>
      <c r="C16" s="368" t="s">
        <v>110</v>
      </c>
      <c r="D16" s="368" t="s">
        <v>256</v>
      </c>
      <c r="E16" s="368" t="s">
        <v>110</v>
      </c>
      <c r="F16" s="140" t="s">
        <v>110</v>
      </c>
      <c r="G16" s="141">
        <v>7624.41</v>
      </c>
    </row>
    <row r="17" spans="1:7" ht="29.25" customHeight="1">
      <c r="A17" s="137" t="s">
        <v>257</v>
      </c>
      <c r="B17" s="368" t="s">
        <v>128</v>
      </c>
      <c r="C17" s="368" t="s">
        <v>110</v>
      </c>
      <c r="D17" s="368" t="s">
        <v>258</v>
      </c>
      <c r="E17" s="368" t="s">
        <v>110</v>
      </c>
      <c r="F17" s="140" t="s">
        <v>259</v>
      </c>
      <c r="G17" s="141">
        <v>7113.5</v>
      </c>
    </row>
    <row r="18" spans="1:7" ht="29.25" customHeight="1">
      <c r="A18" s="137" t="s">
        <v>260</v>
      </c>
      <c r="B18" s="368" t="s">
        <v>261</v>
      </c>
      <c r="C18" s="368" t="s">
        <v>110</v>
      </c>
      <c r="D18" s="368" t="s">
        <v>258</v>
      </c>
      <c r="E18" s="368" t="s">
        <v>110</v>
      </c>
      <c r="F18" s="140" t="s">
        <v>262</v>
      </c>
      <c r="G18" s="141">
        <v>510.91</v>
      </c>
    </row>
    <row r="19" spans="1:7" ht="16.5" customHeight="1">
      <c r="A19" s="137" t="s">
        <v>122</v>
      </c>
      <c r="B19" s="368" t="s">
        <v>263</v>
      </c>
      <c r="C19" s="368" t="s">
        <v>110</v>
      </c>
      <c r="D19" s="368" t="s">
        <v>110</v>
      </c>
      <c r="E19" s="368" t="s">
        <v>110</v>
      </c>
      <c r="F19" s="140" t="s">
        <v>110</v>
      </c>
      <c r="G19" s="141" t="s">
        <v>110</v>
      </c>
    </row>
    <row r="20" spans="1:7" ht="29.25" customHeight="1">
      <c r="A20" s="137" t="s">
        <v>125</v>
      </c>
      <c r="B20" s="368" t="s">
        <v>124</v>
      </c>
      <c r="C20" s="368" t="s">
        <v>110</v>
      </c>
      <c r="D20" s="368" t="s">
        <v>258</v>
      </c>
      <c r="E20" s="368" t="s">
        <v>110</v>
      </c>
      <c r="F20" s="140" t="s">
        <v>264</v>
      </c>
      <c r="G20" s="141">
        <v>13755.39</v>
      </c>
    </row>
    <row r="21" spans="1:7" ht="29.25" customHeight="1">
      <c r="A21" s="137" t="s">
        <v>127</v>
      </c>
      <c r="B21" s="368" t="s">
        <v>126</v>
      </c>
      <c r="C21" s="368" t="s">
        <v>110</v>
      </c>
      <c r="D21" s="368" t="s">
        <v>258</v>
      </c>
      <c r="E21" s="368" t="s">
        <v>110</v>
      </c>
      <c r="F21" s="140" t="s">
        <v>265</v>
      </c>
      <c r="G21" s="141">
        <v>11719.6</v>
      </c>
    </row>
    <row r="22" spans="1:7" ht="29.25" customHeight="1">
      <c r="A22" s="137" t="s">
        <v>129</v>
      </c>
      <c r="B22" s="368" t="s">
        <v>123</v>
      </c>
      <c r="C22" s="368" t="s">
        <v>110</v>
      </c>
      <c r="D22" s="368" t="s">
        <v>258</v>
      </c>
      <c r="E22" s="368" t="s">
        <v>110</v>
      </c>
      <c r="F22" s="140" t="s">
        <v>266</v>
      </c>
      <c r="G22" s="141">
        <v>9165.02</v>
      </c>
    </row>
    <row r="23" spans="1:7" ht="16.5" customHeight="1">
      <c r="A23" s="137" t="s">
        <v>131</v>
      </c>
      <c r="B23" s="368" t="s">
        <v>267</v>
      </c>
      <c r="C23" s="368" t="s">
        <v>110</v>
      </c>
      <c r="D23" s="368" t="s">
        <v>110</v>
      </c>
      <c r="E23" s="368" t="s">
        <v>110</v>
      </c>
      <c r="F23" s="140" t="s">
        <v>110</v>
      </c>
      <c r="G23" s="141" t="s">
        <v>110</v>
      </c>
    </row>
    <row r="24" spans="1:7" ht="29.25" customHeight="1">
      <c r="A24" s="137" t="s">
        <v>268</v>
      </c>
      <c r="B24" s="368" t="s">
        <v>269</v>
      </c>
      <c r="C24" s="368" t="s">
        <v>110</v>
      </c>
      <c r="D24" s="368" t="s">
        <v>270</v>
      </c>
      <c r="E24" s="368" t="s">
        <v>110</v>
      </c>
      <c r="F24" s="140" t="s">
        <v>271</v>
      </c>
      <c r="G24" s="141">
        <v>675.15</v>
      </c>
    </row>
    <row r="25" spans="1:7" ht="42" customHeight="1">
      <c r="A25" s="137" t="s">
        <v>272</v>
      </c>
      <c r="B25" s="368" t="s">
        <v>273</v>
      </c>
      <c r="C25" s="368" t="s">
        <v>110</v>
      </c>
      <c r="D25" s="368" t="s">
        <v>274</v>
      </c>
      <c r="E25" s="368" t="s">
        <v>110</v>
      </c>
      <c r="F25" s="140" t="s">
        <v>110</v>
      </c>
      <c r="G25" s="141">
        <v>563299.06999999995</v>
      </c>
    </row>
    <row r="26" spans="1:7" ht="16.5" customHeight="1">
      <c r="A26" s="137" t="s">
        <v>275</v>
      </c>
      <c r="B26" s="368" t="s">
        <v>276</v>
      </c>
      <c r="C26" s="368" t="s">
        <v>110</v>
      </c>
      <c r="D26" s="368" t="s">
        <v>277</v>
      </c>
      <c r="E26" s="368" t="s">
        <v>110</v>
      </c>
      <c r="F26" s="140" t="s">
        <v>110</v>
      </c>
      <c r="G26" s="141" t="s">
        <v>110</v>
      </c>
    </row>
    <row r="27" spans="1:7" ht="16.5" customHeight="1">
      <c r="A27" s="137" t="s">
        <v>278</v>
      </c>
      <c r="B27" s="368" t="s">
        <v>130</v>
      </c>
      <c r="C27" s="368" t="s">
        <v>110</v>
      </c>
      <c r="D27" s="368" t="s">
        <v>279</v>
      </c>
      <c r="E27" s="368" t="s">
        <v>110</v>
      </c>
      <c r="F27" s="140" t="s">
        <v>280</v>
      </c>
      <c r="G27" s="141">
        <v>19946.98</v>
      </c>
    </row>
    <row r="28" spans="1:7" ht="16.5" customHeight="1">
      <c r="A28" s="137" t="s">
        <v>281</v>
      </c>
      <c r="B28" s="368" t="s">
        <v>282</v>
      </c>
      <c r="C28" s="368" t="s">
        <v>110</v>
      </c>
      <c r="D28" s="368" t="s">
        <v>283</v>
      </c>
      <c r="E28" s="368" t="s">
        <v>110</v>
      </c>
      <c r="F28" s="140" t="s">
        <v>110</v>
      </c>
      <c r="G28" s="141" t="s">
        <v>110</v>
      </c>
    </row>
    <row r="29" spans="1:7" ht="29.25" customHeight="1">
      <c r="A29" s="137" t="s">
        <v>284</v>
      </c>
      <c r="B29" s="368" t="s">
        <v>285</v>
      </c>
      <c r="C29" s="368" t="s">
        <v>110</v>
      </c>
      <c r="D29" s="368" t="s">
        <v>286</v>
      </c>
      <c r="E29" s="368" t="s">
        <v>110</v>
      </c>
      <c r="F29" s="140" t="s">
        <v>110</v>
      </c>
      <c r="G29" s="141">
        <v>583246.05000000005</v>
      </c>
    </row>
    <row r="30" spans="1:7" ht="16.5" customHeight="1">
      <c r="A30" s="137" t="s">
        <v>110</v>
      </c>
      <c r="B30" s="368" t="s">
        <v>110</v>
      </c>
      <c r="C30" s="368" t="s">
        <v>110</v>
      </c>
      <c r="D30" s="369" t="s">
        <v>110</v>
      </c>
      <c r="E30" s="369" t="s">
        <v>110</v>
      </c>
      <c r="F30" s="140" t="s">
        <v>110</v>
      </c>
      <c r="G30" s="141" t="s">
        <v>110</v>
      </c>
    </row>
    <row r="31" spans="1:7" ht="16.5" customHeight="1">
      <c r="A31" s="137" t="s">
        <v>238</v>
      </c>
      <c r="B31" s="368" t="s">
        <v>132</v>
      </c>
      <c r="C31" s="368" t="s">
        <v>110</v>
      </c>
      <c r="D31" s="368" t="s">
        <v>287</v>
      </c>
      <c r="E31" s="368" t="s">
        <v>110</v>
      </c>
      <c r="F31" s="140" t="s">
        <v>110</v>
      </c>
      <c r="G31" s="141">
        <v>583246.05000000005</v>
      </c>
    </row>
    <row r="32" spans="1:7" ht="16.5" customHeight="1">
      <c r="A32" s="137" t="s">
        <v>110</v>
      </c>
      <c r="B32" s="368" t="s">
        <v>110</v>
      </c>
      <c r="C32" s="368" t="s">
        <v>110</v>
      </c>
      <c r="D32" s="368" t="s">
        <v>110</v>
      </c>
      <c r="E32" s="368" t="s">
        <v>110</v>
      </c>
      <c r="F32" s="140" t="s">
        <v>110</v>
      </c>
      <c r="G32" s="141" t="s">
        <v>110</v>
      </c>
    </row>
    <row r="33" spans="1:7" ht="16.5" customHeight="1">
      <c r="A33" s="137" t="s">
        <v>110</v>
      </c>
      <c r="B33" s="368" t="s">
        <v>110</v>
      </c>
      <c r="C33" s="368" t="s">
        <v>110</v>
      </c>
      <c r="D33" s="368" t="s">
        <v>110</v>
      </c>
      <c r="E33" s="368" t="s">
        <v>110</v>
      </c>
      <c r="F33" s="140" t="s">
        <v>110</v>
      </c>
      <c r="G33" s="141" t="s">
        <v>110</v>
      </c>
    </row>
    <row r="34" spans="1:7" ht="16.5" customHeight="1">
      <c r="A34" s="137" t="s">
        <v>110</v>
      </c>
      <c r="B34" s="368" t="s">
        <v>110</v>
      </c>
      <c r="C34" s="368" t="s">
        <v>110</v>
      </c>
      <c r="D34" s="368" t="s">
        <v>110</v>
      </c>
      <c r="E34" s="368" t="s">
        <v>110</v>
      </c>
      <c r="F34" s="140" t="s">
        <v>110</v>
      </c>
      <c r="G34" s="141" t="s">
        <v>110</v>
      </c>
    </row>
    <row r="35" spans="1:7" ht="16.5" customHeight="1" thickBot="1">
      <c r="A35" s="192" t="s">
        <v>110</v>
      </c>
      <c r="B35" s="364" t="s">
        <v>110</v>
      </c>
      <c r="C35" s="364" t="s">
        <v>110</v>
      </c>
      <c r="D35" s="364" t="s">
        <v>110</v>
      </c>
      <c r="E35" s="364" t="s">
        <v>110</v>
      </c>
      <c r="F35" s="142" t="s">
        <v>110</v>
      </c>
      <c r="G35" s="143" t="s">
        <v>110</v>
      </c>
    </row>
    <row r="36" spans="1:7" ht="16.5" customHeight="1">
      <c r="A36" s="365" t="s">
        <v>288</v>
      </c>
      <c r="B36" s="365" t="s">
        <v>110</v>
      </c>
      <c r="C36" s="366" t="s">
        <v>289</v>
      </c>
      <c r="D36" s="366" t="s">
        <v>110</v>
      </c>
      <c r="E36" s="367" t="s">
        <v>290</v>
      </c>
      <c r="F36" s="367" t="s">
        <v>110</v>
      </c>
      <c r="G36" s="367" t="s">
        <v>110</v>
      </c>
    </row>
  </sheetData>
  <mergeCells count="72">
    <mergeCell ref="B4:C4"/>
    <mergeCell ref="D4:E4"/>
    <mergeCell ref="A1:G1"/>
    <mergeCell ref="A2:D2"/>
    <mergeCell ref="E2:G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A36:B36"/>
    <mergeCell ref="C36:D36"/>
    <mergeCell ref="E36:G36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workbookViewId="0">
      <selection sqref="A1:XFD1048576"/>
    </sheetView>
  </sheetViews>
  <sheetFormatPr defaultRowHeight="13.5"/>
  <cols>
    <col min="1" max="1" width="5.25" style="16" customWidth="1"/>
    <col min="2" max="2" width="8.625" style="16" customWidth="1"/>
    <col min="3" max="3" width="19.5" style="16" customWidth="1"/>
    <col min="4" max="4" width="6.25" style="16" customWidth="1"/>
    <col min="5" max="5" width="3.125" style="16" customWidth="1"/>
    <col min="6" max="6" width="6.125" style="16" customWidth="1"/>
    <col min="7" max="7" width="8.375" style="16" customWidth="1"/>
    <col min="8" max="8" width="8.875" style="16" customWidth="1"/>
    <col min="9" max="9" width="9.875" style="16" customWidth="1"/>
    <col min="10" max="10" width="8.375" style="16" customWidth="1"/>
    <col min="11" max="11" width="0.875" style="16" customWidth="1"/>
    <col min="12" max="12" width="9" style="16" customWidth="1"/>
    <col min="13" max="13" width="9.625" style="16" customWidth="1"/>
    <col min="14" max="14" width="11" style="16" customWidth="1"/>
    <col min="15" max="15" width="11.125" style="16" customWidth="1"/>
    <col min="16" max="256" width="8" style="16" customWidth="1"/>
    <col min="257" max="257" width="5.25" style="16" customWidth="1"/>
    <col min="258" max="258" width="8.625" style="16" customWidth="1"/>
    <col min="259" max="259" width="19.5" style="16" customWidth="1"/>
    <col min="260" max="260" width="6.25" style="16" customWidth="1"/>
    <col min="261" max="261" width="3.125" style="16" customWidth="1"/>
    <col min="262" max="262" width="6.125" style="16" customWidth="1"/>
    <col min="263" max="263" width="8.375" style="16" customWidth="1"/>
    <col min="264" max="264" width="8.875" style="16" customWidth="1"/>
    <col min="265" max="265" width="9.875" style="16" customWidth="1"/>
    <col min="266" max="266" width="8.375" style="16" customWidth="1"/>
    <col min="267" max="267" width="0.875" style="16" customWidth="1"/>
    <col min="268" max="268" width="9" style="16" customWidth="1"/>
    <col min="269" max="269" width="9.625" style="16" customWidth="1"/>
    <col min="270" max="270" width="11" style="16" customWidth="1"/>
    <col min="271" max="271" width="11.125" style="16" customWidth="1"/>
    <col min="272" max="512" width="8" style="16" customWidth="1"/>
    <col min="513" max="513" width="5.25" style="16" customWidth="1"/>
    <col min="514" max="514" width="8.625" style="16" customWidth="1"/>
    <col min="515" max="515" width="19.5" style="16" customWidth="1"/>
    <col min="516" max="516" width="6.25" style="16" customWidth="1"/>
    <col min="517" max="517" width="3.125" style="16" customWidth="1"/>
    <col min="518" max="518" width="6.125" style="16" customWidth="1"/>
    <col min="519" max="519" width="8.375" style="16" customWidth="1"/>
    <col min="520" max="520" width="8.875" style="16" customWidth="1"/>
    <col min="521" max="521" width="9.875" style="16" customWidth="1"/>
    <col min="522" max="522" width="8.375" style="16" customWidth="1"/>
    <col min="523" max="523" width="0.875" style="16" customWidth="1"/>
    <col min="524" max="524" width="9" style="16" customWidth="1"/>
    <col min="525" max="525" width="9.625" style="16" customWidth="1"/>
    <col min="526" max="526" width="11" style="16" customWidth="1"/>
    <col min="527" max="527" width="11.125" style="16" customWidth="1"/>
    <col min="528" max="768" width="8" style="16" customWidth="1"/>
    <col min="769" max="769" width="5.25" style="16" customWidth="1"/>
    <col min="770" max="770" width="8.625" style="16" customWidth="1"/>
    <col min="771" max="771" width="19.5" style="16" customWidth="1"/>
    <col min="772" max="772" width="6.25" style="16" customWidth="1"/>
    <col min="773" max="773" width="3.125" style="16" customWidth="1"/>
    <col min="774" max="774" width="6.125" style="16" customWidth="1"/>
    <col min="775" max="775" width="8.375" style="16" customWidth="1"/>
    <col min="776" max="776" width="8.875" style="16" customWidth="1"/>
    <col min="777" max="777" width="9.875" style="16" customWidth="1"/>
    <col min="778" max="778" width="8.375" style="16" customWidth="1"/>
    <col min="779" max="779" width="0.875" style="16" customWidth="1"/>
    <col min="780" max="780" width="9" style="16" customWidth="1"/>
    <col min="781" max="781" width="9.625" style="16" customWidth="1"/>
    <col min="782" max="782" width="11" style="16" customWidth="1"/>
    <col min="783" max="783" width="11.125" style="16" customWidth="1"/>
    <col min="784" max="1024" width="8" style="16" customWidth="1"/>
    <col min="1025" max="1025" width="5.25" style="16" customWidth="1"/>
    <col min="1026" max="1026" width="8.625" style="16" customWidth="1"/>
    <col min="1027" max="1027" width="19.5" style="16" customWidth="1"/>
    <col min="1028" max="1028" width="6.25" style="16" customWidth="1"/>
    <col min="1029" max="1029" width="3.125" style="16" customWidth="1"/>
    <col min="1030" max="1030" width="6.125" style="16" customWidth="1"/>
    <col min="1031" max="1031" width="8.375" style="16" customWidth="1"/>
    <col min="1032" max="1032" width="8.875" style="16" customWidth="1"/>
    <col min="1033" max="1033" width="9.875" style="16" customWidth="1"/>
    <col min="1034" max="1034" width="8.375" style="16" customWidth="1"/>
    <col min="1035" max="1035" width="0.875" style="16" customWidth="1"/>
    <col min="1036" max="1036" width="9" style="16" customWidth="1"/>
    <col min="1037" max="1037" width="9.625" style="16" customWidth="1"/>
    <col min="1038" max="1038" width="11" style="16" customWidth="1"/>
    <col min="1039" max="1039" width="11.125" style="16" customWidth="1"/>
    <col min="1040" max="1280" width="8" style="16" customWidth="1"/>
    <col min="1281" max="1281" width="5.25" style="16" customWidth="1"/>
    <col min="1282" max="1282" width="8.625" style="16" customWidth="1"/>
    <col min="1283" max="1283" width="19.5" style="16" customWidth="1"/>
    <col min="1284" max="1284" width="6.25" style="16" customWidth="1"/>
    <col min="1285" max="1285" width="3.125" style="16" customWidth="1"/>
    <col min="1286" max="1286" width="6.125" style="16" customWidth="1"/>
    <col min="1287" max="1287" width="8.375" style="16" customWidth="1"/>
    <col min="1288" max="1288" width="8.875" style="16" customWidth="1"/>
    <col min="1289" max="1289" width="9.875" style="16" customWidth="1"/>
    <col min="1290" max="1290" width="8.375" style="16" customWidth="1"/>
    <col min="1291" max="1291" width="0.875" style="16" customWidth="1"/>
    <col min="1292" max="1292" width="9" style="16" customWidth="1"/>
    <col min="1293" max="1293" width="9.625" style="16" customWidth="1"/>
    <col min="1294" max="1294" width="11" style="16" customWidth="1"/>
    <col min="1295" max="1295" width="11.125" style="16" customWidth="1"/>
    <col min="1296" max="1536" width="8" style="16" customWidth="1"/>
    <col min="1537" max="1537" width="5.25" style="16" customWidth="1"/>
    <col min="1538" max="1538" width="8.625" style="16" customWidth="1"/>
    <col min="1539" max="1539" width="19.5" style="16" customWidth="1"/>
    <col min="1540" max="1540" width="6.25" style="16" customWidth="1"/>
    <col min="1541" max="1541" width="3.125" style="16" customWidth="1"/>
    <col min="1542" max="1542" width="6.125" style="16" customWidth="1"/>
    <col min="1543" max="1543" width="8.375" style="16" customWidth="1"/>
    <col min="1544" max="1544" width="8.875" style="16" customWidth="1"/>
    <col min="1545" max="1545" width="9.875" style="16" customWidth="1"/>
    <col min="1546" max="1546" width="8.375" style="16" customWidth="1"/>
    <col min="1547" max="1547" width="0.875" style="16" customWidth="1"/>
    <col min="1548" max="1548" width="9" style="16" customWidth="1"/>
    <col min="1549" max="1549" width="9.625" style="16" customWidth="1"/>
    <col min="1550" max="1550" width="11" style="16" customWidth="1"/>
    <col min="1551" max="1551" width="11.125" style="16" customWidth="1"/>
    <col min="1552" max="1792" width="8" style="16" customWidth="1"/>
    <col min="1793" max="1793" width="5.25" style="16" customWidth="1"/>
    <col min="1794" max="1794" width="8.625" style="16" customWidth="1"/>
    <col min="1795" max="1795" width="19.5" style="16" customWidth="1"/>
    <col min="1796" max="1796" width="6.25" style="16" customWidth="1"/>
    <col min="1797" max="1797" width="3.125" style="16" customWidth="1"/>
    <col min="1798" max="1798" width="6.125" style="16" customWidth="1"/>
    <col min="1799" max="1799" width="8.375" style="16" customWidth="1"/>
    <col min="1800" max="1800" width="8.875" style="16" customWidth="1"/>
    <col min="1801" max="1801" width="9.875" style="16" customWidth="1"/>
    <col min="1802" max="1802" width="8.375" style="16" customWidth="1"/>
    <col min="1803" max="1803" width="0.875" style="16" customWidth="1"/>
    <col min="1804" max="1804" width="9" style="16" customWidth="1"/>
    <col min="1805" max="1805" width="9.625" style="16" customWidth="1"/>
    <col min="1806" max="1806" width="11" style="16" customWidth="1"/>
    <col min="1807" max="1807" width="11.125" style="16" customWidth="1"/>
    <col min="1808" max="2048" width="8" style="16" customWidth="1"/>
    <col min="2049" max="2049" width="5.25" style="16" customWidth="1"/>
    <col min="2050" max="2050" width="8.625" style="16" customWidth="1"/>
    <col min="2051" max="2051" width="19.5" style="16" customWidth="1"/>
    <col min="2052" max="2052" width="6.25" style="16" customWidth="1"/>
    <col min="2053" max="2053" width="3.125" style="16" customWidth="1"/>
    <col min="2054" max="2054" width="6.125" style="16" customWidth="1"/>
    <col min="2055" max="2055" width="8.375" style="16" customWidth="1"/>
    <col min="2056" max="2056" width="8.875" style="16" customWidth="1"/>
    <col min="2057" max="2057" width="9.875" style="16" customWidth="1"/>
    <col min="2058" max="2058" width="8.375" style="16" customWidth="1"/>
    <col min="2059" max="2059" width="0.875" style="16" customWidth="1"/>
    <col min="2060" max="2060" width="9" style="16" customWidth="1"/>
    <col min="2061" max="2061" width="9.625" style="16" customWidth="1"/>
    <col min="2062" max="2062" width="11" style="16" customWidth="1"/>
    <col min="2063" max="2063" width="11.125" style="16" customWidth="1"/>
    <col min="2064" max="2304" width="8" style="16" customWidth="1"/>
    <col min="2305" max="2305" width="5.25" style="16" customWidth="1"/>
    <col min="2306" max="2306" width="8.625" style="16" customWidth="1"/>
    <col min="2307" max="2307" width="19.5" style="16" customWidth="1"/>
    <col min="2308" max="2308" width="6.25" style="16" customWidth="1"/>
    <col min="2309" max="2309" width="3.125" style="16" customWidth="1"/>
    <col min="2310" max="2310" width="6.125" style="16" customWidth="1"/>
    <col min="2311" max="2311" width="8.375" style="16" customWidth="1"/>
    <col min="2312" max="2312" width="8.875" style="16" customWidth="1"/>
    <col min="2313" max="2313" width="9.875" style="16" customWidth="1"/>
    <col min="2314" max="2314" width="8.375" style="16" customWidth="1"/>
    <col min="2315" max="2315" width="0.875" style="16" customWidth="1"/>
    <col min="2316" max="2316" width="9" style="16" customWidth="1"/>
    <col min="2317" max="2317" width="9.625" style="16" customWidth="1"/>
    <col min="2318" max="2318" width="11" style="16" customWidth="1"/>
    <col min="2319" max="2319" width="11.125" style="16" customWidth="1"/>
    <col min="2320" max="2560" width="8" style="16" customWidth="1"/>
    <col min="2561" max="2561" width="5.25" style="16" customWidth="1"/>
    <col min="2562" max="2562" width="8.625" style="16" customWidth="1"/>
    <col min="2563" max="2563" width="19.5" style="16" customWidth="1"/>
    <col min="2564" max="2564" width="6.25" style="16" customWidth="1"/>
    <col min="2565" max="2565" width="3.125" style="16" customWidth="1"/>
    <col min="2566" max="2566" width="6.125" style="16" customWidth="1"/>
    <col min="2567" max="2567" width="8.375" style="16" customWidth="1"/>
    <col min="2568" max="2568" width="8.875" style="16" customWidth="1"/>
    <col min="2569" max="2569" width="9.875" style="16" customWidth="1"/>
    <col min="2570" max="2570" width="8.375" style="16" customWidth="1"/>
    <col min="2571" max="2571" width="0.875" style="16" customWidth="1"/>
    <col min="2572" max="2572" width="9" style="16" customWidth="1"/>
    <col min="2573" max="2573" width="9.625" style="16" customWidth="1"/>
    <col min="2574" max="2574" width="11" style="16" customWidth="1"/>
    <col min="2575" max="2575" width="11.125" style="16" customWidth="1"/>
    <col min="2576" max="2816" width="8" style="16" customWidth="1"/>
    <col min="2817" max="2817" width="5.25" style="16" customWidth="1"/>
    <col min="2818" max="2818" width="8.625" style="16" customWidth="1"/>
    <col min="2819" max="2819" width="19.5" style="16" customWidth="1"/>
    <col min="2820" max="2820" width="6.25" style="16" customWidth="1"/>
    <col min="2821" max="2821" width="3.125" style="16" customWidth="1"/>
    <col min="2822" max="2822" width="6.125" style="16" customWidth="1"/>
    <col min="2823" max="2823" width="8.375" style="16" customWidth="1"/>
    <col min="2824" max="2824" width="8.875" style="16" customWidth="1"/>
    <col min="2825" max="2825" width="9.875" style="16" customWidth="1"/>
    <col min="2826" max="2826" width="8.375" style="16" customWidth="1"/>
    <col min="2827" max="2827" width="0.875" style="16" customWidth="1"/>
    <col min="2828" max="2828" width="9" style="16" customWidth="1"/>
    <col min="2829" max="2829" width="9.625" style="16" customWidth="1"/>
    <col min="2830" max="2830" width="11" style="16" customWidth="1"/>
    <col min="2831" max="2831" width="11.125" style="16" customWidth="1"/>
    <col min="2832" max="3072" width="8" style="16" customWidth="1"/>
    <col min="3073" max="3073" width="5.25" style="16" customWidth="1"/>
    <col min="3074" max="3074" width="8.625" style="16" customWidth="1"/>
    <col min="3075" max="3075" width="19.5" style="16" customWidth="1"/>
    <col min="3076" max="3076" width="6.25" style="16" customWidth="1"/>
    <col min="3077" max="3077" width="3.125" style="16" customWidth="1"/>
    <col min="3078" max="3078" width="6.125" style="16" customWidth="1"/>
    <col min="3079" max="3079" width="8.375" style="16" customWidth="1"/>
    <col min="3080" max="3080" width="8.875" style="16" customWidth="1"/>
    <col min="3081" max="3081" width="9.875" style="16" customWidth="1"/>
    <col min="3082" max="3082" width="8.375" style="16" customWidth="1"/>
    <col min="3083" max="3083" width="0.875" style="16" customWidth="1"/>
    <col min="3084" max="3084" width="9" style="16" customWidth="1"/>
    <col min="3085" max="3085" width="9.625" style="16" customWidth="1"/>
    <col min="3086" max="3086" width="11" style="16" customWidth="1"/>
    <col min="3087" max="3087" width="11.125" style="16" customWidth="1"/>
    <col min="3088" max="3328" width="8" style="16" customWidth="1"/>
    <col min="3329" max="3329" width="5.25" style="16" customWidth="1"/>
    <col min="3330" max="3330" width="8.625" style="16" customWidth="1"/>
    <col min="3331" max="3331" width="19.5" style="16" customWidth="1"/>
    <col min="3332" max="3332" width="6.25" style="16" customWidth="1"/>
    <col min="3333" max="3333" width="3.125" style="16" customWidth="1"/>
    <col min="3334" max="3334" width="6.125" style="16" customWidth="1"/>
    <col min="3335" max="3335" width="8.375" style="16" customWidth="1"/>
    <col min="3336" max="3336" width="8.875" style="16" customWidth="1"/>
    <col min="3337" max="3337" width="9.875" style="16" customWidth="1"/>
    <col min="3338" max="3338" width="8.375" style="16" customWidth="1"/>
    <col min="3339" max="3339" width="0.875" style="16" customWidth="1"/>
    <col min="3340" max="3340" width="9" style="16" customWidth="1"/>
    <col min="3341" max="3341" width="9.625" style="16" customWidth="1"/>
    <col min="3342" max="3342" width="11" style="16" customWidth="1"/>
    <col min="3343" max="3343" width="11.125" style="16" customWidth="1"/>
    <col min="3344" max="3584" width="8" style="16" customWidth="1"/>
    <col min="3585" max="3585" width="5.25" style="16" customWidth="1"/>
    <col min="3586" max="3586" width="8.625" style="16" customWidth="1"/>
    <col min="3587" max="3587" width="19.5" style="16" customWidth="1"/>
    <col min="3588" max="3588" width="6.25" style="16" customWidth="1"/>
    <col min="3589" max="3589" width="3.125" style="16" customWidth="1"/>
    <col min="3590" max="3590" width="6.125" style="16" customWidth="1"/>
    <col min="3591" max="3591" width="8.375" style="16" customWidth="1"/>
    <col min="3592" max="3592" width="8.875" style="16" customWidth="1"/>
    <col min="3593" max="3593" width="9.875" style="16" customWidth="1"/>
    <col min="3594" max="3594" width="8.375" style="16" customWidth="1"/>
    <col min="3595" max="3595" width="0.875" style="16" customWidth="1"/>
    <col min="3596" max="3596" width="9" style="16" customWidth="1"/>
    <col min="3597" max="3597" width="9.625" style="16" customWidth="1"/>
    <col min="3598" max="3598" width="11" style="16" customWidth="1"/>
    <col min="3599" max="3599" width="11.125" style="16" customWidth="1"/>
    <col min="3600" max="3840" width="8" style="16" customWidth="1"/>
    <col min="3841" max="3841" width="5.25" style="16" customWidth="1"/>
    <col min="3842" max="3842" width="8.625" style="16" customWidth="1"/>
    <col min="3843" max="3843" width="19.5" style="16" customWidth="1"/>
    <col min="3844" max="3844" width="6.25" style="16" customWidth="1"/>
    <col min="3845" max="3845" width="3.125" style="16" customWidth="1"/>
    <col min="3846" max="3846" width="6.125" style="16" customWidth="1"/>
    <col min="3847" max="3847" width="8.375" style="16" customWidth="1"/>
    <col min="3848" max="3848" width="8.875" style="16" customWidth="1"/>
    <col min="3849" max="3849" width="9.875" style="16" customWidth="1"/>
    <col min="3850" max="3850" width="8.375" style="16" customWidth="1"/>
    <col min="3851" max="3851" width="0.875" style="16" customWidth="1"/>
    <col min="3852" max="3852" width="9" style="16" customWidth="1"/>
    <col min="3853" max="3853" width="9.625" style="16" customWidth="1"/>
    <col min="3854" max="3854" width="11" style="16" customWidth="1"/>
    <col min="3855" max="3855" width="11.125" style="16" customWidth="1"/>
    <col min="3856" max="4096" width="8" style="16" customWidth="1"/>
    <col min="4097" max="4097" width="5.25" style="16" customWidth="1"/>
    <col min="4098" max="4098" width="8.625" style="16" customWidth="1"/>
    <col min="4099" max="4099" width="19.5" style="16" customWidth="1"/>
    <col min="4100" max="4100" width="6.25" style="16" customWidth="1"/>
    <col min="4101" max="4101" width="3.125" style="16" customWidth="1"/>
    <col min="4102" max="4102" width="6.125" style="16" customWidth="1"/>
    <col min="4103" max="4103" width="8.375" style="16" customWidth="1"/>
    <col min="4104" max="4104" width="8.875" style="16" customWidth="1"/>
    <col min="4105" max="4105" width="9.875" style="16" customWidth="1"/>
    <col min="4106" max="4106" width="8.375" style="16" customWidth="1"/>
    <col min="4107" max="4107" width="0.875" style="16" customWidth="1"/>
    <col min="4108" max="4108" width="9" style="16" customWidth="1"/>
    <col min="4109" max="4109" width="9.625" style="16" customWidth="1"/>
    <col min="4110" max="4110" width="11" style="16" customWidth="1"/>
    <col min="4111" max="4111" width="11.125" style="16" customWidth="1"/>
    <col min="4112" max="4352" width="8" style="16" customWidth="1"/>
    <col min="4353" max="4353" width="5.25" style="16" customWidth="1"/>
    <col min="4354" max="4354" width="8.625" style="16" customWidth="1"/>
    <col min="4355" max="4355" width="19.5" style="16" customWidth="1"/>
    <col min="4356" max="4356" width="6.25" style="16" customWidth="1"/>
    <col min="4357" max="4357" width="3.125" style="16" customWidth="1"/>
    <col min="4358" max="4358" width="6.125" style="16" customWidth="1"/>
    <col min="4359" max="4359" width="8.375" style="16" customWidth="1"/>
    <col min="4360" max="4360" width="8.875" style="16" customWidth="1"/>
    <col min="4361" max="4361" width="9.875" style="16" customWidth="1"/>
    <col min="4362" max="4362" width="8.375" style="16" customWidth="1"/>
    <col min="4363" max="4363" width="0.875" style="16" customWidth="1"/>
    <col min="4364" max="4364" width="9" style="16" customWidth="1"/>
    <col min="4365" max="4365" width="9.625" style="16" customWidth="1"/>
    <col min="4366" max="4366" width="11" style="16" customWidth="1"/>
    <col min="4367" max="4367" width="11.125" style="16" customWidth="1"/>
    <col min="4368" max="4608" width="8" style="16" customWidth="1"/>
    <col min="4609" max="4609" width="5.25" style="16" customWidth="1"/>
    <col min="4610" max="4610" width="8.625" style="16" customWidth="1"/>
    <col min="4611" max="4611" width="19.5" style="16" customWidth="1"/>
    <col min="4612" max="4612" width="6.25" style="16" customWidth="1"/>
    <col min="4613" max="4613" width="3.125" style="16" customWidth="1"/>
    <col min="4614" max="4614" width="6.125" style="16" customWidth="1"/>
    <col min="4615" max="4615" width="8.375" style="16" customWidth="1"/>
    <col min="4616" max="4616" width="8.875" style="16" customWidth="1"/>
    <col min="4617" max="4617" width="9.875" style="16" customWidth="1"/>
    <col min="4618" max="4618" width="8.375" style="16" customWidth="1"/>
    <col min="4619" max="4619" width="0.875" style="16" customWidth="1"/>
    <col min="4620" max="4620" width="9" style="16" customWidth="1"/>
    <col min="4621" max="4621" width="9.625" style="16" customWidth="1"/>
    <col min="4622" max="4622" width="11" style="16" customWidth="1"/>
    <col min="4623" max="4623" width="11.125" style="16" customWidth="1"/>
    <col min="4624" max="4864" width="8" style="16" customWidth="1"/>
    <col min="4865" max="4865" width="5.25" style="16" customWidth="1"/>
    <col min="4866" max="4866" width="8.625" style="16" customWidth="1"/>
    <col min="4867" max="4867" width="19.5" style="16" customWidth="1"/>
    <col min="4868" max="4868" width="6.25" style="16" customWidth="1"/>
    <col min="4869" max="4869" width="3.125" style="16" customWidth="1"/>
    <col min="4870" max="4870" width="6.125" style="16" customWidth="1"/>
    <col min="4871" max="4871" width="8.375" style="16" customWidth="1"/>
    <col min="4872" max="4872" width="8.875" style="16" customWidth="1"/>
    <col min="4873" max="4873" width="9.875" style="16" customWidth="1"/>
    <col min="4874" max="4874" width="8.375" style="16" customWidth="1"/>
    <col min="4875" max="4875" width="0.875" style="16" customWidth="1"/>
    <col min="4876" max="4876" width="9" style="16" customWidth="1"/>
    <col min="4877" max="4877" width="9.625" style="16" customWidth="1"/>
    <col min="4878" max="4878" width="11" style="16" customWidth="1"/>
    <col min="4879" max="4879" width="11.125" style="16" customWidth="1"/>
    <col min="4880" max="5120" width="8" style="16" customWidth="1"/>
    <col min="5121" max="5121" width="5.25" style="16" customWidth="1"/>
    <col min="5122" max="5122" width="8.625" style="16" customWidth="1"/>
    <col min="5123" max="5123" width="19.5" style="16" customWidth="1"/>
    <col min="5124" max="5124" width="6.25" style="16" customWidth="1"/>
    <col min="5125" max="5125" width="3.125" style="16" customWidth="1"/>
    <col min="5126" max="5126" width="6.125" style="16" customWidth="1"/>
    <col min="5127" max="5127" width="8.375" style="16" customWidth="1"/>
    <col min="5128" max="5128" width="8.875" style="16" customWidth="1"/>
    <col min="5129" max="5129" width="9.875" style="16" customWidth="1"/>
    <col min="5130" max="5130" width="8.375" style="16" customWidth="1"/>
    <col min="5131" max="5131" width="0.875" style="16" customWidth="1"/>
    <col min="5132" max="5132" width="9" style="16" customWidth="1"/>
    <col min="5133" max="5133" width="9.625" style="16" customWidth="1"/>
    <col min="5134" max="5134" width="11" style="16" customWidth="1"/>
    <col min="5135" max="5135" width="11.125" style="16" customWidth="1"/>
    <col min="5136" max="5376" width="8" style="16" customWidth="1"/>
    <col min="5377" max="5377" width="5.25" style="16" customWidth="1"/>
    <col min="5378" max="5378" width="8.625" style="16" customWidth="1"/>
    <col min="5379" max="5379" width="19.5" style="16" customWidth="1"/>
    <col min="5380" max="5380" width="6.25" style="16" customWidth="1"/>
    <col min="5381" max="5381" width="3.125" style="16" customWidth="1"/>
    <col min="5382" max="5382" width="6.125" style="16" customWidth="1"/>
    <col min="5383" max="5383" width="8.375" style="16" customWidth="1"/>
    <col min="5384" max="5384" width="8.875" style="16" customWidth="1"/>
    <col min="5385" max="5385" width="9.875" style="16" customWidth="1"/>
    <col min="5386" max="5386" width="8.375" style="16" customWidth="1"/>
    <col min="5387" max="5387" width="0.875" style="16" customWidth="1"/>
    <col min="5388" max="5388" width="9" style="16" customWidth="1"/>
    <col min="5389" max="5389" width="9.625" style="16" customWidth="1"/>
    <col min="5390" max="5390" width="11" style="16" customWidth="1"/>
    <col min="5391" max="5391" width="11.125" style="16" customWidth="1"/>
    <col min="5392" max="5632" width="8" style="16" customWidth="1"/>
    <col min="5633" max="5633" width="5.25" style="16" customWidth="1"/>
    <col min="5634" max="5634" width="8.625" style="16" customWidth="1"/>
    <col min="5635" max="5635" width="19.5" style="16" customWidth="1"/>
    <col min="5636" max="5636" width="6.25" style="16" customWidth="1"/>
    <col min="5637" max="5637" width="3.125" style="16" customWidth="1"/>
    <col min="5638" max="5638" width="6.125" style="16" customWidth="1"/>
    <col min="5639" max="5639" width="8.375" style="16" customWidth="1"/>
    <col min="5640" max="5640" width="8.875" style="16" customWidth="1"/>
    <col min="5641" max="5641" width="9.875" style="16" customWidth="1"/>
    <col min="5642" max="5642" width="8.375" style="16" customWidth="1"/>
    <col min="5643" max="5643" width="0.875" style="16" customWidth="1"/>
    <col min="5644" max="5644" width="9" style="16" customWidth="1"/>
    <col min="5645" max="5645" width="9.625" style="16" customWidth="1"/>
    <col min="5646" max="5646" width="11" style="16" customWidth="1"/>
    <col min="5647" max="5647" width="11.125" style="16" customWidth="1"/>
    <col min="5648" max="5888" width="8" style="16" customWidth="1"/>
    <col min="5889" max="5889" width="5.25" style="16" customWidth="1"/>
    <col min="5890" max="5890" width="8.625" style="16" customWidth="1"/>
    <col min="5891" max="5891" width="19.5" style="16" customWidth="1"/>
    <col min="5892" max="5892" width="6.25" style="16" customWidth="1"/>
    <col min="5893" max="5893" width="3.125" style="16" customWidth="1"/>
    <col min="5894" max="5894" width="6.125" style="16" customWidth="1"/>
    <col min="5895" max="5895" width="8.375" style="16" customWidth="1"/>
    <col min="5896" max="5896" width="8.875" style="16" customWidth="1"/>
    <col min="5897" max="5897" width="9.875" style="16" customWidth="1"/>
    <col min="5898" max="5898" width="8.375" style="16" customWidth="1"/>
    <col min="5899" max="5899" width="0.875" style="16" customWidth="1"/>
    <col min="5900" max="5900" width="9" style="16" customWidth="1"/>
    <col min="5901" max="5901" width="9.625" style="16" customWidth="1"/>
    <col min="5902" max="5902" width="11" style="16" customWidth="1"/>
    <col min="5903" max="5903" width="11.125" style="16" customWidth="1"/>
    <col min="5904" max="6144" width="8" style="16" customWidth="1"/>
    <col min="6145" max="6145" width="5.25" style="16" customWidth="1"/>
    <col min="6146" max="6146" width="8.625" style="16" customWidth="1"/>
    <col min="6147" max="6147" width="19.5" style="16" customWidth="1"/>
    <col min="6148" max="6148" width="6.25" style="16" customWidth="1"/>
    <col min="6149" max="6149" width="3.125" style="16" customWidth="1"/>
    <col min="6150" max="6150" width="6.125" style="16" customWidth="1"/>
    <col min="6151" max="6151" width="8.375" style="16" customWidth="1"/>
    <col min="6152" max="6152" width="8.875" style="16" customWidth="1"/>
    <col min="6153" max="6153" width="9.875" style="16" customWidth="1"/>
    <col min="6154" max="6154" width="8.375" style="16" customWidth="1"/>
    <col min="6155" max="6155" width="0.875" style="16" customWidth="1"/>
    <col min="6156" max="6156" width="9" style="16" customWidth="1"/>
    <col min="6157" max="6157" width="9.625" style="16" customWidth="1"/>
    <col min="6158" max="6158" width="11" style="16" customWidth="1"/>
    <col min="6159" max="6159" width="11.125" style="16" customWidth="1"/>
    <col min="6160" max="6400" width="8" style="16" customWidth="1"/>
    <col min="6401" max="6401" width="5.25" style="16" customWidth="1"/>
    <col min="6402" max="6402" width="8.625" style="16" customWidth="1"/>
    <col min="6403" max="6403" width="19.5" style="16" customWidth="1"/>
    <col min="6404" max="6404" width="6.25" style="16" customWidth="1"/>
    <col min="6405" max="6405" width="3.125" style="16" customWidth="1"/>
    <col min="6406" max="6406" width="6.125" style="16" customWidth="1"/>
    <col min="6407" max="6407" width="8.375" style="16" customWidth="1"/>
    <col min="6408" max="6408" width="8.875" style="16" customWidth="1"/>
    <col min="6409" max="6409" width="9.875" style="16" customWidth="1"/>
    <col min="6410" max="6410" width="8.375" style="16" customWidth="1"/>
    <col min="6411" max="6411" width="0.875" style="16" customWidth="1"/>
    <col min="6412" max="6412" width="9" style="16" customWidth="1"/>
    <col min="6413" max="6413" width="9.625" style="16" customWidth="1"/>
    <col min="6414" max="6414" width="11" style="16" customWidth="1"/>
    <col min="6415" max="6415" width="11.125" style="16" customWidth="1"/>
    <col min="6416" max="6656" width="8" style="16" customWidth="1"/>
    <col min="6657" max="6657" width="5.25" style="16" customWidth="1"/>
    <col min="6658" max="6658" width="8.625" style="16" customWidth="1"/>
    <col min="6659" max="6659" width="19.5" style="16" customWidth="1"/>
    <col min="6660" max="6660" width="6.25" style="16" customWidth="1"/>
    <col min="6661" max="6661" width="3.125" style="16" customWidth="1"/>
    <col min="6662" max="6662" width="6.125" style="16" customWidth="1"/>
    <col min="6663" max="6663" width="8.375" style="16" customWidth="1"/>
    <col min="6664" max="6664" width="8.875" style="16" customWidth="1"/>
    <col min="6665" max="6665" width="9.875" style="16" customWidth="1"/>
    <col min="6666" max="6666" width="8.375" style="16" customWidth="1"/>
    <col min="6667" max="6667" width="0.875" style="16" customWidth="1"/>
    <col min="6668" max="6668" width="9" style="16" customWidth="1"/>
    <col min="6669" max="6669" width="9.625" style="16" customWidth="1"/>
    <col min="6670" max="6670" width="11" style="16" customWidth="1"/>
    <col min="6671" max="6671" width="11.125" style="16" customWidth="1"/>
    <col min="6672" max="6912" width="8" style="16" customWidth="1"/>
    <col min="6913" max="6913" width="5.25" style="16" customWidth="1"/>
    <col min="6914" max="6914" width="8.625" style="16" customWidth="1"/>
    <col min="6915" max="6915" width="19.5" style="16" customWidth="1"/>
    <col min="6916" max="6916" width="6.25" style="16" customWidth="1"/>
    <col min="6917" max="6917" width="3.125" style="16" customWidth="1"/>
    <col min="6918" max="6918" width="6.125" style="16" customWidth="1"/>
    <col min="6919" max="6919" width="8.375" style="16" customWidth="1"/>
    <col min="6920" max="6920" width="8.875" style="16" customWidth="1"/>
    <col min="6921" max="6921" width="9.875" style="16" customWidth="1"/>
    <col min="6922" max="6922" width="8.375" style="16" customWidth="1"/>
    <col min="6923" max="6923" width="0.875" style="16" customWidth="1"/>
    <col min="6924" max="6924" width="9" style="16" customWidth="1"/>
    <col min="6925" max="6925" width="9.625" style="16" customWidth="1"/>
    <col min="6926" max="6926" width="11" style="16" customWidth="1"/>
    <col min="6927" max="6927" width="11.125" style="16" customWidth="1"/>
    <col min="6928" max="7168" width="8" style="16" customWidth="1"/>
    <col min="7169" max="7169" width="5.25" style="16" customWidth="1"/>
    <col min="7170" max="7170" width="8.625" style="16" customWidth="1"/>
    <col min="7171" max="7171" width="19.5" style="16" customWidth="1"/>
    <col min="7172" max="7172" width="6.25" style="16" customWidth="1"/>
    <col min="7173" max="7173" width="3.125" style="16" customWidth="1"/>
    <col min="7174" max="7174" width="6.125" style="16" customWidth="1"/>
    <col min="7175" max="7175" width="8.375" style="16" customWidth="1"/>
    <col min="7176" max="7176" width="8.875" style="16" customWidth="1"/>
    <col min="7177" max="7177" width="9.875" style="16" customWidth="1"/>
    <col min="7178" max="7178" width="8.375" style="16" customWidth="1"/>
    <col min="7179" max="7179" width="0.875" style="16" customWidth="1"/>
    <col min="7180" max="7180" width="9" style="16" customWidth="1"/>
    <col min="7181" max="7181" width="9.625" style="16" customWidth="1"/>
    <col min="7182" max="7182" width="11" style="16" customWidth="1"/>
    <col min="7183" max="7183" width="11.125" style="16" customWidth="1"/>
    <col min="7184" max="7424" width="8" style="16" customWidth="1"/>
    <col min="7425" max="7425" width="5.25" style="16" customWidth="1"/>
    <col min="7426" max="7426" width="8.625" style="16" customWidth="1"/>
    <col min="7427" max="7427" width="19.5" style="16" customWidth="1"/>
    <col min="7428" max="7428" width="6.25" style="16" customWidth="1"/>
    <col min="7429" max="7429" width="3.125" style="16" customWidth="1"/>
    <col min="7430" max="7430" width="6.125" style="16" customWidth="1"/>
    <col min="7431" max="7431" width="8.375" style="16" customWidth="1"/>
    <col min="7432" max="7432" width="8.875" style="16" customWidth="1"/>
    <col min="7433" max="7433" width="9.875" style="16" customWidth="1"/>
    <col min="7434" max="7434" width="8.375" style="16" customWidth="1"/>
    <col min="7435" max="7435" width="0.875" style="16" customWidth="1"/>
    <col min="7436" max="7436" width="9" style="16" customWidth="1"/>
    <col min="7437" max="7437" width="9.625" style="16" customWidth="1"/>
    <col min="7438" max="7438" width="11" style="16" customWidth="1"/>
    <col min="7439" max="7439" width="11.125" style="16" customWidth="1"/>
    <col min="7440" max="7680" width="8" style="16" customWidth="1"/>
    <col min="7681" max="7681" width="5.25" style="16" customWidth="1"/>
    <col min="7682" max="7682" width="8.625" style="16" customWidth="1"/>
    <col min="7683" max="7683" width="19.5" style="16" customWidth="1"/>
    <col min="7684" max="7684" width="6.25" style="16" customWidth="1"/>
    <col min="7685" max="7685" width="3.125" style="16" customWidth="1"/>
    <col min="7686" max="7686" width="6.125" style="16" customWidth="1"/>
    <col min="7687" max="7687" width="8.375" style="16" customWidth="1"/>
    <col min="7688" max="7688" width="8.875" style="16" customWidth="1"/>
    <col min="7689" max="7689" width="9.875" style="16" customWidth="1"/>
    <col min="7690" max="7690" width="8.375" style="16" customWidth="1"/>
    <col min="7691" max="7691" width="0.875" style="16" customWidth="1"/>
    <col min="7692" max="7692" width="9" style="16" customWidth="1"/>
    <col min="7693" max="7693" width="9.625" style="16" customWidth="1"/>
    <col min="7694" max="7694" width="11" style="16" customWidth="1"/>
    <col min="7695" max="7695" width="11.125" style="16" customWidth="1"/>
    <col min="7696" max="7936" width="8" style="16" customWidth="1"/>
    <col min="7937" max="7937" width="5.25" style="16" customWidth="1"/>
    <col min="7938" max="7938" width="8.625" style="16" customWidth="1"/>
    <col min="7939" max="7939" width="19.5" style="16" customWidth="1"/>
    <col min="7940" max="7940" width="6.25" style="16" customWidth="1"/>
    <col min="7941" max="7941" width="3.125" style="16" customWidth="1"/>
    <col min="7942" max="7942" width="6.125" style="16" customWidth="1"/>
    <col min="7943" max="7943" width="8.375" style="16" customWidth="1"/>
    <col min="7944" max="7944" width="8.875" style="16" customWidth="1"/>
    <col min="7945" max="7945" width="9.875" style="16" customWidth="1"/>
    <col min="7946" max="7946" width="8.375" style="16" customWidth="1"/>
    <col min="7947" max="7947" width="0.875" style="16" customWidth="1"/>
    <col min="7948" max="7948" width="9" style="16" customWidth="1"/>
    <col min="7949" max="7949" width="9.625" style="16" customWidth="1"/>
    <col min="7950" max="7950" width="11" style="16" customWidth="1"/>
    <col min="7951" max="7951" width="11.125" style="16" customWidth="1"/>
    <col min="7952" max="8192" width="8" style="16" customWidth="1"/>
    <col min="8193" max="8193" width="5.25" style="16" customWidth="1"/>
    <col min="8194" max="8194" width="8.625" style="16" customWidth="1"/>
    <col min="8195" max="8195" width="19.5" style="16" customWidth="1"/>
    <col min="8196" max="8196" width="6.25" style="16" customWidth="1"/>
    <col min="8197" max="8197" width="3.125" style="16" customWidth="1"/>
    <col min="8198" max="8198" width="6.125" style="16" customWidth="1"/>
    <col min="8199" max="8199" width="8.375" style="16" customWidth="1"/>
    <col min="8200" max="8200" width="8.875" style="16" customWidth="1"/>
    <col min="8201" max="8201" width="9.875" style="16" customWidth="1"/>
    <col min="8202" max="8202" width="8.375" style="16" customWidth="1"/>
    <col min="8203" max="8203" width="0.875" style="16" customWidth="1"/>
    <col min="8204" max="8204" width="9" style="16" customWidth="1"/>
    <col min="8205" max="8205" width="9.625" style="16" customWidth="1"/>
    <col min="8206" max="8206" width="11" style="16" customWidth="1"/>
    <col min="8207" max="8207" width="11.125" style="16" customWidth="1"/>
    <col min="8208" max="8448" width="8" style="16" customWidth="1"/>
    <col min="8449" max="8449" width="5.25" style="16" customWidth="1"/>
    <col min="8450" max="8450" width="8.625" style="16" customWidth="1"/>
    <col min="8451" max="8451" width="19.5" style="16" customWidth="1"/>
    <col min="8452" max="8452" width="6.25" style="16" customWidth="1"/>
    <col min="8453" max="8453" width="3.125" style="16" customWidth="1"/>
    <col min="8454" max="8454" width="6.125" style="16" customWidth="1"/>
    <col min="8455" max="8455" width="8.375" style="16" customWidth="1"/>
    <col min="8456" max="8456" width="8.875" style="16" customWidth="1"/>
    <col min="8457" max="8457" width="9.875" style="16" customWidth="1"/>
    <col min="8458" max="8458" width="8.375" style="16" customWidth="1"/>
    <col min="8459" max="8459" width="0.875" style="16" customWidth="1"/>
    <col min="8460" max="8460" width="9" style="16" customWidth="1"/>
    <col min="8461" max="8461" width="9.625" style="16" customWidth="1"/>
    <col min="8462" max="8462" width="11" style="16" customWidth="1"/>
    <col min="8463" max="8463" width="11.125" style="16" customWidth="1"/>
    <col min="8464" max="8704" width="8" style="16" customWidth="1"/>
    <col min="8705" max="8705" width="5.25" style="16" customWidth="1"/>
    <col min="8706" max="8706" width="8.625" style="16" customWidth="1"/>
    <col min="8707" max="8707" width="19.5" style="16" customWidth="1"/>
    <col min="8708" max="8708" width="6.25" style="16" customWidth="1"/>
    <col min="8709" max="8709" width="3.125" style="16" customWidth="1"/>
    <col min="8710" max="8710" width="6.125" style="16" customWidth="1"/>
    <col min="8711" max="8711" width="8.375" style="16" customWidth="1"/>
    <col min="8712" max="8712" width="8.875" style="16" customWidth="1"/>
    <col min="8713" max="8713" width="9.875" style="16" customWidth="1"/>
    <col min="8714" max="8714" width="8.375" style="16" customWidth="1"/>
    <col min="8715" max="8715" width="0.875" style="16" customWidth="1"/>
    <col min="8716" max="8716" width="9" style="16" customWidth="1"/>
    <col min="8717" max="8717" width="9.625" style="16" customWidth="1"/>
    <col min="8718" max="8718" width="11" style="16" customWidth="1"/>
    <col min="8719" max="8719" width="11.125" style="16" customWidth="1"/>
    <col min="8720" max="8960" width="8" style="16" customWidth="1"/>
    <col min="8961" max="8961" width="5.25" style="16" customWidth="1"/>
    <col min="8962" max="8962" width="8.625" style="16" customWidth="1"/>
    <col min="8963" max="8963" width="19.5" style="16" customWidth="1"/>
    <col min="8964" max="8964" width="6.25" style="16" customWidth="1"/>
    <col min="8965" max="8965" width="3.125" style="16" customWidth="1"/>
    <col min="8966" max="8966" width="6.125" style="16" customWidth="1"/>
    <col min="8967" max="8967" width="8.375" style="16" customWidth="1"/>
    <col min="8968" max="8968" width="8.875" style="16" customWidth="1"/>
    <col min="8969" max="8969" width="9.875" style="16" customWidth="1"/>
    <col min="8970" max="8970" width="8.375" style="16" customWidth="1"/>
    <col min="8971" max="8971" width="0.875" style="16" customWidth="1"/>
    <col min="8972" max="8972" width="9" style="16" customWidth="1"/>
    <col min="8973" max="8973" width="9.625" style="16" customWidth="1"/>
    <col min="8974" max="8974" width="11" style="16" customWidth="1"/>
    <col min="8975" max="8975" width="11.125" style="16" customWidth="1"/>
    <col min="8976" max="9216" width="8" style="16" customWidth="1"/>
    <col min="9217" max="9217" width="5.25" style="16" customWidth="1"/>
    <col min="9218" max="9218" width="8.625" style="16" customWidth="1"/>
    <col min="9219" max="9219" width="19.5" style="16" customWidth="1"/>
    <col min="9220" max="9220" width="6.25" style="16" customWidth="1"/>
    <col min="9221" max="9221" width="3.125" style="16" customWidth="1"/>
    <col min="9222" max="9222" width="6.125" style="16" customWidth="1"/>
    <col min="9223" max="9223" width="8.375" style="16" customWidth="1"/>
    <col min="9224" max="9224" width="8.875" style="16" customWidth="1"/>
    <col min="9225" max="9225" width="9.875" style="16" customWidth="1"/>
    <col min="9226" max="9226" width="8.375" style="16" customWidth="1"/>
    <col min="9227" max="9227" width="0.875" style="16" customWidth="1"/>
    <col min="9228" max="9228" width="9" style="16" customWidth="1"/>
    <col min="9229" max="9229" width="9.625" style="16" customWidth="1"/>
    <col min="9230" max="9230" width="11" style="16" customWidth="1"/>
    <col min="9231" max="9231" width="11.125" style="16" customWidth="1"/>
    <col min="9232" max="9472" width="8" style="16" customWidth="1"/>
    <col min="9473" max="9473" width="5.25" style="16" customWidth="1"/>
    <col min="9474" max="9474" width="8.625" style="16" customWidth="1"/>
    <col min="9475" max="9475" width="19.5" style="16" customWidth="1"/>
    <col min="9476" max="9476" width="6.25" style="16" customWidth="1"/>
    <col min="9477" max="9477" width="3.125" style="16" customWidth="1"/>
    <col min="9478" max="9478" width="6.125" style="16" customWidth="1"/>
    <col min="9479" max="9479" width="8.375" style="16" customWidth="1"/>
    <col min="9480" max="9480" width="8.875" style="16" customWidth="1"/>
    <col min="9481" max="9481" width="9.875" style="16" customWidth="1"/>
    <col min="9482" max="9482" width="8.375" style="16" customWidth="1"/>
    <col min="9483" max="9483" width="0.875" style="16" customWidth="1"/>
    <col min="9484" max="9484" width="9" style="16" customWidth="1"/>
    <col min="9485" max="9485" width="9.625" style="16" customWidth="1"/>
    <col min="9486" max="9486" width="11" style="16" customWidth="1"/>
    <col min="9487" max="9487" width="11.125" style="16" customWidth="1"/>
    <col min="9488" max="9728" width="8" style="16" customWidth="1"/>
    <col min="9729" max="9729" width="5.25" style="16" customWidth="1"/>
    <col min="9730" max="9730" width="8.625" style="16" customWidth="1"/>
    <col min="9731" max="9731" width="19.5" style="16" customWidth="1"/>
    <col min="9732" max="9732" width="6.25" style="16" customWidth="1"/>
    <col min="9733" max="9733" width="3.125" style="16" customWidth="1"/>
    <col min="9734" max="9734" width="6.125" style="16" customWidth="1"/>
    <col min="9735" max="9735" width="8.375" style="16" customWidth="1"/>
    <col min="9736" max="9736" width="8.875" style="16" customWidth="1"/>
    <col min="9737" max="9737" width="9.875" style="16" customWidth="1"/>
    <col min="9738" max="9738" width="8.375" style="16" customWidth="1"/>
    <col min="9739" max="9739" width="0.875" style="16" customWidth="1"/>
    <col min="9740" max="9740" width="9" style="16" customWidth="1"/>
    <col min="9741" max="9741" width="9.625" style="16" customWidth="1"/>
    <col min="9742" max="9742" width="11" style="16" customWidth="1"/>
    <col min="9743" max="9743" width="11.125" style="16" customWidth="1"/>
    <col min="9744" max="9984" width="8" style="16" customWidth="1"/>
    <col min="9985" max="9985" width="5.25" style="16" customWidth="1"/>
    <col min="9986" max="9986" width="8.625" style="16" customWidth="1"/>
    <col min="9987" max="9987" width="19.5" style="16" customWidth="1"/>
    <col min="9988" max="9988" width="6.25" style="16" customWidth="1"/>
    <col min="9989" max="9989" width="3.125" style="16" customWidth="1"/>
    <col min="9990" max="9990" width="6.125" style="16" customWidth="1"/>
    <col min="9991" max="9991" width="8.375" style="16" customWidth="1"/>
    <col min="9992" max="9992" width="8.875" style="16" customWidth="1"/>
    <col min="9993" max="9993" width="9.875" style="16" customWidth="1"/>
    <col min="9994" max="9994" width="8.375" style="16" customWidth="1"/>
    <col min="9995" max="9995" width="0.875" style="16" customWidth="1"/>
    <col min="9996" max="9996" width="9" style="16" customWidth="1"/>
    <col min="9997" max="9997" width="9.625" style="16" customWidth="1"/>
    <col min="9998" max="9998" width="11" style="16" customWidth="1"/>
    <col min="9999" max="9999" width="11.125" style="16" customWidth="1"/>
    <col min="10000" max="10240" width="8" style="16" customWidth="1"/>
    <col min="10241" max="10241" width="5.25" style="16" customWidth="1"/>
    <col min="10242" max="10242" width="8.625" style="16" customWidth="1"/>
    <col min="10243" max="10243" width="19.5" style="16" customWidth="1"/>
    <col min="10244" max="10244" width="6.25" style="16" customWidth="1"/>
    <col min="10245" max="10245" width="3.125" style="16" customWidth="1"/>
    <col min="10246" max="10246" width="6.125" style="16" customWidth="1"/>
    <col min="10247" max="10247" width="8.375" style="16" customWidth="1"/>
    <col min="10248" max="10248" width="8.875" style="16" customWidth="1"/>
    <col min="10249" max="10249" width="9.875" style="16" customWidth="1"/>
    <col min="10250" max="10250" width="8.375" style="16" customWidth="1"/>
    <col min="10251" max="10251" width="0.875" style="16" customWidth="1"/>
    <col min="10252" max="10252" width="9" style="16" customWidth="1"/>
    <col min="10253" max="10253" width="9.625" style="16" customWidth="1"/>
    <col min="10254" max="10254" width="11" style="16" customWidth="1"/>
    <col min="10255" max="10255" width="11.125" style="16" customWidth="1"/>
    <col min="10256" max="10496" width="8" style="16" customWidth="1"/>
    <col min="10497" max="10497" width="5.25" style="16" customWidth="1"/>
    <col min="10498" max="10498" width="8.625" style="16" customWidth="1"/>
    <col min="10499" max="10499" width="19.5" style="16" customWidth="1"/>
    <col min="10500" max="10500" width="6.25" style="16" customWidth="1"/>
    <col min="10501" max="10501" width="3.125" style="16" customWidth="1"/>
    <col min="10502" max="10502" width="6.125" style="16" customWidth="1"/>
    <col min="10503" max="10503" width="8.375" style="16" customWidth="1"/>
    <col min="10504" max="10504" width="8.875" style="16" customWidth="1"/>
    <col min="10505" max="10505" width="9.875" style="16" customWidth="1"/>
    <col min="10506" max="10506" width="8.375" style="16" customWidth="1"/>
    <col min="10507" max="10507" width="0.875" style="16" customWidth="1"/>
    <col min="10508" max="10508" width="9" style="16" customWidth="1"/>
    <col min="10509" max="10509" width="9.625" style="16" customWidth="1"/>
    <col min="10510" max="10510" width="11" style="16" customWidth="1"/>
    <col min="10511" max="10511" width="11.125" style="16" customWidth="1"/>
    <col min="10512" max="10752" width="8" style="16" customWidth="1"/>
    <col min="10753" max="10753" width="5.25" style="16" customWidth="1"/>
    <col min="10754" max="10754" width="8.625" style="16" customWidth="1"/>
    <col min="10755" max="10755" width="19.5" style="16" customWidth="1"/>
    <col min="10756" max="10756" width="6.25" style="16" customWidth="1"/>
    <col min="10757" max="10757" width="3.125" style="16" customWidth="1"/>
    <col min="10758" max="10758" width="6.125" style="16" customWidth="1"/>
    <col min="10759" max="10759" width="8.375" style="16" customWidth="1"/>
    <col min="10760" max="10760" width="8.875" style="16" customWidth="1"/>
    <col min="10761" max="10761" width="9.875" style="16" customWidth="1"/>
    <col min="10762" max="10762" width="8.375" style="16" customWidth="1"/>
    <col min="10763" max="10763" width="0.875" style="16" customWidth="1"/>
    <col min="10764" max="10764" width="9" style="16" customWidth="1"/>
    <col min="10765" max="10765" width="9.625" style="16" customWidth="1"/>
    <col min="10766" max="10766" width="11" style="16" customWidth="1"/>
    <col min="10767" max="10767" width="11.125" style="16" customWidth="1"/>
    <col min="10768" max="11008" width="8" style="16" customWidth="1"/>
    <col min="11009" max="11009" width="5.25" style="16" customWidth="1"/>
    <col min="11010" max="11010" width="8.625" style="16" customWidth="1"/>
    <col min="11011" max="11011" width="19.5" style="16" customWidth="1"/>
    <col min="11012" max="11012" width="6.25" style="16" customWidth="1"/>
    <col min="11013" max="11013" width="3.125" style="16" customWidth="1"/>
    <col min="11014" max="11014" width="6.125" style="16" customWidth="1"/>
    <col min="11015" max="11015" width="8.375" style="16" customWidth="1"/>
    <col min="11016" max="11016" width="8.875" style="16" customWidth="1"/>
    <col min="11017" max="11017" width="9.875" style="16" customWidth="1"/>
    <col min="11018" max="11018" width="8.375" style="16" customWidth="1"/>
    <col min="11019" max="11019" width="0.875" style="16" customWidth="1"/>
    <col min="11020" max="11020" width="9" style="16" customWidth="1"/>
    <col min="11021" max="11021" width="9.625" style="16" customWidth="1"/>
    <col min="11022" max="11022" width="11" style="16" customWidth="1"/>
    <col min="11023" max="11023" width="11.125" style="16" customWidth="1"/>
    <col min="11024" max="11264" width="8" style="16" customWidth="1"/>
    <col min="11265" max="11265" width="5.25" style="16" customWidth="1"/>
    <col min="11266" max="11266" width="8.625" style="16" customWidth="1"/>
    <col min="11267" max="11267" width="19.5" style="16" customWidth="1"/>
    <col min="11268" max="11268" width="6.25" style="16" customWidth="1"/>
    <col min="11269" max="11269" width="3.125" style="16" customWidth="1"/>
    <col min="11270" max="11270" width="6.125" style="16" customWidth="1"/>
    <col min="11271" max="11271" width="8.375" style="16" customWidth="1"/>
    <col min="11272" max="11272" width="8.875" style="16" customWidth="1"/>
    <col min="11273" max="11273" width="9.875" style="16" customWidth="1"/>
    <col min="11274" max="11274" width="8.375" style="16" customWidth="1"/>
    <col min="11275" max="11275" width="0.875" style="16" customWidth="1"/>
    <col min="11276" max="11276" width="9" style="16" customWidth="1"/>
    <col min="11277" max="11277" width="9.625" style="16" customWidth="1"/>
    <col min="11278" max="11278" width="11" style="16" customWidth="1"/>
    <col min="11279" max="11279" width="11.125" style="16" customWidth="1"/>
    <col min="11280" max="11520" width="8" style="16" customWidth="1"/>
    <col min="11521" max="11521" width="5.25" style="16" customWidth="1"/>
    <col min="11522" max="11522" width="8.625" style="16" customWidth="1"/>
    <col min="11523" max="11523" width="19.5" style="16" customWidth="1"/>
    <col min="11524" max="11524" width="6.25" style="16" customWidth="1"/>
    <col min="11525" max="11525" width="3.125" style="16" customWidth="1"/>
    <col min="11526" max="11526" width="6.125" style="16" customWidth="1"/>
    <col min="11527" max="11527" width="8.375" style="16" customWidth="1"/>
    <col min="11528" max="11528" width="8.875" style="16" customWidth="1"/>
    <col min="11529" max="11529" width="9.875" style="16" customWidth="1"/>
    <col min="11530" max="11530" width="8.375" style="16" customWidth="1"/>
    <col min="11531" max="11531" width="0.875" style="16" customWidth="1"/>
    <col min="11532" max="11532" width="9" style="16" customWidth="1"/>
    <col min="11533" max="11533" width="9.625" style="16" customWidth="1"/>
    <col min="11534" max="11534" width="11" style="16" customWidth="1"/>
    <col min="11535" max="11535" width="11.125" style="16" customWidth="1"/>
    <col min="11536" max="11776" width="8" style="16" customWidth="1"/>
    <col min="11777" max="11777" width="5.25" style="16" customWidth="1"/>
    <col min="11778" max="11778" width="8.625" style="16" customWidth="1"/>
    <col min="11779" max="11779" width="19.5" style="16" customWidth="1"/>
    <col min="11780" max="11780" width="6.25" style="16" customWidth="1"/>
    <col min="11781" max="11781" width="3.125" style="16" customWidth="1"/>
    <col min="11782" max="11782" width="6.125" style="16" customWidth="1"/>
    <col min="11783" max="11783" width="8.375" style="16" customWidth="1"/>
    <col min="11784" max="11784" width="8.875" style="16" customWidth="1"/>
    <col min="11785" max="11785" width="9.875" style="16" customWidth="1"/>
    <col min="11786" max="11786" width="8.375" style="16" customWidth="1"/>
    <col min="11787" max="11787" width="0.875" style="16" customWidth="1"/>
    <col min="11788" max="11788" width="9" style="16" customWidth="1"/>
    <col min="11789" max="11789" width="9.625" style="16" customWidth="1"/>
    <col min="11790" max="11790" width="11" style="16" customWidth="1"/>
    <col min="11791" max="11791" width="11.125" style="16" customWidth="1"/>
    <col min="11792" max="12032" width="8" style="16" customWidth="1"/>
    <col min="12033" max="12033" width="5.25" style="16" customWidth="1"/>
    <col min="12034" max="12034" width="8.625" style="16" customWidth="1"/>
    <col min="12035" max="12035" width="19.5" style="16" customWidth="1"/>
    <col min="12036" max="12036" width="6.25" style="16" customWidth="1"/>
    <col min="12037" max="12037" width="3.125" style="16" customWidth="1"/>
    <col min="12038" max="12038" width="6.125" style="16" customWidth="1"/>
    <col min="12039" max="12039" width="8.375" style="16" customWidth="1"/>
    <col min="12040" max="12040" width="8.875" style="16" customWidth="1"/>
    <col min="12041" max="12041" width="9.875" style="16" customWidth="1"/>
    <col min="12042" max="12042" width="8.375" style="16" customWidth="1"/>
    <col min="12043" max="12043" width="0.875" style="16" customWidth="1"/>
    <col min="12044" max="12044" width="9" style="16" customWidth="1"/>
    <col min="12045" max="12045" width="9.625" style="16" customWidth="1"/>
    <col min="12046" max="12046" width="11" style="16" customWidth="1"/>
    <col min="12047" max="12047" width="11.125" style="16" customWidth="1"/>
    <col min="12048" max="12288" width="8" style="16" customWidth="1"/>
    <col min="12289" max="12289" width="5.25" style="16" customWidth="1"/>
    <col min="12290" max="12290" width="8.625" style="16" customWidth="1"/>
    <col min="12291" max="12291" width="19.5" style="16" customWidth="1"/>
    <col min="12292" max="12292" width="6.25" style="16" customWidth="1"/>
    <col min="12293" max="12293" width="3.125" style="16" customWidth="1"/>
    <col min="12294" max="12294" width="6.125" style="16" customWidth="1"/>
    <col min="12295" max="12295" width="8.375" style="16" customWidth="1"/>
    <col min="12296" max="12296" width="8.875" style="16" customWidth="1"/>
    <col min="12297" max="12297" width="9.875" style="16" customWidth="1"/>
    <col min="12298" max="12298" width="8.375" style="16" customWidth="1"/>
    <col min="12299" max="12299" width="0.875" style="16" customWidth="1"/>
    <col min="12300" max="12300" width="9" style="16" customWidth="1"/>
    <col min="12301" max="12301" width="9.625" style="16" customWidth="1"/>
    <col min="12302" max="12302" width="11" style="16" customWidth="1"/>
    <col min="12303" max="12303" width="11.125" style="16" customWidth="1"/>
    <col min="12304" max="12544" width="8" style="16" customWidth="1"/>
    <col min="12545" max="12545" width="5.25" style="16" customWidth="1"/>
    <col min="12546" max="12546" width="8.625" style="16" customWidth="1"/>
    <col min="12547" max="12547" width="19.5" style="16" customWidth="1"/>
    <col min="12548" max="12548" width="6.25" style="16" customWidth="1"/>
    <col min="12549" max="12549" width="3.125" style="16" customWidth="1"/>
    <col min="12550" max="12550" width="6.125" style="16" customWidth="1"/>
    <col min="12551" max="12551" width="8.375" style="16" customWidth="1"/>
    <col min="12552" max="12552" width="8.875" style="16" customWidth="1"/>
    <col min="12553" max="12553" width="9.875" style="16" customWidth="1"/>
    <col min="12554" max="12554" width="8.375" style="16" customWidth="1"/>
    <col min="12555" max="12555" width="0.875" style="16" customWidth="1"/>
    <col min="12556" max="12556" width="9" style="16" customWidth="1"/>
    <col min="12557" max="12557" width="9.625" style="16" customWidth="1"/>
    <col min="12558" max="12558" width="11" style="16" customWidth="1"/>
    <col min="12559" max="12559" width="11.125" style="16" customWidth="1"/>
    <col min="12560" max="12800" width="8" style="16" customWidth="1"/>
    <col min="12801" max="12801" width="5.25" style="16" customWidth="1"/>
    <col min="12802" max="12802" width="8.625" style="16" customWidth="1"/>
    <col min="12803" max="12803" width="19.5" style="16" customWidth="1"/>
    <col min="12804" max="12804" width="6.25" style="16" customWidth="1"/>
    <col min="12805" max="12805" width="3.125" style="16" customWidth="1"/>
    <col min="12806" max="12806" width="6.125" style="16" customWidth="1"/>
    <col min="12807" max="12807" width="8.375" style="16" customWidth="1"/>
    <col min="12808" max="12808" width="8.875" style="16" customWidth="1"/>
    <col min="12809" max="12809" width="9.875" style="16" customWidth="1"/>
    <col min="12810" max="12810" width="8.375" style="16" customWidth="1"/>
    <col min="12811" max="12811" width="0.875" style="16" customWidth="1"/>
    <col min="12812" max="12812" width="9" style="16" customWidth="1"/>
    <col min="12813" max="12813" width="9.625" style="16" customWidth="1"/>
    <col min="12814" max="12814" width="11" style="16" customWidth="1"/>
    <col min="12815" max="12815" width="11.125" style="16" customWidth="1"/>
    <col min="12816" max="13056" width="8" style="16" customWidth="1"/>
    <col min="13057" max="13057" width="5.25" style="16" customWidth="1"/>
    <col min="13058" max="13058" width="8.625" style="16" customWidth="1"/>
    <col min="13059" max="13059" width="19.5" style="16" customWidth="1"/>
    <col min="13060" max="13060" width="6.25" style="16" customWidth="1"/>
    <col min="13061" max="13061" width="3.125" style="16" customWidth="1"/>
    <col min="13062" max="13062" width="6.125" style="16" customWidth="1"/>
    <col min="13063" max="13063" width="8.375" style="16" customWidth="1"/>
    <col min="13064" max="13064" width="8.875" style="16" customWidth="1"/>
    <col min="13065" max="13065" width="9.875" style="16" customWidth="1"/>
    <col min="13066" max="13066" width="8.375" style="16" customWidth="1"/>
    <col min="13067" max="13067" width="0.875" style="16" customWidth="1"/>
    <col min="13068" max="13068" width="9" style="16" customWidth="1"/>
    <col min="13069" max="13069" width="9.625" style="16" customWidth="1"/>
    <col min="13070" max="13070" width="11" style="16" customWidth="1"/>
    <col min="13071" max="13071" width="11.125" style="16" customWidth="1"/>
    <col min="13072" max="13312" width="8" style="16" customWidth="1"/>
    <col min="13313" max="13313" width="5.25" style="16" customWidth="1"/>
    <col min="13314" max="13314" width="8.625" style="16" customWidth="1"/>
    <col min="13315" max="13315" width="19.5" style="16" customWidth="1"/>
    <col min="13316" max="13316" width="6.25" style="16" customWidth="1"/>
    <col min="13317" max="13317" width="3.125" style="16" customWidth="1"/>
    <col min="13318" max="13318" width="6.125" style="16" customWidth="1"/>
    <col min="13319" max="13319" width="8.375" style="16" customWidth="1"/>
    <col min="13320" max="13320" width="8.875" style="16" customWidth="1"/>
    <col min="13321" max="13321" width="9.875" style="16" customWidth="1"/>
    <col min="13322" max="13322" width="8.375" style="16" customWidth="1"/>
    <col min="13323" max="13323" width="0.875" style="16" customWidth="1"/>
    <col min="13324" max="13324" width="9" style="16" customWidth="1"/>
    <col min="13325" max="13325" width="9.625" style="16" customWidth="1"/>
    <col min="13326" max="13326" width="11" style="16" customWidth="1"/>
    <col min="13327" max="13327" width="11.125" style="16" customWidth="1"/>
    <col min="13328" max="13568" width="8" style="16" customWidth="1"/>
    <col min="13569" max="13569" width="5.25" style="16" customWidth="1"/>
    <col min="13570" max="13570" width="8.625" style="16" customWidth="1"/>
    <col min="13571" max="13571" width="19.5" style="16" customWidth="1"/>
    <col min="13572" max="13572" width="6.25" style="16" customWidth="1"/>
    <col min="13573" max="13573" width="3.125" style="16" customWidth="1"/>
    <col min="13574" max="13574" width="6.125" style="16" customWidth="1"/>
    <col min="13575" max="13575" width="8.375" style="16" customWidth="1"/>
    <col min="13576" max="13576" width="8.875" style="16" customWidth="1"/>
    <col min="13577" max="13577" width="9.875" style="16" customWidth="1"/>
    <col min="13578" max="13578" width="8.375" style="16" customWidth="1"/>
    <col min="13579" max="13579" width="0.875" style="16" customWidth="1"/>
    <col min="13580" max="13580" width="9" style="16" customWidth="1"/>
    <col min="13581" max="13581" width="9.625" style="16" customWidth="1"/>
    <col min="13582" max="13582" width="11" style="16" customWidth="1"/>
    <col min="13583" max="13583" width="11.125" style="16" customWidth="1"/>
    <col min="13584" max="13824" width="8" style="16" customWidth="1"/>
    <col min="13825" max="13825" width="5.25" style="16" customWidth="1"/>
    <col min="13826" max="13826" width="8.625" style="16" customWidth="1"/>
    <col min="13827" max="13827" width="19.5" style="16" customWidth="1"/>
    <col min="13828" max="13828" width="6.25" style="16" customWidth="1"/>
    <col min="13829" max="13829" width="3.125" style="16" customWidth="1"/>
    <col min="13830" max="13830" width="6.125" style="16" customWidth="1"/>
    <col min="13831" max="13831" width="8.375" style="16" customWidth="1"/>
    <col min="13832" max="13832" width="8.875" style="16" customWidth="1"/>
    <col min="13833" max="13833" width="9.875" style="16" customWidth="1"/>
    <col min="13834" max="13834" width="8.375" style="16" customWidth="1"/>
    <col min="13835" max="13835" width="0.875" style="16" customWidth="1"/>
    <col min="13836" max="13836" width="9" style="16" customWidth="1"/>
    <col min="13837" max="13837" width="9.625" style="16" customWidth="1"/>
    <col min="13838" max="13838" width="11" style="16" customWidth="1"/>
    <col min="13839" max="13839" width="11.125" style="16" customWidth="1"/>
    <col min="13840" max="14080" width="8" style="16" customWidth="1"/>
    <col min="14081" max="14081" width="5.25" style="16" customWidth="1"/>
    <col min="14082" max="14082" width="8.625" style="16" customWidth="1"/>
    <col min="14083" max="14083" width="19.5" style="16" customWidth="1"/>
    <col min="14084" max="14084" width="6.25" style="16" customWidth="1"/>
    <col min="14085" max="14085" width="3.125" style="16" customWidth="1"/>
    <col min="14086" max="14086" width="6.125" style="16" customWidth="1"/>
    <col min="14087" max="14087" width="8.375" style="16" customWidth="1"/>
    <col min="14088" max="14088" width="8.875" style="16" customWidth="1"/>
    <col min="14089" max="14089" width="9.875" style="16" customWidth="1"/>
    <col min="14090" max="14090" width="8.375" style="16" customWidth="1"/>
    <col min="14091" max="14091" width="0.875" style="16" customWidth="1"/>
    <col min="14092" max="14092" width="9" style="16" customWidth="1"/>
    <col min="14093" max="14093" width="9.625" style="16" customWidth="1"/>
    <col min="14094" max="14094" width="11" style="16" customWidth="1"/>
    <col min="14095" max="14095" width="11.125" style="16" customWidth="1"/>
    <col min="14096" max="14336" width="8" style="16" customWidth="1"/>
    <col min="14337" max="14337" width="5.25" style="16" customWidth="1"/>
    <col min="14338" max="14338" width="8.625" style="16" customWidth="1"/>
    <col min="14339" max="14339" width="19.5" style="16" customWidth="1"/>
    <col min="14340" max="14340" width="6.25" style="16" customWidth="1"/>
    <col min="14341" max="14341" width="3.125" style="16" customWidth="1"/>
    <col min="14342" max="14342" width="6.125" style="16" customWidth="1"/>
    <col min="14343" max="14343" width="8.375" style="16" customWidth="1"/>
    <col min="14344" max="14344" width="8.875" style="16" customWidth="1"/>
    <col min="14345" max="14345" width="9.875" style="16" customWidth="1"/>
    <col min="14346" max="14346" width="8.375" style="16" customWidth="1"/>
    <col min="14347" max="14347" width="0.875" style="16" customWidth="1"/>
    <col min="14348" max="14348" width="9" style="16" customWidth="1"/>
    <col min="14349" max="14349" width="9.625" style="16" customWidth="1"/>
    <col min="14350" max="14350" width="11" style="16" customWidth="1"/>
    <col min="14351" max="14351" width="11.125" style="16" customWidth="1"/>
    <col min="14352" max="14592" width="8" style="16" customWidth="1"/>
    <col min="14593" max="14593" width="5.25" style="16" customWidth="1"/>
    <col min="14594" max="14594" width="8.625" style="16" customWidth="1"/>
    <col min="14595" max="14595" width="19.5" style="16" customWidth="1"/>
    <col min="14596" max="14596" width="6.25" style="16" customWidth="1"/>
    <col min="14597" max="14597" width="3.125" style="16" customWidth="1"/>
    <col min="14598" max="14598" width="6.125" style="16" customWidth="1"/>
    <col min="14599" max="14599" width="8.375" style="16" customWidth="1"/>
    <col min="14600" max="14600" width="8.875" style="16" customWidth="1"/>
    <col min="14601" max="14601" width="9.875" style="16" customWidth="1"/>
    <col min="14602" max="14602" width="8.375" style="16" customWidth="1"/>
    <col min="14603" max="14603" width="0.875" style="16" customWidth="1"/>
    <col min="14604" max="14604" width="9" style="16" customWidth="1"/>
    <col min="14605" max="14605" width="9.625" style="16" customWidth="1"/>
    <col min="14606" max="14606" width="11" style="16" customWidth="1"/>
    <col min="14607" max="14607" width="11.125" style="16" customWidth="1"/>
    <col min="14608" max="14848" width="8" style="16" customWidth="1"/>
    <col min="14849" max="14849" width="5.25" style="16" customWidth="1"/>
    <col min="14850" max="14850" width="8.625" style="16" customWidth="1"/>
    <col min="14851" max="14851" width="19.5" style="16" customWidth="1"/>
    <col min="14852" max="14852" width="6.25" style="16" customWidth="1"/>
    <col min="14853" max="14853" width="3.125" style="16" customWidth="1"/>
    <col min="14854" max="14854" width="6.125" style="16" customWidth="1"/>
    <col min="14855" max="14855" width="8.375" style="16" customWidth="1"/>
    <col min="14856" max="14856" width="8.875" style="16" customWidth="1"/>
    <col min="14857" max="14857" width="9.875" style="16" customWidth="1"/>
    <col min="14858" max="14858" width="8.375" style="16" customWidth="1"/>
    <col min="14859" max="14859" width="0.875" style="16" customWidth="1"/>
    <col min="14860" max="14860" width="9" style="16" customWidth="1"/>
    <col min="14861" max="14861" width="9.625" style="16" customWidth="1"/>
    <col min="14862" max="14862" width="11" style="16" customWidth="1"/>
    <col min="14863" max="14863" width="11.125" style="16" customWidth="1"/>
    <col min="14864" max="15104" width="8" style="16" customWidth="1"/>
    <col min="15105" max="15105" width="5.25" style="16" customWidth="1"/>
    <col min="15106" max="15106" width="8.625" style="16" customWidth="1"/>
    <col min="15107" max="15107" width="19.5" style="16" customWidth="1"/>
    <col min="15108" max="15108" width="6.25" style="16" customWidth="1"/>
    <col min="15109" max="15109" width="3.125" style="16" customWidth="1"/>
    <col min="15110" max="15110" width="6.125" style="16" customWidth="1"/>
    <col min="15111" max="15111" width="8.375" style="16" customWidth="1"/>
    <col min="15112" max="15112" width="8.875" style="16" customWidth="1"/>
    <col min="15113" max="15113" width="9.875" style="16" customWidth="1"/>
    <col min="15114" max="15114" width="8.375" style="16" customWidth="1"/>
    <col min="15115" max="15115" width="0.875" style="16" customWidth="1"/>
    <col min="15116" max="15116" width="9" style="16" customWidth="1"/>
    <col min="15117" max="15117" width="9.625" style="16" customWidth="1"/>
    <col min="15118" max="15118" width="11" style="16" customWidth="1"/>
    <col min="15119" max="15119" width="11.125" style="16" customWidth="1"/>
    <col min="15120" max="15360" width="8" style="16" customWidth="1"/>
    <col min="15361" max="15361" width="5.25" style="16" customWidth="1"/>
    <col min="15362" max="15362" width="8.625" style="16" customWidth="1"/>
    <col min="15363" max="15363" width="19.5" style="16" customWidth="1"/>
    <col min="15364" max="15364" width="6.25" style="16" customWidth="1"/>
    <col min="15365" max="15365" width="3.125" style="16" customWidth="1"/>
    <col min="15366" max="15366" width="6.125" style="16" customWidth="1"/>
    <col min="15367" max="15367" width="8.375" style="16" customWidth="1"/>
    <col min="15368" max="15368" width="8.875" style="16" customWidth="1"/>
    <col min="15369" max="15369" width="9.875" style="16" customWidth="1"/>
    <col min="15370" max="15370" width="8.375" style="16" customWidth="1"/>
    <col min="15371" max="15371" width="0.875" style="16" customWidth="1"/>
    <col min="15372" max="15372" width="9" style="16" customWidth="1"/>
    <col min="15373" max="15373" width="9.625" style="16" customWidth="1"/>
    <col min="15374" max="15374" width="11" style="16" customWidth="1"/>
    <col min="15375" max="15375" width="11.125" style="16" customWidth="1"/>
    <col min="15376" max="15616" width="8" style="16" customWidth="1"/>
    <col min="15617" max="15617" width="5.25" style="16" customWidth="1"/>
    <col min="15618" max="15618" width="8.625" style="16" customWidth="1"/>
    <col min="15619" max="15619" width="19.5" style="16" customWidth="1"/>
    <col min="15620" max="15620" width="6.25" style="16" customWidth="1"/>
    <col min="15621" max="15621" width="3.125" style="16" customWidth="1"/>
    <col min="15622" max="15622" width="6.125" style="16" customWidth="1"/>
    <col min="15623" max="15623" width="8.375" style="16" customWidth="1"/>
    <col min="15624" max="15624" width="8.875" style="16" customWidth="1"/>
    <col min="15625" max="15625" width="9.875" style="16" customWidth="1"/>
    <col min="15626" max="15626" width="8.375" style="16" customWidth="1"/>
    <col min="15627" max="15627" width="0.875" style="16" customWidth="1"/>
    <col min="15628" max="15628" width="9" style="16" customWidth="1"/>
    <col min="15629" max="15629" width="9.625" style="16" customWidth="1"/>
    <col min="15630" max="15630" width="11" style="16" customWidth="1"/>
    <col min="15631" max="15631" width="11.125" style="16" customWidth="1"/>
    <col min="15632" max="15872" width="8" style="16" customWidth="1"/>
    <col min="15873" max="15873" width="5.25" style="16" customWidth="1"/>
    <col min="15874" max="15874" width="8.625" style="16" customWidth="1"/>
    <col min="15875" max="15875" width="19.5" style="16" customWidth="1"/>
    <col min="15876" max="15876" width="6.25" style="16" customWidth="1"/>
    <col min="15877" max="15877" width="3.125" style="16" customWidth="1"/>
    <col min="15878" max="15878" width="6.125" style="16" customWidth="1"/>
    <col min="15879" max="15879" width="8.375" style="16" customWidth="1"/>
    <col min="15880" max="15880" width="8.875" style="16" customWidth="1"/>
    <col min="15881" max="15881" width="9.875" style="16" customWidth="1"/>
    <col min="15882" max="15882" width="8.375" style="16" customWidth="1"/>
    <col min="15883" max="15883" width="0.875" style="16" customWidth="1"/>
    <col min="15884" max="15884" width="9" style="16" customWidth="1"/>
    <col min="15885" max="15885" width="9.625" style="16" customWidth="1"/>
    <col min="15886" max="15886" width="11" style="16" customWidth="1"/>
    <col min="15887" max="15887" width="11.125" style="16" customWidth="1"/>
    <col min="15888" max="16128" width="8" style="16" customWidth="1"/>
    <col min="16129" max="16129" width="5.25" style="16" customWidth="1"/>
    <col min="16130" max="16130" width="8.625" style="16" customWidth="1"/>
    <col min="16131" max="16131" width="19.5" style="16" customWidth="1"/>
    <col min="16132" max="16132" width="6.25" style="16" customWidth="1"/>
    <col min="16133" max="16133" width="3.125" style="16" customWidth="1"/>
    <col min="16134" max="16134" width="6.125" style="16" customWidth="1"/>
    <col min="16135" max="16135" width="8.375" style="16" customWidth="1"/>
    <col min="16136" max="16136" width="8.875" style="16" customWidth="1"/>
    <col min="16137" max="16137" width="9.875" style="16" customWidth="1"/>
    <col min="16138" max="16138" width="8.375" style="16" customWidth="1"/>
    <col min="16139" max="16139" width="0.875" style="16" customWidth="1"/>
    <col min="16140" max="16140" width="9" style="16" customWidth="1"/>
    <col min="16141" max="16141" width="9.625" style="16" customWidth="1"/>
    <col min="16142" max="16142" width="11" style="16" customWidth="1"/>
    <col min="16143" max="16143" width="11.125" style="16" customWidth="1"/>
    <col min="16144" max="16384" width="8" style="16" customWidth="1"/>
  </cols>
  <sheetData>
    <row r="1" spans="1:15" ht="35.25" customHeight="1">
      <c r="A1" s="377" t="s">
        <v>291</v>
      </c>
      <c r="B1" s="377" t="s">
        <v>110</v>
      </c>
      <c r="C1" s="377" t="s">
        <v>110</v>
      </c>
      <c r="D1" s="377" t="s">
        <v>110</v>
      </c>
      <c r="E1" s="377" t="s">
        <v>110</v>
      </c>
      <c r="F1" s="377" t="s">
        <v>110</v>
      </c>
      <c r="G1" s="377" t="s">
        <v>110</v>
      </c>
      <c r="H1" s="377" t="s">
        <v>110</v>
      </c>
      <c r="I1" s="377" t="s">
        <v>110</v>
      </c>
      <c r="J1" s="377" t="s">
        <v>110</v>
      </c>
      <c r="K1" s="377" t="s">
        <v>110</v>
      </c>
      <c r="L1" s="377" t="s">
        <v>110</v>
      </c>
      <c r="M1" s="377" t="s">
        <v>110</v>
      </c>
      <c r="N1" s="377" t="s">
        <v>110</v>
      </c>
      <c r="O1" s="377" t="s">
        <v>110</v>
      </c>
    </row>
    <row r="2" spans="1:15" ht="29.25" customHeight="1" thickBot="1">
      <c r="A2" s="372" t="s">
        <v>175</v>
      </c>
      <c r="B2" s="372" t="s">
        <v>110</v>
      </c>
      <c r="C2" s="372" t="s">
        <v>110</v>
      </c>
      <c r="D2" s="372" t="s">
        <v>110</v>
      </c>
      <c r="E2" s="372" t="s">
        <v>110</v>
      </c>
      <c r="F2" s="372" t="s">
        <v>110</v>
      </c>
      <c r="G2" s="372" t="s">
        <v>110</v>
      </c>
      <c r="H2" s="372" t="s">
        <v>110</v>
      </c>
      <c r="I2" s="372" t="s">
        <v>110</v>
      </c>
      <c r="J2" s="372" t="s">
        <v>110</v>
      </c>
      <c r="K2" s="367" t="s">
        <v>634</v>
      </c>
      <c r="L2" s="367" t="s">
        <v>110</v>
      </c>
      <c r="M2" s="367" t="s">
        <v>110</v>
      </c>
      <c r="N2" s="367" t="s">
        <v>110</v>
      </c>
      <c r="O2" s="367" t="s">
        <v>110</v>
      </c>
    </row>
    <row r="3" spans="1:15" ht="19.5" customHeight="1">
      <c r="A3" s="378" t="s">
        <v>112</v>
      </c>
      <c r="B3" s="371" t="s">
        <v>292</v>
      </c>
      <c r="C3" s="371" t="s">
        <v>293</v>
      </c>
      <c r="D3" s="371" t="s">
        <v>294</v>
      </c>
      <c r="E3" s="371" t="s">
        <v>110</v>
      </c>
      <c r="F3" s="371" t="s">
        <v>110</v>
      </c>
      <c r="G3" s="371" t="s">
        <v>295</v>
      </c>
      <c r="H3" s="371" t="s">
        <v>110</v>
      </c>
      <c r="I3" s="371" t="s">
        <v>296</v>
      </c>
      <c r="J3" s="371" t="s">
        <v>110</v>
      </c>
      <c r="K3" s="371" t="s">
        <v>110</v>
      </c>
      <c r="L3" s="371" t="s">
        <v>110</v>
      </c>
      <c r="M3" s="371" t="s">
        <v>110</v>
      </c>
      <c r="N3" s="371" t="s">
        <v>110</v>
      </c>
      <c r="O3" s="381" t="s">
        <v>297</v>
      </c>
    </row>
    <row r="4" spans="1:15" ht="18" customHeight="1">
      <c r="A4" s="379" t="s">
        <v>110</v>
      </c>
      <c r="B4" s="380" t="s">
        <v>110</v>
      </c>
      <c r="C4" s="380" t="s">
        <v>110</v>
      </c>
      <c r="D4" s="136" t="s">
        <v>133</v>
      </c>
      <c r="E4" s="380" t="s">
        <v>134</v>
      </c>
      <c r="F4" s="380" t="s">
        <v>110</v>
      </c>
      <c r="G4" s="136" t="s">
        <v>298</v>
      </c>
      <c r="H4" s="136" t="s">
        <v>299</v>
      </c>
      <c r="I4" s="136" t="s">
        <v>300</v>
      </c>
      <c r="J4" s="380" t="s">
        <v>301</v>
      </c>
      <c r="K4" s="380" t="s">
        <v>110</v>
      </c>
      <c r="L4" s="136" t="s">
        <v>302</v>
      </c>
      <c r="M4" s="136" t="s">
        <v>303</v>
      </c>
      <c r="N4" s="136" t="s">
        <v>304</v>
      </c>
      <c r="O4" s="382" t="s">
        <v>110</v>
      </c>
    </row>
    <row r="5" spans="1:15" ht="16.5" customHeight="1">
      <c r="A5" s="137" t="s">
        <v>110</v>
      </c>
      <c r="B5" s="138" t="s">
        <v>110</v>
      </c>
      <c r="C5" s="193" t="s">
        <v>635</v>
      </c>
      <c r="D5" s="138" t="s">
        <v>110</v>
      </c>
      <c r="E5" s="373" t="s">
        <v>110</v>
      </c>
      <c r="F5" s="373" t="s">
        <v>110</v>
      </c>
      <c r="G5" s="140" t="s">
        <v>110</v>
      </c>
      <c r="H5" s="140">
        <v>35040.660000000003</v>
      </c>
      <c r="I5" s="140">
        <v>33137.050000000003</v>
      </c>
      <c r="J5" s="373">
        <v>1072.5999999999999</v>
      </c>
      <c r="K5" s="373" t="s">
        <v>110</v>
      </c>
      <c r="L5" s="140">
        <v>831.01</v>
      </c>
      <c r="M5" s="140">
        <v>229306</v>
      </c>
      <c r="N5" s="140" t="s">
        <v>110</v>
      </c>
      <c r="O5" s="141">
        <v>401.08199999999999</v>
      </c>
    </row>
    <row r="6" spans="1:15" ht="18" customHeight="1">
      <c r="A6" s="137">
        <v>1</v>
      </c>
      <c r="B6" s="138" t="s">
        <v>636</v>
      </c>
      <c r="C6" s="139" t="s">
        <v>637</v>
      </c>
      <c r="D6" s="138" t="s">
        <v>155</v>
      </c>
      <c r="E6" s="373">
        <v>8</v>
      </c>
      <c r="F6" s="373" t="s">
        <v>110</v>
      </c>
      <c r="G6" s="140">
        <v>131.15</v>
      </c>
      <c r="H6" s="140">
        <v>1049.2</v>
      </c>
      <c r="I6" s="140">
        <v>1020</v>
      </c>
      <c r="J6" s="373">
        <v>19.2</v>
      </c>
      <c r="K6" s="373" t="s">
        <v>110</v>
      </c>
      <c r="L6" s="140">
        <v>10</v>
      </c>
      <c r="M6" s="140">
        <v>12400</v>
      </c>
      <c r="N6" s="140" t="s">
        <v>110</v>
      </c>
      <c r="O6" s="141">
        <v>12.384</v>
      </c>
    </row>
    <row r="7" spans="1:15" ht="18" customHeight="1">
      <c r="A7" s="137" t="s">
        <v>110</v>
      </c>
      <c r="B7" s="138" t="s">
        <v>154</v>
      </c>
      <c r="C7" s="139" t="s">
        <v>637</v>
      </c>
      <c r="D7" s="138" t="s">
        <v>156</v>
      </c>
      <c r="E7" s="373">
        <v>80</v>
      </c>
      <c r="F7" s="373" t="s">
        <v>110</v>
      </c>
      <c r="G7" s="140">
        <v>155</v>
      </c>
      <c r="H7" s="140">
        <v>12400</v>
      </c>
      <c r="I7" s="140" t="s">
        <v>110</v>
      </c>
      <c r="J7" s="373" t="s">
        <v>110</v>
      </c>
      <c r="K7" s="373" t="s">
        <v>110</v>
      </c>
      <c r="L7" s="140" t="s">
        <v>110</v>
      </c>
      <c r="M7" s="140">
        <v>12400</v>
      </c>
      <c r="N7" s="140" t="s">
        <v>110</v>
      </c>
      <c r="O7" s="141" t="s">
        <v>110</v>
      </c>
    </row>
    <row r="8" spans="1:15" ht="18" customHeight="1">
      <c r="A8" s="137">
        <v>2</v>
      </c>
      <c r="B8" s="138" t="s">
        <v>636</v>
      </c>
      <c r="C8" s="139" t="s">
        <v>638</v>
      </c>
      <c r="D8" s="138" t="s">
        <v>155</v>
      </c>
      <c r="E8" s="373">
        <v>110</v>
      </c>
      <c r="F8" s="373" t="s">
        <v>110</v>
      </c>
      <c r="G8" s="140">
        <v>131.15</v>
      </c>
      <c r="H8" s="140">
        <v>14426.5</v>
      </c>
      <c r="I8" s="140">
        <v>14025</v>
      </c>
      <c r="J8" s="373">
        <v>264</v>
      </c>
      <c r="K8" s="373" t="s">
        <v>110</v>
      </c>
      <c r="L8" s="140">
        <v>137.5</v>
      </c>
      <c r="M8" s="140">
        <v>91300</v>
      </c>
      <c r="N8" s="140" t="s">
        <v>110</v>
      </c>
      <c r="O8" s="141">
        <v>170.28</v>
      </c>
    </row>
    <row r="9" spans="1:15" ht="18" customHeight="1">
      <c r="A9" s="137" t="s">
        <v>110</v>
      </c>
      <c r="B9" s="138" t="s">
        <v>154</v>
      </c>
      <c r="C9" s="139" t="s">
        <v>638</v>
      </c>
      <c r="D9" s="138" t="s">
        <v>156</v>
      </c>
      <c r="E9" s="373">
        <v>1100</v>
      </c>
      <c r="F9" s="373" t="s">
        <v>110</v>
      </c>
      <c r="G9" s="140">
        <v>83</v>
      </c>
      <c r="H9" s="140">
        <v>91300</v>
      </c>
      <c r="I9" s="140" t="s">
        <v>110</v>
      </c>
      <c r="J9" s="373" t="s">
        <v>110</v>
      </c>
      <c r="K9" s="373" t="s">
        <v>110</v>
      </c>
      <c r="L9" s="140" t="s">
        <v>110</v>
      </c>
      <c r="M9" s="140">
        <v>91300</v>
      </c>
      <c r="N9" s="140" t="s">
        <v>110</v>
      </c>
      <c r="O9" s="141" t="s">
        <v>110</v>
      </c>
    </row>
    <row r="10" spans="1:15" ht="18" customHeight="1">
      <c r="A10" s="137">
        <v>3</v>
      </c>
      <c r="B10" s="138" t="s">
        <v>639</v>
      </c>
      <c r="C10" s="139" t="s">
        <v>640</v>
      </c>
      <c r="D10" s="138" t="s">
        <v>155</v>
      </c>
      <c r="E10" s="373">
        <v>25</v>
      </c>
      <c r="F10" s="373" t="s">
        <v>110</v>
      </c>
      <c r="G10" s="140">
        <v>111.82</v>
      </c>
      <c r="H10" s="140">
        <v>2795.5</v>
      </c>
      <c r="I10" s="140">
        <v>2719.25</v>
      </c>
      <c r="J10" s="373">
        <v>52</v>
      </c>
      <c r="K10" s="373" t="s">
        <v>110</v>
      </c>
      <c r="L10" s="140">
        <v>24.25</v>
      </c>
      <c r="M10" s="140">
        <v>18075</v>
      </c>
      <c r="N10" s="140" t="s">
        <v>110</v>
      </c>
      <c r="O10" s="141">
        <v>33</v>
      </c>
    </row>
    <row r="11" spans="1:15" ht="18" customHeight="1">
      <c r="A11" s="137" t="s">
        <v>110</v>
      </c>
      <c r="B11" s="138" t="s">
        <v>154</v>
      </c>
      <c r="C11" s="139" t="s">
        <v>640</v>
      </c>
      <c r="D11" s="138" t="s">
        <v>156</v>
      </c>
      <c r="E11" s="373">
        <v>250</v>
      </c>
      <c r="F11" s="373" t="s">
        <v>110</v>
      </c>
      <c r="G11" s="140">
        <v>72.3</v>
      </c>
      <c r="H11" s="140">
        <v>18075</v>
      </c>
      <c r="I11" s="140" t="s">
        <v>110</v>
      </c>
      <c r="J11" s="373" t="s">
        <v>110</v>
      </c>
      <c r="K11" s="373" t="s">
        <v>110</v>
      </c>
      <c r="L11" s="140" t="s">
        <v>110</v>
      </c>
      <c r="M11" s="140">
        <v>18075</v>
      </c>
      <c r="N11" s="140" t="s">
        <v>110</v>
      </c>
      <c r="O11" s="141" t="s">
        <v>110</v>
      </c>
    </row>
    <row r="12" spans="1:15" ht="18" customHeight="1">
      <c r="A12" s="137">
        <v>4</v>
      </c>
      <c r="B12" s="138" t="s">
        <v>641</v>
      </c>
      <c r="C12" s="139" t="s">
        <v>642</v>
      </c>
      <c r="D12" s="138" t="s">
        <v>155</v>
      </c>
      <c r="E12" s="373">
        <v>130</v>
      </c>
      <c r="F12" s="373" t="s">
        <v>110</v>
      </c>
      <c r="G12" s="140">
        <v>94.56</v>
      </c>
      <c r="H12" s="140">
        <v>12292.8</v>
      </c>
      <c r="I12" s="140">
        <v>11970.4</v>
      </c>
      <c r="J12" s="373">
        <v>232.7</v>
      </c>
      <c r="K12" s="373" t="s">
        <v>110</v>
      </c>
      <c r="L12" s="140">
        <v>89.7</v>
      </c>
      <c r="M12" s="140">
        <v>74620</v>
      </c>
      <c r="N12" s="140" t="s">
        <v>110</v>
      </c>
      <c r="O12" s="141">
        <v>145.21</v>
      </c>
    </row>
    <row r="13" spans="1:15" ht="18" customHeight="1">
      <c r="A13" s="137" t="s">
        <v>110</v>
      </c>
      <c r="B13" s="138" t="s">
        <v>154</v>
      </c>
      <c r="C13" s="139" t="s">
        <v>642</v>
      </c>
      <c r="D13" s="138" t="s">
        <v>156</v>
      </c>
      <c r="E13" s="373">
        <v>1300</v>
      </c>
      <c r="F13" s="373" t="s">
        <v>110</v>
      </c>
      <c r="G13" s="140">
        <v>57.4</v>
      </c>
      <c r="H13" s="140">
        <v>74620</v>
      </c>
      <c r="I13" s="140" t="s">
        <v>110</v>
      </c>
      <c r="J13" s="373" t="s">
        <v>110</v>
      </c>
      <c r="K13" s="373" t="s">
        <v>110</v>
      </c>
      <c r="L13" s="140" t="s">
        <v>110</v>
      </c>
      <c r="M13" s="140">
        <v>74620</v>
      </c>
      <c r="N13" s="140" t="s">
        <v>110</v>
      </c>
      <c r="O13" s="141" t="s">
        <v>110</v>
      </c>
    </row>
    <row r="14" spans="1:15" ht="29.25" customHeight="1">
      <c r="A14" s="137">
        <v>5</v>
      </c>
      <c r="B14" s="138" t="s">
        <v>643</v>
      </c>
      <c r="C14" s="139" t="s">
        <v>644</v>
      </c>
      <c r="D14" s="138" t="s">
        <v>157</v>
      </c>
      <c r="E14" s="373">
        <v>2</v>
      </c>
      <c r="F14" s="373" t="s">
        <v>110</v>
      </c>
      <c r="G14" s="140">
        <v>208.29</v>
      </c>
      <c r="H14" s="140">
        <v>416.58</v>
      </c>
      <c r="I14" s="140">
        <v>268.8</v>
      </c>
      <c r="J14" s="373">
        <v>30.36</v>
      </c>
      <c r="K14" s="373" t="s">
        <v>110</v>
      </c>
      <c r="L14" s="140">
        <v>117.42</v>
      </c>
      <c r="M14" s="140">
        <v>4600</v>
      </c>
      <c r="N14" s="140" t="s">
        <v>110</v>
      </c>
      <c r="O14" s="141">
        <v>3.262</v>
      </c>
    </row>
    <row r="15" spans="1:15" ht="29.25" customHeight="1">
      <c r="A15" s="137" t="s">
        <v>110</v>
      </c>
      <c r="B15" s="138" t="s">
        <v>154</v>
      </c>
      <c r="C15" s="139" t="s">
        <v>644</v>
      </c>
      <c r="D15" s="138" t="s">
        <v>157</v>
      </c>
      <c r="E15" s="373">
        <v>2</v>
      </c>
      <c r="F15" s="373" t="s">
        <v>110</v>
      </c>
      <c r="G15" s="140">
        <v>2300</v>
      </c>
      <c r="H15" s="140">
        <v>4600</v>
      </c>
      <c r="I15" s="140" t="s">
        <v>110</v>
      </c>
      <c r="J15" s="373" t="s">
        <v>110</v>
      </c>
      <c r="K15" s="373" t="s">
        <v>110</v>
      </c>
      <c r="L15" s="140" t="s">
        <v>110</v>
      </c>
      <c r="M15" s="140">
        <v>4600</v>
      </c>
      <c r="N15" s="140" t="s">
        <v>110</v>
      </c>
      <c r="O15" s="141" t="s">
        <v>110</v>
      </c>
    </row>
    <row r="16" spans="1:15" ht="29.25" customHeight="1">
      <c r="A16" s="137">
        <v>6</v>
      </c>
      <c r="B16" s="138" t="s">
        <v>645</v>
      </c>
      <c r="C16" s="139" t="s">
        <v>646</v>
      </c>
      <c r="D16" s="138" t="s">
        <v>157</v>
      </c>
      <c r="E16" s="373">
        <v>10</v>
      </c>
      <c r="F16" s="373" t="s">
        <v>110</v>
      </c>
      <c r="G16" s="140">
        <v>96.72</v>
      </c>
      <c r="H16" s="140">
        <v>967.2</v>
      </c>
      <c r="I16" s="140">
        <v>747.4</v>
      </c>
      <c r="J16" s="373">
        <v>102.4</v>
      </c>
      <c r="K16" s="373" t="s">
        <v>110</v>
      </c>
      <c r="L16" s="140">
        <v>117.4</v>
      </c>
      <c r="M16" s="140">
        <v>9600</v>
      </c>
      <c r="N16" s="140" t="s">
        <v>110</v>
      </c>
      <c r="O16" s="141">
        <v>9.07</v>
      </c>
    </row>
    <row r="17" spans="1:15" ht="29.25" customHeight="1">
      <c r="A17" s="137" t="s">
        <v>110</v>
      </c>
      <c r="B17" s="138" t="s">
        <v>154</v>
      </c>
      <c r="C17" s="139" t="s">
        <v>646</v>
      </c>
      <c r="D17" s="138" t="s">
        <v>157</v>
      </c>
      <c r="E17" s="373">
        <v>10</v>
      </c>
      <c r="F17" s="373" t="s">
        <v>110</v>
      </c>
      <c r="G17" s="140">
        <v>960</v>
      </c>
      <c r="H17" s="140">
        <v>9600</v>
      </c>
      <c r="I17" s="140" t="s">
        <v>110</v>
      </c>
      <c r="J17" s="373" t="s">
        <v>110</v>
      </c>
      <c r="K17" s="373" t="s">
        <v>110</v>
      </c>
      <c r="L17" s="140" t="s">
        <v>110</v>
      </c>
      <c r="M17" s="140">
        <v>9600</v>
      </c>
      <c r="N17" s="140" t="s">
        <v>110</v>
      </c>
      <c r="O17" s="141" t="s">
        <v>110</v>
      </c>
    </row>
    <row r="18" spans="1:15" ht="29.25" customHeight="1">
      <c r="A18" s="137">
        <v>7</v>
      </c>
      <c r="B18" s="138" t="s">
        <v>647</v>
      </c>
      <c r="C18" s="139" t="s">
        <v>648</v>
      </c>
      <c r="D18" s="138" t="s">
        <v>162</v>
      </c>
      <c r="E18" s="373">
        <v>1</v>
      </c>
      <c r="F18" s="373" t="s">
        <v>110</v>
      </c>
      <c r="G18" s="140">
        <v>515.48</v>
      </c>
      <c r="H18" s="140">
        <v>515.48</v>
      </c>
      <c r="I18" s="140">
        <v>397.7</v>
      </c>
      <c r="J18" s="373">
        <v>61.99</v>
      </c>
      <c r="K18" s="373" t="s">
        <v>110</v>
      </c>
      <c r="L18" s="140">
        <v>55.79</v>
      </c>
      <c r="M18" s="140">
        <v>5346</v>
      </c>
      <c r="N18" s="140" t="s">
        <v>110</v>
      </c>
      <c r="O18" s="141">
        <v>4.6459999999999999</v>
      </c>
    </row>
    <row r="19" spans="1:15" ht="29.25" customHeight="1">
      <c r="A19" s="137" t="s">
        <v>110</v>
      </c>
      <c r="B19" s="138" t="s">
        <v>154</v>
      </c>
      <c r="C19" s="139" t="s">
        <v>648</v>
      </c>
      <c r="D19" s="138" t="s">
        <v>162</v>
      </c>
      <c r="E19" s="373">
        <v>1</v>
      </c>
      <c r="F19" s="373" t="s">
        <v>110</v>
      </c>
      <c r="G19" s="140">
        <v>5346</v>
      </c>
      <c r="H19" s="140">
        <v>5346</v>
      </c>
      <c r="I19" s="140" t="s">
        <v>110</v>
      </c>
      <c r="J19" s="373" t="s">
        <v>110</v>
      </c>
      <c r="K19" s="373" t="s">
        <v>110</v>
      </c>
      <c r="L19" s="140" t="s">
        <v>110</v>
      </c>
      <c r="M19" s="140">
        <v>5346</v>
      </c>
      <c r="N19" s="140" t="s">
        <v>110</v>
      </c>
      <c r="O19" s="141" t="s">
        <v>110</v>
      </c>
    </row>
    <row r="20" spans="1:15" ht="29.25" customHeight="1">
      <c r="A20" s="137">
        <v>8</v>
      </c>
      <c r="B20" s="138" t="s">
        <v>647</v>
      </c>
      <c r="C20" s="139" t="s">
        <v>649</v>
      </c>
      <c r="D20" s="138" t="s">
        <v>162</v>
      </c>
      <c r="E20" s="373">
        <v>5</v>
      </c>
      <c r="F20" s="373" t="s">
        <v>110</v>
      </c>
      <c r="G20" s="140">
        <v>515.48</v>
      </c>
      <c r="H20" s="140">
        <v>2577.4</v>
      </c>
      <c r="I20" s="140">
        <v>1988.5</v>
      </c>
      <c r="J20" s="373">
        <v>309.95</v>
      </c>
      <c r="K20" s="373" t="s">
        <v>110</v>
      </c>
      <c r="L20" s="140">
        <v>278.95</v>
      </c>
      <c r="M20" s="140">
        <v>13365</v>
      </c>
      <c r="N20" s="140" t="s">
        <v>110</v>
      </c>
      <c r="O20" s="141">
        <v>23.23</v>
      </c>
    </row>
    <row r="21" spans="1:15" ht="24.75" customHeight="1" thickBot="1">
      <c r="A21" s="192" t="s">
        <v>110</v>
      </c>
      <c r="B21" s="194" t="s">
        <v>154</v>
      </c>
      <c r="C21" s="195" t="s">
        <v>650</v>
      </c>
      <c r="D21" s="194" t="s">
        <v>162</v>
      </c>
      <c r="E21" s="376">
        <v>5</v>
      </c>
      <c r="F21" s="376" t="s">
        <v>110</v>
      </c>
      <c r="G21" s="142">
        <v>2673</v>
      </c>
      <c r="H21" s="142">
        <v>13365</v>
      </c>
      <c r="I21" s="142" t="s">
        <v>110</v>
      </c>
      <c r="J21" s="376" t="s">
        <v>110</v>
      </c>
      <c r="K21" s="376" t="s">
        <v>110</v>
      </c>
      <c r="L21" s="142" t="s">
        <v>110</v>
      </c>
      <c r="M21" s="142">
        <v>13365</v>
      </c>
      <c r="N21" s="142" t="s">
        <v>110</v>
      </c>
      <c r="O21" s="143" t="s">
        <v>110</v>
      </c>
    </row>
    <row r="22" spans="1:15" ht="16.5" customHeight="1">
      <c r="A22" s="372" t="s">
        <v>288</v>
      </c>
      <c r="B22" s="372" t="s">
        <v>110</v>
      </c>
      <c r="C22" s="372" t="s">
        <v>110</v>
      </c>
      <c r="D22" s="372" t="s">
        <v>110</v>
      </c>
      <c r="E22" s="372" t="s">
        <v>110</v>
      </c>
      <c r="F22" s="366" t="s">
        <v>289</v>
      </c>
      <c r="G22" s="366" t="s">
        <v>110</v>
      </c>
      <c r="H22" s="366" t="s">
        <v>110</v>
      </c>
      <c r="I22" s="366" t="s">
        <v>110</v>
      </c>
      <c r="J22" s="366" t="s">
        <v>110</v>
      </c>
      <c r="K22" s="367" t="s">
        <v>290</v>
      </c>
      <c r="L22" s="367" t="s">
        <v>110</v>
      </c>
      <c r="M22" s="367" t="s">
        <v>110</v>
      </c>
      <c r="N22" s="367" t="s">
        <v>110</v>
      </c>
      <c r="O22" s="367" t="s">
        <v>110</v>
      </c>
    </row>
    <row r="23" spans="1:15" ht="35.25" customHeight="1">
      <c r="A23" s="377" t="s">
        <v>291</v>
      </c>
      <c r="B23" s="377" t="s">
        <v>110</v>
      </c>
      <c r="C23" s="377" t="s">
        <v>110</v>
      </c>
      <c r="D23" s="377" t="s">
        <v>110</v>
      </c>
      <c r="E23" s="377" t="s">
        <v>110</v>
      </c>
      <c r="F23" s="377" t="s">
        <v>110</v>
      </c>
      <c r="G23" s="377" t="s">
        <v>110</v>
      </c>
      <c r="H23" s="377" t="s">
        <v>110</v>
      </c>
      <c r="I23" s="377" t="s">
        <v>110</v>
      </c>
      <c r="J23" s="377" t="s">
        <v>110</v>
      </c>
      <c r="K23" s="377" t="s">
        <v>110</v>
      </c>
      <c r="L23" s="377" t="s">
        <v>110</v>
      </c>
      <c r="M23" s="377" t="s">
        <v>110</v>
      </c>
      <c r="N23" s="377" t="s">
        <v>110</v>
      </c>
      <c r="O23" s="377" t="s">
        <v>110</v>
      </c>
    </row>
    <row r="24" spans="1:15" ht="29.25" customHeight="1" thickBot="1">
      <c r="A24" s="372" t="s">
        <v>175</v>
      </c>
      <c r="B24" s="372" t="s">
        <v>110</v>
      </c>
      <c r="C24" s="372" t="s">
        <v>110</v>
      </c>
      <c r="D24" s="372" t="s">
        <v>110</v>
      </c>
      <c r="E24" s="372" t="s">
        <v>110</v>
      </c>
      <c r="F24" s="372" t="s">
        <v>110</v>
      </c>
      <c r="G24" s="372" t="s">
        <v>110</v>
      </c>
      <c r="H24" s="372" t="s">
        <v>110</v>
      </c>
      <c r="I24" s="372" t="s">
        <v>110</v>
      </c>
      <c r="J24" s="372" t="s">
        <v>110</v>
      </c>
      <c r="K24" s="367" t="s">
        <v>651</v>
      </c>
      <c r="L24" s="367" t="s">
        <v>110</v>
      </c>
      <c r="M24" s="367" t="s">
        <v>110</v>
      </c>
      <c r="N24" s="367" t="s">
        <v>110</v>
      </c>
      <c r="O24" s="367" t="s">
        <v>110</v>
      </c>
    </row>
    <row r="25" spans="1:15" ht="19.5" customHeight="1">
      <c r="A25" s="378" t="s">
        <v>112</v>
      </c>
      <c r="B25" s="371" t="s">
        <v>292</v>
      </c>
      <c r="C25" s="371" t="s">
        <v>293</v>
      </c>
      <c r="D25" s="371" t="s">
        <v>294</v>
      </c>
      <c r="E25" s="371" t="s">
        <v>110</v>
      </c>
      <c r="F25" s="371" t="s">
        <v>110</v>
      </c>
      <c r="G25" s="371" t="s">
        <v>295</v>
      </c>
      <c r="H25" s="371" t="s">
        <v>110</v>
      </c>
      <c r="I25" s="371" t="s">
        <v>296</v>
      </c>
      <c r="J25" s="371" t="s">
        <v>110</v>
      </c>
      <c r="K25" s="371" t="s">
        <v>110</v>
      </c>
      <c r="L25" s="371" t="s">
        <v>110</v>
      </c>
      <c r="M25" s="371" t="s">
        <v>110</v>
      </c>
      <c r="N25" s="371" t="s">
        <v>110</v>
      </c>
      <c r="O25" s="381" t="s">
        <v>297</v>
      </c>
    </row>
    <row r="26" spans="1:15" ht="18" customHeight="1">
      <c r="A26" s="379" t="s">
        <v>110</v>
      </c>
      <c r="B26" s="380" t="s">
        <v>110</v>
      </c>
      <c r="C26" s="380" t="s">
        <v>110</v>
      </c>
      <c r="D26" s="136" t="s">
        <v>133</v>
      </c>
      <c r="E26" s="380" t="s">
        <v>134</v>
      </c>
      <c r="F26" s="380" t="s">
        <v>110</v>
      </c>
      <c r="G26" s="136" t="s">
        <v>298</v>
      </c>
      <c r="H26" s="136" t="s">
        <v>299</v>
      </c>
      <c r="I26" s="136" t="s">
        <v>300</v>
      </c>
      <c r="J26" s="380" t="s">
        <v>301</v>
      </c>
      <c r="K26" s="380" t="s">
        <v>110</v>
      </c>
      <c r="L26" s="136" t="s">
        <v>302</v>
      </c>
      <c r="M26" s="136" t="s">
        <v>303</v>
      </c>
      <c r="N26" s="136" t="s">
        <v>304</v>
      </c>
      <c r="O26" s="382" t="s">
        <v>110</v>
      </c>
    </row>
    <row r="27" spans="1:15" ht="19.5" customHeight="1">
      <c r="A27" s="137" t="s">
        <v>110</v>
      </c>
      <c r="B27" s="138" t="s">
        <v>110</v>
      </c>
      <c r="C27" s="139" t="s">
        <v>652</v>
      </c>
      <c r="D27" s="138" t="s">
        <v>110</v>
      </c>
      <c r="E27" s="373" t="s">
        <v>110</v>
      </c>
      <c r="F27" s="373" t="s">
        <v>110</v>
      </c>
      <c r="G27" s="140" t="s">
        <v>110</v>
      </c>
      <c r="H27" s="140" t="s">
        <v>110</v>
      </c>
      <c r="I27" s="140" t="s">
        <v>110</v>
      </c>
      <c r="J27" s="373" t="s">
        <v>110</v>
      </c>
      <c r="K27" s="373" t="s">
        <v>110</v>
      </c>
      <c r="L27" s="140" t="s">
        <v>110</v>
      </c>
      <c r="M27" s="140" t="s">
        <v>110</v>
      </c>
      <c r="N27" s="140" t="s">
        <v>110</v>
      </c>
      <c r="O27" s="141" t="s">
        <v>110</v>
      </c>
    </row>
    <row r="28" spans="1:15" ht="16.5" customHeight="1">
      <c r="A28" s="137" t="s">
        <v>110</v>
      </c>
      <c r="B28" s="138" t="s">
        <v>110</v>
      </c>
      <c r="C28" s="193" t="s">
        <v>653</v>
      </c>
      <c r="D28" s="138" t="s">
        <v>110</v>
      </c>
      <c r="E28" s="373" t="s">
        <v>110</v>
      </c>
      <c r="F28" s="373" t="s">
        <v>110</v>
      </c>
      <c r="G28" s="140" t="s">
        <v>110</v>
      </c>
      <c r="H28" s="140">
        <v>2327.75</v>
      </c>
      <c r="I28" s="140">
        <v>2259.16</v>
      </c>
      <c r="J28" s="373">
        <v>48.3</v>
      </c>
      <c r="K28" s="373" t="s">
        <v>110</v>
      </c>
      <c r="L28" s="140">
        <v>20.29</v>
      </c>
      <c r="M28" s="140">
        <v>12715.9</v>
      </c>
      <c r="N28" s="140" t="s">
        <v>110</v>
      </c>
      <c r="O28" s="141">
        <v>27.421500000000002</v>
      </c>
    </row>
    <row r="29" spans="1:15" ht="18" customHeight="1">
      <c r="A29" s="137">
        <v>1</v>
      </c>
      <c r="B29" s="138" t="s">
        <v>641</v>
      </c>
      <c r="C29" s="139" t="s">
        <v>642</v>
      </c>
      <c r="D29" s="138" t="s">
        <v>155</v>
      </c>
      <c r="E29" s="373">
        <v>3</v>
      </c>
      <c r="F29" s="373" t="s">
        <v>110</v>
      </c>
      <c r="G29" s="140">
        <v>94.56</v>
      </c>
      <c r="H29" s="140">
        <v>283.68</v>
      </c>
      <c r="I29" s="140">
        <v>276.24</v>
      </c>
      <c r="J29" s="373">
        <v>5.37</v>
      </c>
      <c r="K29" s="373" t="s">
        <v>110</v>
      </c>
      <c r="L29" s="140">
        <v>2.0699999999999998</v>
      </c>
      <c r="M29" s="140">
        <v>1722</v>
      </c>
      <c r="N29" s="140" t="s">
        <v>110</v>
      </c>
      <c r="O29" s="141">
        <v>3.351</v>
      </c>
    </row>
    <row r="30" spans="1:15" ht="18" customHeight="1">
      <c r="A30" s="137" t="s">
        <v>110</v>
      </c>
      <c r="B30" s="138" t="s">
        <v>154</v>
      </c>
      <c r="C30" s="139" t="s">
        <v>642</v>
      </c>
      <c r="D30" s="138" t="s">
        <v>156</v>
      </c>
      <c r="E30" s="373">
        <v>30</v>
      </c>
      <c r="F30" s="373" t="s">
        <v>110</v>
      </c>
      <c r="G30" s="140">
        <v>57.4</v>
      </c>
      <c r="H30" s="140">
        <v>1722</v>
      </c>
      <c r="I30" s="140" t="s">
        <v>110</v>
      </c>
      <c r="J30" s="373" t="s">
        <v>110</v>
      </c>
      <c r="K30" s="373" t="s">
        <v>110</v>
      </c>
      <c r="L30" s="140" t="s">
        <v>110</v>
      </c>
      <c r="M30" s="140">
        <v>1722</v>
      </c>
      <c r="N30" s="140" t="s">
        <v>110</v>
      </c>
      <c r="O30" s="141" t="s">
        <v>110</v>
      </c>
    </row>
    <row r="31" spans="1:15" ht="18" customHeight="1">
      <c r="A31" s="137">
        <v>2</v>
      </c>
      <c r="B31" s="138" t="s">
        <v>654</v>
      </c>
      <c r="C31" s="139" t="s">
        <v>655</v>
      </c>
      <c r="D31" s="138" t="s">
        <v>155</v>
      </c>
      <c r="E31" s="373">
        <v>13</v>
      </c>
      <c r="F31" s="373" t="s">
        <v>110</v>
      </c>
      <c r="G31" s="140">
        <v>83.9</v>
      </c>
      <c r="H31" s="140">
        <v>1090.7</v>
      </c>
      <c r="I31" s="140">
        <v>1064.44</v>
      </c>
      <c r="J31" s="373">
        <v>19.11</v>
      </c>
      <c r="K31" s="373" t="s">
        <v>110</v>
      </c>
      <c r="L31" s="140">
        <v>7.15</v>
      </c>
      <c r="M31" s="140">
        <v>6266</v>
      </c>
      <c r="N31" s="140" t="s">
        <v>110</v>
      </c>
      <c r="O31" s="141">
        <v>12.922000000000001</v>
      </c>
    </row>
    <row r="32" spans="1:15" ht="18" customHeight="1">
      <c r="A32" s="137" t="s">
        <v>110</v>
      </c>
      <c r="B32" s="138" t="s">
        <v>154</v>
      </c>
      <c r="C32" s="139" t="s">
        <v>655</v>
      </c>
      <c r="D32" s="138" t="s">
        <v>156</v>
      </c>
      <c r="E32" s="373">
        <v>130</v>
      </c>
      <c r="F32" s="373" t="s">
        <v>110</v>
      </c>
      <c r="G32" s="140">
        <v>48.2</v>
      </c>
      <c r="H32" s="140">
        <v>6266</v>
      </c>
      <c r="I32" s="140" t="s">
        <v>110</v>
      </c>
      <c r="J32" s="373" t="s">
        <v>110</v>
      </c>
      <c r="K32" s="373" t="s">
        <v>110</v>
      </c>
      <c r="L32" s="140" t="s">
        <v>110</v>
      </c>
      <c r="M32" s="140">
        <v>6266</v>
      </c>
      <c r="N32" s="140" t="s">
        <v>110</v>
      </c>
      <c r="O32" s="141" t="s">
        <v>110</v>
      </c>
    </row>
    <row r="33" spans="1:15" ht="18" customHeight="1">
      <c r="A33" s="137">
        <v>3</v>
      </c>
      <c r="B33" s="138" t="s">
        <v>656</v>
      </c>
      <c r="C33" s="139" t="s">
        <v>657</v>
      </c>
      <c r="D33" s="138" t="s">
        <v>155</v>
      </c>
      <c r="E33" s="373">
        <v>4.7</v>
      </c>
      <c r="F33" s="373" t="s">
        <v>110</v>
      </c>
      <c r="G33" s="140">
        <v>71.349999999999994</v>
      </c>
      <c r="H33" s="140">
        <v>335.35</v>
      </c>
      <c r="I33" s="140">
        <v>327.02999999999997</v>
      </c>
      <c r="J33" s="373">
        <v>6.06</v>
      </c>
      <c r="K33" s="373" t="s">
        <v>110</v>
      </c>
      <c r="L33" s="140">
        <v>2.2599999999999998</v>
      </c>
      <c r="M33" s="140">
        <v>1677.9</v>
      </c>
      <c r="N33" s="140" t="s">
        <v>110</v>
      </c>
      <c r="O33" s="141">
        <v>3.9714999999999998</v>
      </c>
    </row>
    <row r="34" spans="1:15" ht="18" customHeight="1">
      <c r="A34" s="137" t="s">
        <v>110</v>
      </c>
      <c r="B34" s="138" t="s">
        <v>154</v>
      </c>
      <c r="C34" s="139" t="s">
        <v>657</v>
      </c>
      <c r="D34" s="138" t="s">
        <v>156</v>
      </c>
      <c r="E34" s="373">
        <v>47</v>
      </c>
      <c r="F34" s="373" t="s">
        <v>110</v>
      </c>
      <c r="G34" s="140">
        <v>35.700000000000003</v>
      </c>
      <c r="H34" s="140">
        <v>1677.9</v>
      </c>
      <c r="I34" s="140" t="s">
        <v>110</v>
      </c>
      <c r="J34" s="373" t="s">
        <v>110</v>
      </c>
      <c r="K34" s="373" t="s">
        <v>110</v>
      </c>
      <c r="L34" s="140" t="s">
        <v>110</v>
      </c>
      <c r="M34" s="140">
        <v>1677.9</v>
      </c>
      <c r="N34" s="140" t="s">
        <v>110</v>
      </c>
      <c r="O34" s="141" t="s">
        <v>110</v>
      </c>
    </row>
    <row r="35" spans="1:15" ht="18" customHeight="1">
      <c r="A35" s="137">
        <v>4</v>
      </c>
      <c r="B35" s="138" t="s">
        <v>658</v>
      </c>
      <c r="C35" s="139" t="s">
        <v>659</v>
      </c>
      <c r="D35" s="138" t="s">
        <v>155</v>
      </c>
      <c r="E35" s="373">
        <v>10</v>
      </c>
      <c r="F35" s="373" t="s">
        <v>110</v>
      </c>
      <c r="G35" s="140">
        <v>56.03</v>
      </c>
      <c r="H35" s="140">
        <v>560.29999999999995</v>
      </c>
      <c r="I35" s="140">
        <v>547.20000000000005</v>
      </c>
      <c r="J35" s="373">
        <v>11.1</v>
      </c>
      <c r="K35" s="373" t="s">
        <v>110</v>
      </c>
      <c r="L35" s="140">
        <v>2</v>
      </c>
      <c r="M35" s="140">
        <v>2630</v>
      </c>
      <c r="N35" s="140" t="s">
        <v>110</v>
      </c>
      <c r="O35" s="141">
        <v>6.64</v>
      </c>
    </row>
    <row r="36" spans="1:15" ht="18" customHeight="1">
      <c r="A36" s="137" t="s">
        <v>110</v>
      </c>
      <c r="B36" s="138" t="s">
        <v>154</v>
      </c>
      <c r="C36" s="139" t="s">
        <v>659</v>
      </c>
      <c r="D36" s="138" t="s">
        <v>156</v>
      </c>
      <c r="E36" s="373">
        <v>100</v>
      </c>
      <c r="F36" s="373" t="s">
        <v>110</v>
      </c>
      <c r="G36" s="140">
        <v>26.3</v>
      </c>
      <c r="H36" s="140">
        <v>2630</v>
      </c>
      <c r="I36" s="140" t="s">
        <v>110</v>
      </c>
      <c r="J36" s="373" t="s">
        <v>110</v>
      </c>
      <c r="K36" s="373" t="s">
        <v>110</v>
      </c>
      <c r="L36" s="140" t="s">
        <v>110</v>
      </c>
      <c r="M36" s="140">
        <v>2630</v>
      </c>
      <c r="N36" s="140" t="s">
        <v>110</v>
      </c>
      <c r="O36" s="141" t="s">
        <v>110</v>
      </c>
    </row>
    <row r="37" spans="1:15" ht="29.25" customHeight="1">
      <c r="A37" s="137">
        <v>5</v>
      </c>
      <c r="B37" s="138" t="s">
        <v>660</v>
      </c>
      <c r="C37" s="139" t="s">
        <v>661</v>
      </c>
      <c r="D37" s="138" t="s">
        <v>157</v>
      </c>
      <c r="E37" s="373">
        <v>1</v>
      </c>
      <c r="F37" s="373" t="s">
        <v>110</v>
      </c>
      <c r="G37" s="140">
        <v>57.72</v>
      </c>
      <c r="H37" s="140">
        <v>57.72</v>
      </c>
      <c r="I37" s="140">
        <v>44.25</v>
      </c>
      <c r="J37" s="373">
        <v>6.66</v>
      </c>
      <c r="K37" s="373" t="s">
        <v>110</v>
      </c>
      <c r="L37" s="140">
        <v>6.81</v>
      </c>
      <c r="M37" s="140">
        <v>420</v>
      </c>
      <c r="N37" s="140" t="s">
        <v>110</v>
      </c>
      <c r="O37" s="141">
        <v>0.53700000000000003</v>
      </c>
    </row>
    <row r="38" spans="1:15" ht="29.25" customHeight="1">
      <c r="A38" s="137" t="s">
        <v>110</v>
      </c>
      <c r="B38" s="138" t="s">
        <v>154</v>
      </c>
      <c r="C38" s="139" t="s">
        <v>661</v>
      </c>
      <c r="D38" s="138" t="s">
        <v>157</v>
      </c>
      <c r="E38" s="373">
        <v>1</v>
      </c>
      <c r="F38" s="373" t="s">
        <v>110</v>
      </c>
      <c r="G38" s="140">
        <v>420</v>
      </c>
      <c r="H38" s="140">
        <v>420</v>
      </c>
      <c r="I38" s="140" t="s">
        <v>110</v>
      </c>
      <c r="J38" s="373" t="s">
        <v>110</v>
      </c>
      <c r="K38" s="373" t="s">
        <v>110</v>
      </c>
      <c r="L38" s="140" t="s">
        <v>110</v>
      </c>
      <c r="M38" s="140">
        <v>420</v>
      </c>
      <c r="N38" s="140" t="s">
        <v>110</v>
      </c>
      <c r="O38" s="141" t="s">
        <v>110</v>
      </c>
    </row>
    <row r="39" spans="1:15" ht="16.5" customHeight="1">
      <c r="A39" s="137" t="s">
        <v>110</v>
      </c>
      <c r="B39" s="138" t="s">
        <v>110</v>
      </c>
      <c r="C39" s="193" t="s">
        <v>662</v>
      </c>
      <c r="D39" s="138" t="s">
        <v>110</v>
      </c>
      <c r="E39" s="373" t="s">
        <v>110</v>
      </c>
      <c r="F39" s="373" t="s">
        <v>110</v>
      </c>
      <c r="G39" s="140" t="s">
        <v>110</v>
      </c>
      <c r="H39" s="140">
        <v>2727.02</v>
      </c>
      <c r="I39" s="140">
        <v>2634.22</v>
      </c>
      <c r="J39" s="373">
        <v>61.18</v>
      </c>
      <c r="K39" s="373" t="s">
        <v>110</v>
      </c>
      <c r="L39" s="140">
        <v>31.62</v>
      </c>
      <c r="M39" s="140">
        <v>14714</v>
      </c>
      <c r="N39" s="140" t="s">
        <v>110</v>
      </c>
      <c r="O39" s="141">
        <v>31.98</v>
      </c>
    </row>
    <row r="40" spans="1:15" ht="18" customHeight="1">
      <c r="A40" s="137">
        <v>1</v>
      </c>
      <c r="B40" s="138" t="s">
        <v>641</v>
      </c>
      <c r="C40" s="139" t="s">
        <v>642</v>
      </c>
      <c r="D40" s="138" t="s">
        <v>155</v>
      </c>
      <c r="E40" s="373">
        <v>8</v>
      </c>
      <c r="F40" s="373" t="s">
        <v>110</v>
      </c>
      <c r="G40" s="140">
        <v>94.56</v>
      </c>
      <c r="H40" s="140">
        <v>756.48</v>
      </c>
      <c r="I40" s="140">
        <v>736.64</v>
      </c>
      <c r="J40" s="373">
        <v>14.32</v>
      </c>
      <c r="K40" s="373" t="s">
        <v>110</v>
      </c>
      <c r="L40" s="140">
        <v>5.52</v>
      </c>
      <c r="M40" s="140">
        <v>4592</v>
      </c>
      <c r="N40" s="140" t="s">
        <v>110</v>
      </c>
      <c r="O40" s="141">
        <v>8.9359999999999999</v>
      </c>
    </row>
    <row r="41" spans="1:15" ht="18" customHeight="1">
      <c r="A41" s="137" t="s">
        <v>110</v>
      </c>
      <c r="B41" s="138" t="s">
        <v>154</v>
      </c>
      <c r="C41" s="139" t="s">
        <v>642</v>
      </c>
      <c r="D41" s="138" t="s">
        <v>156</v>
      </c>
      <c r="E41" s="373">
        <v>80</v>
      </c>
      <c r="F41" s="373" t="s">
        <v>110</v>
      </c>
      <c r="G41" s="140">
        <v>57.4</v>
      </c>
      <c r="H41" s="140">
        <v>4592</v>
      </c>
      <c r="I41" s="140" t="s">
        <v>110</v>
      </c>
      <c r="J41" s="373" t="s">
        <v>110</v>
      </c>
      <c r="K41" s="373" t="s">
        <v>110</v>
      </c>
      <c r="L41" s="140" t="s">
        <v>110</v>
      </c>
      <c r="M41" s="140">
        <v>4592</v>
      </c>
      <c r="N41" s="140" t="s">
        <v>110</v>
      </c>
      <c r="O41" s="141" t="s">
        <v>110</v>
      </c>
    </row>
    <row r="42" spans="1:15" ht="18" customHeight="1">
      <c r="A42" s="137">
        <v>2</v>
      </c>
      <c r="B42" s="138" t="s">
        <v>656</v>
      </c>
      <c r="C42" s="139" t="s">
        <v>657</v>
      </c>
      <c r="D42" s="138" t="s">
        <v>155</v>
      </c>
      <c r="E42" s="373">
        <v>26</v>
      </c>
      <c r="F42" s="373" t="s">
        <v>110</v>
      </c>
      <c r="G42" s="140">
        <v>71.349999999999994</v>
      </c>
      <c r="H42" s="140">
        <v>1855.1</v>
      </c>
      <c r="I42" s="140">
        <v>1809.08</v>
      </c>
      <c r="J42" s="373">
        <v>33.54</v>
      </c>
      <c r="K42" s="373" t="s">
        <v>110</v>
      </c>
      <c r="L42" s="140">
        <v>12.48</v>
      </c>
      <c r="M42" s="140">
        <v>9282</v>
      </c>
      <c r="N42" s="140" t="s">
        <v>110</v>
      </c>
      <c r="O42" s="141">
        <v>21.97</v>
      </c>
    </row>
    <row r="43" spans="1:15" ht="18" customHeight="1">
      <c r="A43" s="137" t="s">
        <v>110</v>
      </c>
      <c r="B43" s="138" t="s">
        <v>154</v>
      </c>
      <c r="C43" s="139" t="s">
        <v>657</v>
      </c>
      <c r="D43" s="138" t="s">
        <v>156</v>
      </c>
      <c r="E43" s="373">
        <v>260</v>
      </c>
      <c r="F43" s="373" t="s">
        <v>110</v>
      </c>
      <c r="G43" s="140">
        <v>35.700000000000003</v>
      </c>
      <c r="H43" s="140">
        <v>9282</v>
      </c>
      <c r="I43" s="140" t="s">
        <v>110</v>
      </c>
      <c r="J43" s="373" t="s">
        <v>110</v>
      </c>
      <c r="K43" s="373" t="s">
        <v>110</v>
      </c>
      <c r="L43" s="140" t="s">
        <v>110</v>
      </c>
      <c r="M43" s="140">
        <v>9282</v>
      </c>
      <c r="N43" s="140" t="s">
        <v>110</v>
      </c>
      <c r="O43" s="141" t="s">
        <v>110</v>
      </c>
    </row>
    <row r="44" spans="1:15" ht="29.25" customHeight="1">
      <c r="A44" s="137">
        <v>3</v>
      </c>
      <c r="B44" s="138" t="s">
        <v>660</v>
      </c>
      <c r="C44" s="139" t="s">
        <v>661</v>
      </c>
      <c r="D44" s="138" t="s">
        <v>157</v>
      </c>
      <c r="E44" s="373">
        <v>2</v>
      </c>
      <c r="F44" s="373" t="s">
        <v>110</v>
      </c>
      <c r="G44" s="140">
        <v>57.72</v>
      </c>
      <c r="H44" s="140">
        <v>115.44</v>
      </c>
      <c r="I44" s="140">
        <v>88.5</v>
      </c>
      <c r="J44" s="373">
        <v>13.32</v>
      </c>
      <c r="K44" s="373" t="s">
        <v>110</v>
      </c>
      <c r="L44" s="140">
        <v>13.62</v>
      </c>
      <c r="M44" s="140">
        <v>840</v>
      </c>
      <c r="N44" s="140" t="s">
        <v>110</v>
      </c>
      <c r="O44" s="141">
        <v>1.0740000000000001</v>
      </c>
    </row>
    <row r="45" spans="1:15" ht="29.25" customHeight="1" thickBot="1">
      <c r="A45" s="192" t="s">
        <v>110</v>
      </c>
      <c r="B45" s="194" t="s">
        <v>154</v>
      </c>
      <c r="C45" s="195" t="s">
        <v>661</v>
      </c>
      <c r="D45" s="194" t="s">
        <v>157</v>
      </c>
      <c r="E45" s="376">
        <v>2</v>
      </c>
      <c r="F45" s="376" t="s">
        <v>110</v>
      </c>
      <c r="G45" s="142">
        <v>420</v>
      </c>
      <c r="H45" s="142">
        <v>840</v>
      </c>
      <c r="I45" s="142" t="s">
        <v>110</v>
      </c>
      <c r="J45" s="376" t="s">
        <v>110</v>
      </c>
      <c r="K45" s="376" t="s">
        <v>110</v>
      </c>
      <c r="L45" s="142" t="s">
        <v>110</v>
      </c>
      <c r="M45" s="142">
        <v>840</v>
      </c>
      <c r="N45" s="142" t="s">
        <v>110</v>
      </c>
      <c r="O45" s="143" t="s">
        <v>110</v>
      </c>
    </row>
    <row r="46" spans="1:15" ht="16.5" customHeight="1">
      <c r="A46" s="372" t="s">
        <v>288</v>
      </c>
      <c r="B46" s="372" t="s">
        <v>110</v>
      </c>
      <c r="C46" s="372" t="s">
        <v>110</v>
      </c>
      <c r="D46" s="372" t="s">
        <v>110</v>
      </c>
      <c r="E46" s="372" t="s">
        <v>110</v>
      </c>
      <c r="F46" s="366" t="s">
        <v>289</v>
      </c>
      <c r="G46" s="366" t="s">
        <v>110</v>
      </c>
      <c r="H46" s="366" t="s">
        <v>110</v>
      </c>
      <c r="I46" s="366" t="s">
        <v>110</v>
      </c>
      <c r="J46" s="366" t="s">
        <v>110</v>
      </c>
      <c r="K46" s="367" t="s">
        <v>290</v>
      </c>
      <c r="L46" s="367" t="s">
        <v>110</v>
      </c>
      <c r="M46" s="367" t="s">
        <v>110</v>
      </c>
      <c r="N46" s="367" t="s">
        <v>110</v>
      </c>
      <c r="O46" s="367" t="s">
        <v>110</v>
      </c>
    </row>
    <row r="47" spans="1:15" ht="35.25" customHeight="1">
      <c r="A47" s="377" t="s">
        <v>291</v>
      </c>
      <c r="B47" s="377" t="s">
        <v>110</v>
      </c>
      <c r="C47" s="377" t="s">
        <v>110</v>
      </c>
      <c r="D47" s="377" t="s">
        <v>110</v>
      </c>
      <c r="E47" s="377" t="s">
        <v>110</v>
      </c>
      <c r="F47" s="377" t="s">
        <v>110</v>
      </c>
      <c r="G47" s="377" t="s">
        <v>110</v>
      </c>
      <c r="H47" s="377" t="s">
        <v>110</v>
      </c>
      <c r="I47" s="377" t="s">
        <v>110</v>
      </c>
      <c r="J47" s="377" t="s">
        <v>110</v>
      </c>
      <c r="K47" s="377" t="s">
        <v>110</v>
      </c>
      <c r="L47" s="377" t="s">
        <v>110</v>
      </c>
      <c r="M47" s="377" t="s">
        <v>110</v>
      </c>
      <c r="N47" s="377" t="s">
        <v>110</v>
      </c>
      <c r="O47" s="377" t="s">
        <v>110</v>
      </c>
    </row>
    <row r="48" spans="1:15" ht="29.25" customHeight="1" thickBot="1">
      <c r="A48" s="372" t="s">
        <v>175</v>
      </c>
      <c r="B48" s="372" t="s">
        <v>110</v>
      </c>
      <c r="C48" s="372" t="s">
        <v>110</v>
      </c>
      <c r="D48" s="372" t="s">
        <v>110</v>
      </c>
      <c r="E48" s="372" t="s">
        <v>110</v>
      </c>
      <c r="F48" s="372" t="s">
        <v>110</v>
      </c>
      <c r="G48" s="372" t="s">
        <v>110</v>
      </c>
      <c r="H48" s="372" t="s">
        <v>110</v>
      </c>
      <c r="I48" s="372" t="s">
        <v>110</v>
      </c>
      <c r="J48" s="372" t="s">
        <v>110</v>
      </c>
      <c r="K48" s="367" t="s">
        <v>663</v>
      </c>
      <c r="L48" s="367" t="s">
        <v>110</v>
      </c>
      <c r="M48" s="367" t="s">
        <v>110</v>
      </c>
      <c r="N48" s="367" t="s">
        <v>110</v>
      </c>
      <c r="O48" s="367" t="s">
        <v>110</v>
      </c>
    </row>
    <row r="49" spans="1:15" ht="19.5" customHeight="1">
      <c r="A49" s="378" t="s">
        <v>112</v>
      </c>
      <c r="B49" s="371" t="s">
        <v>292</v>
      </c>
      <c r="C49" s="371" t="s">
        <v>293</v>
      </c>
      <c r="D49" s="371" t="s">
        <v>294</v>
      </c>
      <c r="E49" s="371" t="s">
        <v>110</v>
      </c>
      <c r="F49" s="371" t="s">
        <v>110</v>
      </c>
      <c r="G49" s="371" t="s">
        <v>295</v>
      </c>
      <c r="H49" s="371" t="s">
        <v>110</v>
      </c>
      <c r="I49" s="371" t="s">
        <v>296</v>
      </c>
      <c r="J49" s="371" t="s">
        <v>110</v>
      </c>
      <c r="K49" s="371" t="s">
        <v>110</v>
      </c>
      <c r="L49" s="371" t="s">
        <v>110</v>
      </c>
      <c r="M49" s="371" t="s">
        <v>110</v>
      </c>
      <c r="N49" s="371" t="s">
        <v>110</v>
      </c>
      <c r="O49" s="381" t="s">
        <v>297</v>
      </c>
    </row>
    <row r="50" spans="1:15" ht="18" customHeight="1">
      <c r="A50" s="379" t="s">
        <v>110</v>
      </c>
      <c r="B50" s="380" t="s">
        <v>110</v>
      </c>
      <c r="C50" s="380" t="s">
        <v>110</v>
      </c>
      <c r="D50" s="136" t="s">
        <v>133</v>
      </c>
      <c r="E50" s="380" t="s">
        <v>134</v>
      </c>
      <c r="F50" s="380" t="s">
        <v>110</v>
      </c>
      <c r="G50" s="136" t="s">
        <v>298</v>
      </c>
      <c r="H50" s="136" t="s">
        <v>299</v>
      </c>
      <c r="I50" s="136" t="s">
        <v>300</v>
      </c>
      <c r="J50" s="380" t="s">
        <v>301</v>
      </c>
      <c r="K50" s="380" t="s">
        <v>110</v>
      </c>
      <c r="L50" s="136" t="s">
        <v>302</v>
      </c>
      <c r="M50" s="136" t="s">
        <v>303</v>
      </c>
      <c r="N50" s="136" t="s">
        <v>304</v>
      </c>
      <c r="O50" s="382" t="s">
        <v>110</v>
      </c>
    </row>
    <row r="51" spans="1:15" ht="16.5" customHeight="1">
      <c r="A51" s="137" t="s">
        <v>110</v>
      </c>
      <c r="B51" s="138" t="s">
        <v>110</v>
      </c>
      <c r="C51" s="193" t="s">
        <v>664</v>
      </c>
      <c r="D51" s="138" t="s">
        <v>110</v>
      </c>
      <c r="E51" s="373" t="s">
        <v>110</v>
      </c>
      <c r="F51" s="373" t="s">
        <v>110</v>
      </c>
      <c r="G51" s="140" t="s">
        <v>110</v>
      </c>
      <c r="H51" s="140">
        <v>11572.95</v>
      </c>
      <c r="I51" s="140">
        <v>10539.48</v>
      </c>
      <c r="J51" s="373">
        <v>588.03</v>
      </c>
      <c r="K51" s="373" t="s">
        <v>110</v>
      </c>
      <c r="L51" s="140">
        <v>445.44</v>
      </c>
      <c r="M51" s="140">
        <v>47680.6</v>
      </c>
      <c r="N51" s="140" t="s">
        <v>110</v>
      </c>
      <c r="O51" s="141">
        <v>126.8462</v>
      </c>
    </row>
    <row r="52" spans="1:15" ht="18" customHeight="1">
      <c r="A52" s="137">
        <v>1</v>
      </c>
      <c r="B52" s="138" t="s">
        <v>654</v>
      </c>
      <c r="C52" s="139" t="s">
        <v>655</v>
      </c>
      <c r="D52" s="138" t="s">
        <v>155</v>
      </c>
      <c r="E52" s="373">
        <v>2.8</v>
      </c>
      <c r="F52" s="373" t="s">
        <v>110</v>
      </c>
      <c r="G52" s="140">
        <v>83.9</v>
      </c>
      <c r="H52" s="140">
        <v>234.92</v>
      </c>
      <c r="I52" s="140">
        <v>229.26</v>
      </c>
      <c r="J52" s="373">
        <v>4.12</v>
      </c>
      <c r="K52" s="373" t="s">
        <v>110</v>
      </c>
      <c r="L52" s="140">
        <v>1.54</v>
      </c>
      <c r="M52" s="140">
        <v>1349.6</v>
      </c>
      <c r="N52" s="140" t="s">
        <v>110</v>
      </c>
      <c r="O52" s="141">
        <v>2.7831999999999999</v>
      </c>
    </row>
    <row r="53" spans="1:15" ht="18" customHeight="1">
      <c r="A53" s="137" t="s">
        <v>110</v>
      </c>
      <c r="B53" s="138" t="s">
        <v>154</v>
      </c>
      <c r="C53" s="139" t="s">
        <v>655</v>
      </c>
      <c r="D53" s="138" t="s">
        <v>156</v>
      </c>
      <c r="E53" s="373">
        <v>28</v>
      </c>
      <c r="F53" s="373" t="s">
        <v>110</v>
      </c>
      <c r="G53" s="140">
        <v>48.2</v>
      </c>
      <c r="H53" s="140">
        <v>1349.6</v>
      </c>
      <c r="I53" s="140" t="s">
        <v>110</v>
      </c>
      <c r="J53" s="373" t="s">
        <v>110</v>
      </c>
      <c r="K53" s="373" t="s">
        <v>110</v>
      </c>
      <c r="L53" s="140" t="s">
        <v>110</v>
      </c>
      <c r="M53" s="140">
        <v>1349.6</v>
      </c>
      <c r="N53" s="140" t="s">
        <v>110</v>
      </c>
      <c r="O53" s="141" t="s">
        <v>110</v>
      </c>
    </row>
    <row r="54" spans="1:15" ht="18" customHeight="1">
      <c r="A54" s="137">
        <v>2</v>
      </c>
      <c r="B54" s="138" t="s">
        <v>656</v>
      </c>
      <c r="C54" s="139" t="s">
        <v>657</v>
      </c>
      <c r="D54" s="138" t="s">
        <v>155</v>
      </c>
      <c r="E54" s="373">
        <v>45</v>
      </c>
      <c r="F54" s="373" t="s">
        <v>110</v>
      </c>
      <c r="G54" s="140">
        <v>71.349999999999994</v>
      </c>
      <c r="H54" s="140">
        <v>3210.75</v>
      </c>
      <c r="I54" s="140">
        <v>3131.1</v>
      </c>
      <c r="J54" s="373">
        <v>58.05</v>
      </c>
      <c r="K54" s="373" t="s">
        <v>110</v>
      </c>
      <c r="L54" s="140">
        <v>21.6</v>
      </c>
      <c r="M54" s="140">
        <v>16065</v>
      </c>
      <c r="N54" s="140" t="s">
        <v>110</v>
      </c>
      <c r="O54" s="141">
        <v>38.024999999999999</v>
      </c>
    </row>
    <row r="55" spans="1:15" ht="18" customHeight="1">
      <c r="A55" s="137" t="s">
        <v>110</v>
      </c>
      <c r="B55" s="138" t="s">
        <v>154</v>
      </c>
      <c r="C55" s="139" t="s">
        <v>657</v>
      </c>
      <c r="D55" s="138" t="s">
        <v>156</v>
      </c>
      <c r="E55" s="373">
        <v>450</v>
      </c>
      <c r="F55" s="373" t="s">
        <v>110</v>
      </c>
      <c r="G55" s="140">
        <v>35.700000000000003</v>
      </c>
      <c r="H55" s="140">
        <v>16065</v>
      </c>
      <c r="I55" s="140" t="s">
        <v>110</v>
      </c>
      <c r="J55" s="373" t="s">
        <v>110</v>
      </c>
      <c r="K55" s="373" t="s">
        <v>110</v>
      </c>
      <c r="L55" s="140" t="s">
        <v>110</v>
      </c>
      <c r="M55" s="140">
        <v>16065</v>
      </c>
      <c r="N55" s="140" t="s">
        <v>110</v>
      </c>
      <c r="O55" s="141" t="s">
        <v>110</v>
      </c>
    </row>
    <row r="56" spans="1:15" ht="18" customHeight="1">
      <c r="A56" s="137">
        <v>3</v>
      </c>
      <c r="B56" s="138" t="s">
        <v>658</v>
      </c>
      <c r="C56" s="139" t="s">
        <v>659</v>
      </c>
      <c r="D56" s="138" t="s">
        <v>155</v>
      </c>
      <c r="E56" s="373">
        <v>82</v>
      </c>
      <c r="F56" s="373" t="s">
        <v>110</v>
      </c>
      <c r="G56" s="140">
        <v>56.03</v>
      </c>
      <c r="H56" s="140">
        <v>4594.46</v>
      </c>
      <c r="I56" s="140">
        <v>4487.04</v>
      </c>
      <c r="J56" s="373">
        <v>91.02</v>
      </c>
      <c r="K56" s="373" t="s">
        <v>110</v>
      </c>
      <c r="L56" s="140">
        <v>16.399999999999999</v>
      </c>
      <c r="M56" s="140">
        <v>21566</v>
      </c>
      <c r="N56" s="140" t="s">
        <v>110</v>
      </c>
      <c r="O56" s="141">
        <v>54.448</v>
      </c>
    </row>
    <row r="57" spans="1:15" ht="18" customHeight="1">
      <c r="A57" s="137" t="s">
        <v>110</v>
      </c>
      <c r="B57" s="138" t="s">
        <v>154</v>
      </c>
      <c r="C57" s="139" t="s">
        <v>659</v>
      </c>
      <c r="D57" s="138" t="s">
        <v>156</v>
      </c>
      <c r="E57" s="373">
        <v>820</v>
      </c>
      <c r="F57" s="373" t="s">
        <v>110</v>
      </c>
      <c r="G57" s="140">
        <v>26.3</v>
      </c>
      <c r="H57" s="140">
        <v>21566</v>
      </c>
      <c r="I57" s="140" t="s">
        <v>110</v>
      </c>
      <c r="J57" s="373" t="s">
        <v>110</v>
      </c>
      <c r="K57" s="373" t="s">
        <v>110</v>
      </c>
      <c r="L57" s="140" t="s">
        <v>110</v>
      </c>
      <c r="M57" s="140">
        <v>21566</v>
      </c>
      <c r="N57" s="140" t="s">
        <v>110</v>
      </c>
      <c r="O57" s="141" t="s">
        <v>110</v>
      </c>
    </row>
    <row r="58" spans="1:15" ht="29.25" customHeight="1">
      <c r="A58" s="137">
        <v>4</v>
      </c>
      <c r="B58" s="138" t="s">
        <v>665</v>
      </c>
      <c r="C58" s="139" t="s">
        <v>666</v>
      </c>
      <c r="D58" s="138" t="s">
        <v>157</v>
      </c>
      <c r="E58" s="373">
        <v>2</v>
      </c>
      <c r="F58" s="373" t="s">
        <v>110</v>
      </c>
      <c r="G58" s="140">
        <v>48.87</v>
      </c>
      <c r="H58" s="140">
        <v>97.74</v>
      </c>
      <c r="I58" s="140">
        <v>73.680000000000007</v>
      </c>
      <c r="J58" s="373">
        <v>11.4</v>
      </c>
      <c r="K58" s="373" t="s">
        <v>110</v>
      </c>
      <c r="L58" s="140">
        <v>12.66</v>
      </c>
      <c r="M58" s="140">
        <v>620</v>
      </c>
      <c r="N58" s="140" t="s">
        <v>110</v>
      </c>
      <c r="O58" s="141">
        <v>0.89400000000000002</v>
      </c>
    </row>
    <row r="59" spans="1:15" ht="29.25" customHeight="1">
      <c r="A59" s="137" t="s">
        <v>110</v>
      </c>
      <c r="B59" s="138" t="s">
        <v>154</v>
      </c>
      <c r="C59" s="139" t="s">
        <v>666</v>
      </c>
      <c r="D59" s="138" t="s">
        <v>157</v>
      </c>
      <c r="E59" s="373">
        <v>2</v>
      </c>
      <c r="F59" s="373" t="s">
        <v>110</v>
      </c>
      <c r="G59" s="140">
        <v>310</v>
      </c>
      <c r="H59" s="140">
        <v>620</v>
      </c>
      <c r="I59" s="140" t="s">
        <v>110</v>
      </c>
      <c r="J59" s="373" t="s">
        <v>110</v>
      </c>
      <c r="K59" s="373" t="s">
        <v>110</v>
      </c>
      <c r="L59" s="140" t="s">
        <v>110</v>
      </c>
      <c r="M59" s="140">
        <v>620</v>
      </c>
      <c r="N59" s="140" t="s">
        <v>110</v>
      </c>
      <c r="O59" s="141" t="s">
        <v>110</v>
      </c>
    </row>
    <row r="60" spans="1:15" ht="29.25" customHeight="1">
      <c r="A60" s="137">
        <v>5</v>
      </c>
      <c r="B60" s="138" t="s">
        <v>667</v>
      </c>
      <c r="C60" s="139" t="s">
        <v>668</v>
      </c>
      <c r="D60" s="138" t="s">
        <v>157</v>
      </c>
      <c r="E60" s="373">
        <v>10</v>
      </c>
      <c r="F60" s="373" t="s">
        <v>110</v>
      </c>
      <c r="G60" s="140">
        <v>34.22</v>
      </c>
      <c r="H60" s="140">
        <v>342.2</v>
      </c>
      <c r="I60" s="140">
        <v>232.2</v>
      </c>
      <c r="J60" s="373">
        <v>51.5</v>
      </c>
      <c r="K60" s="373" t="s">
        <v>110</v>
      </c>
      <c r="L60" s="140">
        <v>58.5</v>
      </c>
      <c r="M60" s="140">
        <v>2300</v>
      </c>
      <c r="N60" s="140" t="s">
        <v>110</v>
      </c>
      <c r="O60" s="141">
        <v>2.82</v>
      </c>
    </row>
    <row r="61" spans="1:15" ht="29.25" customHeight="1">
      <c r="A61" s="137" t="s">
        <v>110</v>
      </c>
      <c r="B61" s="138" t="s">
        <v>154</v>
      </c>
      <c r="C61" s="139" t="s">
        <v>668</v>
      </c>
      <c r="D61" s="138" t="s">
        <v>157</v>
      </c>
      <c r="E61" s="373">
        <v>10</v>
      </c>
      <c r="F61" s="373" t="s">
        <v>110</v>
      </c>
      <c r="G61" s="140">
        <v>230</v>
      </c>
      <c r="H61" s="140">
        <v>2300</v>
      </c>
      <c r="I61" s="140" t="s">
        <v>110</v>
      </c>
      <c r="J61" s="373" t="s">
        <v>110</v>
      </c>
      <c r="K61" s="373" t="s">
        <v>110</v>
      </c>
      <c r="L61" s="140" t="s">
        <v>110</v>
      </c>
      <c r="M61" s="140">
        <v>2300</v>
      </c>
      <c r="N61" s="140" t="s">
        <v>110</v>
      </c>
      <c r="O61" s="141" t="s">
        <v>110</v>
      </c>
    </row>
    <row r="62" spans="1:15" ht="29.25" customHeight="1">
      <c r="A62" s="137">
        <v>6</v>
      </c>
      <c r="B62" s="138" t="s">
        <v>647</v>
      </c>
      <c r="C62" s="139" t="s">
        <v>669</v>
      </c>
      <c r="D62" s="138" t="s">
        <v>162</v>
      </c>
      <c r="E62" s="373">
        <v>1</v>
      </c>
      <c r="F62" s="373" t="s">
        <v>110</v>
      </c>
      <c r="G62" s="140">
        <v>515.48</v>
      </c>
      <c r="H62" s="140">
        <v>515.48</v>
      </c>
      <c r="I62" s="140">
        <v>397.7</v>
      </c>
      <c r="J62" s="373">
        <v>61.99</v>
      </c>
      <c r="K62" s="373" t="s">
        <v>110</v>
      </c>
      <c r="L62" s="140">
        <v>55.79</v>
      </c>
      <c r="M62" s="140">
        <v>1080</v>
      </c>
      <c r="N62" s="140" t="s">
        <v>110</v>
      </c>
      <c r="O62" s="141">
        <v>4.6459999999999999</v>
      </c>
    </row>
    <row r="63" spans="1:15" ht="29.25" customHeight="1">
      <c r="A63" s="137" t="s">
        <v>110</v>
      </c>
      <c r="B63" s="138" t="s">
        <v>154</v>
      </c>
      <c r="C63" s="139" t="s">
        <v>669</v>
      </c>
      <c r="D63" s="138" t="s">
        <v>162</v>
      </c>
      <c r="E63" s="373">
        <v>1</v>
      </c>
      <c r="F63" s="373" t="s">
        <v>110</v>
      </c>
      <c r="G63" s="140">
        <v>1080</v>
      </c>
      <c r="H63" s="140">
        <v>1080</v>
      </c>
      <c r="I63" s="140" t="s">
        <v>110</v>
      </c>
      <c r="J63" s="373" t="s">
        <v>110</v>
      </c>
      <c r="K63" s="373" t="s">
        <v>110</v>
      </c>
      <c r="L63" s="140" t="s">
        <v>110</v>
      </c>
      <c r="M63" s="140">
        <v>1080</v>
      </c>
      <c r="N63" s="140" t="s">
        <v>110</v>
      </c>
      <c r="O63" s="141" t="s">
        <v>110</v>
      </c>
    </row>
    <row r="64" spans="1:15" ht="29.25" customHeight="1">
      <c r="A64" s="137">
        <v>7</v>
      </c>
      <c r="B64" s="138" t="s">
        <v>647</v>
      </c>
      <c r="C64" s="139" t="s">
        <v>670</v>
      </c>
      <c r="D64" s="138" t="s">
        <v>162</v>
      </c>
      <c r="E64" s="373">
        <v>5</v>
      </c>
      <c r="F64" s="373" t="s">
        <v>110</v>
      </c>
      <c r="G64" s="140">
        <v>515.48</v>
      </c>
      <c r="H64" s="140">
        <v>2577.4</v>
      </c>
      <c r="I64" s="140">
        <v>1988.5</v>
      </c>
      <c r="J64" s="373">
        <v>309.95</v>
      </c>
      <c r="K64" s="373" t="s">
        <v>110</v>
      </c>
      <c r="L64" s="140">
        <v>278.95</v>
      </c>
      <c r="M64" s="140">
        <v>4700</v>
      </c>
      <c r="N64" s="140" t="s">
        <v>110</v>
      </c>
      <c r="O64" s="141">
        <v>23.23</v>
      </c>
    </row>
    <row r="65" spans="1:15" ht="29.25" customHeight="1">
      <c r="A65" s="137" t="s">
        <v>110</v>
      </c>
      <c r="B65" s="138" t="s">
        <v>154</v>
      </c>
      <c r="C65" s="139" t="s">
        <v>670</v>
      </c>
      <c r="D65" s="138" t="s">
        <v>162</v>
      </c>
      <c r="E65" s="373">
        <v>5</v>
      </c>
      <c r="F65" s="373" t="s">
        <v>110</v>
      </c>
      <c r="G65" s="140">
        <v>940</v>
      </c>
      <c r="H65" s="140">
        <v>4700</v>
      </c>
      <c r="I65" s="140" t="s">
        <v>110</v>
      </c>
      <c r="J65" s="373" t="s">
        <v>110</v>
      </c>
      <c r="K65" s="373" t="s">
        <v>110</v>
      </c>
      <c r="L65" s="140" t="s">
        <v>110</v>
      </c>
      <c r="M65" s="140">
        <v>4700</v>
      </c>
      <c r="N65" s="140" t="s">
        <v>110</v>
      </c>
      <c r="O65" s="141" t="s">
        <v>110</v>
      </c>
    </row>
    <row r="66" spans="1:15" ht="16.5" customHeight="1" thickBot="1">
      <c r="A66" s="192" t="s">
        <v>110</v>
      </c>
      <c r="B66" s="194" t="s">
        <v>110</v>
      </c>
      <c r="C66" s="196" t="s">
        <v>671</v>
      </c>
      <c r="D66" s="194" t="s">
        <v>110</v>
      </c>
      <c r="E66" s="376" t="s">
        <v>110</v>
      </c>
      <c r="F66" s="376" t="s">
        <v>110</v>
      </c>
      <c r="G66" s="142" t="s">
        <v>110</v>
      </c>
      <c r="H66" s="142">
        <v>11605.49</v>
      </c>
      <c r="I66" s="142">
        <v>10561.66</v>
      </c>
      <c r="J66" s="376">
        <v>590.32000000000005</v>
      </c>
      <c r="K66" s="376" t="s">
        <v>110</v>
      </c>
      <c r="L66" s="142">
        <v>453.51</v>
      </c>
      <c r="M66" s="142">
        <v>48206.66</v>
      </c>
      <c r="N66" s="142" t="s">
        <v>110</v>
      </c>
      <c r="O66" s="143">
        <v>127.11539999999999</v>
      </c>
    </row>
    <row r="67" spans="1:15" ht="16.5" customHeight="1">
      <c r="A67" s="372" t="s">
        <v>288</v>
      </c>
      <c r="B67" s="372" t="s">
        <v>110</v>
      </c>
      <c r="C67" s="372" t="s">
        <v>110</v>
      </c>
      <c r="D67" s="372" t="s">
        <v>110</v>
      </c>
      <c r="E67" s="372" t="s">
        <v>110</v>
      </c>
      <c r="F67" s="366" t="s">
        <v>289</v>
      </c>
      <c r="G67" s="366" t="s">
        <v>110</v>
      </c>
      <c r="H67" s="366" t="s">
        <v>110</v>
      </c>
      <c r="I67" s="366" t="s">
        <v>110</v>
      </c>
      <c r="J67" s="366" t="s">
        <v>110</v>
      </c>
      <c r="K67" s="367" t="s">
        <v>290</v>
      </c>
      <c r="L67" s="367" t="s">
        <v>110</v>
      </c>
      <c r="M67" s="367" t="s">
        <v>110</v>
      </c>
      <c r="N67" s="367" t="s">
        <v>110</v>
      </c>
      <c r="O67" s="367" t="s">
        <v>110</v>
      </c>
    </row>
    <row r="68" spans="1:15" ht="35.25" customHeight="1">
      <c r="A68" s="377" t="s">
        <v>291</v>
      </c>
      <c r="B68" s="377" t="s">
        <v>110</v>
      </c>
      <c r="C68" s="377" t="s">
        <v>110</v>
      </c>
      <c r="D68" s="377" t="s">
        <v>110</v>
      </c>
      <c r="E68" s="377" t="s">
        <v>110</v>
      </c>
      <c r="F68" s="377" t="s">
        <v>110</v>
      </c>
      <c r="G68" s="377" t="s">
        <v>110</v>
      </c>
      <c r="H68" s="377" t="s">
        <v>110</v>
      </c>
      <c r="I68" s="377" t="s">
        <v>110</v>
      </c>
      <c r="J68" s="377" t="s">
        <v>110</v>
      </c>
      <c r="K68" s="377" t="s">
        <v>110</v>
      </c>
      <c r="L68" s="377" t="s">
        <v>110</v>
      </c>
      <c r="M68" s="377" t="s">
        <v>110</v>
      </c>
      <c r="N68" s="377" t="s">
        <v>110</v>
      </c>
      <c r="O68" s="377" t="s">
        <v>110</v>
      </c>
    </row>
    <row r="69" spans="1:15" ht="29.25" customHeight="1" thickBot="1">
      <c r="A69" s="372" t="s">
        <v>175</v>
      </c>
      <c r="B69" s="372" t="s">
        <v>110</v>
      </c>
      <c r="C69" s="372" t="s">
        <v>110</v>
      </c>
      <c r="D69" s="372" t="s">
        <v>110</v>
      </c>
      <c r="E69" s="372" t="s">
        <v>110</v>
      </c>
      <c r="F69" s="372" t="s">
        <v>110</v>
      </c>
      <c r="G69" s="372" t="s">
        <v>110</v>
      </c>
      <c r="H69" s="372" t="s">
        <v>110</v>
      </c>
      <c r="I69" s="372" t="s">
        <v>110</v>
      </c>
      <c r="J69" s="372" t="s">
        <v>110</v>
      </c>
      <c r="K69" s="367" t="s">
        <v>672</v>
      </c>
      <c r="L69" s="367" t="s">
        <v>110</v>
      </c>
      <c r="M69" s="367" t="s">
        <v>110</v>
      </c>
      <c r="N69" s="367" t="s">
        <v>110</v>
      </c>
      <c r="O69" s="367" t="s">
        <v>110</v>
      </c>
    </row>
    <row r="70" spans="1:15" ht="19.5" customHeight="1">
      <c r="A70" s="378" t="s">
        <v>112</v>
      </c>
      <c r="B70" s="371" t="s">
        <v>292</v>
      </c>
      <c r="C70" s="371" t="s">
        <v>293</v>
      </c>
      <c r="D70" s="371" t="s">
        <v>294</v>
      </c>
      <c r="E70" s="371" t="s">
        <v>110</v>
      </c>
      <c r="F70" s="371" t="s">
        <v>110</v>
      </c>
      <c r="G70" s="371" t="s">
        <v>295</v>
      </c>
      <c r="H70" s="371" t="s">
        <v>110</v>
      </c>
      <c r="I70" s="371" t="s">
        <v>296</v>
      </c>
      <c r="J70" s="371" t="s">
        <v>110</v>
      </c>
      <c r="K70" s="371" t="s">
        <v>110</v>
      </c>
      <c r="L70" s="371" t="s">
        <v>110</v>
      </c>
      <c r="M70" s="371" t="s">
        <v>110</v>
      </c>
      <c r="N70" s="371" t="s">
        <v>110</v>
      </c>
      <c r="O70" s="381" t="s">
        <v>297</v>
      </c>
    </row>
    <row r="71" spans="1:15" ht="18" customHeight="1">
      <c r="A71" s="379" t="s">
        <v>110</v>
      </c>
      <c r="B71" s="380" t="s">
        <v>110</v>
      </c>
      <c r="C71" s="380" t="s">
        <v>110</v>
      </c>
      <c r="D71" s="136" t="s">
        <v>133</v>
      </c>
      <c r="E71" s="380" t="s">
        <v>134</v>
      </c>
      <c r="F71" s="380" t="s">
        <v>110</v>
      </c>
      <c r="G71" s="136" t="s">
        <v>298</v>
      </c>
      <c r="H71" s="136" t="s">
        <v>299</v>
      </c>
      <c r="I71" s="136" t="s">
        <v>300</v>
      </c>
      <c r="J71" s="380" t="s">
        <v>301</v>
      </c>
      <c r="K71" s="380" t="s">
        <v>110</v>
      </c>
      <c r="L71" s="136" t="s">
        <v>302</v>
      </c>
      <c r="M71" s="136" t="s">
        <v>303</v>
      </c>
      <c r="N71" s="136" t="s">
        <v>304</v>
      </c>
      <c r="O71" s="382" t="s">
        <v>110</v>
      </c>
    </row>
    <row r="72" spans="1:15" ht="18" customHeight="1">
      <c r="A72" s="137">
        <v>1</v>
      </c>
      <c r="B72" s="138" t="s">
        <v>673</v>
      </c>
      <c r="C72" s="139" t="s">
        <v>674</v>
      </c>
      <c r="D72" s="138" t="s">
        <v>155</v>
      </c>
      <c r="E72" s="373">
        <v>0.2</v>
      </c>
      <c r="F72" s="373" t="s">
        <v>110</v>
      </c>
      <c r="G72" s="140">
        <v>162.69</v>
      </c>
      <c r="H72" s="140">
        <v>32.54</v>
      </c>
      <c r="I72" s="140">
        <v>22.18</v>
      </c>
      <c r="J72" s="373">
        <v>2.29</v>
      </c>
      <c r="K72" s="373" t="s">
        <v>110</v>
      </c>
      <c r="L72" s="140">
        <v>8.07</v>
      </c>
      <c r="M72" s="140">
        <v>526.05999999999995</v>
      </c>
      <c r="N72" s="140" t="s">
        <v>110</v>
      </c>
      <c r="O72" s="141">
        <v>0.26919999999999999</v>
      </c>
    </row>
    <row r="73" spans="1:15" ht="18" customHeight="1">
      <c r="A73" s="137" t="s">
        <v>110</v>
      </c>
      <c r="B73" s="138" t="s">
        <v>154</v>
      </c>
      <c r="C73" s="139" t="s">
        <v>674</v>
      </c>
      <c r="D73" s="138" t="s">
        <v>156</v>
      </c>
      <c r="E73" s="373">
        <v>1.9059999999999999</v>
      </c>
      <c r="F73" s="373" t="s">
        <v>110</v>
      </c>
      <c r="G73" s="140">
        <v>276</v>
      </c>
      <c r="H73" s="140">
        <v>526.05999999999995</v>
      </c>
      <c r="I73" s="140" t="s">
        <v>110</v>
      </c>
      <c r="J73" s="373" t="s">
        <v>110</v>
      </c>
      <c r="K73" s="373" t="s">
        <v>110</v>
      </c>
      <c r="L73" s="140" t="s">
        <v>110</v>
      </c>
      <c r="M73" s="140">
        <v>526.05999999999995</v>
      </c>
      <c r="N73" s="140" t="s">
        <v>110</v>
      </c>
      <c r="O73" s="141" t="s">
        <v>110</v>
      </c>
    </row>
    <row r="74" spans="1:15" ht="18" customHeight="1">
      <c r="A74" s="137">
        <v>2</v>
      </c>
      <c r="B74" s="138" t="s">
        <v>654</v>
      </c>
      <c r="C74" s="139" t="s">
        <v>655</v>
      </c>
      <c r="D74" s="138" t="s">
        <v>155</v>
      </c>
      <c r="E74" s="373">
        <v>2.8</v>
      </c>
      <c r="F74" s="373" t="s">
        <v>110</v>
      </c>
      <c r="G74" s="140">
        <v>83.9</v>
      </c>
      <c r="H74" s="140">
        <v>234.92</v>
      </c>
      <c r="I74" s="140">
        <v>229.26</v>
      </c>
      <c r="J74" s="373">
        <v>4.12</v>
      </c>
      <c r="K74" s="373" t="s">
        <v>110</v>
      </c>
      <c r="L74" s="140">
        <v>1.54</v>
      </c>
      <c r="M74" s="140">
        <v>1349.6</v>
      </c>
      <c r="N74" s="140" t="s">
        <v>110</v>
      </c>
      <c r="O74" s="141">
        <v>2.7831999999999999</v>
      </c>
    </row>
    <row r="75" spans="1:15" ht="18" customHeight="1">
      <c r="A75" s="137" t="s">
        <v>110</v>
      </c>
      <c r="B75" s="138" t="s">
        <v>154</v>
      </c>
      <c r="C75" s="139" t="s">
        <v>655</v>
      </c>
      <c r="D75" s="138" t="s">
        <v>156</v>
      </c>
      <c r="E75" s="373">
        <v>28</v>
      </c>
      <c r="F75" s="373" t="s">
        <v>110</v>
      </c>
      <c r="G75" s="140">
        <v>48.2</v>
      </c>
      <c r="H75" s="140">
        <v>1349.6</v>
      </c>
      <c r="I75" s="140" t="s">
        <v>110</v>
      </c>
      <c r="J75" s="373" t="s">
        <v>110</v>
      </c>
      <c r="K75" s="373" t="s">
        <v>110</v>
      </c>
      <c r="L75" s="140" t="s">
        <v>110</v>
      </c>
      <c r="M75" s="140">
        <v>1349.6</v>
      </c>
      <c r="N75" s="140" t="s">
        <v>110</v>
      </c>
      <c r="O75" s="141" t="s">
        <v>110</v>
      </c>
    </row>
    <row r="76" spans="1:15" ht="18" customHeight="1">
      <c r="A76" s="137">
        <v>3</v>
      </c>
      <c r="B76" s="138" t="s">
        <v>656</v>
      </c>
      <c r="C76" s="139" t="s">
        <v>657</v>
      </c>
      <c r="D76" s="138" t="s">
        <v>155</v>
      </c>
      <c r="E76" s="373">
        <v>45</v>
      </c>
      <c r="F76" s="373" t="s">
        <v>110</v>
      </c>
      <c r="G76" s="140">
        <v>71.349999999999994</v>
      </c>
      <c r="H76" s="140">
        <v>3210.75</v>
      </c>
      <c r="I76" s="140">
        <v>3131.1</v>
      </c>
      <c r="J76" s="373">
        <v>58.05</v>
      </c>
      <c r="K76" s="373" t="s">
        <v>110</v>
      </c>
      <c r="L76" s="140">
        <v>21.6</v>
      </c>
      <c r="M76" s="140">
        <v>16065</v>
      </c>
      <c r="N76" s="140" t="s">
        <v>110</v>
      </c>
      <c r="O76" s="141">
        <v>38.024999999999999</v>
      </c>
    </row>
    <row r="77" spans="1:15" ht="18" customHeight="1">
      <c r="A77" s="137" t="s">
        <v>110</v>
      </c>
      <c r="B77" s="138" t="s">
        <v>154</v>
      </c>
      <c r="C77" s="139" t="s">
        <v>657</v>
      </c>
      <c r="D77" s="138" t="s">
        <v>156</v>
      </c>
      <c r="E77" s="373">
        <v>450</v>
      </c>
      <c r="F77" s="373" t="s">
        <v>110</v>
      </c>
      <c r="G77" s="140">
        <v>35.700000000000003</v>
      </c>
      <c r="H77" s="140">
        <v>16065</v>
      </c>
      <c r="I77" s="140" t="s">
        <v>110</v>
      </c>
      <c r="J77" s="373" t="s">
        <v>110</v>
      </c>
      <c r="K77" s="373" t="s">
        <v>110</v>
      </c>
      <c r="L77" s="140" t="s">
        <v>110</v>
      </c>
      <c r="M77" s="140">
        <v>16065</v>
      </c>
      <c r="N77" s="140" t="s">
        <v>110</v>
      </c>
      <c r="O77" s="141" t="s">
        <v>110</v>
      </c>
    </row>
    <row r="78" spans="1:15" ht="18" customHeight="1">
      <c r="A78" s="137">
        <v>4</v>
      </c>
      <c r="B78" s="138" t="s">
        <v>658</v>
      </c>
      <c r="C78" s="139" t="s">
        <v>659</v>
      </c>
      <c r="D78" s="138" t="s">
        <v>155</v>
      </c>
      <c r="E78" s="373">
        <v>82</v>
      </c>
      <c r="F78" s="373" t="s">
        <v>110</v>
      </c>
      <c r="G78" s="140">
        <v>56.03</v>
      </c>
      <c r="H78" s="140">
        <v>4594.46</v>
      </c>
      <c r="I78" s="140">
        <v>4487.04</v>
      </c>
      <c r="J78" s="373">
        <v>91.02</v>
      </c>
      <c r="K78" s="373" t="s">
        <v>110</v>
      </c>
      <c r="L78" s="140">
        <v>16.399999999999999</v>
      </c>
      <c r="M78" s="140">
        <v>21566</v>
      </c>
      <c r="N78" s="140" t="s">
        <v>110</v>
      </c>
      <c r="O78" s="141">
        <v>54.448</v>
      </c>
    </row>
    <row r="79" spans="1:15" ht="18" customHeight="1">
      <c r="A79" s="137" t="s">
        <v>110</v>
      </c>
      <c r="B79" s="138" t="s">
        <v>154</v>
      </c>
      <c r="C79" s="139" t="s">
        <v>659</v>
      </c>
      <c r="D79" s="138" t="s">
        <v>156</v>
      </c>
      <c r="E79" s="373">
        <v>820</v>
      </c>
      <c r="F79" s="373" t="s">
        <v>110</v>
      </c>
      <c r="G79" s="140">
        <v>26.3</v>
      </c>
      <c r="H79" s="140">
        <v>21566</v>
      </c>
      <c r="I79" s="140" t="s">
        <v>110</v>
      </c>
      <c r="J79" s="373" t="s">
        <v>110</v>
      </c>
      <c r="K79" s="373" t="s">
        <v>110</v>
      </c>
      <c r="L79" s="140" t="s">
        <v>110</v>
      </c>
      <c r="M79" s="140">
        <v>21566</v>
      </c>
      <c r="N79" s="140" t="s">
        <v>110</v>
      </c>
      <c r="O79" s="141" t="s">
        <v>110</v>
      </c>
    </row>
    <row r="80" spans="1:15" ht="29.25" customHeight="1">
      <c r="A80" s="137">
        <v>5</v>
      </c>
      <c r="B80" s="138" t="s">
        <v>665</v>
      </c>
      <c r="C80" s="139" t="s">
        <v>666</v>
      </c>
      <c r="D80" s="138" t="s">
        <v>157</v>
      </c>
      <c r="E80" s="373">
        <v>2</v>
      </c>
      <c r="F80" s="373" t="s">
        <v>110</v>
      </c>
      <c r="G80" s="140">
        <v>48.87</v>
      </c>
      <c r="H80" s="140">
        <v>97.74</v>
      </c>
      <c r="I80" s="140">
        <v>73.680000000000007</v>
      </c>
      <c r="J80" s="373">
        <v>11.4</v>
      </c>
      <c r="K80" s="373" t="s">
        <v>110</v>
      </c>
      <c r="L80" s="140">
        <v>12.66</v>
      </c>
      <c r="M80" s="140">
        <v>620</v>
      </c>
      <c r="N80" s="140" t="s">
        <v>110</v>
      </c>
      <c r="O80" s="141">
        <v>0.89400000000000002</v>
      </c>
    </row>
    <row r="81" spans="1:15" ht="29.25" customHeight="1">
      <c r="A81" s="137" t="s">
        <v>110</v>
      </c>
      <c r="B81" s="138" t="s">
        <v>154</v>
      </c>
      <c r="C81" s="139" t="s">
        <v>666</v>
      </c>
      <c r="D81" s="138" t="s">
        <v>157</v>
      </c>
      <c r="E81" s="373">
        <v>2</v>
      </c>
      <c r="F81" s="373" t="s">
        <v>110</v>
      </c>
      <c r="G81" s="140">
        <v>310</v>
      </c>
      <c r="H81" s="140">
        <v>620</v>
      </c>
      <c r="I81" s="140" t="s">
        <v>110</v>
      </c>
      <c r="J81" s="373" t="s">
        <v>110</v>
      </c>
      <c r="K81" s="373" t="s">
        <v>110</v>
      </c>
      <c r="L81" s="140" t="s">
        <v>110</v>
      </c>
      <c r="M81" s="140">
        <v>620</v>
      </c>
      <c r="N81" s="140" t="s">
        <v>110</v>
      </c>
      <c r="O81" s="141" t="s">
        <v>110</v>
      </c>
    </row>
    <row r="82" spans="1:15" ht="29.25" customHeight="1">
      <c r="A82" s="137">
        <v>6</v>
      </c>
      <c r="B82" s="138" t="s">
        <v>667</v>
      </c>
      <c r="C82" s="139" t="s">
        <v>668</v>
      </c>
      <c r="D82" s="138" t="s">
        <v>157</v>
      </c>
      <c r="E82" s="373">
        <v>10</v>
      </c>
      <c r="F82" s="373" t="s">
        <v>110</v>
      </c>
      <c r="G82" s="140">
        <v>34.22</v>
      </c>
      <c r="H82" s="140">
        <v>342.2</v>
      </c>
      <c r="I82" s="140">
        <v>232.2</v>
      </c>
      <c r="J82" s="373">
        <v>51.5</v>
      </c>
      <c r="K82" s="373" t="s">
        <v>110</v>
      </c>
      <c r="L82" s="140">
        <v>58.5</v>
      </c>
      <c r="M82" s="140">
        <v>2300</v>
      </c>
      <c r="N82" s="140" t="s">
        <v>110</v>
      </c>
      <c r="O82" s="141">
        <v>2.82</v>
      </c>
    </row>
    <row r="83" spans="1:15" ht="29.25" customHeight="1">
      <c r="A83" s="137" t="s">
        <v>110</v>
      </c>
      <c r="B83" s="138" t="s">
        <v>154</v>
      </c>
      <c r="C83" s="139" t="s">
        <v>668</v>
      </c>
      <c r="D83" s="138" t="s">
        <v>157</v>
      </c>
      <c r="E83" s="373">
        <v>10</v>
      </c>
      <c r="F83" s="373" t="s">
        <v>110</v>
      </c>
      <c r="G83" s="140">
        <v>230</v>
      </c>
      <c r="H83" s="140">
        <v>2300</v>
      </c>
      <c r="I83" s="140" t="s">
        <v>110</v>
      </c>
      <c r="J83" s="373" t="s">
        <v>110</v>
      </c>
      <c r="K83" s="373" t="s">
        <v>110</v>
      </c>
      <c r="L83" s="140" t="s">
        <v>110</v>
      </c>
      <c r="M83" s="140">
        <v>2300</v>
      </c>
      <c r="N83" s="140" t="s">
        <v>110</v>
      </c>
      <c r="O83" s="141" t="s">
        <v>110</v>
      </c>
    </row>
    <row r="84" spans="1:15" ht="29.25" customHeight="1">
      <c r="A84" s="137">
        <v>7</v>
      </c>
      <c r="B84" s="138" t="s">
        <v>647</v>
      </c>
      <c r="C84" s="139" t="s">
        <v>669</v>
      </c>
      <c r="D84" s="138" t="s">
        <v>162</v>
      </c>
      <c r="E84" s="373">
        <v>1</v>
      </c>
      <c r="F84" s="373" t="s">
        <v>110</v>
      </c>
      <c r="G84" s="140">
        <v>515.48</v>
      </c>
      <c r="H84" s="140">
        <v>515.48</v>
      </c>
      <c r="I84" s="140">
        <v>397.7</v>
      </c>
      <c r="J84" s="373">
        <v>61.99</v>
      </c>
      <c r="K84" s="373" t="s">
        <v>110</v>
      </c>
      <c r="L84" s="140">
        <v>55.79</v>
      </c>
      <c r="M84" s="140">
        <v>1080</v>
      </c>
      <c r="N84" s="140" t="s">
        <v>110</v>
      </c>
      <c r="O84" s="141">
        <v>4.6459999999999999</v>
      </c>
    </row>
    <row r="85" spans="1:15" ht="29.25" customHeight="1">
      <c r="A85" s="137" t="s">
        <v>110</v>
      </c>
      <c r="B85" s="138" t="s">
        <v>154</v>
      </c>
      <c r="C85" s="139" t="s">
        <v>669</v>
      </c>
      <c r="D85" s="138" t="s">
        <v>162</v>
      </c>
      <c r="E85" s="373">
        <v>1</v>
      </c>
      <c r="F85" s="373" t="s">
        <v>110</v>
      </c>
      <c r="G85" s="140">
        <v>1080</v>
      </c>
      <c r="H85" s="140">
        <v>1080</v>
      </c>
      <c r="I85" s="140" t="s">
        <v>110</v>
      </c>
      <c r="J85" s="373" t="s">
        <v>110</v>
      </c>
      <c r="K85" s="373" t="s">
        <v>110</v>
      </c>
      <c r="L85" s="140" t="s">
        <v>110</v>
      </c>
      <c r="M85" s="140">
        <v>1080</v>
      </c>
      <c r="N85" s="140" t="s">
        <v>110</v>
      </c>
      <c r="O85" s="141" t="s">
        <v>110</v>
      </c>
    </row>
    <row r="86" spans="1:15" ht="29.25" customHeight="1">
      <c r="A86" s="137">
        <v>8</v>
      </c>
      <c r="B86" s="138" t="s">
        <v>647</v>
      </c>
      <c r="C86" s="139" t="s">
        <v>670</v>
      </c>
      <c r="D86" s="138" t="s">
        <v>162</v>
      </c>
      <c r="E86" s="373">
        <v>5</v>
      </c>
      <c r="F86" s="373" t="s">
        <v>110</v>
      </c>
      <c r="G86" s="140">
        <v>515.48</v>
      </c>
      <c r="H86" s="140">
        <v>2577.4</v>
      </c>
      <c r="I86" s="140">
        <v>1988.5</v>
      </c>
      <c r="J86" s="373">
        <v>309.95</v>
      </c>
      <c r="K86" s="373" t="s">
        <v>110</v>
      </c>
      <c r="L86" s="140">
        <v>278.95</v>
      </c>
      <c r="M86" s="140">
        <v>4700</v>
      </c>
      <c r="N86" s="140" t="s">
        <v>110</v>
      </c>
      <c r="O86" s="141">
        <v>23.23</v>
      </c>
    </row>
    <row r="87" spans="1:15" ht="29.25" customHeight="1" thickBot="1">
      <c r="A87" s="192" t="s">
        <v>110</v>
      </c>
      <c r="B87" s="194" t="s">
        <v>154</v>
      </c>
      <c r="C87" s="195" t="s">
        <v>670</v>
      </c>
      <c r="D87" s="194" t="s">
        <v>162</v>
      </c>
      <c r="E87" s="376">
        <v>5</v>
      </c>
      <c r="F87" s="376" t="s">
        <v>110</v>
      </c>
      <c r="G87" s="142">
        <v>940</v>
      </c>
      <c r="H87" s="142">
        <v>4700</v>
      </c>
      <c r="I87" s="142" t="s">
        <v>110</v>
      </c>
      <c r="J87" s="376" t="s">
        <v>110</v>
      </c>
      <c r="K87" s="376" t="s">
        <v>110</v>
      </c>
      <c r="L87" s="142" t="s">
        <v>110</v>
      </c>
      <c r="M87" s="142">
        <v>4700</v>
      </c>
      <c r="N87" s="142" t="s">
        <v>110</v>
      </c>
      <c r="O87" s="143" t="s">
        <v>110</v>
      </c>
    </row>
    <row r="88" spans="1:15" ht="16.5" customHeight="1">
      <c r="A88" s="372" t="s">
        <v>288</v>
      </c>
      <c r="B88" s="372" t="s">
        <v>110</v>
      </c>
      <c r="C88" s="372" t="s">
        <v>110</v>
      </c>
      <c r="D88" s="372" t="s">
        <v>110</v>
      </c>
      <c r="E88" s="372" t="s">
        <v>110</v>
      </c>
      <c r="F88" s="366" t="s">
        <v>289</v>
      </c>
      <c r="G88" s="366" t="s">
        <v>110</v>
      </c>
      <c r="H88" s="366" t="s">
        <v>110</v>
      </c>
      <c r="I88" s="366" t="s">
        <v>110</v>
      </c>
      <c r="J88" s="366" t="s">
        <v>110</v>
      </c>
      <c r="K88" s="367" t="s">
        <v>290</v>
      </c>
      <c r="L88" s="367" t="s">
        <v>110</v>
      </c>
      <c r="M88" s="367" t="s">
        <v>110</v>
      </c>
      <c r="N88" s="367" t="s">
        <v>110</v>
      </c>
      <c r="O88" s="367" t="s">
        <v>110</v>
      </c>
    </row>
    <row r="89" spans="1:15" ht="35.25" customHeight="1">
      <c r="A89" s="377" t="s">
        <v>291</v>
      </c>
      <c r="B89" s="377" t="s">
        <v>110</v>
      </c>
      <c r="C89" s="377" t="s">
        <v>110</v>
      </c>
      <c r="D89" s="377" t="s">
        <v>110</v>
      </c>
      <c r="E89" s="377" t="s">
        <v>110</v>
      </c>
      <c r="F89" s="377" t="s">
        <v>110</v>
      </c>
      <c r="G89" s="377" t="s">
        <v>110</v>
      </c>
      <c r="H89" s="377" t="s">
        <v>110</v>
      </c>
      <c r="I89" s="377" t="s">
        <v>110</v>
      </c>
      <c r="J89" s="377" t="s">
        <v>110</v>
      </c>
      <c r="K89" s="377" t="s">
        <v>110</v>
      </c>
      <c r="L89" s="377" t="s">
        <v>110</v>
      </c>
      <c r="M89" s="377" t="s">
        <v>110</v>
      </c>
      <c r="N89" s="377" t="s">
        <v>110</v>
      </c>
      <c r="O89" s="377" t="s">
        <v>110</v>
      </c>
    </row>
    <row r="90" spans="1:15" ht="29.25" customHeight="1" thickBot="1">
      <c r="A90" s="372" t="s">
        <v>175</v>
      </c>
      <c r="B90" s="372" t="s">
        <v>110</v>
      </c>
      <c r="C90" s="372" t="s">
        <v>110</v>
      </c>
      <c r="D90" s="372" t="s">
        <v>110</v>
      </c>
      <c r="E90" s="372" t="s">
        <v>110</v>
      </c>
      <c r="F90" s="372" t="s">
        <v>110</v>
      </c>
      <c r="G90" s="372" t="s">
        <v>110</v>
      </c>
      <c r="H90" s="372" t="s">
        <v>110</v>
      </c>
      <c r="I90" s="372" t="s">
        <v>110</v>
      </c>
      <c r="J90" s="372" t="s">
        <v>110</v>
      </c>
      <c r="K90" s="367" t="s">
        <v>675</v>
      </c>
      <c r="L90" s="367" t="s">
        <v>110</v>
      </c>
      <c r="M90" s="367" t="s">
        <v>110</v>
      </c>
      <c r="N90" s="367" t="s">
        <v>110</v>
      </c>
      <c r="O90" s="367" t="s">
        <v>110</v>
      </c>
    </row>
    <row r="91" spans="1:15" ht="19.5" customHeight="1">
      <c r="A91" s="378" t="s">
        <v>112</v>
      </c>
      <c r="B91" s="371" t="s">
        <v>292</v>
      </c>
      <c r="C91" s="371" t="s">
        <v>293</v>
      </c>
      <c r="D91" s="371" t="s">
        <v>294</v>
      </c>
      <c r="E91" s="371" t="s">
        <v>110</v>
      </c>
      <c r="F91" s="371" t="s">
        <v>110</v>
      </c>
      <c r="G91" s="371" t="s">
        <v>295</v>
      </c>
      <c r="H91" s="371" t="s">
        <v>110</v>
      </c>
      <c r="I91" s="371" t="s">
        <v>296</v>
      </c>
      <c r="J91" s="371" t="s">
        <v>110</v>
      </c>
      <c r="K91" s="371" t="s">
        <v>110</v>
      </c>
      <c r="L91" s="371" t="s">
        <v>110</v>
      </c>
      <c r="M91" s="371" t="s">
        <v>110</v>
      </c>
      <c r="N91" s="371" t="s">
        <v>110</v>
      </c>
      <c r="O91" s="381" t="s">
        <v>297</v>
      </c>
    </row>
    <row r="92" spans="1:15" ht="18" customHeight="1">
      <c r="A92" s="379" t="s">
        <v>110</v>
      </c>
      <c r="B92" s="380" t="s">
        <v>110</v>
      </c>
      <c r="C92" s="380" t="s">
        <v>110</v>
      </c>
      <c r="D92" s="136" t="s">
        <v>133</v>
      </c>
      <c r="E92" s="380" t="s">
        <v>134</v>
      </c>
      <c r="F92" s="380" t="s">
        <v>110</v>
      </c>
      <c r="G92" s="136" t="s">
        <v>298</v>
      </c>
      <c r="H92" s="136" t="s">
        <v>299</v>
      </c>
      <c r="I92" s="136" t="s">
        <v>300</v>
      </c>
      <c r="J92" s="380" t="s">
        <v>301</v>
      </c>
      <c r="K92" s="380" t="s">
        <v>110</v>
      </c>
      <c r="L92" s="136" t="s">
        <v>302</v>
      </c>
      <c r="M92" s="136" t="s">
        <v>303</v>
      </c>
      <c r="N92" s="136" t="s">
        <v>304</v>
      </c>
      <c r="O92" s="382" t="s">
        <v>110</v>
      </c>
    </row>
    <row r="93" spans="1:15" ht="16.5" customHeight="1">
      <c r="A93" s="137" t="s">
        <v>110</v>
      </c>
      <c r="B93" s="138" t="s">
        <v>110</v>
      </c>
      <c r="C93" s="193" t="s">
        <v>173</v>
      </c>
      <c r="D93" s="138" t="s">
        <v>110</v>
      </c>
      <c r="E93" s="373" t="s">
        <v>110</v>
      </c>
      <c r="F93" s="373" t="s">
        <v>110</v>
      </c>
      <c r="G93" s="140" t="s">
        <v>110</v>
      </c>
      <c r="H93" s="140">
        <v>16511.560000000001</v>
      </c>
      <c r="I93" s="140">
        <v>14356.66</v>
      </c>
      <c r="J93" s="373">
        <v>1175.0999999999999</v>
      </c>
      <c r="K93" s="373" t="s">
        <v>110</v>
      </c>
      <c r="L93" s="140">
        <v>979.8</v>
      </c>
      <c r="M93" s="140">
        <v>60947.16</v>
      </c>
      <c r="N93" s="140" t="s">
        <v>110</v>
      </c>
      <c r="O93" s="141">
        <v>171.5472</v>
      </c>
    </row>
    <row r="94" spans="1:15" ht="18" customHeight="1">
      <c r="A94" s="137">
        <v>1</v>
      </c>
      <c r="B94" s="138" t="s">
        <v>654</v>
      </c>
      <c r="C94" s="139" t="s">
        <v>655</v>
      </c>
      <c r="D94" s="138" t="s">
        <v>155</v>
      </c>
      <c r="E94" s="373">
        <v>2.8</v>
      </c>
      <c r="F94" s="373" t="s">
        <v>110</v>
      </c>
      <c r="G94" s="140">
        <v>83.9</v>
      </c>
      <c r="H94" s="140">
        <v>234.92</v>
      </c>
      <c r="I94" s="140">
        <v>229.26</v>
      </c>
      <c r="J94" s="373">
        <v>4.12</v>
      </c>
      <c r="K94" s="373" t="s">
        <v>110</v>
      </c>
      <c r="L94" s="140">
        <v>1.54</v>
      </c>
      <c r="M94" s="140">
        <v>1349.6</v>
      </c>
      <c r="N94" s="140" t="s">
        <v>110</v>
      </c>
      <c r="O94" s="141">
        <v>2.7831999999999999</v>
      </c>
    </row>
    <row r="95" spans="1:15" ht="18" customHeight="1">
      <c r="A95" s="137" t="s">
        <v>110</v>
      </c>
      <c r="B95" s="138" t="s">
        <v>154</v>
      </c>
      <c r="C95" s="139" t="s">
        <v>655</v>
      </c>
      <c r="D95" s="138" t="s">
        <v>156</v>
      </c>
      <c r="E95" s="373">
        <v>28</v>
      </c>
      <c r="F95" s="373" t="s">
        <v>110</v>
      </c>
      <c r="G95" s="140">
        <v>48.2</v>
      </c>
      <c r="H95" s="140">
        <v>1349.6</v>
      </c>
      <c r="I95" s="140" t="s">
        <v>110</v>
      </c>
      <c r="J95" s="373" t="s">
        <v>110</v>
      </c>
      <c r="K95" s="373" t="s">
        <v>110</v>
      </c>
      <c r="L95" s="140" t="s">
        <v>110</v>
      </c>
      <c r="M95" s="140">
        <v>1349.6</v>
      </c>
      <c r="N95" s="140" t="s">
        <v>110</v>
      </c>
      <c r="O95" s="141" t="s">
        <v>110</v>
      </c>
    </row>
    <row r="96" spans="1:15" ht="18" customHeight="1">
      <c r="A96" s="137">
        <v>2</v>
      </c>
      <c r="B96" s="138" t="s">
        <v>656</v>
      </c>
      <c r="C96" s="139" t="s">
        <v>657</v>
      </c>
      <c r="D96" s="138" t="s">
        <v>155</v>
      </c>
      <c r="E96" s="373">
        <v>45</v>
      </c>
      <c r="F96" s="373" t="s">
        <v>110</v>
      </c>
      <c r="G96" s="140">
        <v>71.349999999999994</v>
      </c>
      <c r="H96" s="140">
        <v>3210.75</v>
      </c>
      <c r="I96" s="140">
        <v>3131.1</v>
      </c>
      <c r="J96" s="373">
        <v>58.05</v>
      </c>
      <c r="K96" s="373" t="s">
        <v>110</v>
      </c>
      <c r="L96" s="140">
        <v>21.6</v>
      </c>
      <c r="M96" s="140">
        <v>16065</v>
      </c>
      <c r="N96" s="140" t="s">
        <v>110</v>
      </c>
      <c r="O96" s="141">
        <v>38.024999999999999</v>
      </c>
    </row>
    <row r="97" spans="1:15" ht="18" customHeight="1">
      <c r="A97" s="137" t="s">
        <v>110</v>
      </c>
      <c r="B97" s="138" t="s">
        <v>154</v>
      </c>
      <c r="C97" s="139" t="s">
        <v>657</v>
      </c>
      <c r="D97" s="138" t="s">
        <v>156</v>
      </c>
      <c r="E97" s="373">
        <v>450</v>
      </c>
      <c r="F97" s="373" t="s">
        <v>110</v>
      </c>
      <c r="G97" s="140">
        <v>35.700000000000003</v>
      </c>
      <c r="H97" s="140">
        <v>16065</v>
      </c>
      <c r="I97" s="140" t="s">
        <v>110</v>
      </c>
      <c r="J97" s="373" t="s">
        <v>110</v>
      </c>
      <c r="K97" s="373" t="s">
        <v>110</v>
      </c>
      <c r="L97" s="140" t="s">
        <v>110</v>
      </c>
      <c r="M97" s="140">
        <v>16065</v>
      </c>
      <c r="N97" s="140" t="s">
        <v>110</v>
      </c>
      <c r="O97" s="141" t="s">
        <v>110</v>
      </c>
    </row>
    <row r="98" spans="1:15" ht="18" customHeight="1">
      <c r="A98" s="137">
        <v>3</v>
      </c>
      <c r="B98" s="138" t="s">
        <v>658</v>
      </c>
      <c r="C98" s="139" t="s">
        <v>659</v>
      </c>
      <c r="D98" s="138" t="s">
        <v>155</v>
      </c>
      <c r="E98" s="373">
        <v>82</v>
      </c>
      <c r="F98" s="373" t="s">
        <v>110</v>
      </c>
      <c r="G98" s="140">
        <v>56.03</v>
      </c>
      <c r="H98" s="140">
        <v>4594.46</v>
      </c>
      <c r="I98" s="140">
        <v>4487.04</v>
      </c>
      <c r="J98" s="373">
        <v>91.02</v>
      </c>
      <c r="K98" s="373" t="s">
        <v>110</v>
      </c>
      <c r="L98" s="140">
        <v>16.399999999999999</v>
      </c>
      <c r="M98" s="140">
        <v>21566</v>
      </c>
      <c r="N98" s="140" t="s">
        <v>110</v>
      </c>
      <c r="O98" s="141">
        <v>54.448</v>
      </c>
    </row>
    <row r="99" spans="1:15" ht="18" customHeight="1">
      <c r="A99" s="137" t="s">
        <v>110</v>
      </c>
      <c r="B99" s="138" t="s">
        <v>154</v>
      </c>
      <c r="C99" s="139" t="s">
        <v>659</v>
      </c>
      <c r="D99" s="138" t="s">
        <v>156</v>
      </c>
      <c r="E99" s="373">
        <v>820</v>
      </c>
      <c r="F99" s="373" t="s">
        <v>110</v>
      </c>
      <c r="G99" s="140">
        <v>26.3</v>
      </c>
      <c r="H99" s="140">
        <v>21566</v>
      </c>
      <c r="I99" s="140" t="s">
        <v>110</v>
      </c>
      <c r="J99" s="373" t="s">
        <v>110</v>
      </c>
      <c r="K99" s="373" t="s">
        <v>110</v>
      </c>
      <c r="L99" s="140" t="s">
        <v>110</v>
      </c>
      <c r="M99" s="140">
        <v>21566</v>
      </c>
      <c r="N99" s="140" t="s">
        <v>110</v>
      </c>
      <c r="O99" s="141" t="s">
        <v>110</v>
      </c>
    </row>
    <row r="100" spans="1:15" ht="18" customHeight="1">
      <c r="A100" s="137">
        <v>4</v>
      </c>
      <c r="B100" s="138" t="s">
        <v>676</v>
      </c>
      <c r="C100" s="139" t="s">
        <v>677</v>
      </c>
      <c r="D100" s="138" t="s">
        <v>155</v>
      </c>
      <c r="E100" s="373">
        <v>2</v>
      </c>
      <c r="F100" s="373" t="s">
        <v>110</v>
      </c>
      <c r="G100" s="140">
        <v>94.24</v>
      </c>
      <c r="H100" s="140">
        <v>188.48</v>
      </c>
      <c r="I100" s="140">
        <v>160.52000000000001</v>
      </c>
      <c r="J100" s="373">
        <v>13.74</v>
      </c>
      <c r="K100" s="373" t="s">
        <v>110</v>
      </c>
      <c r="L100" s="140">
        <v>14.22</v>
      </c>
      <c r="M100" s="140">
        <v>2376.56</v>
      </c>
      <c r="N100" s="140" t="s">
        <v>110</v>
      </c>
      <c r="O100" s="141">
        <v>1.948</v>
      </c>
    </row>
    <row r="101" spans="1:15" ht="18" customHeight="1">
      <c r="A101" s="137" t="s">
        <v>110</v>
      </c>
      <c r="B101" s="138" t="s">
        <v>154</v>
      </c>
      <c r="C101" s="139" t="s">
        <v>677</v>
      </c>
      <c r="D101" s="138" t="s">
        <v>156</v>
      </c>
      <c r="E101" s="373">
        <v>19.48</v>
      </c>
      <c r="F101" s="373" t="s">
        <v>110</v>
      </c>
      <c r="G101" s="140">
        <v>122</v>
      </c>
      <c r="H101" s="140">
        <v>2376.56</v>
      </c>
      <c r="I101" s="140" t="s">
        <v>110</v>
      </c>
      <c r="J101" s="373" t="s">
        <v>110</v>
      </c>
      <c r="K101" s="373" t="s">
        <v>110</v>
      </c>
      <c r="L101" s="140" t="s">
        <v>110</v>
      </c>
      <c r="M101" s="140">
        <v>2376.56</v>
      </c>
      <c r="N101" s="140" t="s">
        <v>110</v>
      </c>
      <c r="O101" s="141" t="s">
        <v>110</v>
      </c>
    </row>
    <row r="102" spans="1:15" ht="29.25" customHeight="1">
      <c r="A102" s="137">
        <v>5</v>
      </c>
      <c r="B102" s="138" t="s">
        <v>665</v>
      </c>
      <c r="C102" s="139" t="s">
        <v>666</v>
      </c>
      <c r="D102" s="138" t="s">
        <v>157</v>
      </c>
      <c r="E102" s="373">
        <v>2</v>
      </c>
      <c r="F102" s="373" t="s">
        <v>110</v>
      </c>
      <c r="G102" s="140">
        <v>48.87</v>
      </c>
      <c r="H102" s="140">
        <v>97.74</v>
      </c>
      <c r="I102" s="140">
        <v>73.680000000000007</v>
      </c>
      <c r="J102" s="373">
        <v>11.4</v>
      </c>
      <c r="K102" s="373" t="s">
        <v>110</v>
      </c>
      <c r="L102" s="140">
        <v>12.66</v>
      </c>
      <c r="M102" s="140">
        <v>620</v>
      </c>
      <c r="N102" s="140" t="s">
        <v>110</v>
      </c>
      <c r="O102" s="141">
        <v>0.89400000000000002</v>
      </c>
    </row>
    <row r="103" spans="1:15" ht="29.25" customHeight="1">
      <c r="A103" s="137" t="s">
        <v>110</v>
      </c>
      <c r="B103" s="138" t="s">
        <v>154</v>
      </c>
      <c r="C103" s="139" t="s">
        <v>666</v>
      </c>
      <c r="D103" s="138" t="s">
        <v>157</v>
      </c>
      <c r="E103" s="373">
        <v>2</v>
      </c>
      <c r="F103" s="373" t="s">
        <v>110</v>
      </c>
      <c r="G103" s="140">
        <v>310</v>
      </c>
      <c r="H103" s="140">
        <v>620</v>
      </c>
      <c r="I103" s="140" t="s">
        <v>110</v>
      </c>
      <c r="J103" s="373" t="s">
        <v>110</v>
      </c>
      <c r="K103" s="373" t="s">
        <v>110</v>
      </c>
      <c r="L103" s="140" t="s">
        <v>110</v>
      </c>
      <c r="M103" s="140">
        <v>620</v>
      </c>
      <c r="N103" s="140" t="s">
        <v>110</v>
      </c>
      <c r="O103" s="141" t="s">
        <v>110</v>
      </c>
    </row>
    <row r="104" spans="1:15" ht="29.25" customHeight="1">
      <c r="A104" s="137">
        <v>6</v>
      </c>
      <c r="B104" s="138" t="s">
        <v>667</v>
      </c>
      <c r="C104" s="139" t="s">
        <v>668</v>
      </c>
      <c r="D104" s="138" t="s">
        <v>157</v>
      </c>
      <c r="E104" s="373">
        <v>10</v>
      </c>
      <c r="F104" s="373" t="s">
        <v>110</v>
      </c>
      <c r="G104" s="140">
        <v>34.22</v>
      </c>
      <c r="H104" s="140">
        <v>342.2</v>
      </c>
      <c r="I104" s="140">
        <v>232.2</v>
      </c>
      <c r="J104" s="373">
        <v>51.5</v>
      </c>
      <c r="K104" s="373" t="s">
        <v>110</v>
      </c>
      <c r="L104" s="140">
        <v>58.5</v>
      </c>
      <c r="M104" s="140">
        <v>2300</v>
      </c>
      <c r="N104" s="140" t="s">
        <v>110</v>
      </c>
      <c r="O104" s="141">
        <v>2.82</v>
      </c>
    </row>
    <row r="105" spans="1:15" ht="29.25" customHeight="1">
      <c r="A105" s="137" t="s">
        <v>110</v>
      </c>
      <c r="B105" s="138" t="s">
        <v>154</v>
      </c>
      <c r="C105" s="139" t="s">
        <v>668</v>
      </c>
      <c r="D105" s="138" t="s">
        <v>157</v>
      </c>
      <c r="E105" s="373">
        <v>10</v>
      </c>
      <c r="F105" s="373" t="s">
        <v>110</v>
      </c>
      <c r="G105" s="140">
        <v>230</v>
      </c>
      <c r="H105" s="140">
        <v>2300</v>
      </c>
      <c r="I105" s="140" t="s">
        <v>110</v>
      </c>
      <c r="J105" s="373" t="s">
        <v>110</v>
      </c>
      <c r="K105" s="373" t="s">
        <v>110</v>
      </c>
      <c r="L105" s="140" t="s">
        <v>110</v>
      </c>
      <c r="M105" s="140">
        <v>2300</v>
      </c>
      <c r="N105" s="140" t="s">
        <v>110</v>
      </c>
      <c r="O105" s="141" t="s">
        <v>110</v>
      </c>
    </row>
    <row r="106" spans="1:15" ht="29.25" customHeight="1">
      <c r="A106" s="137">
        <v>7</v>
      </c>
      <c r="B106" s="138" t="s">
        <v>665</v>
      </c>
      <c r="C106" s="139" t="s">
        <v>678</v>
      </c>
      <c r="D106" s="138" t="s">
        <v>157</v>
      </c>
      <c r="E106" s="373">
        <v>1</v>
      </c>
      <c r="F106" s="373" t="s">
        <v>110</v>
      </c>
      <c r="G106" s="140">
        <v>48.87</v>
      </c>
      <c r="H106" s="140">
        <v>48.87</v>
      </c>
      <c r="I106" s="140">
        <v>36.840000000000003</v>
      </c>
      <c r="J106" s="373">
        <v>5.7</v>
      </c>
      <c r="K106" s="373" t="s">
        <v>110</v>
      </c>
      <c r="L106" s="140">
        <v>6.33</v>
      </c>
      <c r="M106" s="140">
        <v>350</v>
      </c>
      <c r="N106" s="140" t="s">
        <v>110</v>
      </c>
      <c r="O106" s="141">
        <v>0.44700000000000001</v>
      </c>
    </row>
    <row r="107" spans="1:15" ht="29.25" customHeight="1">
      <c r="A107" s="137" t="s">
        <v>110</v>
      </c>
      <c r="B107" s="138" t="s">
        <v>154</v>
      </c>
      <c r="C107" s="139" t="s">
        <v>678</v>
      </c>
      <c r="D107" s="138" t="s">
        <v>157</v>
      </c>
      <c r="E107" s="373">
        <v>1</v>
      </c>
      <c r="F107" s="373" t="s">
        <v>110</v>
      </c>
      <c r="G107" s="140">
        <v>350</v>
      </c>
      <c r="H107" s="140">
        <v>350</v>
      </c>
      <c r="I107" s="140" t="s">
        <v>110</v>
      </c>
      <c r="J107" s="373" t="s">
        <v>110</v>
      </c>
      <c r="K107" s="373" t="s">
        <v>110</v>
      </c>
      <c r="L107" s="140" t="s">
        <v>110</v>
      </c>
      <c r="M107" s="140">
        <v>350</v>
      </c>
      <c r="N107" s="140" t="s">
        <v>110</v>
      </c>
      <c r="O107" s="141" t="s">
        <v>110</v>
      </c>
    </row>
    <row r="108" spans="1:15" ht="29.25" customHeight="1">
      <c r="A108" s="137">
        <v>8</v>
      </c>
      <c r="B108" s="138" t="s">
        <v>679</v>
      </c>
      <c r="C108" s="139" t="s">
        <v>680</v>
      </c>
      <c r="D108" s="138" t="s">
        <v>157</v>
      </c>
      <c r="E108" s="373">
        <v>2</v>
      </c>
      <c r="F108" s="373" t="s">
        <v>110</v>
      </c>
      <c r="G108" s="140">
        <v>30.97</v>
      </c>
      <c r="H108" s="140">
        <v>61.94</v>
      </c>
      <c r="I108" s="140">
        <v>40.520000000000003</v>
      </c>
      <c r="J108" s="373">
        <v>9.7200000000000006</v>
      </c>
      <c r="K108" s="373" t="s">
        <v>110</v>
      </c>
      <c r="L108" s="140">
        <v>11.7</v>
      </c>
      <c r="M108" s="140">
        <v>1520</v>
      </c>
      <c r="N108" s="140" t="s">
        <v>110</v>
      </c>
      <c r="O108" s="141">
        <v>0.49199999999999999</v>
      </c>
    </row>
    <row r="109" spans="1:15" ht="24.75" customHeight="1" thickBot="1">
      <c r="A109" s="192" t="s">
        <v>110</v>
      </c>
      <c r="B109" s="194" t="s">
        <v>154</v>
      </c>
      <c r="C109" s="195" t="s">
        <v>681</v>
      </c>
      <c r="D109" s="194" t="s">
        <v>157</v>
      </c>
      <c r="E109" s="376">
        <v>2</v>
      </c>
      <c r="F109" s="376" t="s">
        <v>110</v>
      </c>
      <c r="G109" s="142">
        <v>760</v>
      </c>
      <c r="H109" s="142">
        <v>1520</v>
      </c>
      <c r="I109" s="142" t="s">
        <v>110</v>
      </c>
      <c r="J109" s="376" t="s">
        <v>110</v>
      </c>
      <c r="K109" s="376" t="s">
        <v>110</v>
      </c>
      <c r="L109" s="142" t="s">
        <v>110</v>
      </c>
      <c r="M109" s="142">
        <v>1520</v>
      </c>
      <c r="N109" s="142" t="s">
        <v>110</v>
      </c>
      <c r="O109" s="143" t="s">
        <v>110</v>
      </c>
    </row>
    <row r="110" spans="1:15" ht="16.5" customHeight="1">
      <c r="A110" s="372" t="s">
        <v>288</v>
      </c>
      <c r="B110" s="372" t="s">
        <v>110</v>
      </c>
      <c r="C110" s="372" t="s">
        <v>110</v>
      </c>
      <c r="D110" s="372" t="s">
        <v>110</v>
      </c>
      <c r="E110" s="372" t="s">
        <v>110</v>
      </c>
      <c r="F110" s="366" t="s">
        <v>289</v>
      </c>
      <c r="G110" s="366" t="s">
        <v>110</v>
      </c>
      <c r="H110" s="366" t="s">
        <v>110</v>
      </c>
      <c r="I110" s="366" t="s">
        <v>110</v>
      </c>
      <c r="J110" s="366" t="s">
        <v>110</v>
      </c>
      <c r="K110" s="367" t="s">
        <v>290</v>
      </c>
      <c r="L110" s="367" t="s">
        <v>110</v>
      </c>
      <c r="M110" s="367" t="s">
        <v>110</v>
      </c>
      <c r="N110" s="367" t="s">
        <v>110</v>
      </c>
      <c r="O110" s="367" t="s">
        <v>110</v>
      </c>
    </row>
    <row r="111" spans="1:15" ht="35.25" customHeight="1">
      <c r="A111" s="377" t="s">
        <v>291</v>
      </c>
      <c r="B111" s="377" t="s">
        <v>110</v>
      </c>
      <c r="C111" s="377" t="s">
        <v>110</v>
      </c>
      <c r="D111" s="377" t="s">
        <v>110</v>
      </c>
      <c r="E111" s="377" t="s">
        <v>110</v>
      </c>
      <c r="F111" s="377" t="s">
        <v>110</v>
      </c>
      <c r="G111" s="377" t="s">
        <v>110</v>
      </c>
      <c r="H111" s="377" t="s">
        <v>110</v>
      </c>
      <c r="I111" s="377" t="s">
        <v>110</v>
      </c>
      <c r="J111" s="377" t="s">
        <v>110</v>
      </c>
      <c r="K111" s="377" t="s">
        <v>110</v>
      </c>
      <c r="L111" s="377" t="s">
        <v>110</v>
      </c>
      <c r="M111" s="377" t="s">
        <v>110</v>
      </c>
      <c r="N111" s="377" t="s">
        <v>110</v>
      </c>
      <c r="O111" s="377" t="s">
        <v>110</v>
      </c>
    </row>
    <row r="112" spans="1:15" ht="29.25" customHeight="1" thickBot="1">
      <c r="A112" s="372" t="s">
        <v>175</v>
      </c>
      <c r="B112" s="372" t="s">
        <v>110</v>
      </c>
      <c r="C112" s="372" t="s">
        <v>110</v>
      </c>
      <c r="D112" s="372" t="s">
        <v>110</v>
      </c>
      <c r="E112" s="372" t="s">
        <v>110</v>
      </c>
      <c r="F112" s="372" t="s">
        <v>110</v>
      </c>
      <c r="G112" s="372" t="s">
        <v>110</v>
      </c>
      <c r="H112" s="372" t="s">
        <v>110</v>
      </c>
      <c r="I112" s="372" t="s">
        <v>110</v>
      </c>
      <c r="J112" s="372" t="s">
        <v>110</v>
      </c>
      <c r="K112" s="367" t="s">
        <v>682</v>
      </c>
      <c r="L112" s="367" t="s">
        <v>110</v>
      </c>
      <c r="M112" s="367" t="s">
        <v>110</v>
      </c>
      <c r="N112" s="367" t="s">
        <v>110</v>
      </c>
      <c r="O112" s="367" t="s">
        <v>110</v>
      </c>
    </row>
    <row r="113" spans="1:15" ht="19.5" customHeight="1">
      <c r="A113" s="378" t="s">
        <v>112</v>
      </c>
      <c r="B113" s="371" t="s">
        <v>292</v>
      </c>
      <c r="C113" s="371" t="s">
        <v>293</v>
      </c>
      <c r="D113" s="371" t="s">
        <v>294</v>
      </c>
      <c r="E113" s="371" t="s">
        <v>110</v>
      </c>
      <c r="F113" s="371" t="s">
        <v>110</v>
      </c>
      <c r="G113" s="371" t="s">
        <v>295</v>
      </c>
      <c r="H113" s="371" t="s">
        <v>110</v>
      </c>
      <c r="I113" s="371" t="s">
        <v>296</v>
      </c>
      <c r="J113" s="371" t="s">
        <v>110</v>
      </c>
      <c r="K113" s="371" t="s">
        <v>110</v>
      </c>
      <c r="L113" s="371" t="s">
        <v>110</v>
      </c>
      <c r="M113" s="371" t="s">
        <v>110</v>
      </c>
      <c r="N113" s="371" t="s">
        <v>110</v>
      </c>
      <c r="O113" s="381" t="s">
        <v>297</v>
      </c>
    </row>
    <row r="114" spans="1:15" ht="18" customHeight="1">
      <c r="A114" s="379" t="s">
        <v>110</v>
      </c>
      <c r="B114" s="380" t="s">
        <v>110</v>
      </c>
      <c r="C114" s="380" t="s">
        <v>110</v>
      </c>
      <c r="D114" s="136" t="s">
        <v>133</v>
      </c>
      <c r="E114" s="380" t="s">
        <v>134</v>
      </c>
      <c r="F114" s="380" t="s">
        <v>110</v>
      </c>
      <c r="G114" s="136" t="s">
        <v>298</v>
      </c>
      <c r="H114" s="136" t="s">
        <v>299</v>
      </c>
      <c r="I114" s="136" t="s">
        <v>300</v>
      </c>
      <c r="J114" s="380" t="s">
        <v>301</v>
      </c>
      <c r="K114" s="380" t="s">
        <v>110</v>
      </c>
      <c r="L114" s="136" t="s">
        <v>302</v>
      </c>
      <c r="M114" s="136" t="s">
        <v>303</v>
      </c>
      <c r="N114" s="136" t="s">
        <v>304</v>
      </c>
      <c r="O114" s="382" t="s">
        <v>110</v>
      </c>
    </row>
    <row r="115" spans="1:15" ht="19.5" customHeight="1">
      <c r="A115" s="137" t="s">
        <v>110</v>
      </c>
      <c r="B115" s="138" t="s">
        <v>110</v>
      </c>
      <c r="C115" s="139" t="s">
        <v>683</v>
      </c>
      <c r="D115" s="138" t="s">
        <v>110</v>
      </c>
      <c r="E115" s="373" t="s">
        <v>110</v>
      </c>
      <c r="F115" s="373" t="s">
        <v>110</v>
      </c>
      <c r="G115" s="140" t="s">
        <v>110</v>
      </c>
      <c r="H115" s="140" t="s">
        <v>110</v>
      </c>
      <c r="I115" s="140" t="s">
        <v>110</v>
      </c>
      <c r="J115" s="373" t="s">
        <v>110</v>
      </c>
      <c r="K115" s="373" t="s">
        <v>110</v>
      </c>
      <c r="L115" s="140" t="s">
        <v>110</v>
      </c>
      <c r="M115" s="140" t="s">
        <v>110</v>
      </c>
      <c r="N115" s="140" t="s">
        <v>110</v>
      </c>
      <c r="O115" s="141" t="s">
        <v>110</v>
      </c>
    </row>
    <row r="116" spans="1:15" ht="29.25" customHeight="1">
      <c r="A116" s="137">
        <v>9</v>
      </c>
      <c r="B116" s="138" t="s">
        <v>647</v>
      </c>
      <c r="C116" s="139" t="s">
        <v>669</v>
      </c>
      <c r="D116" s="138" t="s">
        <v>162</v>
      </c>
      <c r="E116" s="373">
        <v>5</v>
      </c>
      <c r="F116" s="373" t="s">
        <v>110</v>
      </c>
      <c r="G116" s="140">
        <v>515.48</v>
      </c>
      <c r="H116" s="140">
        <v>2577.4</v>
      </c>
      <c r="I116" s="140">
        <v>1988.5</v>
      </c>
      <c r="J116" s="373">
        <v>309.95</v>
      </c>
      <c r="K116" s="373" t="s">
        <v>110</v>
      </c>
      <c r="L116" s="140">
        <v>278.95</v>
      </c>
      <c r="M116" s="140">
        <v>5400</v>
      </c>
      <c r="N116" s="140" t="s">
        <v>110</v>
      </c>
      <c r="O116" s="141">
        <v>23.23</v>
      </c>
    </row>
    <row r="117" spans="1:15" ht="29.25" customHeight="1">
      <c r="A117" s="137" t="s">
        <v>110</v>
      </c>
      <c r="B117" s="138" t="s">
        <v>154</v>
      </c>
      <c r="C117" s="139" t="s">
        <v>669</v>
      </c>
      <c r="D117" s="138" t="s">
        <v>162</v>
      </c>
      <c r="E117" s="373">
        <v>5</v>
      </c>
      <c r="F117" s="373" t="s">
        <v>110</v>
      </c>
      <c r="G117" s="140">
        <v>1080</v>
      </c>
      <c r="H117" s="140">
        <v>5400</v>
      </c>
      <c r="I117" s="140" t="s">
        <v>110</v>
      </c>
      <c r="J117" s="373" t="s">
        <v>110</v>
      </c>
      <c r="K117" s="373" t="s">
        <v>110</v>
      </c>
      <c r="L117" s="140" t="s">
        <v>110</v>
      </c>
      <c r="M117" s="140">
        <v>5400</v>
      </c>
      <c r="N117" s="140" t="s">
        <v>110</v>
      </c>
      <c r="O117" s="141" t="s">
        <v>110</v>
      </c>
    </row>
    <row r="118" spans="1:15" ht="29.25" customHeight="1">
      <c r="A118" s="137">
        <v>10</v>
      </c>
      <c r="B118" s="138" t="s">
        <v>647</v>
      </c>
      <c r="C118" s="139" t="s">
        <v>670</v>
      </c>
      <c r="D118" s="138" t="s">
        <v>162</v>
      </c>
      <c r="E118" s="373">
        <v>10</v>
      </c>
      <c r="F118" s="373" t="s">
        <v>110</v>
      </c>
      <c r="G118" s="140">
        <v>515.48</v>
      </c>
      <c r="H118" s="140">
        <v>5154.8</v>
      </c>
      <c r="I118" s="140">
        <v>3977</v>
      </c>
      <c r="J118" s="373">
        <v>619.9</v>
      </c>
      <c r="K118" s="373" t="s">
        <v>110</v>
      </c>
      <c r="L118" s="140">
        <v>557.9</v>
      </c>
      <c r="M118" s="140">
        <v>9400</v>
      </c>
      <c r="N118" s="140" t="s">
        <v>110</v>
      </c>
      <c r="O118" s="141">
        <v>46.46</v>
      </c>
    </row>
    <row r="119" spans="1:15" ht="29.25" customHeight="1">
      <c r="A119" s="137" t="s">
        <v>110</v>
      </c>
      <c r="B119" s="138" t="s">
        <v>154</v>
      </c>
      <c r="C119" s="139" t="s">
        <v>670</v>
      </c>
      <c r="D119" s="138" t="s">
        <v>162</v>
      </c>
      <c r="E119" s="373">
        <v>10</v>
      </c>
      <c r="F119" s="373" t="s">
        <v>110</v>
      </c>
      <c r="G119" s="140">
        <v>940</v>
      </c>
      <c r="H119" s="140">
        <v>9400</v>
      </c>
      <c r="I119" s="140" t="s">
        <v>110</v>
      </c>
      <c r="J119" s="373" t="s">
        <v>110</v>
      </c>
      <c r="K119" s="373" t="s">
        <v>110</v>
      </c>
      <c r="L119" s="140" t="s">
        <v>110</v>
      </c>
      <c r="M119" s="140">
        <v>9400</v>
      </c>
      <c r="N119" s="140" t="s">
        <v>110</v>
      </c>
      <c r="O119" s="141" t="s">
        <v>110</v>
      </c>
    </row>
    <row r="120" spans="1:15" ht="16.5" customHeight="1">
      <c r="A120" s="137" t="s">
        <v>110</v>
      </c>
      <c r="B120" s="138" t="s">
        <v>110</v>
      </c>
      <c r="C120" s="193" t="s">
        <v>151</v>
      </c>
      <c r="D120" s="138" t="s">
        <v>110</v>
      </c>
      <c r="E120" s="373" t="s">
        <v>110</v>
      </c>
      <c r="F120" s="373" t="s">
        <v>110</v>
      </c>
      <c r="G120" s="140" t="s">
        <v>110</v>
      </c>
      <c r="H120" s="140">
        <v>2647.65</v>
      </c>
      <c r="I120" s="140">
        <v>2072</v>
      </c>
      <c r="J120" s="373">
        <v>295.3</v>
      </c>
      <c r="K120" s="373" t="s">
        <v>110</v>
      </c>
      <c r="L120" s="140">
        <v>280.35000000000002</v>
      </c>
      <c r="M120" s="140">
        <v>9200</v>
      </c>
      <c r="N120" s="140" t="s">
        <v>110</v>
      </c>
      <c r="O120" s="141">
        <v>24.204999999999998</v>
      </c>
    </row>
    <row r="121" spans="1:15" ht="18" customHeight="1">
      <c r="A121" s="137">
        <v>1</v>
      </c>
      <c r="B121" s="138" t="s">
        <v>684</v>
      </c>
      <c r="C121" s="139" t="s">
        <v>685</v>
      </c>
      <c r="D121" s="138" t="s">
        <v>162</v>
      </c>
      <c r="E121" s="373">
        <v>1</v>
      </c>
      <c r="F121" s="373" t="s">
        <v>110</v>
      </c>
      <c r="G121" s="140">
        <v>529.53</v>
      </c>
      <c r="H121" s="140">
        <v>529.53</v>
      </c>
      <c r="I121" s="140">
        <v>414.4</v>
      </c>
      <c r="J121" s="373">
        <v>59.06</v>
      </c>
      <c r="K121" s="373" t="s">
        <v>110</v>
      </c>
      <c r="L121" s="140">
        <v>56.07</v>
      </c>
      <c r="M121" s="140">
        <v>5200</v>
      </c>
      <c r="N121" s="140" t="s">
        <v>110</v>
      </c>
      <c r="O121" s="141">
        <v>4.8410000000000002</v>
      </c>
    </row>
    <row r="122" spans="1:15" ht="18" customHeight="1">
      <c r="A122" s="137" t="s">
        <v>110</v>
      </c>
      <c r="B122" s="138" t="s">
        <v>154</v>
      </c>
      <c r="C122" s="139" t="s">
        <v>685</v>
      </c>
      <c r="D122" s="138" t="s">
        <v>162</v>
      </c>
      <c r="E122" s="373">
        <v>1</v>
      </c>
      <c r="F122" s="373" t="s">
        <v>110</v>
      </c>
      <c r="G122" s="140">
        <v>5200</v>
      </c>
      <c r="H122" s="140">
        <v>5200</v>
      </c>
      <c r="I122" s="140" t="s">
        <v>110</v>
      </c>
      <c r="J122" s="373" t="s">
        <v>110</v>
      </c>
      <c r="K122" s="373" t="s">
        <v>110</v>
      </c>
      <c r="L122" s="140" t="s">
        <v>110</v>
      </c>
      <c r="M122" s="140">
        <v>5200</v>
      </c>
      <c r="N122" s="140" t="s">
        <v>110</v>
      </c>
      <c r="O122" s="141" t="s">
        <v>110</v>
      </c>
    </row>
    <row r="123" spans="1:15" ht="18" customHeight="1">
      <c r="A123" s="137">
        <v>2</v>
      </c>
      <c r="B123" s="138" t="s">
        <v>684</v>
      </c>
      <c r="C123" s="139" t="s">
        <v>686</v>
      </c>
      <c r="D123" s="138" t="s">
        <v>162</v>
      </c>
      <c r="E123" s="373">
        <v>4</v>
      </c>
      <c r="F123" s="373" t="s">
        <v>110</v>
      </c>
      <c r="G123" s="140">
        <v>529.53</v>
      </c>
      <c r="H123" s="140">
        <v>2118.12</v>
      </c>
      <c r="I123" s="140">
        <v>1657.6</v>
      </c>
      <c r="J123" s="373">
        <v>236.24</v>
      </c>
      <c r="K123" s="373" t="s">
        <v>110</v>
      </c>
      <c r="L123" s="140">
        <v>224.28</v>
      </c>
      <c r="M123" s="140">
        <v>4000</v>
      </c>
      <c r="N123" s="140" t="s">
        <v>110</v>
      </c>
      <c r="O123" s="141">
        <v>19.364000000000001</v>
      </c>
    </row>
    <row r="124" spans="1:15" ht="18" customHeight="1">
      <c r="A124" s="137" t="s">
        <v>110</v>
      </c>
      <c r="B124" s="138" t="s">
        <v>154</v>
      </c>
      <c r="C124" s="139" t="s">
        <v>686</v>
      </c>
      <c r="D124" s="138" t="s">
        <v>162</v>
      </c>
      <c r="E124" s="373">
        <v>4</v>
      </c>
      <c r="F124" s="373" t="s">
        <v>110</v>
      </c>
      <c r="G124" s="140">
        <v>1000</v>
      </c>
      <c r="H124" s="140">
        <v>4000</v>
      </c>
      <c r="I124" s="140" t="s">
        <v>110</v>
      </c>
      <c r="J124" s="373" t="s">
        <v>110</v>
      </c>
      <c r="K124" s="373" t="s">
        <v>110</v>
      </c>
      <c r="L124" s="140" t="s">
        <v>110</v>
      </c>
      <c r="M124" s="140">
        <v>4000</v>
      </c>
      <c r="N124" s="140" t="s">
        <v>110</v>
      </c>
      <c r="O124" s="141" t="s">
        <v>110</v>
      </c>
    </row>
    <row r="125" spans="1:15" ht="18" customHeight="1">
      <c r="A125" s="137" t="s">
        <v>110</v>
      </c>
      <c r="B125" s="138" t="s">
        <v>110</v>
      </c>
      <c r="C125" s="139" t="s">
        <v>110</v>
      </c>
      <c r="D125" s="138" t="s">
        <v>110</v>
      </c>
      <c r="E125" s="373" t="s">
        <v>110</v>
      </c>
      <c r="F125" s="373" t="s">
        <v>110</v>
      </c>
      <c r="G125" s="140" t="s">
        <v>110</v>
      </c>
      <c r="H125" s="140" t="s">
        <v>110</v>
      </c>
      <c r="I125" s="140" t="s">
        <v>110</v>
      </c>
      <c r="J125" s="373" t="s">
        <v>110</v>
      </c>
      <c r="K125" s="373" t="s">
        <v>110</v>
      </c>
      <c r="L125" s="140" t="s">
        <v>110</v>
      </c>
      <c r="M125" s="140" t="s">
        <v>110</v>
      </c>
      <c r="N125" s="140" t="s">
        <v>110</v>
      </c>
      <c r="O125" s="141" t="s">
        <v>110</v>
      </c>
    </row>
    <row r="126" spans="1:15" ht="18" customHeight="1">
      <c r="A126" s="137" t="s">
        <v>110</v>
      </c>
      <c r="B126" s="138" t="s">
        <v>110</v>
      </c>
      <c r="C126" s="139" t="s">
        <v>110</v>
      </c>
      <c r="D126" s="138" t="s">
        <v>110</v>
      </c>
      <c r="E126" s="373" t="s">
        <v>110</v>
      </c>
      <c r="F126" s="373" t="s">
        <v>110</v>
      </c>
      <c r="G126" s="140" t="s">
        <v>110</v>
      </c>
      <c r="H126" s="140" t="s">
        <v>110</v>
      </c>
      <c r="I126" s="140" t="s">
        <v>110</v>
      </c>
      <c r="J126" s="373" t="s">
        <v>110</v>
      </c>
      <c r="K126" s="373" t="s">
        <v>110</v>
      </c>
      <c r="L126" s="140" t="s">
        <v>110</v>
      </c>
      <c r="M126" s="140" t="s">
        <v>110</v>
      </c>
      <c r="N126" s="140" t="s">
        <v>110</v>
      </c>
      <c r="O126" s="141" t="s">
        <v>110</v>
      </c>
    </row>
    <row r="127" spans="1:15" ht="18" customHeight="1">
      <c r="A127" s="137" t="s">
        <v>110</v>
      </c>
      <c r="B127" s="138" t="s">
        <v>110</v>
      </c>
      <c r="C127" s="139" t="s">
        <v>110</v>
      </c>
      <c r="D127" s="138" t="s">
        <v>110</v>
      </c>
      <c r="E127" s="373" t="s">
        <v>110</v>
      </c>
      <c r="F127" s="373" t="s">
        <v>110</v>
      </c>
      <c r="G127" s="140" t="s">
        <v>110</v>
      </c>
      <c r="H127" s="140" t="s">
        <v>110</v>
      </c>
      <c r="I127" s="140" t="s">
        <v>110</v>
      </c>
      <c r="J127" s="373" t="s">
        <v>110</v>
      </c>
      <c r="K127" s="373" t="s">
        <v>110</v>
      </c>
      <c r="L127" s="140" t="s">
        <v>110</v>
      </c>
      <c r="M127" s="140" t="s">
        <v>110</v>
      </c>
      <c r="N127" s="140" t="s">
        <v>110</v>
      </c>
      <c r="O127" s="141" t="s">
        <v>110</v>
      </c>
    </row>
    <row r="128" spans="1:15" ht="18" customHeight="1">
      <c r="A128" s="137" t="s">
        <v>110</v>
      </c>
      <c r="B128" s="138" t="s">
        <v>110</v>
      </c>
      <c r="C128" s="139" t="s">
        <v>110</v>
      </c>
      <c r="D128" s="138" t="s">
        <v>110</v>
      </c>
      <c r="E128" s="373" t="s">
        <v>110</v>
      </c>
      <c r="F128" s="373" t="s">
        <v>110</v>
      </c>
      <c r="G128" s="140" t="s">
        <v>110</v>
      </c>
      <c r="H128" s="140" t="s">
        <v>110</v>
      </c>
      <c r="I128" s="140" t="s">
        <v>110</v>
      </c>
      <c r="J128" s="373" t="s">
        <v>110</v>
      </c>
      <c r="K128" s="373" t="s">
        <v>110</v>
      </c>
      <c r="L128" s="140" t="s">
        <v>110</v>
      </c>
      <c r="M128" s="140" t="s">
        <v>110</v>
      </c>
      <c r="N128" s="140" t="s">
        <v>110</v>
      </c>
      <c r="O128" s="141" t="s">
        <v>110</v>
      </c>
    </row>
    <row r="129" spans="1:15" ht="18" customHeight="1">
      <c r="A129" s="137" t="s">
        <v>110</v>
      </c>
      <c r="B129" s="138" t="s">
        <v>110</v>
      </c>
      <c r="C129" s="139" t="s">
        <v>110</v>
      </c>
      <c r="D129" s="138" t="s">
        <v>110</v>
      </c>
      <c r="E129" s="373" t="s">
        <v>110</v>
      </c>
      <c r="F129" s="373" t="s">
        <v>110</v>
      </c>
      <c r="G129" s="140" t="s">
        <v>110</v>
      </c>
      <c r="H129" s="140" t="s">
        <v>110</v>
      </c>
      <c r="I129" s="140" t="s">
        <v>110</v>
      </c>
      <c r="J129" s="373" t="s">
        <v>110</v>
      </c>
      <c r="K129" s="373" t="s">
        <v>110</v>
      </c>
      <c r="L129" s="140" t="s">
        <v>110</v>
      </c>
      <c r="M129" s="140" t="s">
        <v>110</v>
      </c>
      <c r="N129" s="140" t="s">
        <v>110</v>
      </c>
      <c r="O129" s="141" t="s">
        <v>110</v>
      </c>
    </row>
    <row r="130" spans="1:15" ht="18" customHeight="1">
      <c r="A130" s="137" t="s">
        <v>110</v>
      </c>
      <c r="B130" s="138" t="s">
        <v>110</v>
      </c>
      <c r="C130" s="139" t="s">
        <v>110</v>
      </c>
      <c r="D130" s="138" t="s">
        <v>110</v>
      </c>
      <c r="E130" s="373" t="s">
        <v>110</v>
      </c>
      <c r="F130" s="373" t="s">
        <v>110</v>
      </c>
      <c r="G130" s="140" t="s">
        <v>110</v>
      </c>
      <c r="H130" s="140" t="s">
        <v>110</v>
      </c>
      <c r="I130" s="140" t="s">
        <v>110</v>
      </c>
      <c r="J130" s="373" t="s">
        <v>110</v>
      </c>
      <c r="K130" s="373" t="s">
        <v>110</v>
      </c>
      <c r="L130" s="140" t="s">
        <v>110</v>
      </c>
      <c r="M130" s="140" t="s">
        <v>110</v>
      </c>
      <c r="N130" s="140" t="s">
        <v>110</v>
      </c>
      <c r="O130" s="141" t="s">
        <v>110</v>
      </c>
    </row>
    <row r="131" spans="1:15" ht="18" customHeight="1">
      <c r="A131" s="137" t="s">
        <v>110</v>
      </c>
      <c r="B131" s="138" t="s">
        <v>110</v>
      </c>
      <c r="C131" s="139" t="s">
        <v>110</v>
      </c>
      <c r="D131" s="138" t="s">
        <v>110</v>
      </c>
      <c r="E131" s="373" t="s">
        <v>110</v>
      </c>
      <c r="F131" s="373" t="s">
        <v>110</v>
      </c>
      <c r="G131" s="140" t="s">
        <v>110</v>
      </c>
      <c r="H131" s="140" t="s">
        <v>110</v>
      </c>
      <c r="I131" s="140" t="s">
        <v>110</v>
      </c>
      <c r="J131" s="373" t="s">
        <v>110</v>
      </c>
      <c r="K131" s="373" t="s">
        <v>110</v>
      </c>
      <c r="L131" s="140" t="s">
        <v>110</v>
      </c>
      <c r="M131" s="140" t="s">
        <v>110</v>
      </c>
      <c r="N131" s="140" t="s">
        <v>110</v>
      </c>
      <c r="O131" s="141" t="s">
        <v>110</v>
      </c>
    </row>
    <row r="132" spans="1:15" ht="18" customHeight="1">
      <c r="A132" s="137" t="s">
        <v>110</v>
      </c>
      <c r="B132" s="138" t="s">
        <v>110</v>
      </c>
      <c r="C132" s="139" t="s">
        <v>110</v>
      </c>
      <c r="D132" s="138" t="s">
        <v>110</v>
      </c>
      <c r="E132" s="373" t="s">
        <v>110</v>
      </c>
      <c r="F132" s="373" t="s">
        <v>110</v>
      </c>
      <c r="G132" s="140" t="s">
        <v>110</v>
      </c>
      <c r="H132" s="140" t="s">
        <v>110</v>
      </c>
      <c r="I132" s="140" t="s">
        <v>110</v>
      </c>
      <c r="J132" s="373" t="s">
        <v>110</v>
      </c>
      <c r="K132" s="373" t="s">
        <v>110</v>
      </c>
      <c r="L132" s="140" t="s">
        <v>110</v>
      </c>
      <c r="M132" s="140" t="s">
        <v>110</v>
      </c>
      <c r="N132" s="140" t="s">
        <v>110</v>
      </c>
      <c r="O132" s="141" t="s">
        <v>110</v>
      </c>
    </row>
    <row r="133" spans="1:15" ht="16.5" customHeight="1" thickBot="1">
      <c r="A133" s="374" t="s">
        <v>135</v>
      </c>
      <c r="B133" s="375" t="s">
        <v>110</v>
      </c>
      <c r="C133" s="375" t="s">
        <v>110</v>
      </c>
      <c r="D133" s="375" t="s">
        <v>110</v>
      </c>
      <c r="E133" s="375" t="s">
        <v>110</v>
      </c>
      <c r="F133" s="375" t="s">
        <v>110</v>
      </c>
      <c r="G133" s="375" t="s">
        <v>110</v>
      </c>
      <c r="H133" s="142">
        <v>505203.4</v>
      </c>
      <c r="I133" s="142">
        <v>75560.23</v>
      </c>
      <c r="J133" s="376">
        <v>3830.83</v>
      </c>
      <c r="K133" s="376" t="s">
        <v>110</v>
      </c>
      <c r="L133" s="142">
        <v>3042.02</v>
      </c>
      <c r="M133" s="142">
        <v>422770.32</v>
      </c>
      <c r="N133" s="142" t="s">
        <v>110</v>
      </c>
      <c r="O133" s="143">
        <v>910.19730000000004</v>
      </c>
    </row>
    <row r="134" spans="1:15" ht="16.5" customHeight="1">
      <c r="A134" s="372" t="s">
        <v>288</v>
      </c>
      <c r="B134" s="372" t="s">
        <v>110</v>
      </c>
      <c r="C134" s="372" t="s">
        <v>110</v>
      </c>
      <c r="D134" s="372" t="s">
        <v>110</v>
      </c>
      <c r="E134" s="372" t="s">
        <v>110</v>
      </c>
      <c r="F134" s="366" t="s">
        <v>289</v>
      </c>
      <c r="G134" s="366" t="s">
        <v>110</v>
      </c>
      <c r="H134" s="366" t="s">
        <v>110</v>
      </c>
      <c r="I134" s="366" t="s">
        <v>110</v>
      </c>
      <c r="J134" s="366" t="s">
        <v>110</v>
      </c>
      <c r="K134" s="367" t="s">
        <v>290</v>
      </c>
      <c r="L134" s="367" t="s">
        <v>110</v>
      </c>
      <c r="M134" s="367" t="s">
        <v>110</v>
      </c>
      <c r="N134" s="367" t="s">
        <v>110</v>
      </c>
      <c r="O134" s="367" t="s">
        <v>110</v>
      </c>
    </row>
  </sheetData>
  <mergeCells count="298">
    <mergeCell ref="E4:F4"/>
    <mergeCell ref="J4:K4"/>
    <mergeCell ref="E5:F5"/>
    <mergeCell ref="J5:K5"/>
    <mergeCell ref="E6:F6"/>
    <mergeCell ref="J6:K6"/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10:F10"/>
    <mergeCell ref="J10:K10"/>
    <mergeCell ref="E11:F11"/>
    <mergeCell ref="J11:K11"/>
    <mergeCell ref="E12:F12"/>
    <mergeCell ref="J12:K12"/>
    <mergeCell ref="E7:F7"/>
    <mergeCell ref="J7:K7"/>
    <mergeCell ref="E8:F8"/>
    <mergeCell ref="J8:K8"/>
    <mergeCell ref="E9:F9"/>
    <mergeCell ref="J9:K9"/>
    <mergeCell ref="E16:F16"/>
    <mergeCell ref="J16:K16"/>
    <mergeCell ref="E17:F17"/>
    <mergeCell ref="J17:K17"/>
    <mergeCell ref="E18:F18"/>
    <mergeCell ref="J18:K18"/>
    <mergeCell ref="E13:F13"/>
    <mergeCell ref="J13:K13"/>
    <mergeCell ref="E14:F14"/>
    <mergeCell ref="J14:K14"/>
    <mergeCell ref="E15:F15"/>
    <mergeCell ref="J15:K15"/>
    <mergeCell ref="A22:E22"/>
    <mergeCell ref="F22:J22"/>
    <mergeCell ref="K22:O22"/>
    <mergeCell ref="A23:O23"/>
    <mergeCell ref="A24:J24"/>
    <mergeCell ref="K24:O24"/>
    <mergeCell ref="E19:F19"/>
    <mergeCell ref="J19:K19"/>
    <mergeCell ref="E20:F20"/>
    <mergeCell ref="J20:K20"/>
    <mergeCell ref="E21:F21"/>
    <mergeCell ref="J21:K21"/>
    <mergeCell ref="O25:O26"/>
    <mergeCell ref="E26:F26"/>
    <mergeCell ref="J26:K26"/>
    <mergeCell ref="E27:F27"/>
    <mergeCell ref="J27:K27"/>
    <mergeCell ref="E28:F28"/>
    <mergeCell ref="J28:K28"/>
    <mergeCell ref="A25:A26"/>
    <mergeCell ref="B25:B26"/>
    <mergeCell ref="C25:C26"/>
    <mergeCell ref="D25:F25"/>
    <mergeCell ref="G25:H25"/>
    <mergeCell ref="I25:N25"/>
    <mergeCell ref="E32:F32"/>
    <mergeCell ref="J32:K32"/>
    <mergeCell ref="E33:F33"/>
    <mergeCell ref="J33:K33"/>
    <mergeCell ref="E34:F34"/>
    <mergeCell ref="J34:K34"/>
    <mergeCell ref="E29:F29"/>
    <mergeCell ref="J29:K29"/>
    <mergeCell ref="E30:F30"/>
    <mergeCell ref="J30:K30"/>
    <mergeCell ref="E31:F31"/>
    <mergeCell ref="J31:K31"/>
    <mergeCell ref="E38:F38"/>
    <mergeCell ref="J38:K38"/>
    <mergeCell ref="E39:F39"/>
    <mergeCell ref="J39:K39"/>
    <mergeCell ref="E40:F40"/>
    <mergeCell ref="J40:K40"/>
    <mergeCell ref="E35:F35"/>
    <mergeCell ref="J35:K35"/>
    <mergeCell ref="E36:F36"/>
    <mergeCell ref="J36:K36"/>
    <mergeCell ref="E37:F37"/>
    <mergeCell ref="J37:K37"/>
    <mergeCell ref="E44:F44"/>
    <mergeCell ref="J44:K44"/>
    <mergeCell ref="E45:F45"/>
    <mergeCell ref="J45:K45"/>
    <mergeCell ref="A46:E46"/>
    <mergeCell ref="F46:J46"/>
    <mergeCell ref="K46:O46"/>
    <mergeCell ref="E41:F41"/>
    <mergeCell ref="J41:K41"/>
    <mergeCell ref="E42:F42"/>
    <mergeCell ref="J42:K42"/>
    <mergeCell ref="E43:F43"/>
    <mergeCell ref="J43:K43"/>
    <mergeCell ref="A47:O47"/>
    <mergeCell ref="A48:J48"/>
    <mergeCell ref="K48:O48"/>
    <mergeCell ref="A49:A50"/>
    <mergeCell ref="B49:B50"/>
    <mergeCell ref="C49:C50"/>
    <mergeCell ref="D49:F49"/>
    <mergeCell ref="G49:H49"/>
    <mergeCell ref="I49:N49"/>
    <mergeCell ref="O49:O50"/>
    <mergeCell ref="E53:F53"/>
    <mergeCell ref="J53:K53"/>
    <mergeCell ref="E54:F54"/>
    <mergeCell ref="J54:K54"/>
    <mergeCell ref="E55:F55"/>
    <mergeCell ref="J55:K55"/>
    <mergeCell ref="E50:F50"/>
    <mergeCell ref="J50:K50"/>
    <mergeCell ref="E51:F51"/>
    <mergeCell ref="J51:K51"/>
    <mergeCell ref="E52:F52"/>
    <mergeCell ref="J52:K52"/>
    <mergeCell ref="E59:F59"/>
    <mergeCell ref="J59:K59"/>
    <mergeCell ref="E60:F60"/>
    <mergeCell ref="J60:K60"/>
    <mergeCell ref="E61:F61"/>
    <mergeCell ref="J61:K61"/>
    <mergeCell ref="E56:F56"/>
    <mergeCell ref="J56:K56"/>
    <mergeCell ref="E57:F57"/>
    <mergeCell ref="J57:K57"/>
    <mergeCell ref="E58:F58"/>
    <mergeCell ref="J58:K58"/>
    <mergeCell ref="E65:F65"/>
    <mergeCell ref="J65:K65"/>
    <mergeCell ref="E66:F66"/>
    <mergeCell ref="J66:K66"/>
    <mergeCell ref="A67:E67"/>
    <mergeCell ref="F67:J67"/>
    <mergeCell ref="K67:O67"/>
    <mergeCell ref="E62:F62"/>
    <mergeCell ref="J62:K62"/>
    <mergeCell ref="E63:F63"/>
    <mergeCell ref="J63:K63"/>
    <mergeCell ref="E64:F64"/>
    <mergeCell ref="J64:K64"/>
    <mergeCell ref="A68:O68"/>
    <mergeCell ref="A69:J69"/>
    <mergeCell ref="K69:O69"/>
    <mergeCell ref="A70:A71"/>
    <mergeCell ref="B70:B71"/>
    <mergeCell ref="C70:C71"/>
    <mergeCell ref="D70:F70"/>
    <mergeCell ref="G70:H70"/>
    <mergeCell ref="I70:N70"/>
    <mergeCell ref="O70:O71"/>
    <mergeCell ref="E74:F74"/>
    <mergeCell ref="J74:K74"/>
    <mergeCell ref="E75:F75"/>
    <mergeCell ref="J75:K75"/>
    <mergeCell ref="E76:F76"/>
    <mergeCell ref="J76:K76"/>
    <mergeCell ref="E71:F71"/>
    <mergeCell ref="J71:K71"/>
    <mergeCell ref="E72:F72"/>
    <mergeCell ref="J72:K72"/>
    <mergeCell ref="E73:F73"/>
    <mergeCell ref="J73:K73"/>
    <mergeCell ref="E80:F80"/>
    <mergeCell ref="J80:K80"/>
    <mergeCell ref="E81:F81"/>
    <mergeCell ref="J81:K81"/>
    <mergeCell ref="E82:F82"/>
    <mergeCell ref="J82:K82"/>
    <mergeCell ref="E77:F77"/>
    <mergeCell ref="J77:K77"/>
    <mergeCell ref="E78:F78"/>
    <mergeCell ref="J78:K78"/>
    <mergeCell ref="E79:F79"/>
    <mergeCell ref="J79:K79"/>
    <mergeCell ref="E86:F86"/>
    <mergeCell ref="J86:K86"/>
    <mergeCell ref="E87:F87"/>
    <mergeCell ref="J87:K87"/>
    <mergeCell ref="A88:E88"/>
    <mergeCell ref="F88:J88"/>
    <mergeCell ref="K88:O88"/>
    <mergeCell ref="E83:F83"/>
    <mergeCell ref="J83:K83"/>
    <mergeCell ref="E84:F84"/>
    <mergeCell ref="J84:K84"/>
    <mergeCell ref="E85:F85"/>
    <mergeCell ref="J85:K85"/>
    <mergeCell ref="E92:F92"/>
    <mergeCell ref="J92:K92"/>
    <mergeCell ref="E93:F93"/>
    <mergeCell ref="J93:K93"/>
    <mergeCell ref="E94:F94"/>
    <mergeCell ref="J94:K94"/>
    <mergeCell ref="A89:O89"/>
    <mergeCell ref="A90:J90"/>
    <mergeCell ref="K90:O90"/>
    <mergeCell ref="A91:A92"/>
    <mergeCell ref="B91:B92"/>
    <mergeCell ref="C91:C92"/>
    <mergeCell ref="D91:F91"/>
    <mergeCell ref="G91:H91"/>
    <mergeCell ref="I91:N91"/>
    <mergeCell ref="O91:O92"/>
    <mergeCell ref="E98:F98"/>
    <mergeCell ref="J98:K98"/>
    <mergeCell ref="E99:F99"/>
    <mergeCell ref="J99:K99"/>
    <mergeCell ref="E100:F100"/>
    <mergeCell ref="J100:K100"/>
    <mergeCell ref="E95:F95"/>
    <mergeCell ref="J95:K95"/>
    <mergeCell ref="E96:F96"/>
    <mergeCell ref="J96:K96"/>
    <mergeCell ref="E97:F97"/>
    <mergeCell ref="J97:K97"/>
    <mergeCell ref="E104:F104"/>
    <mergeCell ref="J104:K104"/>
    <mergeCell ref="E105:F105"/>
    <mergeCell ref="J105:K105"/>
    <mergeCell ref="E106:F106"/>
    <mergeCell ref="J106:K106"/>
    <mergeCell ref="E101:F101"/>
    <mergeCell ref="J101:K101"/>
    <mergeCell ref="E102:F102"/>
    <mergeCell ref="J102:K102"/>
    <mergeCell ref="E103:F103"/>
    <mergeCell ref="J103:K103"/>
    <mergeCell ref="A110:E110"/>
    <mergeCell ref="F110:J110"/>
    <mergeCell ref="K110:O110"/>
    <mergeCell ref="A111:O111"/>
    <mergeCell ref="A112:J112"/>
    <mergeCell ref="K112:O112"/>
    <mergeCell ref="E107:F107"/>
    <mergeCell ref="J107:K107"/>
    <mergeCell ref="E108:F108"/>
    <mergeCell ref="J108:K108"/>
    <mergeCell ref="E109:F109"/>
    <mergeCell ref="J109:K109"/>
    <mergeCell ref="O113:O114"/>
    <mergeCell ref="E114:F114"/>
    <mergeCell ref="J114:K114"/>
    <mergeCell ref="E115:F115"/>
    <mergeCell ref="J115:K115"/>
    <mergeCell ref="E116:F116"/>
    <mergeCell ref="J116:K116"/>
    <mergeCell ref="A113:A114"/>
    <mergeCell ref="B113:B114"/>
    <mergeCell ref="C113:C114"/>
    <mergeCell ref="D113:F113"/>
    <mergeCell ref="G113:H113"/>
    <mergeCell ref="I113:N113"/>
    <mergeCell ref="E120:F120"/>
    <mergeCell ref="J120:K120"/>
    <mergeCell ref="E121:F121"/>
    <mergeCell ref="J121:K121"/>
    <mergeCell ref="E122:F122"/>
    <mergeCell ref="J122:K122"/>
    <mergeCell ref="E117:F117"/>
    <mergeCell ref="J117:K117"/>
    <mergeCell ref="E118:F118"/>
    <mergeCell ref="J118:K118"/>
    <mergeCell ref="E119:F119"/>
    <mergeCell ref="J119:K119"/>
    <mergeCell ref="E126:F126"/>
    <mergeCell ref="J126:K126"/>
    <mergeCell ref="E127:F127"/>
    <mergeCell ref="J127:K127"/>
    <mergeCell ref="E128:F128"/>
    <mergeCell ref="J128:K128"/>
    <mergeCell ref="E123:F123"/>
    <mergeCell ref="J123:K123"/>
    <mergeCell ref="E124:F124"/>
    <mergeCell ref="J124:K124"/>
    <mergeCell ref="E125:F125"/>
    <mergeCell ref="J125:K125"/>
    <mergeCell ref="E132:F132"/>
    <mergeCell ref="J132:K132"/>
    <mergeCell ref="A133:G133"/>
    <mergeCell ref="J133:K133"/>
    <mergeCell ref="A134:E134"/>
    <mergeCell ref="F134:J134"/>
    <mergeCell ref="K134:O134"/>
    <mergeCell ref="E129:F129"/>
    <mergeCell ref="J129:K129"/>
    <mergeCell ref="E130:F130"/>
    <mergeCell ref="J130:K130"/>
    <mergeCell ref="E131:F131"/>
    <mergeCell ref="J131:K13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opLeftCell="A31" workbookViewId="0">
      <selection activeCell="G13" sqref="G13"/>
    </sheetView>
  </sheetViews>
  <sheetFormatPr defaultRowHeight="12"/>
  <cols>
    <col min="1" max="1" width="4.625" style="167" customWidth="1"/>
    <col min="2" max="2" width="31.75" style="167" customWidth="1"/>
    <col min="3" max="3" width="39.125" style="169" customWidth="1"/>
    <col min="4" max="4" width="4.75" style="168" bestFit="1" customWidth="1"/>
    <col min="5" max="5" width="6" style="170" bestFit="1" customWidth="1"/>
    <col min="6" max="6" width="8.5" style="177" customWidth="1"/>
    <col min="7" max="7" width="7.75" style="178" bestFit="1" customWidth="1"/>
    <col min="8" max="8" width="6.625" style="167" customWidth="1"/>
    <col min="9" max="9" width="7.375" style="173" customWidth="1"/>
    <col min="10" max="25" width="9" style="173"/>
    <col min="26" max="255" width="9" style="167"/>
    <col min="256" max="256" width="4.625" style="167" customWidth="1"/>
    <col min="257" max="257" width="5.625" style="167" customWidth="1"/>
    <col min="258" max="258" width="31.75" style="167" customWidth="1"/>
    <col min="259" max="259" width="39.125" style="167" customWidth="1"/>
    <col min="260" max="260" width="4.75" style="167" bestFit="1" customWidth="1"/>
    <col min="261" max="261" width="6" style="167" bestFit="1" customWidth="1"/>
    <col min="262" max="262" width="8.5" style="167" customWidth="1"/>
    <col min="263" max="263" width="7.5" style="167" bestFit="1" customWidth="1"/>
    <col min="264" max="264" width="6.625" style="167" customWidth="1"/>
    <col min="265" max="265" width="7.375" style="167" customWidth="1"/>
    <col min="266" max="511" width="9" style="167"/>
    <col min="512" max="512" width="4.625" style="167" customWidth="1"/>
    <col min="513" max="513" width="5.625" style="167" customWidth="1"/>
    <col min="514" max="514" width="31.75" style="167" customWidth="1"/>
    <col min="515" max="515" width="39.125" style="167" customWidth="1"/>
    <col min="516" max="516" width="4.75" style="167" bestFit="1" customWidth="1"/>
    <col min="517" max="517" width="6" style="167" bestFit="1" customWidth="1"/>
    <col min="518" max="518" width="8.5" style="167" customWidth="1"/>
    <col min="519" max="519" width="7.5" style="167" bestFit="1" customWidth="1"/>
    <col min="520" max="520" width="6.625" style="167" customWidth="1"/>
    <col min="521" max="521" width="7.375" style="167" customWidth="1"/>
    <col min="522" max="767" width="9" style="167"/>
    <col min="768" max="768" width="4.625" style="167" customWidth="1"/>
    <col min="769" max="769" width="5.625" style="167" customWidth="1"/>
    <col min="770" max="770" width="31.75" style="167" customWidth="1"/>
    <col min="771" max="771" width="39.125" style="167" customWidth="1"/>
    <col min="772" max="772" width="4.75" style="167" bestFit="1" customWidth="1"/>
    <col min="773" max="773" width="6" style="167" bestFit="1" customWidth="1"/>
    <col min="774" max="774" width="8.5" style="167" customWidth="1"/>
    <col min="775" max="775" width="7.5" style="167" bestFit="1" customWidth="1"/>
    <col min="776" max="776" width="6.625" style="167" customWidth="1"/>
    <col min="777" max="777" width="7.375" style="167" customWidth="1"/>
    <col min="778" max="1023" width="9" style="167"/>
    <col min="1024" max="1024" width="4.625" style="167" customWidth="1"/>
    <col min="1025" max="1025" width="5.625" style="167" customWidth="1"/>
    <col min="1026" max="1026" width="31.75" style="167" customWidth="1"/>
    <col min="1027" max="1027" width="39.125" style="167" customWidth="1"/>
    <col min="1028" max="1028" width="4.75" style="167" bestFit="1" customWidth="1"/>
    <col min="1029" max="1029" width="6" style="167" bestFit="1" customWidth="1"/>
    <col min="1030" max="1030" width="8.5" style="167" customWidth="1"/>
    <col min="1031" max="1031" width="7.5" style="167" bestFit="1" customWidth="1"/>
    <col min="1032" max="1032" width="6.625" style="167" customWidth="1"/>
    <col min="1033" max="1033" width="7.375" style="167" customWidth="1"/>
    <col min="1034" max="1279" width="9" style="167"/>
    <col min="1280" max="1280" width="4.625" style="167" customWidth="1"/>
    <col min="1281" max="1281" width="5.625" style="167" customWidth="1"/>
    <col min="1282" max="1282" width="31.75" style="167" customWidth="1"/>
    <col min="1283" max="1283" width="39.125" style="167" customWidth="1"/>
    <col min="1284" max="1284" width="4.75" style="167" bestFit="1" customWidth="1"/>
    <col min="1285" max="1285" width="6" style="167" bestFit="1" customWidth="1"/>
    <col min="1286" max="1286" width="8.5" style="167" customWidth="1"/>
    <col min="1287" max="1287" width="7.5" style="167" bestFit="1" customWidth="1"/>
    <col min="1288" max="1288" width="6.625" style="167" customWidth="1"/>
    <col min="1289" max="1289" width="7.375" style="167" customWidth="1"/>
    <col min="1290" max="1535" width="9" style="167"/>
    <col min="1536" max="1536" width="4.625" style="167" customWidth="1"/>
    <col min="1537" max="1537" width="5.625" style="167" customWidth="1"/>
    <col min="1538" max="1538" width="31.75" style="167" customWidth="1"/>
    <col min="1539" max="1539" width="39.125" style="167" customWidth="1"/>
    <col min="1540" max="1540" width="4.75" style="167" bestFit="1" customWidth="1"/>
    <col min="1541" max="1541" width="6" style="167" bestFit="1" customWidth="1"/>
    <col min="1542" max="1542" width="8.5" style="167" customWidth="1"/>
    <col min="1543" max="1543" width="7.5" style="167" bestFit="1" customWidth="1"/>
    <col min="1544" max="1544" width="6.625" style="167" customWidth="1"/>
    <col min="1545" max="1545" width="7.375" style="167" customWidth="1"/>
    <col min="1546" max="1791" width="9" style="167"/>
    <col min="1792" max="1792" width="4.625" style="167" customWidth="1"/>
    <col min="1793" max="1793" width="5.625" style="167" customWidth="1"/>
    <col min="1794" max="1794" width="31.75" style="167" customWidth="1"/>
    <col min="1795" max="1795" width="39.125" style="167" customWidth="1"/>
    <col min="1796" max="1796" width="4.75" style="167" bestFit="1" customWidth="1"/>
    <col min="1797" max="1797" width="6" style="167" bestFit="1" customWidth="1"/>
    <col min="1798" max="1798" width="8.5" style="167" customWidth="1"/>
    <col min="1799" max="1799" width="7.5" style="167" bestFit="1" customWidth="1"/>
    <col min="1800" max="1800" width="6.625" style="167" customWidth="1"/>
    <col min="1801" max="1801" width="7.375" style="167" customWidth="1"/>
    <col min="1802" max="2047" width="9" style="167"/>
    <col min="2048" max="2048" width="4.625" style="167" customWidth="1"/>
    <col min="2049" max="2049" width="5.625" style="167" customWidth="1"/>
    <col min="2050" max="2050" width="31.75" style="167" customWidth="1"/>
    <col min="2051" max="2051" width="39.125" style="167" customWidth="1"/>
    <col min="2052" max="2052" width="4.75" style="167" bestFit="1" customWidth="1"/>
    <col min="2053" max="2053" width="6" style="167" bestFit="1" customWidth="1"/>
    <col min="2054" max="2054" width="8.5" style="167" customWidth="1"/>
    <col min="2055" max="2055" width="7.5" style="167" bestFit="1" customWidth="1"/>
    <col min="2056" max="2056" width="6.625" style="167" customWidth="1"/>
    <col min="2057" max="2057" width="7.375" style="167" customWidth="1"/>
    <col min="2058" max="2303" width="9" style="167"/>
    <col min="2304" max="2304" width="4.625" style="167" customWidth="1"/>
    <col min="2305" max="2305" width="5.625" style="167" customWidth="1"/>
    <col min="2306" max="2306" width="31.75" style="167" customWidth="1"/>
    <col min="2307" max="2307" width="39.125" style="167" customWidth="1"/>
    <col min="2308" max="2308" width="4.75" style="167" bestFit="1" customWidth="1"/>
    <col min="2309" max="2309" width="6" style="167" bestFit="1" customWidth="1"/>
    <col min="2310" max="2310" width="8.5" style="167" customWidth="1"/>
    <col min="2311" max="2311" width="7.5" style="167" bestFit="1" customWidth="1"/>
    <col min="2312" max="2312" width="6.625" style="167" customWidth="1"/>
    <col min="2313" max="2313" width="7.375" style="167" customWidth="1"/>
    <col min="2314" max="2559" width="9" style="167"/>
    <col min="2560" max="2560" width="4.625" style="167" customWidth="1"/>
    <col min="2561" max="2561" width="5.625" style="167" customWidth="1"/>
    <col min="2562" max="2562" width="31.75" style="167" customWidth="1"/>
    <col min="2563" max="2563" width="39.125" style="167" customWidth="1"/>
    <col min="2564" max="2564" width="4.75" style="167" bestFit="1" customWidth="1"/>
    <col min="2565" max="2565" width="6" style="167" bestFit="1" customWidth="1"/>
    <col min="2566" max="2566" width="8.5" style="167" customWidth="1"/>
    <col min="2567" max="2567" width="7.5" style="167" bestFit="1" customWidth="1"/>
    <col min="2568" max="2568" width="6.625" style="167" customWidth="1"/>
    <col min="2569" max="2569" width="7.375" style="167" customWidth="1"/>
    <col min="2570" max="2815" width="9" style="167"/>
    <col min="2816" max="2816" width="4.625" style="167" customWidth="1"/>
    <col min="2817" max="2817" width="5.625" style="167" customWidth="1"/>
    <col min="2818" max="2818" width="31.75" style="167" customWidth="1"/>
    <col min="2819" max="2819" width="39.125" style="167" customWidth="1"/>
    <col min="2820" max="2820" width="4.75" style="167" bestFit="1" customWidth="1"/>
    <col min="2821" max="2821" width="6" style="167" bestFit="1" customWidth="1"/>
    <col min="2822" max="2822" width="8.5" style="167" customWidth="1"/>
    <col min="2823" max="2823" width="7.5" style="167" bestFit="1" customWidth="1"/>
    <col min="2824" max="2824" width="6.625" style="167" customWidth="1"/>
    <col min="2825" max="2825" width="7.375" style="167" customWidth="1"/>
    <col min="2826" max="3071" width="9" style="167"/>
    <col min="3072" max="3072" width="4.625" style="167" customWidth="1"/>
    <col min="3073" max="3073" width="5.625" style="167" customWidth="1"/>
    <col min="3074" max="3074" width="31.75" style="167" customWidth="1"/>
    <col min="3075" max="3075" width="39.125" style="167" customWidth="1"/>
    <col min="3076" max="3076" width="4.75" style="167" bestFit="1" customWidth="1"/>
    <col min="3077" max="3077" width="6" style="167" bestFit="1" customWidth="1"/>
    <col min="3078" max="3078" width="8.5" style="167" customWidth="1"/>
    <col min="3079" max="3079" width="7.5" style="167" bestFit="1" customWidth="1"/>
    <col min="3080" max="3080" width="6.625" style="167" customWidth="1"/>
    <col min="3081" max="3081" width="7.375" style="167" customWidth="1"/>
    <col min="3082" max="3327" width="9" style="167"/>
    <col min="3328" max="3328" width="4.625" style="167" customWidth="1"/>
    <col min="3329" max="3329" width="5.625" style="167" customWidth="1"/>
    <col min="3330" max="3330" width="31.75" style="167" customWidth="1"/>
    <col min="3331" max="3331" width="39.125" style="167" customWidth="1"/>
    <col min="3332" max="3332" width="4.75" style="167" bestFit="1" customWidth="1"/>
    <col min="3333" max="3333" width="6" style="167" bestFit="1" customWidth="1"/>
    <col min="3334" max="3334" width="8.5" style="167" customWidth="1"/>
    <col min="3335" max="3335" width="7.5" style="167" bestFit="1" customWidth="1"/>
    <col min="3336" max="3336" width="6.625" style="167" customWidth="1"/>
    <col min="3337" max="3337" width="7.375" style="167" customWidth="1"/>
    <col min="3338" max="3583" width="9" style="167"/>
    <col min="3584" max="3584" width="4.625" style="167" customWidth="1"/>
    <col min="3585" max="3585" width="5.625" style="167" customWidth="1"/>
    <col min="3586" max="3586" width="31.75" style="167" customWidth="1"/>
    <col min="3587" max="3587" width="39.125" style="167" customWidth="1"/>
    <col min="3588" max="3588" width="4.75" style="167" bestFit="1" customWidth="1"/>
    <col min="3589" max="3589" width="6" style="167" bestFit="1" customWidth="1"/>
    <col min="3590" max="3590" width="8.5" style="167" customWidth="1"/>
    <col min="3591" max="3591" width="7.5" style="167" bestFit="1" customWidth="1"/>
    <col min="3592" max="3592" width="6.625" style="167" customWidth="1"/>
    <col min="3593" max="3593" width="7.375" style="167" customWidth="1"/>
    <col min="3594" max="3839" width="9" style="167"/>
    <col min="3840" max="3840" width="4.625" style="167" customWidth="1"/>
    <col min="3841" max="3841" width="5.625" style="167" customWidth="1"/>
    <col min="3842" max="3842" width="31.75" style="167" customWidth="1"/>
    <col min="3843" max="3843" width="39.125" style="167" customWidth="1"/>
    <col min="3844" max="3844" width="4.75" style="167" bestFit="1" customWidth="1"/>
    <col min="3845" max="3845" width="6" style="167" bestFit="1" customWidth="1"/>
    <col min="3846" max="3846" width="8.5" style="167" customWidth="1"/>
    <col min="3847" max="3847" width="7.5" style="167" bestFit="1" customWidth="1"/>
    <col min="3848" max="3848" width="6.625" style="167" customWidth="1"/>
    <col min="3849" max="3849" width="7.375" style="167" customWidth="1"/>
    <col min="3850" max="4095" width="9" style="167"/>
    <col min="4096" max="4096" width="4.625" style="167" customWidth="1"/>
    <col min="4097" max="4097" width="5.625" style="167" customWidth="1"/>
    <col min="4098" max="4098" width="31.75" style="167" customWidth="1"/>
    <col min="4099" max="4099" width="39.125" style="167" customWidth="1"/>
    <col min="4100" max="4100" width="4.75" style="167" bestFit="1" customWidth="1"/>
    <col min="4101" max="4101" width="6" style="167" bestFit="1" customWidth="1"/>
    <col min="4102" max="4102" width="8.5" style="167" customWidth="1"/>
    <col min="4103" max="4103" width="7.5" style="167" bestFit="1" customWidth="1"/>
    <col min="4104" max="4104" width="6.625" style="167" customWidth="1"/>
    <col min="4105" max="4105" width="7.375" style="167" customWidth="1"/>
    <col min="4106" max="4351" width="9" style="167"/>
    <col min="4352" max="4352" width="4.625" style="167" customWidth="1"/>
    <col min="4353" max="4353" width="5.625" style="167" customWidth="1"/>
    <col min="4354" max="4354" width="31.75" style="167" customWidth="1"/>
    <col min="4355" max="4355" width="39.125" style="167" customWidth="1"/>
    <col min="4356" max="4356" width="4.75" style="167" bestFit="1" customWidth="1"/>
    <col min="4357" max="4357" width="6" style="167" bestFit="1" customWidth="1"/>
    <col min="4358" max="4358" width="8.5" style="167" customWidth="1"/>
    <col min="4359" max="4359" width="7.5" style="167" bestFit="1" customWidth="1"/>
    <col min="4360" max="4360" width="6.625" style="167" customWidth="1"/>
    <col min="4361" max="4361" width="7.375" style="167" customWidth="1"/>
    <col min="4362" max="4607" width="9" style="167"/>
    <col min="4608" max="4608" width="4.625" style="167" customWidth="1"/>
    <col min="4609" max="4609" width="5.625" style="167" customWidth="1"/>
    <col min="4610" max="4610" width="31.75" style="167" customWidth="1"/>
    <col min="4611" max="4611" width="39.125" style="167" customWidth="1"/>
    <col min="4612" max="4612" width="4.75" style="167" bestFit="1" customWidth="1"/>
    <col min="4613" max="4613" width="6" style="167" bestFit="1" customWidth="1"/>
    <col min="4614" max="4614" width="8.5" style="167" customWidth="1"/>
    <col min="4615" max="4615" width="7.5" style="167" bestFit="1" customWidth="1"/>
    <col min="4616" max="4616" width="6.625" style="167" customWidth="1"/>
    <col min="4617" max="4617" width="7.375" style="167" customWidth="1"/>
    <col min="4618" max="4863" width="9" style="167"/>
    <col min="4864" max="4864" width="4.625" style="167" customWidth="1"/>
    <col min="4865" max="4865" width="5.625" style="167" customWidth="1"/>
    <col min="4866" max="4866" width="31.75" style="167" customWidth="1"/>
    <col min="4867" max="4867" width="39.125" style="167" customWidth="1"/>
    <col min="4868" max="4868" width="4.75" style="167" bestFit="1" customWidth="1"/>
    <col min="4869" max="4869" width="6" style="167" bestFit="1" customWidth="1"/>
    <col min="4870" max="4870" width="8.5" style="167" customWidth="1"/>
    <col min="4871" max="4871" width="7.5" style="167" bestFit="1" customWidth="1"/>
    <col min="4872" max="4872" width="6.625" style="167" customWidth="1"/>
    <col min="4873" max="4873" width="7.375" style="167" customWidth="1"/>
    <col min="4874" max="5119" width="9" style="167"/>
    <col min="5120" max="5120" width="4.625" style="167" customWidth="1"/>
    <col min="5121" max="5121" width="5.625" style="167" customWidth="1"/>
    <col min="5122" max="5122" width="31.75" style="167" customWidth="1"/>
    <col min="5123" max="5123" width="39.125" style="167" customWidth="1"/>
    <col min="5124" max="5124" width="4.75" style="167" bestFit="1" customWidth="1"/>
    <col min="5125" max="5125" width="6" style="167" bestFit="1" customWidth="1"/>
    <col min="5126" max="5126" width="8.5" style="167" customWidth="1"/>
    <col min="5127" max="5127" width="7.5" style="167" bestFit="1" customWidth="1"/>
    <col min="5128" max="5128" width="6.625" style="167" customWidth="1"/>
    <col min="5129" max="5129" width="7.375" style="167" customWidth="1"/>
    <col min="5130" max="5375" width="9" style="167"/>
    <col min="5376" max="5376" width="4.625" style="167" customWidth="1"/>
    <col min="5377" max="5377" width="5.625" style="167" customWidth="1"/>
    <col min="5378" max="5378" width="31.75" style="167" customWidth="1"/>
    <col min="5379" max="5379" width="39.125" style="167" customWidth="1"/>
    <col min="5380" max="5380" width="4.75" style="167" bestFit="1" customWidth="1"/>
    <col min="5381" max="5381" width="6" style="167" bestFit="1" customWidth="1"/>
    <col min="5382" max="5382" width="8.5" style="167" customWidth="1"/>
    <col min="5383" max="5383" width="7.5" style="167" bestFit="1" customWidth="1"/>
    <col min="5384" max="5384" width="6.625" style="167" customWidth="1"/>
    <col min="5385" max="5385" width="7.375" style="167" customWidth="1"/>
    <col min="5386" max="5631" width="9" style="167"/>
    <col min="5632" max="5632" width="4.625" style="167" customWidth="1"/>
    <col min="5633" max="5633" width="5.625" style="167" customWidth="1"/>
    <col min="5634" max="5634" width="31.75" style="167" customWidth="1"/>
    <col min="5635" max="5635" width="39.125" style="167" customWidth="1"/>
    <col min="5636" max="5636" width="4.75" style="167" bestFit="1" customWidth="1"/>
    <col min="5637" max="5637" width="6" style="167" bestFit="1" customWidth="1"/>
    <col min="5638" max="5638" width="8.5" style="167" customWidth="1"/>
    <col min="5639" max="5639" width="7.5" style="167" bestFit="1" customWidth="1"/>
    <col min="5640" max="5640" width="6.625" style="167" customWidth="1"/>
    <col min="5641" max="5641" width="7.375" style="167" customWidth="1"/>
    <col min="5642" max="5887" width="9" style="167"/>
    <col min="5888" max="5888" width="4.625" style="167" customWidth="1"/>
    <col min="5889" max="5889" width="5.625" style="167" customWidth="1"/>
    <col min="5890" max="5890" width="31.75" style="167" customWidth="1"/>
    <col min="5891" max="5891" width="39.125" style="167" customWidth="1"/>
    <col min="5892" max="5892" width="4.75" style="167" bestFit="1" customWidth="1"/>
    <col min="5893" max="5893" width="6" style="167" bestFit="1" customWidth="1"/>
    <col min="5894" max="5894" width="8.5" style="167" customWidth="1"/>
    <col min="5895" max="5895" width="7.5" style="167" bestFit="1" customWidth="1"/>
    <col min="5896" max="5896" width="6.625" style="167" customWidth="1"/>
    <col min="5897" max="5897" width="7.375" style="167" customWidth="1"/>
    <col min="5898" max="6143" width="9" style="167"/>
    <col min="6144" max="6144" width="4.625" style="167" customWidth="1"/>
    <col min="6145" max="6145" width="5.625" style="167" customWidth="1"/>
    <col min="6146" max="6146" width="31.75" style="167" customWidth="1"/>
    <col min="6147" max="6147" width="39.125" style="167" customWidth="1"/>
    <col min="6148" max="6148" width="4.75" style="167" bestFit="1" customWidth="1"/>
    <col min="6149" max="6149" width="6" style="167" bestFit="1" customWidth="1"/>
    <col min="6150" max="6150" width="8.5" style="167" customWidth="1"/>
    <col min="6151" max="6151" width="7.5" style="167" bestFit="1" customWidth="1"/>
    <col min="6152" max="6152" width="6.625" style="167" customWidth="1"/>
    <col min="6153" max="6153" width="7.375" style="167" customWidth="1"/>
    <col min="6154" max="6399" width="9" style="167"/>
    <col min="6400" max="6400" width="4.625" style="167" customWidth="1"/>
    <col min="6401" max="6401" width="5.625" style="167" customWidth="1"/>
    <col min="6402" max="6402" width="31.75" style="167" customWidth="1"/>
    <col min="6403" max="6403" width="39.125" style="167" customWidth="1"/>
    <col min="6404" max="6404" width="4.75" style="167" bestFit="1" customWidth="1"/>
    <col min="6405" max="6405" width="6" style="167" bestFit="1" customWidth="1"/>
    <col min="6406" max="6406" width="8.5" style="167" customWidth="1"/>
    <col min="6407" max="6407" width="7.5" style="167" bestFit="1" customWidth="1"/>
    <col min="6408" max="6408" width="6.625" style="167" customWidth="1"/>
    <col min="6409" max="6409" width="7.375" style="167" customWidth="1"/>
    <col min="6410" max="6655" width="9" style="167"/>
    <col min="6656" max="6656" width="4.625" style="167" customWidth="1"/>
    <col min="6657" max="6657" width="5.625" style="167" customWidth="1"/>
    <col min="6658" max="6658" width="31.75" style="167" customWidth="1"/>
    <col min="6659" max="6659" width="39.125" style="167" customWidth="1"/>
    <col min="6660" max="6660" width="4.75" style="167" bestFit="1" customWidth="1"/>
    <col min="6661" max="6661" width="6" style="167" bestFit="1" customWidth="1"/>
    <col min="6662" max="6662" width="8.5" style="167" customWidth="1"/>
    <col min="6663" max="6663" width="7.5" style="167" bestFit="1" customWidth="1"/>
    <col min="6664" max="6664" width="6.625" style="167" customWidth="1"/>
    <col min="6665" max="6665" width="7.375" style="167" customWidth="1"/>
    <col min="6666" max="6911" width="9" style="167"/>
    <col min="6912" max="6912" width="4.625" style="167" customWidth="1"/>
    <col min="6913" max="6913" width="5.625" style="167" customWidth="1"/>
    <col min="6914" max="6914" width="31.75" style="167" customWidth="1"/>
    <col min="6915" max="6915" width="39.125" style="167" customWidth="1"/>
    <col min="6916" max="6916" width="4.75" style="167" bestFit="1" customWidth="1"/>
    <col min="6917" max="6917" width="6" style="167" bestFit="1" customWidth="1"/>
    <col min="6918" max="6918" width="8.5" style="167" customWidth="1"/>
    <col min="6919" max="6919" width="7.5" style="167" bestFit="1" customWidth="1"/>
    <col min="6920" max="6920" width="6.625" style="167" customWidth="1"/>
    <col min="6921" max="6921" width="7.375" style="167" customWidth="1"/>
    <col min="6922" max="7167" width="9" style="167"/>
    <col min="7168" max="7168" width="4.625" style="167" customWidth="1"/>
    <col min="7169" max="7169" width="5.625" style="167" customWidth="1"/>
    <col min="7170" max="7170" width="31.75" style="167" customWidth="1"/>
    <col min="7171" max="7171" width="39.125" style="167" customWidth="1"/>
    <col min="7172" max="7172" width="4.75" style="167" bestFit="1" customWidth="1"/>
    <col min="7173" max="7173" width="6" style="167" bestFit="1" customWidth="1"/>
    <col min="7174" max="7174" width="8.5" style="167" customWidth="1"/>
    <col min="7175" max="7175" width="7.5" style="167" bestFit="1" customWidth="1"/>
    <col min="7176" max="7176" width="6.625" style="167" customWidth="1"/>
    <col min="7177" max="7177" width="7.375" style="167" customWidth="1"/>
    <col min="7178" max="7423" width="9" style="167"/>
    <col min="7424" max="7424" width="4.625" style="167" customWidth="1"/>
    <col min="7425" max="7425" width="5.625" style="167" customWidth="1"/>
    <col min="7426" max="7426" width="31.75" style="167" customWidth="1"/>
    <col min="7427" max="7427" width="39.125" style="167" customWidth="1"/>
    <col min="7428" max="7428" width="4.75" style="167" bestFit="1" customWidth="1"/>
    <col min="7429" max="7429" width="6" style="167" bestFit="1" customWidth="1"/>
    <col min="7430" max="7430" width="8.5" style="167" customWidth="1"/>
    <col min="7431" max="7431" width="7.5" style="167" bestFit="1" customWidth="1"/>
    <col min="7432" max="7432" width="6.625" style="167" customWidth="1"/>
    <col min="7433" max="7433" width="7.375" style="167" customWidth="1"/>
    <col min="7434" max="7679" width="9" style="167"/>
    <col min="7680" max="7680" width="4.625" style="167" customWidth="1"/>
    <col min="7681" max="7681" width="5.625" style="167" customWidth="1"/>
    <col min="7682" max="7682" width="31.75" style="167" customWidth="1"/>
    <col min="7683" max="7683" width="39.125" style="167" customWidth="1"/>
    <col min="7684" max="7684" width="4.75" style="167" bestFit="1" customWidth="1"/>
    <col min="7685" max="7685" width="6" style="167" bestFit="1" customWidth="1"/>
    <col min="7686" max="7686" width="8.5" style="167" customWidth="1"/>
    <col min="7687" max="7687" width="7.5" style="167" bestFit="1" customWidth="1"/>
    <col min="7688" max="7688" width="6.625" style="167" customWidth="1"/>
    <col min="7689" max="7689" width="7.375" style="167" customWidth="1"/>
    <col min="7690" max="7935" width="9" style="167"/>
    <col min="7936" max="7936" width="4.625" style="167" customWidth="1"/>
    <col min="7937" max="7937" width="5.625" style="167" customWidth="1"/>
    <col min="7938" max="7938" width="31.75" style="167" customWidth="1"/>
    <col min="7939" max="7939" width="39.125" style="167" customWidth="1"/>
    <col min="7940" max="7940" width="4.75" style="167" bestFit="1" customWidth="1"/>
    <col min="7941" max="7941" width="6" style="167" bestFit="1" customWidth="1"/>
    <col min="7942" max="7942" width="8.5" style="167" customWidth="1"/>
    <col min="7943" max="7943" width="7.5" style="167" bestFit="1" customWidth="1"/>
    <col min="7944" max="7944" width="6.625" style="167" customWidth="1"/>
    <col min="7945" max="7945" width="7.375" style="167" customWidth="1"/>
    <col min="7946" max="8191" width="9" style="167"/>
    <col min="8192" max="8192" width="4.625" style="167" customWidth="1"/>
    <col min="8193" max="8193" width="5.625" style="167" customWidth="1"/>
    <col min="8194" max="8194" width="31.75" style="167" customWidth="1"/>
    <col min="8195" max="8195" width="39.125" style="167" customWidth="1"/>
    <col min="8196" max="8196" width="4.75" style="167" bestFit="1" customWidth="1"/>
    <col min="8197" max="8197" width="6" style="167" bestFit="1" customWidth="1"/>
    <col min="8198" max="8198" width="8.5" style="167" customWidth="1"/>
    <col min="8199" max="8199" width="7.5" style="167" bestFit="1" customWidth="1"/>
    <col min="8200" max="8200" width="6.625" style="167" customWidth="1"/>
    <col min="8201" max="8201" width="7.375" style="167" customWidth="1"/>
    <col min="8202" max="8447" width="9" style="167"/>
    <col min="8448" max="8448" width="4.625" style="167" customWidth="1"/>
    <col min="8449" max="8449" width="5.625" style="167" customWidth="1"/>
    <col min="8450" max="8450" width="31.75" style="167" customWidth="1"/>
    <col min="8451" max="8451" width="39.125" style="167" customWidth="1"/>
    <col min="8452" max="8452" width="4.75" style="167" bestFit="1" customWidth="1"/>
    <col min="8453" max="8453" width="6" style="167" bestFit="1" customWidth="1"/>
    <col min="8454" max="8454" width="8.5" style="167" customWidth="1"/>
    <col min="8455" max="8455" width="7.5" style="167" bestFit="1" customWidth="1"/>
    <col min="8456" max="8456" width="6.625" style="167" customWidth="1"/>
    <col min="8457" max="8457" width="7.375" style="167" customWidth="1"/>
    <col min="8458" max="8703" width="9" style="167"/>
    <col min="8704" max="8704" width="4.625" style="167" customWidth="1"/>
    <col min="8705" max="8705" width="5.625" style="167" customWidth="1"/>
    <col min="8706" max="8706" width="31.75" style="167" customWidth="1"/>
    <col min="8707" max="8707" width="39.125" style="167" customWidth="1"/>
    <col min="8708" max="8708" width="4.75" style="167" bestFit="1" customWidth="1"/>
    <col min="8709" max="8709" width="6" style="167" bestFit="1" customWidth="1"/>
    <col min="8710" max="8710" width="8.5" style="167" customWidth="1"/>
    <col min="8711" max="8711" width="7.5" style="167" bestFit="1" customWidth="1"/>
    <col min="8712" max="8712" width="6.625" style="167" customWidth="1"/>
    <col min="8713" max="8713" width="7.375" style="167" customWidth="1"/>
    <col min="8714" max="8959" width="9" style="167"/>
    <col min="8960" max="8960" width="4.625" style="167" customWidth="1"/>
    <col min="8961" max="8961" width="5.625" style="167" customWidth="1"/>
    <col min="8962" max="8962" width="31.75" style="167" customWidth="1"/>
    <col min="8963" max="8963" width="39.125" style="167" customWidth="1"/>
    <col min="8964" max="8964" width="4.75" style="167" bestFit="1" customWidth="1"/>
    <col min="8965" max="8965" width="6" style="167" bestFit="1" customWidth="1"/>
    <col min="8966" max="8966" width="8.5" style="167" customWidth="1"/>
    <col min="8967" max="8967" width="7.5" style="167" bestFit="1" customWidth="1"/>
    <col min="8968" max="8968" width="6.625" style="167" customWidth="1"/>
    <col min="8969" max="8969" width="7.375" style="167" customWidth="1"/>
    <col min="8970" max="9215" width="9" style="167"/>
    <col min="9216" max="9216" width="4.625" style="167" customWidth="1"/>
    <col min="9217" max="9217" width="5.625" style="167" customWidth="1"/>
    <col min="9218" max="9218" width="31.75" style="167" customWidth="1"/>
    <col min="9219" max="9219" width="39.125" style="167" customWidth="1"/>
    <col min="9220" max="9220" width="4.75" style="167" bestFit="1" customWidth="1"/>
    <col min="9221" max="9221" width="6" style="167" bestFit="1" customWidth="1"/>
    <col min="9222" max="9222" width="8.5" style="167" customWidth="1"/>
    <col min="9223" max="9223" width="7.5" style="167" bestFit="1" customWidth="1"/>
    <col min="9224" max="9224" width="6.625" style="167" customWidth="1"/>
    <col min="9225" max="9225" width="7.375" style="167" customWidth="1"/>
    <col min="9226" max="9471" width="9" style="167"/>
    <col min="9472" max="9472" width="4.625" style="167" customWidth="1"/>
    <col min="9473" max="9473" width="5.625" style="167" customWidth="1"/>
    <col min="9474" max="9474" width="31.75" style="167" customWidth="1"/>
    <col min="9475" max="9475" width="39.125" style="167" customWidth="1"/>
    <col min="9476" max="9476" width="4.75" style="167" bestFit="1" customWidth="1"/>
    <col min="9477" max="9477" width="6" style="167" bestFit="1" customWidth="1"/>
    <col min="9478" max="9478" width="8.5" style="167" customWidth="1"/>
    <col min="9479" max="9479" width="7.5" style="167" bestFit="1" customWidth="1"/>
    <col min="9480" max="9480" width="6.625" style="167" customWidth="1"/>
    <col min="9481" max="9481" width="7.375" style="167" customWidth="1"/>
    <col min="9482" max="9727" width="9" style="167"/>
    <col min="9728" max="9728" width="4.625" style="167" customWidth="1"/>
    <col min="9729" max="9729" width="5.625" style="167" customWidth="1"/>
    <col min="9730" max="9730" width="31.75" style="167" customWidth="1"/>
    <col min="9731" max="9731" width="39.125" style="167" customWidth="1"/>
    <col min="9732" max="9732" width="4.75" style="167" bestFit="1" customWidth="1"/>
    <col min="9733" max="9733" width="6" style="167" bestFit="1" customWidth="1"/>
    <col min="9734" max="9734" width="8.5" style="167" customWidth="1"/>
    <col min="9735" max="9735" width="7.5" style="167" bestFit="1" customWidth="1"/>
    <col min="9736" max="9736" width="6.625" style="167" customWidth="1"/>
    <col min="9737" max="9737" width="7.375" style="167" customWidth="1"/>
    <col min="9738" max="9983" width="9" style="167"/>
    <col min="9984" max="9984" width="4.625" style="167" customWidth="1"/>
    <col min="9985" max="9985" width="5.625" style="167" customWidth="1"/>
    <col min="9986" max="9986" width="31.75" style="167" customWidth="1"/>
    <col min="9987" max="9987" width="39.125" style="167" customWidth="1"/>
    <col min="9988" max="9988" width="4.75" style="167" bestFit="1" customWidth="1"/>
    <col min="9989" max="9989" width="6" style="167" bestFit="1" customWidth="1"/>
    <col min="9990" max="9990" width="8.5" style="167" customWidth="1"/>
    <col min="9991" max="9991" width="7.5" style="167" bestFit="1" customWidth="1"/>
    <col min="9992" max="9992" width="6.625" style="167" customWidth="1"/>
    <col min="9993" max="9993" width="7.375" style="167" customWidth="1"/>
    <col min="9994" max="10239" width="9" style="167"/>
    <col min="10240" max="10240" width="4.625" style="167" customWidth="1"/>
    <col min="10241" max="10241" width="5.625" style="167" customWidth="1"/>
    <col min="10242" max="10242" width="31.75" style="167" customWidth="1"/>
    <col min="10243" max="10243" width="39.125" style="167" customWidth="1"/>
    <col min="10244" max="10244" width="4.75" style="167" bestFit="1" customWidth="1"/>
    <col min="10245" max="10245" width="6" style="167" bestFit="1" customWidth="1"/>
    <col min="10246" max="10246" width="8.5" style="167" customWidth="1"/>
    <col min="10247" max="10247" width="7.5" style="167" bestFit="1" customWidth="1"/>
    <col min="10248" max="10248" width="6.625" style="167" customWidth="1"/>
    <col min="10249" max="10249" width="7.375" style="167" customWidth="1"/>
    <col min="10250" max="10495" width="9" style="167"/>
    <col min="10496" max="10496" width="4.625" style="167" customWidth="1"/>
    <col min="10497" max="10497" width="5.625" style="167" customWidth="1"/>
    <col min="10498" max="10498" width="31.75" style="167" customWidth="1"/>
    <col min="10499" max="10499" width="39.125" style="167" customWidth="1"/>
    <col min="10500" max="10500" width="4.75" style="167" bestFit="1" customWidth="1"/>
    <col min="10501" max="10501" width="6" style="167" bestFit="1" customWidth="1"/>
    <col min="10502" max="10502" width="8.5" style="167" customWidth="1"/>
    <col min="10503" max="10503" width="7.5" style="167" bestFit="1" customWidth="1"/>
    <col min="10504" max="10504" width="6.625" style="167" customWidth="1"/>
    <col min="10505" max="10505" width="7.375" style="167" customWidth="1"/>
    <col min="10506" max="10751" width="9" style="167"/>
    <col min="10752" max="10752" width="4.625" style="167" customWidth="1"/>
    <col min="10753" max="10753" width="5.625" style="167" customWidth="1"/>
    <col min="10754" max="10754" width="31.75" style="167" customWidth="1"/>
    <col min="10755" max="10755" width="39.125" style="167" customWidth="1"/>
    <col min="10756" max="10756" width="4.75" style="167" bestFit="1" customWidth="1"/>
    <col min="10757" max="10757" width="6" style="167" bestFit="1" customWidth="1"/>
    <col min="10758" max="10758" width="8.5" style="167" customWidth="1"/>
    <col min="10759" max="10759" width="7.5" style="167" bestFit="1" customWidth="1"/>
    <col min="10760" max="10760" width="6.625" style="167" customWidth="1"/>
    <col min="10761" max="10761" width="7.375" style="167" customWidth="1"/>
    <col min="10762" max="11007" width="9" style="167"/>
    <col min="11008" max="11008" width="4.625" style="167" customWidth="1"/>
    <col min="11009" max="11009" width="5.625" style="167" customWidth="1"/>
    <col min="11010" max="11010" width="31.75" style="167" customWidth="1"/>
    <col min="11011" max="11011" width="39.125" style="167" customWidth="1"/>
    <col min="11012" max="11012" width="4.75" style="167" bestFit="1" customWidth="1"/>
    <col min="11013" max="11013" width="6" style="167" bestFit="1" customWidth="1"/>
    <col min="11014" max="11014" width="8.5" style="167" customWidth="1"/>
    <col min="11015" max="11015" width="7.5" style="167" bestFit="1" customWidth="1"/>
    <col min="11016" max="11016" width="6.625" style="167" customWidth="1"/>
    <col min="11017" max="11017" width="7.375" style="167" customWidth="1"/>
    <col min="11018" max="11263" width="9" style="167"/>
    <col min="11264" max="11264" width="4.625" style="167" customWidth="1"/>
    <col min="11265" max="11265" width="5.625" style="167" customWidth="1"/>
    <col min="11266" max="11266" width="31.75" style="167" customWidth="1"/>
    <col min="11267" max="11267" width="39.125" style="167" customWidth="1"/>
    <col min="11268" max="11268" width="4.75" style="167" bestFit="1" customWidth="1"/>
    <col min="11269" max="11269" width="6" style="167" bestFit="1" customWidth="1"/>
    <col min="11270" max="11270" width="8.5" style="167" customWidth="1"/>
    <col min="11271" max="11271" width="7.5" style="167" bestFit="1" customWidth="1"/>
    <col min="11272" max="11272" width="6.625" style="167" customWidth="1"/>
    <col min="11273" max="11273" width="7.375" style="167" customWidth="1"/>
    <col min="11274" max="11519" width="9" style="167"/>
    <col min="11520" max="11520" width="4.625" style="167" customWidth="1"/>
    <col min="11521" max="11521" width="5.625" style="167" customWidth="1"/>
    <col min="11522" max="11522" width="31.75" style="167" customWidth="1"/>
    <col min="11523" max="11523" width="39.125" style="167" customWidth="1"/>
    <col min="11524" max="11524" width="4.75" style="167" bestFit="1" customWidth="1"/>
    <col min="11525" max="11525" width="6" style="167" bestFit="1" customWidth="1"/>
    <col min="11526" max="11526" width="8.5" style="167" customWidth="1"/>
    <col min="11527" max="11527" width="7.5" style="167" bestFit="1" customWidth="1"/>
    <col min="11528" max="11528" width="6.625" style="167" customWidth="1"/>
    <col min="11529" max="11529" width="7.375" style="167" customWidth="1"/>
    <col min="11530" max="11775" width="9" style="167"/>
    <col min="11776" max="11776" width="4.625" style="167" customWidth="1"/>
    <col min="11777" max="11777" width="5.625" style="167" customWidth="1"/>
    <col min="11778" max="11778" width="31.75" style="167" customWidth="1"/>
    <col min="11779" max="11779" width="39.125" style="167" customWidth="1"/>
    <col min="11780" max="11780" width="4.75" style="167" bestFit="1" customWidth="1"/>
    <col min="11781" max="11781" width="6" style="167" bestFit="1" customWidth="1"/>
    <col min="11782" max="11782" width="8.5" style="167" customWidth="1"/>
    <col min="11783" max="11783" width="7.5" style="167" bestFit="1" customWidth="1"/>
    <col min="11784" max="11784" width="6.625" style="167" customWidth="1"/>
    <col min="11785" max="11785" width="7.375" style="167" customWidth="1"/>
    <col min="11786" max="12031" width="9" style="167"/>
    <col min="12032" max="12032" width="4.625" style="167" customWidth="1"/>
    <col min="12033" max="12033" width="5.625" style="167" customWidth="1"/>
    <col min="12034" max="12034" width="31.75" style="167" customWidth="1"/>
    <col min="12035" max="12035" width="39.125" style="167" customWidth="1"/>
    <col min="12036" max="12036" width="4.75" style="167" bestFit="1" customWidth="1"/>
    <col min="12037" max="12037" width="6" style="167" bestFit="1" customWidth="1"/>
    <col min="12038" max="12038" width="8.5" style="167" customWidth="1"/>
    <col min="12039" max="12039" width="7.5" style="167" bestFit="1" customWidth="1"/>
    <col min="12040" max="12040" width="6.625" style="167" customWidth="1"/>
    <col min="12041" max="12041" width="7.375" style="167" customWidth="1"/>
    <col min="12042" max="12287" width="9" style="167"/>
    <col min="12288" max="12288" width="4.625" style="167" customWidth="1"/>
    <col min="12289" max="12289" width="5.625" style="167" customWidth="1"/>
    <col min="12290" max="12290" width="31.75" style="167" customWidth="1"/>
    <col min="12291" max="12291" width="39.125" style="167" customWidth="1"/>
    <col min="12292" max="12292" width="4.75" style="167" bestFit="1" customWidth="1"/>
    <col min="12293" max="12293" width="6" style="167" bestFit="1" customWidth="1"/>
    <col min="12294" max="12294" width="8.5" style="167" customWidth="1"/>
    <col min="12295" max="12295" width="7.5" style="167" bestFit="1" customWidth="1"/>
    <col min="12296" max="12296" width="6.625" style="167" customWidth="1"/>
    <col min="12297" max="12297" width="7.375" style="167" customWidth="1"/>
    <col min="12298" max="12543" width="9" style="167"/>
    <col min="12544" max="12544" width="4.625" style="167" customWidth="1"/>
    <col min="12545" max="12545" width="5.625" style="167" customWidth="1"/>
    <col min="12546" max="12546" width="31.75" style="167" customWidth="1"/>
    <col min="12547" max="12547" width="39.125" style="167" customWidth="1"/>
    <col min="12548" max="12548" width="4.75" style="167" bestFit="1" customWidth="1"/>
    <col min="12549" max="12549" width="6" style="167" bestFit="1" customWidth="1"/>
    <col min="12550" max="12550" width="8.5" style="167" customWidth="1"/>
    <col min="12551" max="12551" width="7.5" style="167" bestFit="1" customWidth="1"/>
    <col min="12552" max="12552" width="6.625" style="167" customWidth="1"/>
    <col min="12553" max="12553" width="7.375" style="167" customWidth="1"/>
    <col min="12554" max="12799" width="9" style="167"/>
    <col min="12800" max="12800" width="4.625" style="167" customWidth="1"/>
    <col min="12801" max="12801" width="5.625" style="167" customWidth="1"/>
    <col min="12802" max="12802" width="31.75" style="167" customWidth="1"/>
    <col min="12803" max="12803" width="39.125" style="167" customWidth="1"/>
    <col min="12804" max="12804" width="4.75" style="167" bestFit="1" customWidth="1"/>
    <col min="12805" max="12805" width="6" style="167" bestFit="1" customWidth="1"/>
    <col min="12806" max="12806" width="8.5" style="167" customWidth="1"/>
    <col min="12807" max="12807" width="7.5" style="167" bestFit="1" customWidth="1"/>
    <col min="12808" max="12808" width="6.625" style="167" customWidth="1"/>
    <col min="12809" max="12809" width="7.375" style="167" customWidth="1"/>
    <col min="12810" max="13055" width="9" style="167"/>
    <col min="13056" max="13056" width="4.625" style="167" customWidth="1"/>
    <col min="13057" max="13057" width="5.625" style="167" customWidth="1"/>
    <col min="13058" max="13058" width="31.75" style="167" customWidth="1"/>
    <col min="13059" max="13059" width="39.125" style="167" customWidth="1"/>
    <col min="13060" max="13060" width="4.75" style="167" bestFit="1" customWidth="1"/>
    <col min="13061" max="13061" width="6" style="167" bestFit="1" customWidth="1"/>
    <col min="13062" max="13062" width="8.5" style="167" customWidth="1"/>
    <col min="13063" max="13063" width="7.5" style="167" bestFit="1" customWidth="1"/>
    <col min="13064" max="13064" width="6.625" style="167" customWidth="1"/>
    <col min="13065" max="13065" width="7.375" style="167" customWidth="1"/>
    <col min="13066" max="13311" width="9" style="167"/>
    <col min="13312" max="13312" width="4.625" style="167" customWidth="1"/>
    <col min="13313" max="13313" width="5.625" style="167" customWidth="1"/>
    <col min="13314" max="13314" width="31.75" style="167" customWidth="1"/>
    <col min="13315" max="13315" width="39.125" style="167" customWidth="1"/>
    <col min="13316" max="13316" width="4.75" style="167" bestFit="1" customWidth="1"/>
    <col min="13317" max="13317" width="6" style="167" bestFit="1" customWidth="1"/>
    <col min="13318" max="13318" width="8.5" style="167" customWidth="1"/>
    <col min="13319" max="13319" width="7.5" style="167" bestFit="1" customWidth="1"/>
    <col min="13320" max="13320" width="6.625" style="167" customWidth="1"/>
    <col min="13321" max="13321" width="7.375" style="167" customWidth="1"/>
    <col min="13322" max="13567" width="9" style="167"/>
    <col min="13568" max="13568" width="4.625" style="167" customWidth="1"/>
    <col min="13569" max="13569" width="5.625" style="167" customWidth="1"/>
    <col min="13570" max="13570" width="31.75" style="167" customWidth="1"/>
    <col min="13571" max="13571" width="39.125" style="167" customWidth="1"/>
    <col min="13572" max="13572" width="4.75" style="167" bestFit="1" customWidth="1"/>
    <col min="13573" max="13573" width="6" style="167" bestFit="1" customWidth="1"/>
    <col min="13574" max="13574" width="8.5" style="167" customWidth="1"/>
    <col min="13575" max="13575" width="7.5" style="167" bestFit="1" customWidth="1"/>
    <col min="13576" max="13576" width="6.625" style="167" customWidth="1"/>
    <col min="13577" max="13577" width="7.375" style="167" customWidth="1"/>
    <col min="13578" max="13823" width="9" style="167"/>
    <col min="13824" max="13824" width="4.625" style="167" customWidth="1"/>
    <col min="13825" max="13825" width="5.625" style="167" customWidth="1"/>
    <col min="13826" max="13826" width="31.75" style="167" customWidth="1"/>
    <col min="13827" max="13827" width="39.125" style="167" customWidth="1"/>
    <col min="13828" max="13828" width="4.75" style="167" bestFit="1" customWidth="1"/>
    <col min="13829" max="13829" width="6" style="167" bestFit="1" customWidth="1"/>
    <col min="13830" max="13830" width="8.5" style="167" customWidth="1"/>
    <col min="13831" max="13831" width="7.5" style="167" bestFit="1" customWidth="1"/>
    <col min="13832" max="13832" width="6.625" style="167" customWidth="1"/>
    <col min="13833" max="13833" width="7.375" style="167" customWidth="1"/>
    <col min="13834" max="14079" width="9" style="167"/>
    <col min="14080" max="14080" width="4.625" style="167" customWidth="1"/>
    <col min="14081" max="14081" width="5.625" style="167" customWidth="1"/>
    <col min="14082" max="14082" width="31.75" style="167" customWidth="1"/>
    <col min="14083" max="14083" width="39.125" style="167" customWidth="1"/>
    <col min="14084" max="14084" width="4.75" style="167" bestFit="1" customWidth="1"/>
    <col min="14085" max="14085" width="6" style="167" bestFit="1" customWidth="1"/>
    <col min="14086" max="14086" width="8.5" style="167" customWidth="1"/>
    <col min="14087" max="14087" width="7.5" style="167" bestFit="1" customWidth="1"/>
    <col min="14088" max="14088" width="6.625" style="167" customWidth="1"/>
    <col min="14089" max="14089" width="7.375" style="167" customWidth="1"/>
    <col min="14090" max="14335" width="9" style="167"/>
    <col min="14336" max="14336" width="4.625" style="167" customWidth="1"/>
    <col min="14337" max="14337" width="5.625" style="167" customWidth="1"/>
    <col min="14338" max="14338" width="31.75" style="167" customWidth="1"/>
    <col min="14339" max="14339" width="39.125" style="167" customWidth="1"/>
    <col min="14340" max="14340" width="4.75" style="167" bestFit="1" customWidth="1"/>
    <col min="14341" max="14341" width="6" style="167" bestFit="1" customWidth="1"/>
    <col min="14342" max="14342" width="8.5" style="167" customWidth="1"/>
    <col min="14343" max="14343" width="7.5" style="167" bestFit="1" customWidth="1"/>
    <col min="14344" max="14344" width="6.625" style="167" customWidth="1"/>
    <col min="14345" max="14345" width="7.375" style="167" customWidth="1"/>
    <col min="14346" max="14591" width="9" style="167"/>
    <col min="14592" max="14592" width="4.625" style="167" customWidth="1"/>
    <col min="14593" max="14593" width="5.625" style="167" customWidth="1"/>
    <col min="14594" max="14594" width="31.75" style="167" customWidth="1"/>
    <col min="14595" max="14595" width="39.125" style="167" customWidth="1"/>
    <col min="14596" max="14596" width="4.75" style="167" bestFit="1" customWidth="1"/>
    <col min="14597" max="14597" width="6" style="167" bestFit="1" customWidth="1"/>
    <col min="14598" max="14598" width="8.5" style="167" customWidth="1"/>
    <col min="14599" max="14599" width="7.5" style="167" bestFit="1" customWidth="1"/>
    <col min="14600" max="14600" width="6.625" style="167" customWidth="1"/>
    <col min="14601" max="14601" width="7.375" style="167" customWidth="1"/>
    <col min="14602" max="14847" width="9" style="167"/>
    <col min="14848" max="14848" width="4.625" style="167" customWidth="1"/>
    <col min="14849" max="14849" width="5.625" style="167" customWidth="1"/>
    <col min="14850" max="14850" width="31.75" style="167" customWidth="1"/>
    <col min="14851" max="14851" width="39.125" style="167" customWidth="1"/>
    <col min="14852" max="14852" width="4.75" style="167" bestFit="1" customWidth="1"/>
    <col min="14853" max="14853" width="6" style="167" bestFit="1" customWidth="1"/>
    <col min="14854" max="14854" width="8.5" style="167" customWidth="1"/>
    <col min="14855" max="14855" width="7.5" style="167" bestFit="1" customWidth="1"/>
    <col min="14856" max="14856" width="6.625" style="167" customWidth="1"/>
    <col min="14857" max="14857" width="7.375" style="167" customWidth="1"/>
    <col min="14858" max="15103" width="9" style="167"/>
    <col min="15104" max="15104" width="4.625" style="167" customWidth="1"/>
    <col min="15105" max="15105" width="5.625" style="167" customWidth="1"/>
    <col min="15106" max="15106" width="31.75" style="167" customWidth="1"/>
    <col min="15107" max="15107" width="39.125" style="167" customWidth="1"/>
    <col min="15108" max="15108" width="4.75" style="167" bestFit="1" customWidth="1"/>
    <col min="15109" max="15109" width="6" style="167" bestFit="1" customWidth="1"/>
    <col min="15110" max="15110" width="8.5" style="167" customWidth="1"/>
    <col min="15111" max="15111" width="7.5" style="167" bestFit="1" customWidth="1"/>
    <col min="15112" max="15112" width="6.625" style="167" customWidth="1"/>
    <col min="15113" max="15113" width="7.375" style="167" customWidth="1"/>
    <col min="15114" max="15359" width="9" style="167"/>
    <col min="15360" max="15360" width="4.625" style="167" customWidth="1"/>
    <col min="15361" max="15361" width="5.625" style="167" customWidth="1"/>
    <col min="15362" max="15362" width="31.75" style="167" customWidth="1"/>
    <col min="15363" max="15363" width="39.125" style="167" customWidth="1"/>
    <col min="15364" max="15364" width="4.75" style="167" bestFit="1" customWidth="1"/>
    <col min="15365" max="15365" width="6" style="167" bestFit="1" customWidth="1"/>
    <col min="15366" max="15366" width="8.5" style="167" customWidth="1"/>
    <col min="15367" max="15367" width="7.5" style="167" bestFit="1" customWidth="1"/>
    <col min="15368" max="15368" width="6.625" style="167" customWidth="1"/>
    <col min="15369" max="15369" width="7.375" style="167" customWidth="1"/>
    <col min="15370" max="15615" width="9" style="167"/>
    <col min="15616" max="15616" width="4.625" style="167" customWidth="1"/>
    <col min="15617" max="15617" width="5.625" style="167" customWidth="1"/>
    <col min="15618" max="15618" width="31.75" style="167" customWidth="1"/>
    <col min="15619" max="15619" width="39.125" style="167" customWidth="1"/>
    <col min="15620" max="15620" width="4.75" style="167" bestFit="1" customWidth="1"/>
    <col min="15621" max="15621" width="6" style="167" bestFit="1" customWidth="1"/>
    <col min="15622" max="15622" width="8.5" style="167" customWidth="1"/>
    <col min="15623" max="15623" width="7.5" style="167" bestFit="1" customWidth="1"/>
    <col min="15624" max="15624" width="6.625" style="167" customWidth="1"/>
    <col min="15625" max="15625" width="7.375" style="167" customWidth="1"/>
    <col min="15626" max="15871" width="9" style="167"/>
    <col min="15872" max="15872" width="4.625" style="167" customWidth="1"/>
    <col min="15873" max="15873" width="5.625" style="167" customWidth="1"/>
    <col min="15874" max="15874" width="31.75" style="167" customWidth="1"/>
    <col min="15875" max="15875" width="39.125" style="167" customWidth="1"/>
    <col min="15876" max="15876" width="4.75" style="167" bestFit="1" customWidth="1"/>
    <col min="15877" max="15877" width="6" style="167" bestFit="1" customWidth="1"/>
    <col min="15878" max="15878" width="8.5" style="167" customWidth="1"/>
    <col min="15879" max="15879" width="7.5" style="167" bestFit="1" customWidth="1"/>
    <col min="15880" max="15880" width="6.625" style="167" customWidth="1"/>
    <col min="15881" max="15881" width="7.375" style="167" customWidth="1"/>
    <col min="15882" max="16127" width="9" style="167"/>
    <col min="16128" max="16128" width="4.625" style="167" customWidth="1"/>
    <col min="16129" max="16129" width="5.625" style="167" customWidth="1"/>
    <col min="16130" max="16130" width="31.75" style="167" customWidth="1"/>
    <col min="16131" max="16131" width="39.125" style="167" customWidth="1"/>
    <col min="16132" max="16132" width="4.75" style="167" bestFit="1" customWidth="1"/>
    <col min="16133" max="16133" width="6" style="167" bestFit="1" customWidth="1"/>
    <col min="16134" max="16134" width="8.5" style="167" customWidth="1"/>
    <col min="16135" max="16135" width="7.5" style="167" bestFit="1" customWidth="1"/>
    <col min="16136" max="16136" width="6.625" style="167" customWidth="1"/>
    <col min="16137" max="16137" width="7.375" style="167" customWidth="1"/>
    <col min="16138" max="16384" width="9" style="167"/>
  </cols>
  <sheetData>
    <row r="1" spans="1:25" s="147" customFormat="1" ht="20.25">
      <c r="A1" s="76" t="s">
        <v>410</v>
      </c>
      <c r="B1" s="77"/>
      <c r="C1" s="78"/>
      <c r="D1" s="79"/>
      <c r="E1" s="145"/>
      <c r="F1" s="81"/>
      <c r="G1" s="82"/>
      <c r="H1" s="83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</row>
    <row r="2" spans="1:25" s="148" customFormat="1" ht="20.25">
      <c r="A2" s="354" t="s">
        <v>496</v>
      </c>
      <c r="B2" s="354"/>
      <c r="C2" s="354"/>
      <c r="D2" s="354"/>
      <c r="E2" s="354"/>
      <c r="F2" s="354"/>
      <c r="G2" s="354"/>
      <c r="H2" s="354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</row>
    <row r="3" spans="1:25" s="148" customFormat="1">
      <c r="A3" s="355"/>
      <c r="B3" s="355"/>
      <c r="C3" s="355"/>
      <c r="D3" s="355"/>
      <c r="E3" s="355"/>
      <c r="F3" s="86"/>
      <c r="G3" s="87"/>
      <c r="H3" s="88"/>
      <c r="I3" s="87" t="s">
        <v>412</v>
      </c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</row>
    <row r="4" spans="1:25" s="150" customFormat="1" ht="13.5" customHeight="1">
      <c r="A4" s="361" t="s">
        <v>112</v>
      </c>
      <c r="B4" s="351" t="s">
        <v>413</v>
      </c>
      <c r="C4" s="351" t="s">
        <v>414</v>
      </c>
      <c r="D4" s="362" t="s">
        <v>133</v>
      </c>
      <c r="E4" s="386" t="s">
        <v>134</v>
      </c>
      <c r="F4" s="357" t="s">
        <v>298</v>
      </c>
      <c r="G4" s="359" t="s">
        <v>135</v>
      </c>
      <c r="H4" s="351" t="s">
        <v>497</v>
      </c>
      <c r="I4" s="352" t="s">
        <v>498</v>
      </c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spans="1:25" s="150" customFormat="1" ht="13.5" customHeight="1">
      <c r="A5" s="361"/>
      <c r="B5" s="351"/>
      <c r="C5" s="351"/>
      <c r="D5" s="363"/>
      <c r="E5" s="386"/>
      <c r="F5" s="358"/>
      <c r="G5" s="360"/>
      <c r="H5" s="351"/>
      <c r="I5" s="353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 s="153" customFormat="1" ht="13.5">
      <c r="A6" s="129">
        <v>1</v>
      </c>
      <c r="B6" s="97" t="s">
        <v>499</v>
      </c>
      <c r="C6" s="97" t="s">
        <v>500</v>
      </c>
      <c r="D6" s="129" t="s">
        <v>501</v>
      </c>
      <c r="E6" s="166">
        <v>78</v>
      </c>
      <c r="F6" s="188">
        <v>3.6999999999999998E-2</v>
      </c>
      <c r="G6" s="179">
        <f>F6*E6</f>
        <v>2.8859999999999997</v>
      </c>
      <c r="H6" s="187">
        <f>G6*0.1</f>
        <v>0.28859999999999997</v>
      </c>
      <c r="I6" s="97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</row>
    <row r="7" spans="1:25" s="153" customFormat="1" ht="13.5">
      <c r="A7" s="129">
        <v>2</v>
      </c>
      <c r="B7" s="97" t="s">
        <v>502</v>
      </c>
      <c r="C7" s="97" t="s">
        <v>503</v>
      </c>
      <c r="D7" s="129" t="s">
        <v>504</v>
      </c>
      <c r="E7" s="166">
        <v>8</v>
      </c>
      <c r="F7" s="188">
        <v>0.5</v>
      </c>
      <c r="G7" s="179">
        <f t="shared" ref="G7:G16" si="0">F7*E7</f>
        <v>4</v>
      </c>
      <c r="H7" s="187">
        <f t="shared" ref="H7:H16" si="1">G7*0.1</f>
        <v>0.4</v>
      </c>
      <c r="I7" s="97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</row>
    <row r="8" spans="1:25" s="154" customFormat="1" ht="13.5">
      <c r="A8" s="90">
        <v>3</v>
      </c>
      <c r="B8" s="97" t="s">
        <v>505</v>
      </c>
      <c r="C8" s="97" t="s">
        <v>503</v>
      </c>
      <c r="D8" s="129" t="s">
        <v>504</v>
      </c>
      <c r="E8" s="166">
        <v>12</v>
      </c>
      <c r="F8" s="188">
        <v>0.7</v>
      </c>
      <c r="G8" s="179">
        <f t="shared" si="0"/>
        <v>8.3999999999999986</v>
      </c>
      <c r="H8" s="187">
        <f t="shared" si="1"/>
        <v>0.83999999999999986</v>
      </c>
      <c r="I8" s="104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 spans="1:25" s="154" customFormat="1" ht="13.5">
      <c r="A9" s="129">
        <v>4</v>
      </c>
      <c r="B9" s="97" t="s">
        <v>506</v>
      </c>
      <c r="C9" s="97" t="s">
        <v>507</v>
      </c>
      <c r="D9" s="129" t="s">
        <v>504</v>
      </c>
      <c r="E9" s="166">
        <v>14</v>
      </c>
      <c r="F9" s="188">
        <v>0.85</v>
      </c>
      <c r="G9" s="179">
        <f t="shared" si="0"/>
        <v>11.9</v>
      </c>
      <c r="H9" s="187">
        <f t="shared" si="1"/>
        <v>1.1900000000000002</v>
      </c>
      <c r="I9" s="104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</row>
    <row r="10" spans="1:25" s="154" customFormat="1" ht="13.5">
      <c r="A10" s="90">
        <v>5</v>
      </c>
      <c r="B10" s="97" t="s">
        <v>506</v>
      </c>
      <c r="C10" s="97" t="s">
        <v>508</v>
      </c>
      <c r="D10" s="129" t="s">
        <v>504</v>
      </c>
      <c r="E10" s="166">
        <v>12</v>
      </c>
      <c r="F10" s="188">
        <v>1</v>
      </c>
      <c r="G10" s="179">
        <f t="shared" si="0"/>
        <v>12</v>
      </c>
      <c r="H10" s="187">
        <f t="shared" si="1"/>
        <v>1.2000000000000002</v>
      </c>
      <c r="I10" s="104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</row>
    <row r="11" spans="1:25" s="154" customFormat="1" ht="13.5">
      <c r="A11" s="129">
        <v>6</v>
      </c>
      <c r="B11" s="97" t="s">
        <v>509</v>
      </c>
      <c r="C11" s="97" t="s">
        <v>507</v>
      </c>
      <c r="D11" s="129" t="s">
        <v>501</v>
      </c>
      <c r="E11" s="166">
        <v>14</v>
      </c>
      <c r="F11" s="188">
        <v>0.77</v>
      </c>
      <c r="G11" s="179">
        <f t="shared" si="0"/>
        <v>10.780000000000001</v>
      </c>
      <c r="H11" s="187">
        <f t="shared" si="1"/>
        <v>1.0780000000000001</v>
      </c>
      <c r="I11" s="104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</row>
    <row r="12" spans="1:25" s="154" customFormat="1" ht="13.5">
      <c r="A12" s="90">
        <v>7</v>
      </c>
      <c r="B12" s="97" t="s">
        <v>509</v>
      </c>
      <c r="C12" s="97" t="s">
        <v>508</v>
      </c>
      <c r="D12" s="129" t="s">
        <v>501</v>
      </c>
      <c r="E12" s="166">
        <v>12</v>
      </c>
      <c r="F12" s="188">
        <v>1.1000000000000001</v>
      </c>
      <c r="G12" s="179">
        <f t="shared" si="0"/>
        <v>13.200000000000001</v>
      </c>
      <c r="H12" s="187">
        <f t="shared" si="1"/>
        <v>1.3200000000000003</v>
      </c>
      <c r="I12" s="104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</row>
    <row r="13" spans="1:25" s="154" customFormat="1" ht="13.5">
      <c r="A13" s="129">
        <v>8</v>
      </c>
      <c r="B13" s="97" t="s">
        <v>510</v>
      </c>
      <c r="C13" s="97" t="s">
        <v>511</v>
      </c>
      <c r="D13" s="129" t="s">
        <v>501</v>
      </c>
      <c r="E13" s="166">
        <v>14</v>
      </c>
      <c r="F13" s="188">
        <v>0.65</v>
      </c>
      <c r="G13" s="179">
        <f t="shared" si="0"/>
        <v>9.1</v>
      </c>
      <c r="H13" s="187">
        <f t="shared" si="1"/>
        <v>0.91</v>
      </c>
      <c r="I13" s="104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</row>
    <row r="14" spans="1:25" s="154" customFormat="1" ht="13.5">
      <c r="A14" s="90">
        <v>9</v>
      </c>
      <c r="B14" s="97" t="s">
        <v>510</v>
      </c>
      <c r="C14" s="97" t="s">
        <v>512</v>
      </c>
      <c r="D14" s="129" t="s">
        <v>501</v>
      </c>
      <c r="E14" s="166">
        <v>12</v>
      </c>
      <c r="F14" s="188">
        <v>0.9</v>
      </c>
      <c r="G14" s="179">
        <f t="shared" si="0"/>
        <v>10.8</v>
      </c>
      <c r="H14" s="187">
        <f t="shared" si="1"/>
        <v>1.08</v>
      </c>
      <c r="I14" s="104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</row>
    <row r="15" spans="1:25" s="154" customFormat="1" ht="13.5">
      <c r="A15" s="129">
        <v>10</v>
      </c>
      <c r="B15" s="97" t="s">
        <v>513</v>
      </c>
      <c r="C15" s="110" t="s">
        <v>514</v>
      </c>
      <c r="D15" s="129" t="s">
        <v>501</v>
      </c>
      <c r="E15" s="166">
        <v>1</v>
      </c>
      <c r="F15" s="188">
        <v>0.3</v>
      </c>
      <c r="G15" s="179">
        <f t="shared" si="0"/>
        <v>0.3</v>
      </c>
      <c r="H15" s="187">
        <f t="shared" si="1"/>
        <v>0.03</v>
      </c>
      <c r="I15" s="104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</row>
    <row r="16" spans="1:25" s="154" customFormat="1" ht="13.5">
      <c r="A16" s="90">
        <v>11</v>
      </c>
      <c r="B16" s="97" t="s">
        <v>515</v>
      </c>
      <c r="C16" s="110" t="s">
        <v>516</v>
      </c>
      <c r="D16" s="129" t="s">
        <v>501</v>
      </c>
      <c r="E16" s="166">
        <v>1</v>
      </c>
      <c r="F16" s="188">
        <v>0.2</v>
      </c>
      <c r="G16" s="179">
        <f t="shared" si="0"/>
        <v>0.2</v>
      </c>
      <c r="H16" s="187">
        <f t="shared" si="1"/>
        <v>2.0000000000000004E-2</v>
      </c>
      <c r="I16" s="104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</row>
    <row r="17" spans="1:25" s="154" customFormat="1" ht="15">
      <c r="A17" s="100"/>
      <c r="B17" s="97"/>
      <c r="C17" s="106"/>
      <c r="D17" s="129"/>
      <c r="E17" s="166"/>
      <c r="F17" s="94"/>
      <c r="G17" s="179"/>
      <c r="H17" s="118"/>
      <c r="I17" s="104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</row>
    <row r="18" spans="1:25" s="154" customFormat="1" ht="15">
      <c r="A18" s="100"/>
      <c r="B18" s="110"/>
      <c r="C18" s="101"/>
      <c r="D18" s="102"/>
      <c r="E18" s="151"/>
      <c r="F18" s="94"/>
      <c r="G18" s="95"/>
      <c r="H18" s="118"/>
      <c r="I18" s="104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</row>
    <row r="19" spans="1:25" s="154" customFormat="1" ht="15">
      <c r="A19" s="100"/>
      <c r="B19" s="110"/>
      <c r="C19" s="101"/>
      <c r="D19" s="107"/>
      <c r="E19" s="155"/>
      <c r="F19" s="94"/>
      <c r="G19" s="95"/>
      <c r="H19" s="118"/>
      <c r="I19" s="104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</row>
    <row r="20" spans="1:25" s="154" customFormat="1" ht="15">
      <c r="A20" s="100"/>
      <c r="B20" s="109"/>
      <c r="C20" s="110"/>
      <c r="D20" s="107"/>
      <c r="E20" s="155"/>
      <c r="F20" s="94"/>
      <c r="G20" s="95"/>
      <c r="H20" s="118"/>
      <c r="I20" s="104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</row>
    <row r="21" spans="1:25" s="154" customFormat="1" ht="15">
      <c r="A21" s="100"/>
      <c r="B21" s="109"/>
      <c r="C21" s="110"/>
      <c r="D21" s="113"/>
      <c r="E21" s="151"/>
      <c r="F21" s="94"/>
      <c r="G21" s="95"/>
      <c r="H21" s="118"/>
      <c r="I21" s="104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</row>
    <row r="22" spans="1:25" s="154" customFormat="1" ht="15">
      <c r="A22" s="100"/>
      <c r="B22" s="99"/>
      <c r="C22" s="110"/>
      <c r="D22" s="113"/>
      <c r="E22" s="151"/>
      <c r="F22" s="94"/>
      <c r="G22" s="95"/>
      <c r="H22" s="118"/>
      <c r="I22" s="104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</row>
    <row r="23" spans="1:25" s="153" customFormat="1" ht="15">
      <c r="A23" s="90"/>
      <c r="B23" s="114"/>
      <c r="C23" s="114"/>
      <c r="D23" s="92"/>
      <c r="E23" s="151"/>
      <c r="F23" s="94"/>
      <c r="G23" s="95"/>
      <c r="H23" s="115"/>
      <c r="I23" s="97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</row>
    <row r="24" spans="1:25" s="153" customFormat="1" ht="15">
      <c r="A24" s="90"/>
      <c r="B24" s="116"/>
      <c r="C24" s="117"/>
      <c r="D24" s="92"/>
      <c r="E24" s="151"/>
      <c r="F24" s="94"/>
      <c r="G24" s="95"/>
      <c r="H24" s="118"/>
      <c r="I24" s="97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</row>
    <row r="25" spans="1:25" s="153" customFormat="1" ht="15">
      <c r="A25" s="90"/>
      <c r="B25" s="111"/>
      <c r="C25" s="119"/>
      <c r="D25" s="92"/>
      <c r="E25" s="151"/>
      <c r="F25" s="94"/>
      <c r="G25" s="95"/>
      <c r="H25" s="118"/>
      <c r="I25" s="97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</row>
    <row r="26" spans="1:25" s="153" customFormat="1" ht="15">
      <c r="A26" s="90"/>
      <c r="B26" s="120"/>
      <c r="C26" s="117"/>
      <c r="D26" s="102"/>
      <c r="E26" s="151"/>
      <c r="F26" s="94"/>
      <c r="G26" s="95"/>
      <c r="H26" s="118"/>
      <c r="I26" s="97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</row>
    <row r="27" spans="1:25" s="153" customFormat="1" ht="15">
      <c r="A27" s="90"/>
      <c r="B27" s="120"/>
      <c r="C27" s="117"/>
      <c r="D27" s="92"/>
      <c r="E27" s="151"/>
      <c r="F27" s="94"/>
      <c r="G27" s="95"/>
      <c r="H27" s="118"/>
      <c r="I27" s="97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</row>
    <row r="28" spans="1:25" s="153" customFormat="1" ht="15">
      <c r="A28" s="90"/>
      <c r="B28" s="120"/>
      <c r="C28" s="117"/>
      <c r="D28" s="92"/>
      <c r="E28" s="151"/>
      <c r="F28" s="94"/>
      <c r="G28" s="95"/>
      <c r="H28" s="118"/>
      <c r="I28" s="97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</row>
    <row r="29" spans="1:25" s="153" customFormat="1" ht="15">
      <c r="A29" s="90"/>
      <c r="B29" s="109"/>
      <c r="C29" s="109"/>
      <c r="D29" s="121"/>
      <c r="E29" s="164"/>
      <c r="F29" s="94"/>
      <c r="G29" s="95"/>
      <c r="H29" s="118"/>
      <c r="I29" s="97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</row>
    <row r="30" spans="1:25" s="153" customFormat="1" ht="15">
      <c r="A30" s="90"/>
      <c r="B30" s="109"/>
      <c r="C30" s="109"/>
      <c r="D30" s="121"/>
      <c r="E30" s="164"/>
      <c r="F30" s="94"/>
      <c r="G30" s="95"/>
      <c r="H30" s="118"/>
      <c r="I30" s="97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</row>
    <row r="31" spans="1:25" s="153" customFormat="1" ht="15">
      <c r="A31" s="90"/>
      <c r="B31" s="123"/>
      <c r="C31" s="109"/>
      <c r="D31" s="121"/>
      <c r="E31" s="164"/>
      <c r="F31" s="94"/>
      <c r="G31" s="95"/>
      <c r="H31" s="118"/>
      <c r="I31" s="97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</row>
    <row r="32" spans="1:25" s="153" customFormat="1" ht="15">
      <c r="A32" s="90"/>
      <c r="B32" s="114"/>
      <c r="C32" s="117"/>
      <c r="D32" s="92"/>
      <c r="E32" s="151"/>
      <c r="F32" s="94"/>
      <c r="G32" s="95"/>
      <c r="H32" s="118"/>
      <c r="I32" s="97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</row>
    <row r="33" spans="1:25" s="153" customFormat="1" ht="15">
      <c r="A33" s="90"/>
      <c r="B33" s="111"/>
      <c r="C33" s="117"/>
      <c r="D33" s="92"/>
      <c r="E33" s="151"/>
      <c r="F33" s="94"/>
      <c r="G33" s="95"/>
      <c r="H33" s="118"/>
      <c r="I33" s="97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</row>
    <row r="34" spans="1:25" s="153" customFormat="1" ht="15">
      <c r="A34" s="90"/>
      <c r="B34" s="120"/>
      <c r="C34" s="117"/>
      <c r="D34" s="92"/>
      <c r="E34" s="151"/>
      <c r="F34" s="94"/>
      <c r="G34" s="95"/>
      <c r="H34" s="118"/>
      <c r="I34" s="97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</row>
    <row r="35" spans="1:25" s="153" customFormat="1" ht="15">
      <c r="A35" s="90"/>
      <c r="B35" s="109"/>
      <c r="C35" s="109"/>
      <c r="D35" s="121"/>
      <c r="E35" s="164"/>
      <c r="F35" s="94"/>
      <c r="G35" s="95"/>
      <c r="H35" s="118"/>
      <c r="I35" s="97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</row>
    <row r="36" spans="1:25" s="153" customFormat="1" ht="15">
      <c r="A36" s="90"/>
      <c r="B36" s="109"/>
      <c r="C36" s="109"/>
      <c r="D36" s="121"/>
      <c r="E36" s="164"/>
      <c r="F36" s="94"/>
      <c r="G36" s="95"/>
      <c r="H36" s="118"/>
      <c r="I36" s="97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</row>
    <row r="37" spans="1:25" s="153" customFormat="1" ht="15">
      <c r="A37" s="90"/>
      <c r="B37" s="123"/>
      <c r="C37" s="109"/>
      <c r="D37" s="121"/>
      <c r="E37" s="164"/>
      <c r="F37" s="94"/>
      <c r="G37" s="95"/>
      <c r="H37" s="118"/>
      <c r="I37" s="97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</row>
    <row r="38" spans="1:25" s="153" customFormat="1" ht="15">
      <c r="A38" s="90"/>
      <c r="B38" s="114"/>
      <c r="C38" s="117"/>
      <c r="D38" s="92"/>
      <c r="E38" s="151"/>
      <c r="F38" s="94"/>
      <c r="G38" s="95"/>
      <c r="H38" s="115"/>
      <c r="I38" s="97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</row>
    <row r="39" spans="1:25" s="153" customFormat="1" ht="15">
      <c r="A39" s="90"/>
      <c r="B39" s="111"/>
      <c r="C39" s="117"/>
      <c r="D39" s="92"/>
      <c r="E39" s="151"/>
      <c r="F39" s="94"/>
      <c r="G39" s="95"/>
      <c r="H39" s="118"/>
      <c r="I39" s="97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</row>
    <row r="40" spans="1:25" s="153" customFormat="1" ht="15">
      <c r="A40" s="90"/>
      <c r="B40" s="120"/>
      <c r="C40" s="117"/>
      <c r="D40" s="92"/>
      <c r="E40" s="151"/>
      <c r="F40" s="94"/>
      <c r="G40" s="95"/>
      <c r="H40" s="118"/>
      <c r="I40" s="97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</row>
    <row r="41" spans="1:25" s="153" customFormat="1" ht="15">
      <c r="A41" s="90"/>
      <c r="B41" s="120"/>
      <c r="C41" s="117"/>
      <c r="D41" s="92"/>
      <c r="E41" s="151"/>
      <c r="F41" s="94"/>
      <c r="G41" s="95"/>
      <c r="H41" s="118"/>
      <c r="I41" s="97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</row>
    <row r="42" spans="1:25" s="153" customFormat="1" ht="15">
      <c r="A42" s="90"/>
      <c r="B42" s="120"/>
      <c r="C42" s="117"/>
      <c r="D42" s="92"/>
      <c r="E42" s="151"/>
      <c r="F42" s="94"/>
      <c r="G42" s="95"/>
      <c r="H42" s="118"/>
      <c r="I42" s="97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</row>
    <row r="43" spans="1:25" s="153" customFormat="1" ht="15">
      <c r="A43" s="90"/>
      <c r="B43" s="109"/>
      <c r="C43" s="109"/>
      <c r="D43" s="121"/>
      <c r="E43" s="164"/>
      <c r="F43" s="94"/>
      <c r="G43" s="95"/>
      <c r="H43" s="118"/>
      <c r="I43" s="97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</row>
    <row r="44" spans="1:25" s="153" customFormat="1" ht="15">
      <c r="A44" s="90"/>
      <c r="B44" s="109"/>
      <c r="C44" s="109"/>
      <c r="D44" s="121"/>
      <c r="E44" s="164"/>
      <c r="F44" s="94"/>
      <c r="G44" s="95"/>
      <c r="H44" s="118"/>
      <c r="I44" s="97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</row>
    <row r="45" spans="1:25" s="153" customFormat="1" ht="15">
      <c r="A45" s="90"/>
      <c r="B45" s="114"/>
      <c r="C45" s="117"/>
      <c r="D45" s="92"/>
      <c r="E45" s="151"/>
      <c r="F45" s="94"/>
      <c r="G45" s="95"/>
      <c r="H45" s="115"/>
      <c r="I45" s="97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</row>
    <row r="46" spans="1:25" s="153" customFormat="1" ht="15">
      <c r="A46" s="90"/>
      <c r="B46" s="111"/>
      <c r="C46" s="119"/>
      <c r="D46" s="92"/>
      <c r="E46" s="151"/>
      <c r="F46" s="94"/>
      <c r="G46" s="95"/>
      <c r="H46" s="118"/>
      <c r="I46" s="97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</row>
    <row r="47" spans="1:25" s="153" customFormat="1" ht="15">
      <c r="A47" s="90"/>
      <c r="B47" s="120"/>
      <c r="C47" s="124"/>
      <c r="D47" s="125"/>
      <c r="E47" s="151"/>
      <c r="F47" s="94"/>
      <c r="G47" s="95"/>
      <c r="H47" s="118"/>
      <c r="I47" s="97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</row>
    <row r="48" spans="1:25" s="153" customFormat="1" ht="15">
      <c r="A48" s="90"/>
      <c r="B48" s="109"/>
      <c r="C48" s="109"/>
      <c r="D48" s="121"/>
      <c r="E48" s="164"/>
      <c r="F48" s="94"/>
      <c r="G48" s="95"/>
      <c r="H48" s="118"/>
      <c r="I48" s="97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</row>
    <row r="49" spans="1:25" s="153" customFormat="1" ht="15">
      <c r="A49" s="90"/>
      <c r="B49" s="109"/>
      <c r="C49" s="109"/>
      <c r="D49" s="121"/>
      <c r="E49" s="164"/>
      <c r="F49" s="94"/>
      <c r="G49" s="95"/>
      <c r="H49" s="118"/>
      <c r="I49" s="97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</row>
    <row r="50" spans="1:25" s="153" customFormat="1" ht="15">
      <c r="A50" s="90"/>
      <c r="B50" s="114"/>
      <c r="C50" s="117"/>
      <c r="D50" s="92"/>
      <c r="E50" s="151"/>
      <c r="F50" s="94"/>
      <c r="G50" s="95"/>
      <c r="H50" s="115"/>
      <c r="I50" s="97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</row>
    <row r="51" spans="1:25" s="165" customFormat="1" ht="15">
      <c r="A51" s="90"/>
      <c r="B51" s="109"/>
      <c r="C51" s="117"/>
      <c r="D51" s="92"/>
      <c r="E51" s="151"/>
      <c r="F51" s="94"/>
      <c r="G51" s="95"/>
      <c r="H51" s="118"/>
      <c r="I51" s="126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</row>
    <row r="52" spans="1:25" s="165" customFormat="1" ht="15">
      <c r="A52" s="90"/>
      <c r="B52" s="111"/>
      <c r="C52" s="117"/>
      <c r="D52" s="92"/>
      <c r="E52" s="151"/>
      <c r="F52" s="94"/>
      <c r="G52" s="95"/>
      <c r="H52" s="118"/>
      <c r="I52" s="126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</row>
    <row r="53" spans="1:25" s="165" customFormat="1" ht="15">
      <c r="A53" s="90"/>
      <c r="B53" s="111"/>
      <c r="C53" s="117"/>
      <c r="D53" s="92"/>
      <c r="E53" s="151"/>
      <c r="F53" s="94"/>
      <c r="G53" s="95"/>
      <c r="H53" s="118"/>
      <c r="I53" s="126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</row>
    <row r="54" spans="1:25" s="165" customFormat="1" ht="15">
      <c r="A54" s="90"/>
      <c r="B54" s="109"/>
      <c r="C54" s="128"/>
      <c r="D54" s="102"/>
      <c r="E54" s="151"/>
      <c r="F54" s="94"/>
      <c r="G54" s="95"/>
      <c r="H54" s="118"/>
      <c r="I54" s="126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</row>
    <row r="55" spans="1:25" s="165" customFormat="1" ht="15">
      <c r="A55" s="90"/>
      <c r="B55" s="109"/>
      <c r="C55" s="128"/>
      <c r="D55" s="102"/>
      <c r="E55" s="151"/>
      <c r="F55" s="94"/>
      <c r="G55" s="95"/>
      <c r="H55" s="118"/>
      <c r="I55" s="126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</row>
    <row r="56" spans="1:25" s="165" customFormat="1" ht="15">
      <c r="A56" s="90"/>
      <c r="B56" s="109"/>
      <c r="C56" s="128"/>
      <c r="D56" s="102"/>
      <c r="E56" s="151"/>
      <c r="F56" s="94"/>
      <c r="G56" s="95"/>
      <c r="H56" s="118"/>
      <c r="I56" s="126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</row>
    <row r="57" spans="1:25" s="165" customFormat="1" ht="15">
      <c r="A57" s="90"/>
      <c r="B57" s="109"/>
      <c r="C57" s="128"/>
      <c r="D57" s="102"/>
      <c r="E57" s="151"/>
      <c r="F57" s="94"/>
      <c r="G57" s="95"/>
      <c r="H57" s="118"/>
      <c r="I57" s="126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</row>
    <row r="58" spans="1:25" s="165" customFormat="1" ht="13.5">
      <c r="A58" s="129"/>
      <c r="B58" s="129" t="s">
        <v>517</v>
      </c>
      <c r="C58" s="130"/>
      <c r="D58" s="131"/>
      <c r="E58" s="166">
        <f>SUM(E6:E57)</f>
        <v>178</v>
      </c>
      <c r="F58" s="180"/>
      <c r="G58" s="132">
        <f>SUM(G6:G57)</f>
        <v>83.566000000000003</v>
      </c>
      <c r="H58" s="132">
        <f>SUM(H6:H57)</f>
        <v>8.3566000000000003</v>
      </c>
      <c r="I58" s="126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</row>
  </sheetData>
  <mergeCells count="11">
    <mergeCell ref="H4:H5"/>
    <mergeCell ref="I4:I5"/>
    <mergeCell ref="A2:H2"/>
    <mergeCell ref="A3:E3"/>
    <mergeCell ref="A4:A5"/>
    <mergeCell ref="B4:B5"/>
    <mergeCell ref="C4:C5"/>
    <mergeCell ref="D4:D5"/>
    <mergeCell ref="E4:E5"/>
    <mergeCell ref="F4:F5"/>
    <mergeCell ref="G4:G5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9" workbookViewId="0">
      <selection sqref="A1:XFD1048576"/>
    </sheetView>
  </sheetViews>
  <sheetFormatPr defaultRowHeight="13.5"/>
  <cols>
    <col min="1" max="1" width="7.25" style="16" customWidth="1"/>
    <col min="2" max="2" width="19.5" style="16" customWidth="1"/>
    <col min="3" max="3" width="3" style="16" customWidth="1"/>
    <col min="4" max="4" width="28.375" style="16" customWidth="1"/>
    <col min="5" max="5" width="1.375" style="16" customWidth="1"/>
    <col min="6" max="6" width="8.875" style="16" customWidth="1"/>
    <col min="7" max="7" width="16.5" style="16" customWidth="1"/>
    <col min="8" max="256" width="8" style="16" customWidth="1"/>
    <col min="257" max="257" width="7.25" style="16" customWidth="1"/>
    <col min="258" max="258" width="19.5" style="16" customWidth="1"/>
    <col min="259" max="259" width="3" style="16" customWidth="1"/>
    <col min="260" max="260" width="28.375" style="16" customWidth="1"/>
    <col min="261" max="261" width="1.375" style="16" customWidth="1"/>
    <col min="262" max="262" width="8.875" style="16" customWidth="1"/>
    <col min="263" max="263" width="16.5" style="16" customWidth="1"/>
    <col min="264" max="512" width="8" style="16" customWidth="1"/>
    <col min="513" max="513" width="7.25" style="16" customWidth="1"/>
    <col min="514" max="514" width="19.5" style="16" customWidth="1"/>
    <col min="515" max="515" width="3" style="16" customWidth="1"/>
    <col min="516" max="516" width="28.375" style="16" customWidth="1"/>
    <col min="517" max="517" width="1.375" style="16" customWidth="1"/>
    <col min="518" max="518" width="8.875" style="16" customWidth="1"/>
    <col min="519" max="519" width="16.5" style="16" customWidth="1"/>
    <col min="520" max="768" width="8" style="16" customWidth="1"/>
    <col min="769" max="769" width="7.25" style="16" customWidth="1"/>
    <col min="770" max="770" width="19.5" style="16" customWidth="1"/>
    <col min="771" max="771" width="3" style="16" customWidth="1"/>
    <col min="772" max="772" width="28.375" style="16" customWidth="1"/>
    <col min="773" max="773" width="1.375" style="16" customWidth="1"/>
    <col min="774" max="774" width="8.875" style="16" customWidth="1"/>
    <col min="775" max="775" width="16.5" style="16" customWidth="1"/>
    <col min="776" max="1024" width="8" style="16" customWidth="1"/>
    <col min="1025" max="1025" width="7.25" style="16" customWidth="1"/>
    <col min="1026" max="1026" width="19.5" style="16" customWidth="1"/>
    <col min="1027" max="1027" width="3" style="16" customWidth="1"/>
    <col min="1028" max="1028" width="28.375" style="16" customWidth="1"/>
    <col min="1029" max="1029" width="1.375" style="16" customWidth="1"/>
    <col min="1030" max="1030" width="8.875" style="16" customWidth="1"/>
    <col min="1031" max="1031" width="16.5" style="16" customWidth="1"/>
    <col min="1032" max="1280" width="8" style="16" customWidth="1"/>
    <col min="1281" max="1281" width="7.25" style="16" customWidth="1"/>
    <col min="1282" max="1282" width="19.5" style="16" customWidth="1"/>
    <col min="1283" max="1283" width="3" style="16" customWidth="1"/>
    <col min="1284" max="1284" width="28.375" style="16" customWidth="1"/>
    <col min="1285" max="1285" width="1.375" style="16" customWidth="1"/>
    <col min="1286" max="1286" width="8.875" style="16" customWidth="1"/>
    <col min="1287" max="1287" width="16.5" style="16" customWidth="1"/>
    <col min="1288" max="1536" width="8" style="16" customWidth="1"/>
    <col min="1537" max="1537" width="7.25" style="16" customWidth="1"/>
    <col min="1538" max="1538" width="19.5" style="16" customWidth="1"/>
    <col min="1539" max="1539" width="3" style="16" customWidth="1"/>
    <col min="1540" max="1540" width="28.375" style="16" customWidth="1"/>
    <col min="1541" max="1541" width="1.375" style="16" customWidth="1"/>
    <col min="1542" max="1542" width="8.875" style="16" customWidth="1"/>
    <col min="1543" max="1543" width="16.5" style="16" customWidth="1"/>
    <col min="1544" max="1792" width="8" style="16" customWidth="1"/>
    <col min="1793" max="1793" width="7.25" style="16" customWidth="1"/>
    <col min="1794" max="1794" width="19.5" style="16" customWidth="1"/>
    <col min="1795" max="1795" width="3" style="16" customWidth="1"/>
    <col min="1796" max="1796" width="28.375" style="16" customWidth="1"/>
    <col min="1797" max="1797" width="1.375" style="16" customWidth="1"/>
    <col min="1798" max="1798" width="8.875" style="16" customWidth="1"/>
    <col min="1799" max="1799" width="16.5" style="16" customWidth="1"/>
    <col min="1800" max="2048" width="8" style="16" customWidth="1"/>
    <col min="2049" max="2049" width="7.25" style="16" customWidth="1"/>
    <col min="2050" max="2050" width="19.5" style="16" customWidth="1"/>
    <col min="2051" max="2051" width="3" style="16" customWidth="1"/>
    <col min="2052" max="2052" width="28.375" style="16" customWidth="1"/>
    <col min="2053" max="2053" width="1.375" style="16" customWidth="1"/>
    <col min="2054" max="2054" width="8.875" style="16" customWidth="1"/>
    <col min="2055" max="2055" width="16.5" style="16" customWidth="1"/>
    <col min="2056" max="2304" width="8" style="16" customWidth="1"/>
    <col min="2305" max="2305" width="7.25" style="16" customWidth="1"/>
    <col min="2306" max="2306" width="19.5" style="16" customWidth="1"/>
    <col min="2307" max="2307" width="3" style="16" customWidth="1"/>
    <col min="2308" max="2308" width="28.375" style="16" customWidth="1"/>
    <col min="2309" max="2309" width="1.375" style="16" customWidth="1"/>
    <col min="2310" max="2310" width="8.875" style="16" customWidth="1"/>
    <col min="2311" max="2311" width="16.5" style="16" customWidth="1"/>
    <col min="2312" max="2560" width="8" style="16" customWidth="1"/>
    <col min="2561" max="2561" width="7.25" style="16" customWidth="1"/>
    <col min="2562" max="2562" width="19.5" style="16" customWidth="1"/>
    <col min="2563" max="2563" width="3" style="16" customWidth="1"/>
    <col min="2564" max="2564" width="28.375" style="16" customWidth="1"/>
    <col min="2565" max="2565" width="1.375" style="16" customWidth="1"/>
    <col min="2566" max="2566" width="8.875" style="16" customWidth="1"/>
    <col min="2567" max="2567" width="16.5" style="16" customWidth="1"/>
    <col min="2568" max="2816" width="8" style="16" customWidth="1"/>
    <col min="2817" max="2817" width="7.25" style="16" customWidth="1"/>
    <col min="2818" max="2818" width="19.5" style="16" customWidth="1"/>
    <col min="2819" max="2819" width="3" style="16" customWidth="1"/>
    <col min="2820" max="2820" width="28.375" style="16" customWidth="1"/>
    <col min="2821" max="2821" width="1.375" style="16" customWidth="1"/>
    <col min="2822" max="2822" width="8.875" style="16" customWidth="1"/>
    <col min="2823" max="2823" width="16.5" style="16" customWidth="1"/>
    <col min="2824" max="3072" width="8" style="16" customWidth="1"/>
    <col min="3073" max="3073" width="7.25" style="16" customWidth="1"/>
    <col min="3074" max="3074" width="19.5" style="16" customWidth="1"/>
    <col min="3075" max="3075" width="3" style="16" customWidth="1"/>
    <col min="3076" max="3076" width="28.375" style="16" customWidth="1"/>
    <col min="3077" max="3077" width="1.375" style="16" customWidth="1"/>
    <col min="3078" max="3078" width="8.875" style="16" customWidth="1"/>
    <col min="3079" max="3079" width="16.5" style="16" customWidth="1"/>
    <col min="3080" max="3328" width="8" style="16" customWidth="1"/>
    <col min="3329" max="3329" width="7.25" style="16" customWidth="1"/>
    <col min="3330" max="3330" width="19.5" style="16" customWidth="1"/>
    <col min="3331" max="3331" width="3" style="16" customWidth="1"/>
    <col min="3332" max="3332" width="28.375" style="16" customWidth="1"/>
    <col min="3333" max="3333" width="1.375" style="16" customWidth="1"/>
    <col min="3334" max="3334" width="8.875" style="16" customWidth="1"/>
    <col min="3335" max="3335" width="16.5" style="16" customWidth="1"/>
    <col min="3336" max="3584" width="8" style="16" customWidth="1"/>
    <col min="3585" max="3585" width="7.25" style="16" customWidth="1"/>
    <col min="3586" max="3586" width="19.5" style="16" customWidth="1"/>
    <col min="3587" max="3587" width="3" style="16" customWidth="1"/>
    <col min="3588" max="3588" width="28.375" style="16" customWidth="1"/>
    <col min="3589" max="3589" width="1.375" style="16" customWidth="1"/>
    <col min="3590" max="3590" width="8.875" style="16" customWidth="1"/>
    <col min="3591" max="3591" width="16.5" style="16" customWidth="1"/>
    <col min="3592" max="3840" width="8" style="16" customWidth="1"/>
    <col min="3841" max="3841" width="7.25" style="16" customWidth="1"/>
    <col min="3842" max="3842" width="19.5" style="16" customWidth="1"/>
    <col min="3843" max="3843" width="3" style="16" customWidth="1"/>
    <col min="3844" max="3844" width="28.375" style="16" customWidth="1"/>
    <col min="3845" max="3845" width="1.375" style="16" customWidth="1"/>
    <col min="3846" max="3846" width="8.875" style="16" customWidth="1"/>
    <col min="3847" max="3847" width="16.5" style="16" customWidth="1"/>
    <col min="3848" max="4096" width="8" style="16" customWidth="1"/>
    <col min="4097" max="4097" width="7.25" style="16" customWidth="1"/>
    <col min="4098" max="4098" width="19.5" style="16" customWidth="1"/>
    <col min="4099" max="4099" width="3" style="16" customWidth="1"/>
    <col min="4100" max="4100" width="28.375" style="16" customWidth="1"/>
    <col min="4101" max="4101" width="1.375" style="16" customWidth="1"/>
    <col min="4102" max="4102" width="8.875" style="16" customWidth="1"/>
    <col min="4103" max="4103" width="16.5" style="16" customWidth="1"/>
    <col min="4104" max="4352" width="8" style="16" customWidth="1"/>
    <col min="4353" max="4353" width="7.25" style="16" customWidth="1"/>
    <col min="4354" max="4354" width="19.5" style="16" customWidth="1"/>
    <col min="4355" max="4355" width="3" style="16" customWidth="1"/>
    <col min="4356" max="4356" width="28.375" style="16" customWidth="1"/>
    <col min="4357" max="4357" width="1.375" style="16" customWidth="1"/>
    <col min="4358" max="4358" width="8.875" style="16" customWidth="1"/>
    <col min="4359" max="4359" width="16.5" style="16" customWidth="1"/>
    <col min="4360" max="4608" width="8" style="16" customWidth="1"/>
    <col min="4609" max="4609" width="7.25" style="16" customWidth="1"/>
    <col min="4610" max="4610" width="19.5" style="16" customWidth="1"/>
    <col min="4611" max="4611" width="3" style="16" customWidth="1"/>
    <col min="4612" max="4612" width="28.375" style="16" customWidth="1"/>
    <col min="4613" max="4613" width="1.375" style="16" customWidth="1"/>
    <col min="4614" max="4614" width="8.875" style="16" customWidth="1"/>
    <col min="4615" max="4615" width="16.5" style="16" customWidth="1"/>
    <col min="4616" max="4864" width="8" style="16" customWidth="1"/>
    <col min="4865" max="4865" width="7.25" style="16" customWidth="1"/>
    <col min="4866" max="4866" width="19.5" style="16" customWidth="1"/>
    <col min="4867" max="4867" width="3" style="16" customWidth="1"/>
    <col min="4868" max="4868" width="28.375" style="16" customWidth="1"/>
    <col min="4869" max="4869" width="1.375" style="16" customWidth="1"/>
    <col min="4870" max="4870" width="8.875" style="16" customWidth="1"/>
    <col min="4871" max="4871" width="16.5" style="16" customWidth="1"/>
    <col min="4872" max="5120" width="8" style="16" customWidth="1"/>
    <col min="5121" max="5121" width="7.25" style="16" customWidth="1"/>
    <col min="5122" max="5122" width="19.5" style="16" customWidth="1"/>
    <col min="5123" max="5123" width="3" style="16" customWidth="1"/>
    <col min="5124" max="5124" width="28.375" style="16" customWidth="1"/>
    <col min="5125" max="5125" width="1.375" style="16" customWidth="1"/>
    <col min="5126" max="5126" width="8.875" style="16" customWidth="1"/>
    <col min="5127" max="5127" width="16.5" style="16" customWidth="1"/>
    <col min="5128" max="5376" width="8" style="16" customWidth="1"/>
    <col min="5377" max="5377" width="7.25" style="16" customWidth="1"/>
    <col min="5378" max="5378" width="19.5" style="16" customWidth="1"/>
    <col min="5379" max="5379" width="3" style="16" customWidth="1"/>
    <col min="5380" max="5380" width="28.375" style="16" customWidth="1"/>
    <col min="5381" max="5381" width="1.375" style="16" customWidth="1"/>
    <col min="5382" max="5382" width="8.875" style="16" customWidth="1"/>
    <col min="5383" max="5383" width="16.5" style="16" customWidth="1"/>
    <col min="5384" max="5632" width="8" style="16" customWidth="1"/>
    <col min="5633" max="5633" width="7.25" style="16" customWidth="1"/>
    <col min="5634" max="5634" width="19.5" style="16" customWidth="1"/>
    <col min="5635" max="5635" width="3" style="16" customWidth="1"/>
    <col min="5636" max="5636" width="28.375" style="16" customWidth="1"/>
    <col min="5637" max="5637" width="1.375" style="16" customWidth="1"/>
    <col min="5638" max="5638" width="8.875" style="16" customWidth="1"/>
    <col min="5639" max="5639" width="16.5" style="16" customWidth="1"/>
    <col min="5640" max="5888" width="8" style="16" customWidth="1"/>
    <col min="5889" max="5889" width="7.25" style="16" customWidth="1"/>
    <col min="5890" max="5890" width="19.5" style="16" customWidth="1"/>
    <col min="5891" max="5891" width="3" style="16" customWidth="1"/>
    <col min="5892" max="5892" width="28.375" style="16" customWidth="1"/>
    <col min="5893" max="5893" width="1.375" style="16" customWidth="1"/>
    <col min="5894" max="5894" width="8.875" style="16" customWidth="1"/>
    <col min="5895" max="5895" width="16.5" style="16" customWidth="1"/>
    <col min="5896" max="6144" width="8" style="16" customWidth="1"/>
    <col min="6145" max="6145" width="7.25" style="16" customWidth="1"/>
    <col min="6146" max="6146" width="19.5" style="16" customWidth="1"/>
    <col min="6147" max="6147" width="3" style="16" customWidth="1"/>
    <col min="6148" max="6148" width="28.375" style="16" customWidth="1"/>
    <col min="6149" max="6149" width="1.375" style="16" customWidth="1"/>
    <col min="6150" max="6150" width="8.875" style="16" customWidth="1"/>
    <col min="6151" max="6151" width="16.5" style="16" customWidth="1"/>
    <col min="6152" max="6400" width="8" style="16" customWidth="1"/>
    <col min="6401" max="6401" width="7.25" style="16" customWidth="1"/>
    <col min="6402" max="6402" width="19.5" style="16" customWidth="1"/>
    <col min="6403" max="6403" width="3" style="16" customWidth="1"/>
    <col min="6404" max="6404" width="28.375" style="16" customWidth="1"/>
    <col min="6405" max="6405" width="1.375" style="16" customWidth="1"/>
    <col min="6406" max="6406" width="8.875" style="16" customWidth="1"/>
    <col min="6407" max="6407" width="16.5" style="16" customWidth="1"/>
    <col min="6408" max="6656" width="8" style="16" customWidth="1"/>
    <col min="6657" max="6657" width="7.25" style="16" customWidth="1"/>
    <col min="6658" max="6658" width="19.5" style="16" customWidth="1"/>
    <col min="6659" max="6659" width="3" style="16" customWidth="1"/>
    <col min="6660" max="6660" width="28.375" style="16" customWidth="1"/>
    <col min="6661" max="6661" width="1.375" style="16" customWidth="1"/>
    <col min="6662" max="6662" width="8.875" style="16" customWidth="1"/>
    <col min="6663" max="6663" width="16.5" style="16" customWidth="1"/>
    <col min="6664" max="6912" width="8" style="16" customWidth="1"/>
    <col min="6913" max="6913" width="7.25" style="16" customWidth="1"/>
    <col min="6914" max="6914" width="19.5" style="16" customWidth="1"/>
    <col min="6915" max="6915" width="3" style="16" customWidth="1"/>
    <col min="6916" max="6916" width="28.375" style="16" customWidth="1"/>
    <col min="6917" max="6917" width="1.375" style="16" customWidth="1"/>
    <col min="6918" max="6918" width="8.875" style="16" customWidth="1"/>
    <col min="6919" max="6919" width="16.5" style="16" customWidth="1"/>
    <col min="6920" max="7168" width="8" style="16" customWidth="1"/>
    <col min="7169" max="7169" width="7.25" style="16" customWidth="1"/>
    <col min="7170" max="7170" width="19.5" style="16" customWidth="1"/>
    <col min="7171" max="7171" width="3" style="16" customWidth="1"/>
    <col min="7172" max="7172" width="28.375" style="16" customWidth="1"/>
    <col min="7173" max="7173" width="1.375" style="16" customWidth="1"/>
    <col min="7174" max="7174" width="8.875" style="16" customWidth="1"/>
    <col min="7175" max="7175" width="16.5" style="16" customWidth="1"/>
    <col min="7176" max="7424" width="8" style="16" customWidth="1"/>
    <col min="7425" max="7425" width="7.25" style="16" customWidth="1"/>
    <col min="7426" max="7426" width="19.5" style="16" customWidth="1"/>
    <col min="7427" max="7427" width="3" style="16" customWidth="1"/>
    <col min="7428" max="7428" width="28.375" style="16" customWidth="1"/>
    <col min="7429" max="7429" width="1.375" style="16" customWidth="1"/>
    <col min="7430" max="7430" width="8.875" style="16" customWidth="1"/>
    <col min="7431" max="7431" width="16.5" style="16" customWidth="1"/>
    <col min="7432" max="7680" width="8" style="16" customWidth="1"/>
    <col min="7681" max="7681" width="7.25" style="16" customWidth="1"/>
    <col min="7682" max="7682" width="19.5" style="16" customWidth="1"/>
    <col min="7683" max="7683" width="3" style="16" customWidth="1"/>
    <col min="7684" max="7684" width="28.375" style="16" customWidth="1"/>
    <col min="7685" max="7685" width="1.375" style="16" customWidth="1"/>
    <col min="7686" max="7686" width="8.875" style="16" customWidth="1"/>
    <col min="7687" max="7687" width="16.5" style="16" customWidth="1"/>
    <col min="7688" max="7936" width="8" style="16" customWidth="1"/>
    <col min="7937" max="7937" width="7.25" style="16" customWidth="1"/>
    <col min="7938" max="7938" width="19.5" style="16" customWidth="1"/>
    <col min="7939" max="7939" width="3" style="16" customWidth="1"/>
    <col min="7940" max="7940" width="28.375" style="16" customWidth="1"/>
    <col min="7941" max="7941" width="1.375" style="16" customWidth="1"/>
    <col min="7942" max="7942" width="8.875" style="16" customWidth="1"/>
    <col min="7943" max="7943" width="16.5" style="16" customWidth="1"/>
    <col min="7944" max="8192" width="8" style="16" customWidth="1"/>
    <col min="8193" max="8193" width="7.25" style="16" customWidth="1"/>
    <col min="8194" max="8194" width="19.5" style="16" customWidth="1"/>
    <col min="8195" max="8195" width="3" style="16" customWidth="1"/>
    <col min="8196" max="8196" width="28.375" style="16" customWidth="1"/>
    <col min="8197" max="8197" width="1.375" style="16" customWidth="1"/>
    <col min="8198" max="8198" width="8.875" style="16" customWidth="1"/>
    <col min="8199" max="8199" width="16.5" style="16" customWidth="1"/>
    <col min="8200" max="8448" width="8" style="16" customWidth="1"/>
    <col min="8449" max="8449" width="7.25" style="16" customWidth="1"/>
    <col min="8450" max="8450" width="19.5" style="16" customWidth="1"/>
    <col min="8451" max="8451" width="3" style="16" customWidth="1"/>
    <col min="8452" max="8452" width="28.375" style="16" customWidth="1"/>
    <col min="8453" max="8453" width="1.375" style="16" customWidth="1"/>
    <col min="8454" max="8454" width="8.875" style="16" customWidth="1"/>
    <col min="8455" max="8455" width="16.5" style="16" customWidth="1"/>
    <col min="8456" max="8704" width="8" style="16" customWidth="1"/>
    <col min="8705" max="8705" width="7.25" style="16" customWidth="1"/>
    <col min="8706" max="8706" width="19.5" style="16" customWidth="1"/>
    <col min="8707" max="8707" width="3" style="16" customWidth="1"/>
    <col min="8708" max="8708" width="28.375" style="16" customWidth="1"/>
    <col min="8709" max="8709" width="1.375" style="16" customWidth="1"/>
    <col min="8710" max="8710" width="8.875" style="16" customWidth="1"/>
    <col min="8711" max="8711" width="16.5" style="16" customWidth="1"/>
    <col min="8712" max="8960" width="8" style="16" customWidth="1"/>
    <col min="8961" max="8961" width="7.25" style="16" customWidth="1"/>
    <col min="8962" max="8962" width="19.5" style="16" customWidth="1"/>
    <col min="8963" max="8963" width="3" style="16" customWidth="1"/>
    <col min="8964" max="8964" width="28.375" style="16" customWidth="1"/>
    <col min="8965" max="8965" width="1.375" style="16" customWidth="1"/>
    <col min="8966" max="8966" width="8.875" style="16" customWidth="1"/>
    <col min="8967" max="8967" width="16.5" style="16" customWidth="1"/>
    <col min="8968" max="9216" width="8" style="16" customWidth="1"/>
    <col min="9217" max="9217" width="7.25" style="16" customWidth="1"/>
    <col min="9218" max="9218" width="19.5" style="16" customWidth="1"/>
    <col min="9219" max="9219" width="3" style="16" customWidth="1"/>
    <col min="9220" max="9220" width="28.375" style="16" customWidth="1"/>
    <col min="9221" max="9221" width="1.375" style="16" customWidth="1"/>
    <col min="9222" max="9222" width="8.875" style="16" customWidth="1"/>
    <col min="9223" max="9223" width="16.5" style="16" customWidth="1"/>
    <col min="9224" max="9472" width="8" style="16" customWidth="1"/>
    <col min="9473" max="9473" width="7.25" style="16" customWidth="1"/>
    <col min="9474" max="9474" width="19.5" style="16" customWidth="1"/>
    <col min="9475" max="9475" width="3" style="16" customWidth="1"/>
    <col min="9476" max="9476" width="28.375" style="16" customWidth="1"/>
    <col min="9477" max="9477" width="1.375" style="16" customWidth="1"/>
    <col min="9478" max="9478" width="8.875" style="16" customWidth="1"/>
    <col min="9479" max="9479" width="16.5" style="16" customWidth="1"/>
    <col min="9480" max="9728" width="8" style="16" customWidth="1"/>
    <col min="9729" max="9729" width="7.25" style="16" customWidth="1"/>
    <col min="9730" max="9730" width="19.5" style="16" customWidth="1"/>
    <col min="9731" max="9731" width="3" style="16" customWidth="1"/>
    <col min="9732" max="9732" width="28.375" style="16" customWidth="1"/>
    <col min="9733" max="9733" width="1.375" style="16" customWidth="1"/>
    <col min="9734" max="9734" width="8.875" style="16" customWidth="1"/>
    <col min="9735" max="9735" width="16.5" style="16" customWidth="1"/>
    <col min="9736" max="9984" width="8" style="16" customWidth="1"/>
    <col min="9985" max="9985" width="7.25" style="16" customWidth="1"/>
    <col min="9986" max="9986" width="19.5" style="16" customWidth="1"/>
    <col min="9987" max="9987" width="3" style="16" customWidth="1"/>
    <col min="9988" max="9988" width="28.375" style="16" customWidth="1"/>
    <col min="9989" max="9989" width="1.375" style="16" customWidth="1"/>
    <col min="9990" max="9990" width="8.875" style="16" customWidth="1"/>
    <col min="9991" max="9991" width="16.5" style="16" customWidth="1"/>
    <col min="9992" max="10240" width="8" style="16" customWidth="1"/>
    <col min="10241" max="10241" width="7.25" style="16" customWidth="1"/>
    <col min="10242" max="10242" width="19.5" style="16" customWidth="1"/>
    <col min="10243" max="10243" width="3" style="16" customWidth="1"/>
    <col min="10244" max="10244" width="28.375" style="16" customWidth="1"/>
    <col min="10245" max="10245" width="1.375" style="16" customWidth="1"/>
    <col min="10246" max="10246" width="8.875" style="16" customWidth="1"/>
    <col min="10247" max="10247" width="16.5" style="16" customWidth="1"/>
    <col min="10248" max="10496" width="8" style="16" customWidth="1"/>
    <col min="10497" max="10497" width="7.25" style="16" customWidth="1"/>
    <col min="10498" max="10498" width="19.5" style="16" customWidth="1"/>
    <col min="10499" max="10499" width="3" style="16" customWidth="1"/>
    <col min="10500" max="10500" width="28.375" style="16" customWidth="1"/>
    <col min="10501" max="10501" width="1.375" style="16" customWidth="1"/>
    <col min="10502" max="10502" width="8.875" style="16" customWidth="1"/>
    <col min="10503" max="10503" width="16.5" style="16" customWidth="1"/>
    <col min="10504" max="10752" width="8" style="16" customWidth="1"/>
    <col min="10753" max="10753" width="7.25" style="16" customWidth="1"/>
    <col min="10754" max="10754" width="19.5" style="16" customWidth="1"/>
    <col min="10755" max="10755" width="3" style="16" customWidth="1"/>
    <col min="10756" max="10756" width="28.375" style="16" customWidth="1"/>
    <col min="10757" max="10757" width="1.375" style="16" customWidth="1"/>
    <col min="10758" max="10758" width="8.875" style="16" customWidth="1"/>
    <col min="10759" max="10759" width="16.5" style="16" customWidth="1"/>
    <col min="10760" max="11008" width="8" style="16" customWidth="1"/>
    <col min="11009" max="11009" width="7.25" style="16" customWidth="1"/>
    <col min="11010" max="11010" width="19.5" style="16" customWidth="1"/>
    <col min="11011" max="11011" width="3" style="16" customWidth="1"/>
    <col min="11012" max="11012" width="28.375" style="16" customWidth="1"/>
    <col min="11013" max="11013" width="1.375" style="16" customWidth="1"/>
    <col min="11014" max="11014" width="8.875" style="16" customWidth="1"/>
    <col min="11015" max="11015" width="16.5" style="16" customWidth="1"/>
    <col min="11016" max="11264" width="8" style="16" customWidth="1"/>
    <col min="11265" max="11265" width="7.25" style="16" customWidth="1"/>
    <col min="11266" max="11266" width="19.5" style="16" customWidth="1"/>
    <col min="11267" max="11267" width="3" style="16" customWidth="1"/>
    <col min="11268" max="11268" width="28.375" style="16" customWidth="1"/>
    <col min="11269" max="11269" width="1.375" style="16" customWidth="1"/>
    <col min="11270" max="11270" width="8.875" style="16" customWidth="1"/>
    <col min="11271" max="11271" width="16.5" style="16" customWidth="1"/>
    <col min="11272" max="11520" width="8" style="16" customWidth="1"/>
    <col min="11521" max="11521" width="7.25" style="16" customWidth="1"/>
    <col min="11522" max="11522" width="19.5" style="16" customWidth="1"/>
    <col min="11523" max="11523" width="3" style="16" customWidth="1"/>
    <col min="11524" max="11524" width="28.375" style="16" customWidth="1"/>
    <col min="11525" max="11525" width="1.375" style="16" customWidth="1"/>
    <col min="11526" max="11526" width="8.875" style="16" customWidth="1"/>
    <col min="11527" max="11527" width="16.5" style="16" customWidth="1"/>
    <col min="11528" max="11776" width="8" style="16" customWidth="1"/>
    <col min="11777" max="11777" width="7.25" style="16" customWidth="1"/>
    <col min="11778" max="11778" width="19.5" style="16" customWidth="1"/>
    <col min="11779" max="11779" width="3" style="16" customWidth="1"/>
    <col min="11780" max="11780" width="28.375" style="16" customWidth="1"/>
    <col min="11781" max="11781" width="1.375" style="16" customWidth="1"/>
    <col min="11782" max="11782" width="8.875" style="16" customWidth="1"/>
    <col min="11783" max="11783" width="16.5" style="16" customWidth="1"/>
    <col min="11784" max="12032" width="8" style="16" customWidth="1"/>
    <col min="12033" max="12033" width="7.25" style="16" customWidth="1"/>
    <col min="12034" max="12034" width="19.5" style="16" customWidth="1"/>
    <col min="12035" max="12035" width="3" style="16" customWidth="1"/>
    <col min="12036" max="12036" width="28.375" style="16" customWidth="1"/>
    <col min="12037" max="12037" width="1.375" style="16" customWidth="1"/>
    <col min="12038" max="12038" width="8.875" style="16" customWidth="1"/>
    <col min="12039" max="12039" width="16.5" style="16" customWidth="1"/>
    <col min="12040" max="12288" width="8" style="16" customWidth="1"/>
    <col min="12289" max="12289" width="7.25" style="16" customWidth="1"/>
    <col min="12290" max="12290" width="19.5" style="16" customWidth="1"/>
    <col min="12291" max="12291" width="3" style="16" customWidth="1"/>
    <col min="12292" max="12292" width="28.375" style="16" customWidth="1"/>
    <col min="12293" max="12293" width="1.375" style="16" customWidth="1"/>
    <col min="12294" max="12294" width="8.875" style="16" customWidth="1"/>
    <col min="12295" max="12295" width="16.5" style="16" customWidth="1"/>
    <col min="12296" max="12544" width="8" style="16" customWidth="1"/>
    <col min="12545" max="12545" width="7.25" style="16" customWidth="1"/>
    <col min="12546" max="12546" width="19.5" style="16" customWidth="1"/>
    <col min="12547" max="12547" width="3" style="16" customWidth="1"/>
    <col min="12548" max="12548" width="28.375" style="16" customWidth="1"/>
    <col min="12549" max="12549" width="1.375" style="16" customWidth="1"/>
    <col min="12550" max="12550" width="8.875" style="16" customWidth="1"/>
    <col min="12551" max="12551" width="16.5" style="16" customWidth="1"/>
    <col min="12552" max="12800" width="8" style="16" customWidth="1"/>
    <col min="12801" max="12801" width="7.25" style="16" customWidth="1"/>
    <col min="12802" max="12802" width="19.5" style="16" customWidth="1"/>
    <col min="12803" max="12803" width="3" style="16" customWidth="1"/>
    <col min="12804" max="12804" width="28.375" style="16" customWidth="1"/>
    <col min="12805" max="12805" width="1.375" style="16" customWidth="1"/>
    <col min="12806" max="12806" width="8.875" style="16" customWidth="1"/>
    <col min="12807" max="12807" width="16.5" style="16" customWidth="1"/>
    <col min="12808" max="13056" width="8" style="16" customWidth="1"/>
    <col min="13057" max="13057" width="7.25" style="16" customWidth="1"/>
    <col min="13058" max="13058" width="19.5" style="16" customWidth="1"/>
    <col min="13059" max="13059" width="3" style="16" customWidth="1"/>
    <col min="13060" max="13060" width="28.375" style="16" customWidth="1"/>
    <col min="13061" max="13061" width="1.375" style="16" customWidth="1"/>
    <col min="13062" max="13062" width="8.875" style="16" customWidth="1"/>
    <col min="13063" max="13063" width="16.5" style="16" customWidth="1"/>
    <col min="13064" max="13312" width="8" style="16" customWidth="1"/>
    <col min="13313" max="13313" width="7.25" style="16" customWidth="1"/>
    <col min="13314" max="13314" width="19.5" style="16" customWidth="1"/>
    <col min="13315" max="13315" width="3" style="16" customWidth="1"/>
    <col min="13316" max="13316" width="28.375" style="16" customWidth="1"/>
    <col min="13317" max="13317" width="1.375" style="16" customWidth="1"/>
    <col min="13318" max="13318" width="8.875" style="16" customWidth="1"/>
    <col min="13319" max="13319" width="16.5" style="16" customWidth="1"/>
    <col min="13320" max="13568" width="8" style="16" customWidth="1"/>
    <col min="13569" max="13569" width="7.25" style="16" customWidth="1"/>
    <col min="13570" max="13570" width="19.5" style="16" customWidth="1"/>
    <col min="13571" max="13571" width="3" style="16" customWidth="1"/>
    <col min="13572" max="13572" width="28.375" style="16" customWidth="1"/>
    <col min="13573" max="13573" width="1.375" style="16" customWidth="1"/>
    <col min="13574" max="13574" width="8.875" style="16" customWidth="1"/>
    <col min="13575" max="13575" width="16.5" style="16" customWidth="1"/>
    <col min="13576" max="13824" width="8" style="16" customWidth="1"/>
    <col min="13825" max="13825" width="7.25" style="16" customWidth="1"/>
    <col min="13826" max="13826" width="19.5" style="16" customWidth="1"/>
    <col min="13827" max="13827" width="3" style="16" customWidth="1"/>
    <col min="13828" max="13828" width="28.375" style="16" customWidth="1"/>
    <col min="13829" max="13829" width="1.375" style="16" customWidth="1"/>
    <col min="13830" max="13830" width="8.875" style="16" customWidth="1"/>
    <col min="13831" max="13831" width="16.5" style="16" customWidth="1"/>
    <col min="13832" max="14080" width="8" style="16" customWidth="1"/>
    <col min="14081" max="14081" width="7.25" style="16" customWidth="1"/>
    <col min="14082" max="14082" width="19.5" style="16" customWidth="1"/>
    <col min="14083" max="14083" width="3" style="16" customWidth="1"/>
    <col min="14084" max="14084" width="28.375" style="16" customWidth="1"/>
    <col min="14085" max="14085" width="1.375" style="16" customWidth="1"/>
    <col min="14086" max="14086" width="8.875" style="16" customWidth="1"/>
    <col min="14087" max="14087" width="16.5" style="16" customWidth="1"/>
    <col min="14088" max="14336" width="8" style="16" customWidth="1"/>
    <col min="14337" max="14337" width="7.25" style="16" customWidth="1"/>
    <col min="14338" max="14338" width="19.5" style="16" customWidth="1"/>
    <col min="14339" max="14339" width="3" style="16" customWidth="1"/>
    <col min="14340" max="14340" width="28.375" style="16" customWidth="1"/>
    <col min="14341" max="14341" width="1.375" style="16" customWidth="1"/>
    <col min="14342" max="14342" width="8.875" style="16" customWidth="1"/>
    <col min="14343" max="14343" width="16.5" style="16" customWidth="1"/>
    <col min="14344" max="14592" width="8" style="16" customWidth="1"/>
    <col min="14593" max="14593" width="7.25" style="16" customWidth="1"/>
    <col min="14594" max="14594" width="19.5" style="16" customWidth="1"/>
    <col min="14595" max="14595" width="3" style="16" customWidth="1"/>
    <col min="14596" max="14596" width="28.375" style="16" customWidth="1"/>
    <col min="14597" max="14597" width="1.375" style="16" customWidth="1"/>
    <col min="14598" max="14598" width="8.875" style="16" customWidth="1"/>
    <col min="14599" max="14599" width="16.5" style="16" customWidth="1"/>
    <col min="14600" max="14848" width="8" style="16" customWidth="1"/>
    <col min="14849" max="14849" width="7.25" style="16" customWidth="1"/>
    <col min="14850" max="14850" width="19.5" style="16" customWidth="1"/>
    <col min="14851" max="14851" width="3" style="16" customWidth="1"/>
    <col min="14852" max="14852" width="28.375" style="16" customWidth="1"/>
    <col min="14853" max="14853" width="1.375" style="16" customWidth="1"/>
    <col min="14854" max="14854" width="8.875" style="16" customWidth="1"/>
    <col min="14855" max="14855" width="16.5" style="16" customWidth="1"/>
    <col min="14856" max="15104" width="8" style="16" customWidth="1"/>
    <col min="15105" max="15105" width="7.25" style="16" customWidth="1"/>
    <col min="15106" max="15106" width="19.5" style="16" customWidth="1"/>
    <col min="15107" max="15107" width="3" style="16" customWidth="1"/>
    <col min="15108" max="15108" width="28.375" style="16" customWidth="1"/>
    <col min="15109" max="15109" width="1.375" style="16" customWidth="1"/>
    <col min="15110" max="15110" width="8.875" style="16" customWidth="1"/>
    <col min="15111" max="15111" width="16.5" style="16" customWidth="1"/>
    <col min="15112" max="15360" width="8" style="16" customWidth="1"/>
    <col min="15361" max="15361" width="7.25" style="16" customWidth="1"/>
    <col min="15362" max="15362" width="19.5" style="16" customWidth="1"/>
    <col min="15363" max="15363" width="3" style="16" customWidth="1"/>
    <col min="15364" max="15364" width="28.375" style="16" customWidth="1"/>
    <col min="15365" max="15365" width="1.375" style="16" customWidth="1"/>
    <col min="15366" max="15366" width="8.875" style="16" customWidth="1"/>
    <col min="15367" max="15367" width="16.5" style="16" customWidth="1"/>
    <col min="15368" max="15616" width="8" style="16" customWidth="1"/>
    <col min="15617" max="15617" width="7.25" style="16" customWidth="1"/>
    <col min="15618" max="15618" width="19.5" style="16" customWidth="1"/>
    <col min="15619" max="15619" width="3" style="16" customWidth="1"/>
    <col min="15620" max="15620" width="28.375" style="16" customWidth="1"/>
    <col min="15621" max="15621" width="1.375" style="16" customWidth="1"/>
    <col min="15622" max="15622" width="8.875" style="16" customWidth="1"/>
    <col min="15623" max="15623" width="16.5" style="16" customWidth="1"/>
    <col min="15624" max="15872" width="8" style="16" customWidth="1"/>
    <col min="15873" max="15873" width="7.25" style="16" customWidth="1"/>
    <col min="15874" max="15874" width="19.5" style="16" customWidth="1"/>
    <col min="15875" max="15875" width="3" style="16" customWidth="1"/>
    <col min="15876" max="15876" width="28.375" style="16" customWidth="1"/>
    <col min="15877" max="15877" width="1.375" style="16" customWidth="1"/>
    <col min="15878" max="15878" width="8.875" style="16" customWidth="1"/>
    <col min="15879" max="15879" width="16.5" style="16" customWidth="1"/>
    <col min="15880" max="16128" width="8" style="16" customWidth="1"/>
    <col min="16129" max="16129" width="7.25" style="16" customWidth="1"/>
    <col min="16130" max="16130" width="19.5" style="16" customWidth="1"/>
    <col min="16131" max="16131" width="3" style="16" customWidth="1"/>
    <col min="16132" max="16132" width="28.375" style="16" customWidth="1"/>
    <col min="16133" max="16133" width="1.375" style="16" customWidth="1"/>
    <col min="16134" max="16134" width="8.875" style="16" customWidth="1"/>
    <col min="16135" max="16135" width="16.5" style="16" customWidth="1"/>
    <col min="16136" max="16384" width="8" style="16" customWidth="1"/>
  </cols>
  <sheetData>
    <row r="1" spans="1:7" ht="35.25" customHeight="1">
      <c r="A1" s="370" t="s">
        <v>228</v>
      </c>
      <c r="B1" s="370" t="s">
        <v>110</v>
      </c>
      <c r="C1" s="370" t="s">
        <v>110</v>
      </c>
      <c r="D1" s="370" t="s">
        <v>110</v>
      </c>
      <c r="E1" s="370" t="s">
        <v>110</v>
      </c>
      <c r="F1" s="370" t="s">
        <v>110</v>
      </c>
      <c r="G1" s="370" t="s">
        <v>110</v>
      </c>
    </row>
    <row r="2" spans="1:7" ht="29.25" customHeight="1" thickBot="1">
      <c r="A2" s="365" t="s">
        <v>687</v>
      </c>
      <c r="B2" s="365" t="s">
        <v>110</v>
      </c>
      <c r="C2" s="365" t="s">
        <v>110</v>
      </c>
      <c r="D2" s="365" t="s">
        <v>110</v>
      </c>
      <c r="E2" s="367" t="s">
        <v>111</v>
      </c>
      <c r="F2" s="367" t="s">
        <v>110</v>
      </c>
      <c r="G2" s="367" t="s">
        <v>110</v>
      </c>
    </row>
    <row r="3" spans="1:7" ht="18" customHeight="1">
      <c r="A3" s="189" t="s">
        <v>112</v>
      </c>
      <c r="B3" s="371" t="s">
        <v>229</v>
      </c>
      <c r="C3" s="371" t="s">
        <v>110</v>
      </c>
      <c r="D3" s="371" t="s">
        <v>230</v>
      </c>
      <c r="E3" s="371" t="s">
        <v>110</v>
      </c>
      <c r="F3" s="190" t="s">
        <v>231</v>
      </c>
      <c r="G3" s="191" t="s">
        <v>232</v>
      </c>
    </row>
    <row r="4" spans="1:7" ht="16.5" customHeight="1">
      <c r="A4" s="137" t="s">
        <v>233</v>
      </c>
      <c r="B4" s="368" t="s">
        <v>234</v>
      </c>
      <c r="C4" s="368" t="s">
        <v>110</v>
      </c>
      <c r="D4" s="368" t="s">
        <v>234</v>
      </c>
      <c r="E4" s="368" t="s">
        <v>110</v>
      </c>
      <c r="F4" s="140" t="s">
        <v>110</v>
      </c>
      <c r="G4" s="141">
        <v>677995.89</v>
      </c>
    </row>
    <row r="5" spans="1:7" ht="29.25" customHeight="1">
      <c r="A5" s="137" t="s">
        <v>114</v>
      </c>
      <c r="B5" s="368" t="s">
        <v>235</v>
      </c>
      <c r="C5" s="368" t="s">
        <v>110</v>
      </c>
      <c r="D5" s="368" t="s">
        <v>236</v>
      </c>
      <c r="E5" s="368" t="s">
        <v>110</v>
      </c>
      <c r="F5" s="140" t="s">
        <v>110</v>
      </c>
      <c r="G5" s="141">
        <v>606605.43000000005</v>
      </c>
    </row>
    <row r="6" spans="1:7" ht="16.5" customHeight="1">
      <c r="A6" s="137" t="s">
        <v>233</v>
      </c>
      <c r="B6" s="368" t="s">
        <v>115</v>
      </c>
      <c r="C6" s="368" t="s">
        <v>110</v>
      </c>
      <c r="D6" s="368" t="s">
        <v>115</v>
      </c>
      <c r="E6" s="368" t="s">
        <v>110</v>
      </c>
      <c r="F6" s="140" t="s">
        <v>110</v>
      </c>
      <c r="G6" s="141">
        <v>83845.81</v>
      </c>
    </row>
    <row r="7" spans="1:7" ht="16.5" customHeight="1">
      <c r="A7" s="137" t="s">
        <v>238</v>
      </c>
      <c r="B7" s="368" t="s">
        <v>116</v>
      </c>
      <c r="C7" s="368" t="s">
        <v>110</v>
      </c>
      <c r="D7" s="368" t="s">
        <v>116</v>
      </c>
      <c r="E7" s="368" t="s">
        <v>110</v>
      </c>
      <c r="F7" s="140" t="s">
        <v>110</v>
      </c>
      <c r="G7" s="141">
        <v>14735.52</v>
      </c>
    </row>
    <row r="8" spans="1:7" ht="16.5" customHeight="1">
      <c r="A8" s="137" t="s">
        <v>239</v>
      </c>
      <c r="B8" s="368" t="s">
        <v>240</v>
      </c>
      <c r="C8" s="368" t="s">
        <v>110</v>
      </c>
      <c r="D8" s="368" t="s">
        <v>241</v>
      </c>
      <c r="E8" s="368" t="s">
        <v>110</v>
      </c>
      <c r="F8" s="140" t="s">
        <v>110</v>
      </c>
      <c r="G8" s="141">
        <v>503682.81</v>
      </c>
    </row>
    <row r="9" spans="1:7" ht="16.5" customHeight="1">
      <c r="A9" s="137" t="s">
        <v>242</v>
      </c>
      <c r="B9" s="368" t="s">
        <v>243</v>
      </c>
      <c r="C9" s="368" t="s">
        <v>110</v>
      </c>
      <c r="D9" s="368" t="s">
        <v>117</v>
      </c>
      <c r="E9" s="368" t="s">
        <v>110</v>
      </c>
      <c r="F9" s="140" t="s">
        <v>110</v>
      </c>
      <c r="G9" s="141">
        <v>4341.29</v>
      </c>
    </row>
    <row r="10" spans="1:7" ht="16.5" customHeight="1">
      <c r="A10" s="137" t="s">
        <v>244</v>
      </c>
      <c r="B10" s="368" t="s">
        <v>245</v>
      </c>
      <c r="C10" s="368" t="s">
        <v>110</v>
      </c>
      <c r="D10" s="368" t="s">
        <v>245</v>
      </c>
      <c r="E10" s="368" t="s">
        <v>110</v>
      </c>
      <c r="F10" s="140" t="s">
        <v>110</v>
      </c>
      <c r="G10" s="141" t="s">
        <v>110</v>
      </c>
    </row>
    <row r="11" spans="1:7" ht="16.5" customHeight="1">
      <c r="A11" s="137" t="s">
        <v>118</v>
      </c>
      <c r="B11" s="368" t="s">
        <v>246</v>
      </c>
      <c r="C11" s="368" t="s">
        <v>110</v>
      </c>
      <c r="D11" s="368" t="s">
        <v>247</v>
      </c>
      <c r="E11" s="368" t="s">
        <v>110</v>
      </c>
      <c r="F11" s="140" t="s">
        <v>110</v>
      </c>
      <c r="G11" s="141">
        <v>8554.15</v>
      </c>
    </row>
    <row r="12" spans="1:7" ht="16.5" customHeight="1">
      <c r="A12" s="137" t="s">
        <v>119</v>
      </c>
      <c r="B12" s="368" t="s">
        <v>248</v>
      </c>
      <c r="C12" s="368" t="s">
        <v>110</v>
      </c>
      <c r="D12" s="368" t="s">
        <v>249</v>
      </c>
      <c r="E12" s="368" t="s">
        <v>110</v>
      </c>
      <c r="F12" s="140" t="s">
        <v>110</v>
      </c>
      <c r="G12" s="141" t="s">
        <v>110</v>
      </c>
    </row>
    <row r="13" spans="1:7" ht="16.5" customHeight="1">
      <c r="A13" s="137" t="s">
        <v>120</v>
      </c>
      <c r="B13" s="368" t="s">
        <v>115</v>
      </c>
      <c r="C13" s="368" t="s">
        <v>110</v>
      </c>
      <c r="D13" s="368" t="s">
        <v>250</v>
      </c>
      <c r="E13" s="368" t="s">
        <v>110</v>
      </c>
      <c r="F13" s="140" t="s">
        <v>110</v>
      </c>
      <c r="G13" s="141" t="s">
        <v>110</v>
      </c>
    </row>
    <row r="14" spans="1:7" ht="16.5" customHeight="1">
      <c r="A14" s="137" t="s">
        <v>251</v>
      </c>
      <c r="B14" s="368" t="s">
        <v>116</v>
      </c>
      <c r="C14" s="368" t="s">
        <v>110</v>
      </c>
      <c r="D14" s="368" t="s">
        <v>252</v>
      </c>
      <c r="E14" s="368" t="s">
        <v>110</v>
      </c>
      <c r="F14" s="140" t="s">
        <v>110</v>
      </c>
      <c r="G14" s="141" t="s">
        <v>110</v>
      </c>
    </row>
    <row r="15" spans="1:7" ht="16.5" customHeight="1">
      <c r="A15" s="137" t="s">
        <v>253</v>
      </c>
      <c r="B15" s="368" t="s">
        <v>243</v>
      </c>
      <c r="C15" s="368" t="s">
        <v>110</v>
      </c>
      <c r="D15" s="368" t="s">
        <v>254</v>
      </c>
      <c r="E15" s="368" t="s">
        <v>110</v>
      </c>
      <c r="F15" s="140" t="s">
        <v>110</v>
      </c>
      <c r="G15" s="141" t="s">
        <v>110</v>
      </c>
    </row>
    <row r="16" spans="1:7" ht="16.5" customHeight="1">
      <c r="A16" s="137" t="s">
        <v>121</v>
      </c>
      <c r="B16" s="368" t="s">
        <v>255</v>
      </c>
      <c r="C16" s="368" t="s">
        <v>110</v>
      </c>
      <c r="D16" s="368" t="s">
        <v>256</v>
      </c>
      <c r="E16" s="368" t="s">
        <v>110</v>
      </c>
      <c r="F16" s="140" t="s">
        <v>110</v>
      </c>
      <c r="G16" s="141">
        <v>8554.15</v>
      </c>
    </row>
    <row r="17" spans="1:7" ht="29.25" customHeight="1">
      <c r="A17" s="137" t="s">
        <v>257</v>
      </c>
      <c r="B17" s="368" t="s">
        <v>128</v>
      </c>
      <c r="C17" s="368" t="s">
        <v>110</v>
      </c>
      <c r="D17" s="368" t="s">
        <v>258</v>
      </c>
      <c r="E17" s="368" t="s">
        <v>110</v>
      </c>
      <c r="F17" s="140" t="s">
        <v>259</v>
      </c>
      <c r="G17" s="141">
        <v>7980.93</v>
      </c>
    </row>
    <row r="18" spans="1:7" ht="29.25" customHeight="1">
      <c r="A18" s="137" t="s">
        <v>260</v>
      </c>
      <c r="B18" s="368" t="s">
        <v>261</v>
      </c>
      <c r="C18" s="368" t="s">
        <v>110</v>
      </c>
      <c r="D18" s="368" t="s">
        <v>258</v>
      </c>
      <c r="E18" s="368" t="s">
        <v>110</v>
      </c>
      <c r="F18" s="140" t="s">
        <v>262</v>
      </c>
      <c r="G18" s="141">
        <v>573.22</v>
      </c>
    </row>
    <row r="19" spans="1:7" ht="16.5" customHeight="1">
      <c r="A19" s="137" t="s">
        <v>122</v>
      </c>
      <c r="B19" s="368" t="s">
        <v>263</v>
      </c>
      <c r="C19" s="368" t="s">
        <v>110</v>
      </c>
      <c r="D19" s="368" t="s">
        <v>110</v>
      </c>
      <c r="E19" s="368" t="s">
        <v>110</v>
      </c>
      <c r="F19" s="140" t="s">
        <v>110</v>
      </c>
      <c r="G19" s="141" t="s">
        <v>110</v>
      </c>
    </row>
    <row r="20" spans="1:7" ht="29.25" customHeight="1">
      <c r="A20" s="137" t="s">
        <v>125</v>
      </c>
      <c r="B20" s="368" t="s">
        <v>124</v>
      </c>
      <c r="C20" s="368" t="s">
        <v>110</v>
      </c>
      <c r="D20" s="368" t="s">
        <v>258</v>
      </c>
      <c r="E20" s="368" t="s">
        <v>110</v>
      </c>
      <c r="F20" s="140" t="s">
        <v>264</v>
      </c>
      <c r="G20" s="141">
        <v>15432.74</v>
      </c>
    </row>
    <row r="21" spans="1:7" ht="29.25" customHeight="1">
      <c r="A21" s="137" t="s">
        <v>127</v>
      </c>
      <c r="B21" s="368" t="s">
        <v>126</v>
      </c>
      <c r="C21" s="368" t="s">
        <v>110</v>
      </c>
      <c r="D21" s="368" t="s">
        <v>258</v>
      </c>
      <c r="E21" s="368" t="s">
        <v>110</v>
      </c>
      <c r="F21" s="140" t="s">
        <v>265</v>
      </c>
      <c r="G21" s="141">
        <v>13148.7</v>
      </c>
    </row>
    <row r="22" spans="1:7" ht="29.25" customHeight="1">
      <c r="A22" s="137" t="s">
        <v>129</v>
      </c>
      <c r="B22" s="368" t="s">
        <v>123</v>
      </c>
      <c r="C22" s="368" t="s">
        <v>110</v>
      </c>
      <c r="D22" s="368" t="s">
        <v>258</v>
      </c>
      <c r="E22" s="368" t="s">
        <v>110</v>
      </c>
      <c r="F22" s="140" t="s">
        <v>266</v>
      </c>
      <c r="G22" s="141">
        <v>10282.620000000001</v>
      </c>
    </row>
    <row r="23" spans="1:7" ht="16.5" customHeight="1">
      <c r="A23" s="137" t="s">
        <v>131</v>
      </c>
      <c r="B23" s="368" t="s">
        <v>267</v>
      </c>
      <c r="C23" s="368" t="s">
        <v>110</v>
      </c>
      <c r="D23" s="368" t="s">
        <v>110</v>
      </c>
      <c r="E23" s="368" t="s">
        <v>110</v>
      </c>
      <c r="F23" s="140" t="s">
        <v>110</v>
      </c>
      <c r="G23" s="141" t="s">
        <v>110</v>
      </c>
    </row>
    <row r="24" spans="1:7" ht="29.25" customHeight="1">
      <c r="A24" s="137" t="s">
        <v>268</v>
      </c>
      <c r="B24" s="368" t="s">
        <v>269</v>
      </c>
      <c r="C24" s="368" t="s">
        <v>110</v>
      </c>
      <c r="D24" s="368" t="s">
        <v>270</v>
      </c>
      <c r="E24" s="368" t="s">
        <v>110</v>
      </c>
      <c r="F24" s="140" t="s">
        <v>271</v>
      </c>
      <c r="G24" s="141">
        <v>784.83</v>
      </c>
    </row>
    <row r="25" spans="1:7" ht="42" customHeight="1">
      <c r="A25" s="137" t="s">
        <v>272</v>
      </c>
      <c r="B25" s="368" t="s">
        <v>273</v>
      </c>
      <c r="C25" s="368" t="s">
        <v>110</v>
      </c>
      <c r="D25" s="368" t="s">
        <v>274</v>
      </c>
      <c r="E25" s="368" t="s">
        <v>110</v>
      </c>
      <c r="F25" s="140" t="s">
        <v>110</v>
      </c>
      <c r="G25" s="141">
        <v>654808.47</v>
      </c>
    </row>
    <row r="26" spans="1:7" ht="16.5" customHeight="1">
      <c r="A26" s="137" t="s">
        <v>275</v>
      </c>
      <c r="B26" s="368" t="s">
        <v>276</v>
      </c>
      <c r="C26" s="368" t="s">
        <v>110</v>
      </c>
      <c r="D26" s="368" t="s">
        <v>277</v>
      </c>
      <c r="E26" s="368" t="s">
        <v>110</v>
      </c>
      <c r="F26" s="140" t="s">
        <v>110</v>
      </c>
      <c r="G26" s="141" t="s">
        <v>110</v>
      </c>
    </row>
    <row r="27" spans="1:7" ht="16.5" customHeight="1">
      <c r="A27" s="137" t="s">
        <v>278</v>
      </c>
      <c r="B27" s="368" t="s">
        <v>130</v>
      </c>
      <c r="C27" s="368" t="s">
        <v>110</v>
      </c>
      <c r="D27" s="368" t="s">
        <v>279</v>
      </c>
      <c r="E27" s="368" t="s">
        <v>110</v>
      </c>
      <c r="F27" s="140" t="s">
        <v>280</v>
      </c>
      <c r="G27" s="141">
        <v>23187.42</v>
      </c>
    </row>
    <row r="28" spans="1:7" ht="16.5" customHeight="1">
      <c r="A28" s="137" t="s">
        <v>281</v>
      </c>
      <c r="B28" s="368" t="s">
        <v>282</v>
      </c>
      <c r="C28" s="368" t="s">
        <v>110</v>
      </c>
      <c r="D28" s="368" t="s">
        <v>283</v>
      </c>
      <c r="E28" s="368" t="s">
        <v>110</v>
      </c>
      <c r="F28" s="140" t="s">
        <v>110</v>
      </c>
      <c r="G28" s="141" t="s">
        <v>110</v>
      </c>
    </row>
    <row r="29" spans="1:7" ht="29.25" customHeight="1">
      <c r="A29" s="137" t="s">
        <v>284</v>
      </c>
      <c r="B29" s="368" t="s">
        <v>285</v>
      </c>
      <c r="C29" s="368" t="s">
        <v>110</v>
      </c>
      <c r="D29" s="368" t="s">
        <v>286</v>
      </c>
      <c r="E29" s="368" t="s">
        <v>110</v>
      </c>
      <c r="F29" s="140" t="s">
        <v>110</v>
      </c>
      <c r="G29" s="141">
        <v>677995.89</v>
      </c>
    </row>
    <row r="30" spans="1:7" ht="16.5" customHeight="1">
      <c r="A30" s="137" t="s">
        <v>110</v>
      </c>
      <c r="B30" s="368" t="s">
        <v>110</v>
      </c>
      <c r="C30" s="368" t="s">
        <v>110</v>
      </c>
      <c r="D30" s="369" t="s">
        <v>110</v>
      </c>
      <c r="E30" s="369" t="s">
        <v>110</v>
      </c>
      <c r="F30" s="140" t="s">
        <v>110</v>
      </c>
      <c r="G30" s="141" t="s">
        <v>110</v>
      </c>
    </row>
    <row r="31" spans="1:7" ht="16.5" customHeight="1">
      <c r="A31" s="137" t="s">
        <v>238</v>
      </c>
      <c r="B31" s="368" t="s">
        <v>132</v>
      </c>
      <c r="C31" s="368" t="s">
        <v>110</v>
      </c>
      <c r="D31" s="368" t="s">
        <v>287</v>
      </c>
      <c r="E31" s="368" t="s">
        <v>110</v>
      </c>
      <c r="F31" s="140" t="s">
        <v>110</v>
      </c>
      <c r="G31" s="141">
        <v>677995.89</v>
      </c>
    </row>
    <row r="32" spans="1:7" ht="16.5" customHeight="1">
      <c r="A32" s="137" t="s">
        <v>110</v>
      </c>
      <c r="B32" s="368" t="s">
        <v>110</v>
      </c>
      <c r="C32" s="368" t="s">
        <v>110</v>
      </c>
      <c r="D32" s="368" t="s">
        <v>110</v>
      </c>
      <c r="E32" s="368" t="s">
        <v>110</v>
      </c>
      <c r="F32" s="140" t="s">
        <v>110</v>
      </c>
      <c r="G32" s="141" t="s">
        <v>110</v>
      </c>
    </row>
    <row r="33" spans="1:7" ht="16.5" customHeight="1">
      <c r="A33" s="137" t="s">
        <v>110</v>
      </c>
      <c r="B33" s="368" t="s">
        <v>110</v>
      </c>
      <c r="C33" s="368" t="s">
        <v>110</v>
      </c>
      <c r="D33" s="368" t="s">
        <v>110</v>
      </c>
      <c r="E33" s="368" t="s">
        <v>110</v>
      </c>
      <c r="F33" s="140" t="s">
        <v>110</v>
      </c>
      <c r="G33" s="141" t="s">
        <v>110</v>
      </c>
    </row>
    <row r="34" spans="1:7" ht="16.5" customHeight="1">
      <c r="A34" s="137" t="s">
        <v>110</v>
      </c>
      <c r="B34" s="368" t="s">
        <v>110</v>
      </c>
      <c r="C34" s="368" t="s">
        <v>110</v>
      </c>
      <c r="D34" s="368" t="s">
        <v>110</v>
      </c>
      <c r="E34" s="368" t="s">
        <v>110</v>
      </c>
      <c r="F34" s="140" t="s">
        <v>110</v>
      </c>
      <c r="G34" s="141" t="s">
        <v>110</v>
      </c>
    </row>
    <row r="35" spans="1:7" ht="16.5" customHeight="1" thickBot="1">
      <c r="A35" s="192" t="s">
        <v>110</v>
      </c>
      <c r="B35" s="364" t="s">
        <v>110</v>
      </c>
      <c r="C35" s="364" t="s">
        <v>110</v>
      </c>
      <c r="D35" s="364" t="s">
        <v>110</v>
      </c>
      <c r="E35" s="364" t="s">
        <v>110</v>
      </c>
      <c r="F35" s="142" t="s">
        <v>110</v>
      </c>
      <c r="G35" s="143" t="s">
        <v>110</v>
      </c>
    </row>
    <row r="36" spans="1:7" ht="16.5" customHeight="1">
      <c r="A36" s="365" t="s">
        <v>288</v>
      </c>
      <c r="B36" s="365" t="s">
        <v>110</v>
      </c>
      <c r="C36" s="366" t="s">
        <v>289</v>
      </c>
      <c r="D36" s="366" t="s">
        <v>110</v>
      </c>
      <c r="E36" s="367" t="s">
        <v>290</v>
      </c>
      <c r="F36" s="367" t="s">
        <v>110</v>
      </c>
      <c r="G36" s="367" t="s">
        <v>110</v>
      </c>
    </row>
  </sheetData>
  <mergeCells count="72">
    <mergeCell ref="B4:C4"/>
    <mergeCell ref="D4:E4"/>
    <mergeCell ref="A1:G1"/>
    <mergeCell ref="A2:D2"/>
    <mergeCell ref="E2:G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A36:B36"/>
    <mergeCell ref="C36:D36"/>
    <mergeCell ref="E36:G36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opLeftCell="A19" workbookViewId="0">
      <selection sqref="A1:XFD1048576"/>
    </sheetView>
  </sheetViews>
  <sheetFormatPr defaultRowHeight="13.5"/>
  <cols>
    <col min="1" max="1" width="5.25" style="16" customWidth="1"/>
    <col min="2" max="2" width="8.625" style="16" customWidth="1"/>
    <col min="3" max="3" width="19.5" style="16" customWidth="1"/>
    <col min="4" max="4" width="6.25" style="16" customWidth="1"/>
    <col min="5" max="5" width="3.125" style="16" customWidth="1"/>
    <col min="6" max="6" width="6.125" style="16" customWidth="1"/>
    <col min="7" max="7" width="8.375" style="16" customWidth="1"/>
    <col min="8" max="8" width="8.875" style="16" customWidth="1"/>
    <col min="9" max="9" width="9.875" style="16" customWidth="1"/>
    <col min="10" max="10" width="8.375" style="16" customWidth="1"/>
    <col min="11" max="11" width="0.875" style="16" customWidth="1"/>
    <col min="12" max="12" width="9" style="16" customWidth="1"/>
    <col min="13" max="13" width="9.625" style="16" customWidth="1"/>
    <col min="14" max="14" width="11" style="16" customWidth="1"/>
    <col min="15" max="15" width="11.125" style="16" customWidth="1"/>
    <col min="16" max="256" width="8" style="16" customWidth="1"/>
    <col min="257" max="257" width="5.25" style="16" customWidth="1"/>
    <col min="258" max="258" width="8.625" style="16" customWidth="1"/>
    <col min="259" max="259" width="19.5" style="16" customWidth="1"/>
    <col min="260" max="260" width="6.25" style="16" customWidth="1"/>
    <col min="261" max="261" width="3.125" style="16" customWidth="1"/>
    <col min="262" max="262" width="6.125" style="16" customWidth="1"/>
    <col min="263" max="263" width="8.375" style="16" customWidth="1"/>
    <col min="264" max="264" width="8.875" style="16" customWidth="1"/>
    <col min="265" max="265" width="9.875" style="16" customWidth="1"/>
    <col min="266" max="266" width="8.375" style="16" customWidth="1"/>
    <col min="267" max="267" width="0.875" style="16" customWidth="1"/>
    <col min="268" max="268" width="9" style="16" customWidth="1"/>
    <col min="269" max="269" width="9.625" style="16" customWidth="1"/>
    <col min="270" max="270" width="11" style="16" customWidth="1"/>
    <col min="271" max="271" width="11.125" style="16" customWidth="1"/>
    <col min="272" max="512" width="8" style="16" customWidth="1"/>
    <col min="513" max="513" width="5.25" style="16" customWidth="1"/>
    <col min="514" max="514" width="8.625" style="16" customWidth="1"/>
    <col min="515" max="515" width="19.5" style="16" customWidth="1"/>
    <col min="516" max="516" width="6.25" style="16" customWidth="1"/>
    <col min="517" max="517" width="3.125" style="16" customWidth="1"/>
    <col min="518" max="518" width="6.125" style="16" customWidth="1"/>
    <col min="519" max="519" width="8.375" style="16" customWidth="1"/>
    <col min="520" max="520" width="8.875" style="16" customWidth="1"/>
    <col min="521" max="521" width="9.875" style="16" customWidth="1"/>
    <col min="522" max="522" width="8.375" style="16" customWidth="1"/>
    <col min="523" max="523" width="0.875" style="16" customWidth="1"/>
    <col min="524" max="524" width="9" style="16" customWidth="1"/>
    <col min="525" max="525" width="9.625" style="16" customWidth="1"/>
    <col min="526" max="526" width="11" style="16" customWidth="1"/>
    <col min="527" max="527" width="11.125" style="16" customWidth="1"/>
    <col min="528" max="768" width="8" style="16" customWidth="1"/>
    <col min="769" max="769" width="5.25" style="16" customWidth="1"/>
    <col min="770" max="770" width="8.625" style="16" customWidth="1"/>
    <col min="771" max="771" width="19.5" style="16" customWidth="1"/>
    <col min="772" max="772" width="6.25" style="16" customWidth="1"/>
    <col min="773" max="773" width="3.125" style="16" customWidth="1"/>
    <col min="774" max="774" width="6.125" style="16" customWidth="1"/>
    <col min="775" max="775" width="8.375" style="16" customWidth="1"/>
    <col min="776" max="776" width="8.875" style="16" customWidth="1"/>
    <col min="777" max="777" width="9.875" style="16" customWidth="1"/>
    <col min="778" max="778" width="8.375" style="16" customWidth="1"/>
    <col min="779" max="779" width="0.875" style="16" customWidth="1"/>
    <col min="780" max="780" width="9" style="16" customWidth="1"/>
    <col min="781" max="781" width="9.625" style="16" customWidth="1"/>
    <col min="782" max="782" width="11" style="16" customWidth="1"/>
    <col min="783" max="783" width="11.125" style="16" customWidth="1"/>
    <col min="784" max="1024" width="8" style="16" customWidth="1"/>
    <col min="1025" max="1025" width="5.25" style="16" customWidth="1"/>
    <col min="1026" max="1026" width="8.625" style="16" customWidth="1"/>
    <col min="1027" max="1027" width="19.5" style="16" customWidth="1"/>
    <col min="1028" max="1028" width="6.25" style="16" customWidth="1"/>
    <col min="1029" max="1029" width="3.125" style="16" customWidth="1"/>
    <col min="1030" max="1030" width="6.125" style="16" customWidth="1"/>
    <col min="1031" max="1031" width="8.375" style="16" customWidth="1"/>
    <col min="1032" max="1032" width="8.875" style="16" customWidth="1"/>
    <col min="1033" max="1033" width="9.875" style="16" customWidth="1"/>
    <col min="1034" max="1034" width="8.375" style="16" customWidth="1"/>
    <col min="1035" max="1035" width="0.875" style="16" customWidth="1"/>
    <col min="1036" max="1036" width="9" style="16" customWidth="1"/>
    <col min="1037" max="1037" width="9.625" style="16" customWidth="1"/>
    <col min="1038" max="1038" width="11" style="16" customWidth="1"/>
    <col min="1039" max="1039" width="11.125" style="16" customWidth="1"/>
    <col min="1040" max="1280" width="8" style="16" customWidth="1"/>
    <col min="1281" max="1281" width="5.25" style="16" customWidth="1"/>
    <col min="1282" max="1282" width="8.625" style="16" customWidth="1"/>
    <col min="1283" max="1283" width="19.5" style="16" customWidth="1"/>
    <col min="1284" max="1284" width="6.25" style="16" customWidth="1"/>
    <col min="1285" max="1285" width="3.125" style="16" customWidth="1"/>
    <col min="1286" max="1286" width="6.125" style="16" customWidth="1"/>
    <col min="1287" max="1287" width="8.375" style="16" customWidth="1"/>
    <col min="1288" max="1288" width="8.875" style="16" customWidth="1"/>
    <col min="1289" max="1289" width="9.875" style="16" customWidth="1"/>
    <col min="1290" max="1290" width="8.375" style="16" customWidth="1"/>
    <col min="1291" max="1291" width="0.875" style="16" customWidth="1"/>
    <col min="1292" max="1292" width="9" style="16" customWidth="1"/>
    <col min="1293" max="1293" width="9.625" style="16" customWidth="1"/>
    <col min="1294" max="1294" width="11" style="16" customWidth="1"/>
    <col min="1295" max="1295" width="11.125" style="16" customWidth="1"/>
    <col min="1296" max="1536" width="8" style="16" customWidth="1"/>
    <col min="1537" max="1537" width="5.25" style="16" customWidth="1"/>
    <col min="1538" max="1538" width="8.625" style="16" customWidth="1"/>
    <col min="1539" max="1539" width="19.5" style="16" customWidth="1"/>
    <col min="1540" max="1540" width="6.25" style="16" customWidth="1"/>
    <col min="1541" max="1541" width="3.125" style="16" customWidth="1"/>
    <col min="1542" max="1542" width="6.125" style="16" customWidth="1"/>
    <col min="1543" max="1543" width="8.375" style="16" customWidth="1"/>
    <col min="1544" max="1544" width="8.875" style="16" customWidth="1"/>
    <col min="1545" max="1545" width="9.875" style="16" customWidth="1"/>
    <col min="1546" max="1546" width="8.375" style="16" customWidth="1"/>
    <col min="1547" max="1547" width="0.875" style="16" customWidth="1"/>
    <col min="1548" max="1548" width="9" style="16" customWidth="1"/>
    <col min="1549" max="1549" width="9.625" style="16" customWidth="1"/>
    <col min="1550" max="1550" width="11" style="16" customWidth="1"/>
    <col min="1551" max="1551" width="11.125" style="16" customWidth="1"/>
    <col min="1552" max="1792" width="8" style="16" customWidth="1"/>
    <col min="1793" max="1793" width="5.25" style="16" customWidth="1"/>
    <col min="1794" max="1794" width="8.625" style="16" customWidth="1"/>
    <col min="1795" max="1795" width="19.5" style="16" customWidth="1"/>
    <col min="1796" max="1796" width="6.25" style="16" customWidth="1"/>
    <col min="1797" max="1797" width="3.125" style="16" customWidth="1"/>
    <col min="1798" max="1798" width="6.125" style="16" customWidth="1"/>
    <col min="1799" max="1799" width="8.375" style="16" customWidth="1"/>
    <col min="1800" max="1800" width="8.875" style="16" customWidth="1"/>
    <col min="1801" max="1801" width="9.875" style="16" customWidth="1"/>
    <col min="1802" max="1802" width="8.375" style="16" customWidth="1"/>
    <col min="1803" max="1803" width="0.875" style="16" customWidth="1"/>
    <col min="1804" max="1804" width="9" style="16" customWidth="1"/>
    <col min="1805" max="1805" width="9.625" style="16" customWidth="1"/>
    <col min="1806" max="1806" width="11" style="16" customWidth="1"/>
    <col min="1807" max="1807" width="11.125" style="16" customWidth="1"/>
    <col min="1808" max="2048" width="8" style="16" customWidth="1"/>
    <col min="2049" max="2049" width="5.25" style="16" customWidth="1"/>
    <col min="2050" max="2050" width="8.625" style="16" customWidth="1"/>
    <col min="2051" max="2051" width="19.5" style="16" customWidth="1"/>
    <col min="2052" max="2052" width="6.25" style="16" customWidth="1"/>
    <col min="2053" max="2053" width="3.125" style="16" customWidth="1"/>
    <col min="2054" max="2054" width="6.125" style="16" customWidth="1"/>
    <col min="2055" max="2055" width="8.375" style="16" customWidth="1"/>
    <col min="2056" max="2056" width="8.875" style="16" customWidth="1"/>
    <col min="2057" max="2057" width="9.875" style="16" customWidth="1"/>
    <col min="2058" max="2058" width="8.375" style="16" customWidth="1"/>
    <col min="2059" max="2059" width="0.875" style="16" customWidth="1"/>
    <col min="2060" max="2060" width="9" style="16" customWidth="1"/>
    <col min="2061" max="2061" width="9.625" style="16" customWidth="1"/>
    <col min="2062" max="2062" width="11" style="16" customWidth="1"/>
    <col min="2063" max="2063" width="11.125" style="16" customWidth="1"/>
    <col min="2064" max="2304" width="8" style="16" customWidth="1"/>
    <col min="2305" max="2305" width="5.25" style="16" customWidth="1"/>
    <col min="2306" max="2306" width="8.625" style="16" customWidth="1"/>
    <col min="2307" max="2307" width="19.5" style="16" customWidth="1"/>
    <col min="2308" max="2308" width="6.25" style="16" customWidth="1"/>
    <col min="2309" max="2309" width="3.125" style="16" customWidth="1"/>
    <col min="2310" max="2310" width="6.125" style="16" customWidth="1"/>
    <col min="2311" max="2311" width="8.375" style="16" customWidth="1"/>
    <col min="2312" max="2312" width="8.875" style="16" customWidth="1"/>
    <col min="2313" max="2313" width="9.875" style="16" customWidth="1"/>
    <col min="2314" max="2314" width="8.375" style="16" customWidth="1"/>
    <col min="2315" max="2315" width="0.875" style="16" customWidth="1"/>
    <col min="2316" max="2316" width="9" style="16" customWidth="1"/>
    <col min="2317" max="2317" width="9.625" style="16" customWidth="1"/>
    <col min="2318" max="2318" width="11" style="16" customWidth="1"/>
    <col min="2319" max="2319" width="11.125" style="16" customWidth="1"/>
    <col min="2320" max="2560" width="8" style="16" customWidth="1"/>
    <col min="2561" max="2561" width="5.25" style="16" customWidth="1"/>
    <col min="2562" max="2562" width="8.625" style="16" customWidth="1"/>
    <col min="2563" max="2563" width="19.5" style="16" customWidth="1"/>
    <col min="2564" max="2564" width="6.25" style="16" customWidth="1"/>
    <col min="2565" max="2565" width="3.125" style="16" customWidth="1"/>
    <col min="2566" max="2566" width="6.125" style="16" customWidth="1"/>
    <col min="2567" max="2567" width="8.375" style="16" customWidth="1"/>
    <col min="2568" max="2568" width="8.875" style="16" customWidth="1"/>
    <col min="2569" max="2569" width="9.875" style="16" customWidth="1"/>
    <col min="2570" max="2570" width="8.375" style="16" customWidth="1"/>
    <col min="2571" max="2571" width="0.875" style="16" customWidth="1"/>
    <col min="2572" max="2572" width="9" style="16" customWidth="1"/>
    <col min="2573" max="2573" width="9.625" style="16" customWidth="1"/>
    <col min="2574" max="2574" width="11" style="16" customWidth="1"/>
    <col min="2575" max="2575" width="11.125" style="16" customWidth="1"/>
    <col min="2576" max="2816" width="8" style="16" customWidth="1"/>
    <col min="2817" max="2817" width="5.25" style="16" customWidth="1"/>
    <col min="2818" max="2818" width="8.625" style="16" customWidth="1"/>
    <col min="2819" max="2819" width="19.5" style="16" customWidth="1"/>
    <col min="2820" max="2820" width="6.25" style="16" customWidth="1"/>
    <col min="2821" max="2821" width="3.125" style="16" customWidth="1"/>
    <col min="2822" max="2822" width="6.125" style="16" customWidth="1"/>
    <col min="2823" max="2823" width="8.375" style="16" customWidth="1"/>
    <col min="2824" max="2824" width="8.875" style="16" customWidth="1"/>
    <col min="2825" max="2825" width="9.875" style="16" customWidth="1"/>
    <col min="2826" max="2826" width="8.375" style="16" customWidth="1"/>
    <col min="2827" max="2827" width="0.875" style="16" customWidth="1"/>
    <col min="2828" max="2828" width="9" style="16" customWidth="1"/>
    <col min="2829" max="2829" width="9.625" style="16" customWidth="1"/>
    <col min="2830" max="2830" width="11" style="16" customWidth="1"/>
    <col min="2831" max="2831" width="11.125" style="16" customWidth="1"/>
    <col min="2832" max="3072" width="8" style="16" customWidth="1"/>
    <col min="3073" max="3073" width="5.25" style="16" customWidth="1"/>
    <col min="3074" max="3074" width="8.625" style="16" customWidth="1"/>
    <col min="3075" max="3075" width="19.5" style="16" customWidth="1"/>
    <col min="3076" max="3076" width="6.25" style="16" customWidth="1"/>
    <col min="3077" max="3077" width="3.125" style="16" customWidth="1"/>
    <col min="3078" max="3078" width="6.125" style="16" customWidth="1"/>
    <col min="3079" max="3079" width="8.375" style="16" customWidth="1"/>
    <col min="3080" max="3080" width="8.875" style="16" customWidth="1"/>
    <col min="3081" max="3081" width="9.875" style="16" customWidth="1"/>
    <col min="3082" max="3082" width="8.375" style="16" customWidth="1"/>
    <col min="3083" max="3083" width="0.875" style="16" customWidth="1"/>
    <col min="3084" max="3084" width="9" style="16" customWidth="1"/>
    <col min="3085" max="3085" width="9.625" style="16" customWidth="1"/>
    <col min="3086" max="3086" width="11" style="16" customWidth="1"/>
    <col min="3087" max="3087" width="11.125" style="16" customWidth="1"/>
    <col min="3088" max="3328" width="8" style="16" customWidth="1"/>
    <col min="3329" max="3329" width="5.25" style="16" customWidth="1"/>
    <col min="3330" max="3330" width="8.625" style="16" customWidth="1"/>
    <col min="3331" max="3331" width="19.5" style="16" customWidth="1"/>
    <col min="3332" max="3332" width="6.25" style="16" customWidth="1"/>
    <col min="3333" max="3333" width="3.125" style="16" customWidth="1"/>
    <col min="3334" max="3334" width="6.125" style="16" customWidth="1"/>
    <col min="3335" max="3335" width="8.375" style="16" customWidth="1"/>
    <col min="3336" max="3336" width="8.875" style="16" customWidth="1"/>
    <col min="3337" max="3337" width="9.875" style="16" customWidth="1"/>
    <col min="3338" max="3338" width="8.375" style="16" customWidth="1"/>
    <col min="3339" max="3339" width="0.875" style="16" customWidth="1"/>
    <col min="3340" max="3340" width="9" style="16" customWidth="1"/>
    <col min="3341" max="3341" width="9.625" style="16" customWidth="1"/>
    <col min="3342" max="3342" width="11" style="16" customWidth="1"/>
    <col min="3343" max="3343" width="11.125" style="16" customWidth="1"/>
    <col min="3344" max="3584" width="8" style="16" customWidth="1"/>
    <col min="3585" max="3585" width="5.25" style="16" customWidth="1"/>
    <col min="3586" max="3586" width="8.625" style="16" customWidth="1"/>
    <col min="3587" max="3587" width="19.5" style="16" customWidth="1"/>
    <col min="3588" max="3588" width="6.25" style="16" customWidth="1"/>
    <col min="3589" max="3589" width="3.125" style="16" customWidth="1"/>
    <col min="3590" max="3590" width="6.125" style="16" customWidth="1"/>
    <col min="3591" max="3591" width="8.375" style="16" customWidth="1"/>
    <col min="3592" max="3592" width="8.875" style="16" customWidth="1"/>
    <col min="3593" max="3593" width="9.875" style="16" customWidth="1"/>
    <col min="3594" max="3594" width="8.375" style="16" customWidth="1"/>
    <col min="3595" max="3595" width="0.875" style="16" customWidth="1"/>
    <col min="3596" max="3596" width="9" style="16" customWidth="1"/>
    <col min="3597" max="3597" width="9.625" style="16" customWidth="1"/>
    <col min="3598" max="3598" width="11" style="16" customWidth="1"/>
    <col min="3599" max="3599" width="11.125" style="16" customWidth="1"/>
    <col min="3600" max="3840" width="8" style="16" customWidth="1"/>
    <col min="3841" max="3841" width="5.25" style="16" customWidth="1"/>
    <col min="3842" max="3842" width="8.625" style="16" customWidth="1"/>
    <col min="3843" max="3843" width="19.5" style="16" customWidth="1"/>
    <col min="3844" max="3844" width="6.25" style="16" customWidth="1"/>
    <col min="3845" max="3845" width="3.125" style="16" customWidth="1"/>
    <col min="3846" max="3846" width="6.125" style="16" customWidth="1"/>
    <col min="3847" max="3847" width="8.375" style="16" customWidth="1"/>
    <col min="3848" max="3848" width="8.875" style="16" customWidth="1"/>
    <col min="3849" max="3849" width="9.875" style="16" customWidth="1"/>
    <col min="3850" max="3850" width="8.375" style="16" customWidth="1"/>
    <col min="3851" max="3851" width="0.875" style="16" customWidth="1"/>
    <col min="3852" max="3852" width="9" style="16" customWidth="1"/>
    <col min="3853" max="3853" width="9.625" style="16" customWidth="1"/>
    <col min="3854" max="3854" width="11" style="16" customWidth="1"/>
    <col min="3855" max="3855" width="11.125" style="16" customWidth="1"/>
    <col min="3856" max="4096" width="8" style="16" customWidth="1"/>
    <col min="4097" max="4097" width="5.25" style="16" customWidth="1"/>
    <col min="4098" max="4098" width="8.625" style="16" customWidth="1"/>
    <col min="4099" max="4099" width="19.5" style="16" customWidth="1"/>
    <col min="4100" max="4100" width="6.25" style="16" customWidth="1"/>
    <col min="4101" max="4101" width="3.125" style="16" customWidth="1"/>
    <col min="4102" max="4102" width="6.125" style="16" customWidth="1"/>
    <col min="4103" max="4103" width="8.375" style="16" customWidth="1"/>
    <col min="4104" max="4104" width="8.875" style="16" customWidth="1"/>
    <col min="4105" max="4105" width="9.875" style="16" customWidth="1"/>
    <col min="4106" max="4106" width="8.375" style="16" customWidth="1"/>
    <col min="4107" max="4107" width="0.875" style="16" customWidth="1"/>
    <col min="4108" max="4108" width="9" style="16" customWidth="1"/>
    <col min="4109" max="4109" width="9.625" style="16" customWidth="1"/>
    <col min="4110" max="4110" width="11" style="16" customWidth="1"/>
    <col min="4111" max="4111" width="11.125" style="16" customWidth="1"/>
    <col min="4112" max="4352" width="8" style="16" customWidth="1"/>
    <col min="4353" max="4353" width="5.25" style="16" customWidth="1"/>
    <col min="4354" max="4354" width="8.625" style="16" customWidth="1"/>
    <col min="4355" max="4355" width="19.5" style="16" customWidth="1"/>
    <col min="4356" max="4356" width="6.25" style="16" customWidth="1"/>
    <col min="4357" max="4357" width="3.125" style="16" customWidth="1"/>
    <col min="4358" max="4358" width="6.125" style="16" customWidth="1"/>
    <col min="4359" max="4359" width="8.375" style="16" customWidth="1"/>
    <col min="4360" max="4360" width="8.875" style="16" customWidth="1"/>
    <col min="4361" max="4361" width="9.875" style="16" customWidth="1"/>
    <col min="4362" max="4362" width="8.375" style="16" customWidth="1"/>
    <col min="4363" max="4363" width="0.875" style="16" customWidth="1"/>
    <col min="4364" max="4364" width="9" style="16" customWidth="1"/>
    <col min="4365" max="4365" width="9.625" style="16" customWidth="1"/>
    <col min="4366" max="4366" width="11" style="16" customWidth="1"/>
    <col min="4367" max="4367" width="11.125" style="16" customWidth="1"/>
    <col min="4368" max="4608" width="8" style="16" customWidth="1"/>
    <col min="4609" max="4609" width="5.25" style="16" customWidth="1"/>
    <col min="4610" max="4610" width="8.625" style="16" customWidth="1"/>
    <col min="4611" max="4611" width="19.5" style="16" customWidth="1"/>
    <col min="4612" max="4612" width="6.25" style="16" customWidth="1"/>
    <col min="4613" max="4613" width="3.125" style="16" customWidth="1"/>
    <col min="4614" max="4614" width="6.125" style="16" customWidth="1"/>
    <col min="4615" max="4615" width="8.375" style="16" customWidth="1"/>
    <col min="4616" max="4616" width="8.875" style="16" customWidth="1"/>
    <col min="4617" max="4617" width="9.875" style="16" customWidth="1"/>
    <col min="4618" max="4618" width="8.375" style="16" customWidth="1"/>
    <col min="4619" max="4619" width="0.875" style="16" customWidth="1"/>
    <col min="4620" max="4620" width="9" style="16" customWidth="1"/>
    <col min="4621" max="4621" width="9.625" style="16" customWidth="1"/>
    <col min="4622" max="4622" width="11" style="16" customWidth="1"/>
    <col min="4623" max="4623" width="11.125" style="16" customWidth="1"/>
    <col min="4624" max="4864" width="8" style="16" customWidth="1"/>
    <col min="4865" max="4865" width="5.25" style="16" customWidth="1"/>
    <col min="4866" max="4866" width="8.625" style="16" customWidth="1"/>
    <col min="4867" max="4867" width="19.5" style="16" customWidth="1"/>
    <col min="4868" max="4868" width="6.25" style="16" customWidth="1"/>
    <col min="4869" max="4869" width="3.125" style="16" customWidth="1"/>
    <col min="4870" max="4870" width="6.125" style="16" customWidth="1"/>
    <col min="4871" max="4871" width="8.375" style="16" customWidth="1"/>
    <col min="4872" max="4872" width="8.875" style="16" customWidth="1"/>
    <col min="4873" max="4873" width="9.875" style="16" customWidth="1"/>
    <col min="4874" max="4874" width="8.375" style="16" customWidth="1"/>
    <col min="4875" max="4875" width="0.875" style="16" customWidth="1"/>
    <col min="4876" max="4876" width="9" style="16" customWidth="1"/>
    <col min="4877" max="4877" width="9.625" style="16" customWidth="1"/>
    <col min="4878" max="4878" width="11" style="16" customWidth="1"/>
    <col min="4879" max="4879" width="11.125" style="16" customWidth="1"/>
    <col min="4880" max="5120" width="8" style="16" customWidth="1"/>
    <col min="5121" max="5121" width="5.25" style="16" customWidth="1"/>
    <col min="5122" max="5122" width="8.625" style="16" customWidth="1"/>
    <col min="5123" max="5123" width="19.5" style="16" customWidth="1"/>
    <col min="5124" max="5124" width="6.25" style="16" customWidth="1"/>
    <col min="5125" max="5125" width="3.125" style="16" customWidth="1"/>
    <col min="5126" max="5126" width="6.125" style="16" customWidth="1"/>
    <col min="5127" max="5127" width="8.375" style="16" customWidth="1"/>
    <col min="5128" max="5128" width="8.875" style="16" customWidth="1"/>
    <col min="5129" max="5129" width="9.875" style="16" customWidth="1"/>
    <col min="5130" max="5130" width="8.375" style="16" customWidth="1"/>
    <col min="5131" max="5131" width="0.875" style="16" customWidth="1"/>
    <col min="5132" max="5132" width="9" style="16" customWidth="1"/>
    <col min="5133" max="5133" width="9.625" style="16" customWidth="1"/>
    <col min="5134" max="5134" width="11" style="16" customWidth="1"/>
    <col min="5135" max="5135" width="11.125" style="16" customWidth="1"/>
    <col min="5136" max="5376" width="8" style="16" customWidth="1"/>
    <col min="5377" max="5377" width="5.25" style="16" customWidth="1"/>
    <col min="5378" max="5378" width="8.625" style="16" customWidth="1"/>
    <col min="5379" max="5379" width="19.5" style="16" customWidth="1"/>
    <col min="5380" max="5380" width="6.25" style="16" customWidth="1"/>
    <col min="5381" max="5381" width="3.125" style="16" customWidth="1"/>
    <col min="5382" max="5382" width="6.125" style="16" customWidth="1"/>
    <col min="5383" max="5383" width="8.375" style="16" customWidth="1"/>
    <col min="5384" max="5384" width="8.875" style="16" customWidth="1"/>
    <col min="5385" max="5385" width="9.875" style="16" customWidth="1"/>
    <col min="5386" max="5386" width="8.375" style="16" customWidth="1"/>
    <col min="5387" max="5387" width="0.875" style="16" customWidth="1"/>
    <col min="5388" max="5388" width="9" style="16" customWidth="1"/>
    <col min="5389" max="5389" width="9.625" style="16" customWidth="1"/>
    <col min="5390" max="5390" width="11" style="16" customWidth="1"/>
    <col min="5391" max="5391" width="11.125" style="16" customWidth="1"/>
    <col min="5392" max="5632" width="8" style="16" customWidth="1"/>
    <col min="5633" max="5633" width="5.25" style="16" customWidth="1"/>
    <col min="5634" max="5634" width="8.625" style="16" customWidth="1"/>
    <col min="5635" max="5635" width="19.5" style="16" customWidth="1"/>
    <col min="5636" max="5636" width="6.25" style="16" customWidth="1"/>
    <col min="5637" max="5637" width="3.125" style="16" customWidth="1"/>
    <col min="5638" max="5638" width="6.125" style="16" customWidth="1"/>
    <col min="5639" max="5639" width="8.375" style="16" customWidth="1"/>
    <col min="5640" max="5640" width="8.875" style="16" customWidth="1"/>
    <col min="5641" max="5641" width="9.875" style="16" customWidth="1"/>
    <col min="5642" max="5642" width="8.375" style="16" customWidth="1"/>
    <col min="5643" max="5643" width="0.875" style="16" customWidth="1"/>
    <col min="5644" max="5644" width="9" style="16" customWidth="1"/>
    <col min="5645" max="5645" width="9.625" style="16" customWidth="1"/>
    <col min="5646" max="5646" width="11" style="16" customWidth="1"/>
    <col min="5647" max="5647" width="11.125" style="16" customWidth="1"/>
    <col min="5648" max="5888" width="8" style="16" customWidth="1"/>
    <col min="5889" max="5889" width="5.25" style="16" customWidth="1"/>
    <col min="5890" max="5890" width="8.625" style="16" customWidth="1"/>
    <col min="5891" max="5891" width="19.5" style="16" customWidth="1"/>
    <col min="5892" max="5892" width="6.25" style="16" customWidth="1"/>
    <col min="5893" max="5893" width="3.125" style="16" customWidth="1"/>
    <col min="5894" max="5894" width="6.125" style="16" customWidth="1"/>
    <col min="5895" max="5895" width="8.375" style="16" customWidth="1"/>
    <col min="5896" max="5896" width="8.875" style="16" customWidth="1"/>
    <col min="5897" max="5897" width="9.875" style="16" customWidth="1"/>
    <col min="5898" max="5898" width="8.375" style="16" customWidth="1"/>
    <col min="5899" max="5899" width="0.875" style="16" customWidth="1"/>
    <col min="5900" max="5900" width="9" style="16" customWidth="1"/>
    <col min="5901" max="5901" width="9.625" style="16" customWidth="1"/>
    <col min="5902" max="5902" width="11" style="16" customWidth="1"/>
    <col min="5903" max="5903" width="11.125" style="16" customWidth="1"/>
    <col min="5904" max="6144" width="8" style="16" customWidth="1"/>
    <col min="6145" max="6145" width="5.25" style="16" customWidth="1"/>
    <col min="6146" max="6146" width="8.625" style="16" customWidth="1"/>
    <col min="6147" max="6147" width="19.5" style="16" customWidth="1"/>
    <col min="6148" max="6148" width="6.25" style="16" customWidth="1"/>
    <col min="6149" max="6149" width="3.125" style="16" customWidth="1"/>
    <col min="6150" max="6150" width="6.125" style="16" customWidth="1"/>
    <col min="6151" max="6151" width="8.375" style="16" customWidth="1"/>
    <col min="6152" max="6152" width="8.875" style="16" customWidth="1"/>
    <col min="6153" max="6153" width="9.875" style="16" customWidth="1"/>
    <col min="6154" max="6154" width="8.375" style="16" customWidth="1"/>
    <col min="6155" max="6155" width="0.875" style="16" customWidth="1"/>
    <col min="6156" max="6156" width="9" style="16" customWidth="1"/>
    <col min="6157" max="6157" width="9.625" style="16" customWidth="1"/>
    <col min="6158" max="6158" width="11" style="16" customWidth="1"/>
    <col min="6159" max="6159" width="11.125" style="16" customWidth="1"/>
    <col min="6160" max="6400" width="8" style="16" customWidth="1"/>
    <col min="6401" max="6401" width="5.25" style="16" customWidth="1"/>
    <col min="6402" max="6402" width="8.625" style="16" customWidth="1"/>
    <col min="6403" max="6403" width="19.5" style="16" customWidth="1"/>
    <col min="6404" max="6404" width="6.25" style="16" customWidth="1"/>
    <col min="6405" max="6405" width="3.125" style="16" customWidth="1"/>
    <col min="6406" max="6406" width="6.125" style="16" customWidth="1"/>
    <col min="6407" max="6407" width="8.375" style="16" customWidth="1"/>
    <col min="6408" max="6408" width="8.875" style="16" customWidth="1"/>
    <col min="6409" max="6409" width="9.875" style="16" customWidth="1"/>
    <col min="6410" max="6410" width="8.375" style="16" customWidth="1"/>
    <col min="6411" max="6411" width="0.875" style="16" customWidth="1"/>
    <col min="6412" max="6412" width="9" style="16" customWidth="1"/>
    <col min="6413" max="6413" width="9.625" style="16" customWidth="1"/>
    <col min="6414" max="6414" width="11" style="16" customWidth="1"/>
    <col min="6415" max="6415" width="11.125" style="16" customWidth="1"/>
    <col min="6416" max="6656" width="8" style="16" customWidth="1"/>
    <col min="6657" max="6657" width="5.25" style="16" customWidth="1"/>
    <col min="6658" max="6658" width="8.625" style="16" customWidth="1"/>
    <col min="6659" max="6659" width="19.5" style="16" customWidth="1"/>
    <col min="6660" max="6660" width="6.25" style="16" customWidth="1"/>
    <col min="6661" max="6661" width="3.125" style="16" customWidth="1"/>
    <col min="6662" max="6662" width="6.125" style="16" customWidth="1"/>
    <col min="6663" max="6663" width="8.375" style="16" customWidth="1"/>
    <col min="6664" max="6664" width="8.875" style="16" customWidth="1"/>
    <col min="6665" max="6665" width="9.875" style="16" customWidth="1"/>
    <col min="6666" max="6666" width="8.375" style="16" customWidth="1"/>
    <col min="6667" max="6667" width="0.875" style="16" customWidth="1"/>
    <col min="6668" max="6668" width="9" style="16" customWidth="1"/>
    <col min="6669" max="6669" width="9.625" style="16" customWidth="1"/>
    <col min="6670" max="6670" width="11" style="16" customWidth="1"/>
    <col min="6671" max="6671" width="11.125" style="16" customWidth="1"/>
    <col min="6672" max="6912" width="8" style="16" customWidth="1"/>
    <col min="6913" max="6913" width="5.25" style="16" customWidth="1"/>
    <col min="6914" max="6914" width="8.625" style="16" customWidth="1"/>
    <col min="6915" max="6915" width="19.5" style="16" customWidth="1"/>
    <col min="6916" max="6916" width="6.25" style="16" customWidth="1"/>
    <col min="6917" max="6917" width="3.125" style="16" customWidth="1"/>
    <col min="6918" max="6918" width="6.125" style="16" customWidth="1"/>
    <col min="6919" max="6919" width="8.375" style="16" customWidth="1"/>
    <col min="6920" max="6920" width="8.875" style="16" customWidth="1"/>
    <col min="6921" max="6921" width="9.875" style="16" customWidth="1"/>
    <col min="6922" max="6922" width="8.375" style="16" customWidth="1"/>
    <col min="6923" max="6923" width="0.875" style="16" customWidth="1"/>
    <col min="6924" max="6924" width="9" style="16" customWidth="1"/>
    <col min="6925" max="6925" width="9.625" style="16" customWidth="1"/>
    <col min="6926" max="6926" width="11" style="16" customWidth="1"/>
    <col min="6927" max="6927" width="11.125" style="16" customWidth="1"/>
    <col min="6928" max="7168" width="8" style="16" customWidth="1"/>
    <col min="7169" max="7169" width="5.25" style="16" customWidth="1"/>
    <col min="7170" max="7170" width="8.625" style="16" customWidth="1"/>
    <col min="7171" max="7171" width="19.5" style="16" customWidth="1"/>
    <col min="7172" max="7172" width="6.25" style="16" customWidth="1"/>
    <col min="7173" max="7173" width="3.125" style="16" customWidth="1"/>
    <col min="7174" max="7174" width="6.125" style="16" customWidth="1"/>
    <col min="7175" max="7175" width="8.375" style="16" customWidth="1"/>
    <col min="7176" max="7176" width="8.875" style="16" customWidth="1"/>
    <col min="7177" max="7177" width="9.875" style="16" customWidth="1"/>
    <col min="7178" max="7178" width="8.375" style="16" customWidth="1"/>
    <col min="7179" max="7179" width="0.875" style="16" customWidth="1"/>
    <col min="7180" max="7180" width="9" style="16" customWidth="1"/>
    <col min="7181" max="7181" width="9.625" style="16" customWidth="1"/>
    <col min="7182" max="7182" width="11" style="16" customWidth="1"/>
    <col min="7183" max="7183" width="11.125" style="16" customWidth="1"/>
    <col min="7184" max="7424" width="8" style="16" customWidth="1"/>
    <col min="7425" max="7425" width="5.25" style="16" customWidth="1"/>
    <col min="7426" max="7426" width="8.625" style="16" customWidth="1"/>
    <col min="7427" max="7427" width="19.5" style="16" customWidth="1"/>
    <col min="7428" max="7428" width="6.25" style="16" customWidth="1"/>
    <col min="7429" max="7429" width="3.125" style="16" customWidth="1"/>
    <col min="7430" max="7430" width="6.125" style="16" customWidth="1"/>
    <col min="7431" max="7431" width="8.375" style="16" customWidth="1"/>
    <col min="7432" max="7432" width="8.875" style="16" customWidth="1"/>
    <col min="7433" max="7433" width="9.875" style="16" customWidth="1"/>
    <col min="7434" max="7434" width="8.375" style="16" customWidth="1"/>
    <col min="7435" max="7435" width="0.875" style="16" customWidth="1"/>
    <col min="7436" max="7436" width="9" style="16" customWidth="1"/>
    <col min="7437" max="7437" width="9.625" style="16" customWidth="1"/>
    <col min="7438" max="7438" width="11" style="16" customWidth="1"/>
    <col min="7439" max="7439" width="11.125" style="16" customWidth="1"/>
    <col min="7440" max="7680" width="8" style="16" customWidth="1"/>
    <col min="7681" max="7681" width="5.25" style="16" customWidth="1"/>
    <col min="7682" max="7682" width="8.625" style="16" customWidth="1"/>
    <col min="7683" max="7683" width="19.5" style="16" customWidth="1"/>
    <col min="7684" max="7684" width="6.25" style="16" customWidth="1"/>
    <col min="7685" max="7685" width="3.125" style="16" customWidth="1"/>
    <col min="7686" max="7686" width="6.125" style="16" customWidth="1"/>
    <col min="7687" max="7687" width="8.375" style="16" customWidth="1"/>
    <col min="7688" max="7688" width="8.875" style="16" customWidth="1"/>
    <col min="7689" max="7689" width="9.875" style="16" customWidth="1"/>
    <col min="7690" max="7690" width="8.375" style="16" customWidth="1"/>
    <col min="7691" max="7691" width="0.875" style="16" customWidth="1"/>
    <col min="7692" max="7692" width="9" style="16" customWidth="1"/>
    <col min="7693" max="7693" width="9.625" style="16" customWidth="1"/>
    <col min="7694" max="7694" width="11" style="16" customWidth="1"/>
    <col min="7695" max="7695" width="11.125" style="16" customWidth="1"/>
    <col min="7696" max="7936" width="8" style="16" customWidth="1"/>
    <col min="7937" max="7937" width="5.25" style="16" customWidth="1"/>
    <col min="7938" max="7938" width="8.625" style="16" customWidth="1"/>
    <col min="7939" max="7939" width="19.5" style="16" customWidth="1"/>
    <col min="7940" max="7940" width="6.25" style="16" customWidth="1"/>
    <col min="7941" max="7941" width="3.125" style="16" customWidth="1"/>
    <col min="7942" max="7942" width="6.125" style="16" customWidth="1"/>
    <col min="7943" max="7943" width="8.375" style="16" customWidth="1"/>
    <col min="7944" max="7944" width="8.875" style="16" customWidth="1"/>
    <col min="7945" max="7945" width="9.875" style="16" customWidth="1"/>
    <col min="7946" max="7946" width="8.375" style="16" customWidth="1"/>
    <col min="7947" max="7947" width="0.875" style="16" customWidth="1"/>
    <col min="7948" max="7948" width="9" style="16" customWidth="1"/>
    <col min="7949" max="7949" width="9.625" style="16" customWidth="1"/>
    <col min="7950" max="7950" width="11" style="16" customWidth="1"/>
    <col min="7951" max="7951" width="11.125" style="16" customWidth="1"/>
    <col min="7952" max="8192" width="8" style="16" customWidth="1"/>
    <col min="8193" max="8193" width="5.25" style="16" customWidth="1"/>
    <col min="8194" max="8194" width="8.625" style="16" customWidth="1"/>
    <col min="8195" max="8195" width="19.5" style="16" customWidth="1"/>
    <col min="8196" max="8196" width="6.25" style="16" customWidth="1"/>
    <col min="8197" max="8197" width="3.125" style="16" customWidth="1"/>
    <col min="8198" max="8198" width="6.125" style="16" customWidth="1"/>
    <col min="8199" max="8199" width="8.375" style="16" customWidth="1"/>
    <col min="8200" max="8200" width="8.875" style="16" customWidth="1"/>
    <col min="8201" max="8201" width="9.875" style="16" customWidth="1"/>
    <col min="8202" max="8202" width="8.375" style="16" customWidth="1"/>
    <col min="8203" max="8203" width="0.875" style="16" customWidth="1"/>
    <col min="8204" max="8204" width="9" style="16" customWidth="1"/>
    <col min="8205" max="8205" width="9.625" style="16" customWidth="1"/>
    <col min="8206" max="8206" width="11" style="16" customWidth="1"/>
    <col min="8207" max="8207" width="11.125" style="16" customWidth="1"/>
    <col min="8208" max="8448" width="8" style="16" customWidth="1"/>
    <col min="8449" max="8449" width="5.25" style="16" customWidth="1"/>
    <col min="8450" max="8450" width="8.625" style="16" customWidth="1"/>
    <col min="8451" max="8451" width="19.5" style="16" customWidth="1"/>
    <col min="8452" max="8452" width="6.25" style="16" customWidth="1"/>
    <col min="8453" max="8453" width="3.125" style="16" customWidth="1"/>
    <col min="8454" max="8454" width="6.125" style="16" customWidth="1"/>
    <col min="8455" max="8455" width="8.375" style="16" customWidth="1"/>
    <col min="8456" max="8456" width="8.875" style="16" customWidth="1"/>
    <col min="8457" max="8457" width="9.875" style="16" customWidth="1"/>
    <col min="8458" max="8458" width="8.375" style="16" customWidth="1"/>
    <col min="8459" max="8459" width="0.875" style="16" customWidth="1"/>
    <col min="8460" max="8460" width="9" style="16" customWidth="1"/>
    <col min="8461" max="8461" width="9.625" style="16" customWidth="1"/>
    <col min="8462" max="8462" width="11" style="16" customWidth="1"/>
    <col min="8463" max="8463" width="11.125" style="16" customWidth="1"/>
    <col min="8464" max="8704" width="8" style="16" customWidth="1"/>
    <col min="8705" max="8705" width="5.25" style="16" customWidth="1"/>
    <col min="8706" max="8706" width="8.625" style="16" customWidth="1"/>
    <col min="8707" max="8707" width="19.5" style="16" customWidth="1"/>
    <col min="8708" max="8708" width="6.25" style="16" customWidth="1"/>
    <col min="8709" max="8709" width="3.125" style="16" customWidth="1"/>
    <col min="8710" max="8710" width="6.125" style="16" customWidth="1"/>
    <col min="8711" max="8711" width="8.375" style="16" customWidth="1"/>
    <col min="8712" max="8712" width="8.875" style="16" customWidth="1"/>
    <col min="8713" max="8713" width="9.875" style="16" customWidth="1"/>
    <col min="8714" max="8714" width="8.375" style="16" customWidth="1"/>
    <col min="8715" max="8715" width="0.875" style="16" customWidth="1"/>
    <col min="8716" max="8716" width="9" style="16" customWidth="1"/>
    <col min="8717" max="8717" width="9.625" style="16" customWidth="1"/>
    <col min="8718" max="8718" width="11" style="16" customWidth="1"/>
    <col min="8719" max="8719" width="11.125" style="16" customWidth="1"/>
    <col min="8720" max="8960" width="8" style="16" customWidth="1"/>
    <col min="8961" max="8961" width="5.25" style="16" customWidth="1"/>
    <col min="8962" max="8962" width="8.625" style="16" customWidth="1"/>
    <col min="8963" max="8963" width="19.5" style="16" customWidth="1"/>
    <col min="8964" max="8964" width="6.25" style="16" customWidth="1"/>
    <col min="8965" max="8965" width="3.125" style="16" customWidth="1"/>
    <col min="8966" max="8966" width="6.125" style="16" customWidth="1"/>
    <col min="8967" max="8967" width="8.375" style="16" customWidth="1"/>
    <col min="8968" max="8968" width="8.875" style="16" customWidth="1"/>
    <col min="8969" max="8969" width="9.875" style="16" customWidth="1"/>
    <col min="8970" max="8970" width="8.375" style="16" customWidth="1"/>
    <col min="8971" max="8971" width="0.875" style="16" customWidth="1"/>
    <col min="8972" max="8972" width="9" style="16" customWidth="1"/>
    <col min="8973" max="8973" width="9.625" style="16" customWidth="1"/>
    <col min="8974" max="8974" width="11" style="16" customWidth="1"/>
    <col min="8975" max="8975" width="11.125" style="16" customWidth="1"/>
    <col min="8976" max="9216" width="8" style="16" customWidth="1"/>
    <col min="9217" max="9217" width="5.25" style="16" customWidth="1"/>
    <col min="9218" max="9218" width="8.625" style="16" customWidth="1"/>
    <col min="9219" max="9219" width="19.5" style="16" customWidth="1"/>
    <col min="9220" max="9220" width="6.25" style="16" customWidth="1"/>
    <col min="9221" max="9221" width="3.125" style="16" customWidth="1"/>
    <col min="9222" max="9222" width="6.125" style="16" customWidth="1"/>
    <col min="9223" max="9223" width="8.375" style="16" customWidth="1"/>
    <col min="9224" max="9224" width="8.875" style="16" customWidth="1"/>
    <col min="9225" max="9225" width="9.875" style="16" customWidth="1"/>
    <col min="9226" max="9226" width="8.375" style="16" customWidth="1"/>
    <col min="9227" max="9227" width="0.875" style="16" customWidth="1"/>
    <col min="9228" max="9228" width="9" style="16" customWidth="1"/>
    <col min="9229" max="9229" width="9.625" style="16" customWidth="1"/>
    <col min="9230" max="9230" width="11" style="16" customWidth="1"/>
    <col min="9231" max="9231" width="11.125" style="16" customWidth="1"/>
    <col min="9232" max="9472" width="8" style="16" customWidth="1"/>
    <col min="9473" max="9473" width="5.25" style="16" customWidth="1"/>
    <col min="9474" max="9474" width="8.625" style="16" customWidth="1"/>
    <col min="9475" max="9475" width="19.5" style="16" customWidth="1"/>
    <col min="9476" max="9476" width="6.25" style="16" customWidth="1"/>
    <col min="9477" max="9477" width="3.125" style="16" customWidth="1"/>
    <col min="9478" max="9478" width="6.125" style="16" customWidth="1"/>
    <col min="9479" max="9479" width="8.375" style="16" customWidth="1"/>
    <col min="9480" max="9480" width="8.875" style="16" customWidth="1"/>
    <col min="9481" max="9481" width="9.875" style="16" customWidth="1"/>
    <col min="9482" max="9482" width="8.375" style="16" customWidth="1"/>
    <col min="9483" max="9483" width="0.875" style="16" customWidth="1"/>
    <col min="9484" max="9484" width="9" style="16" customWidth="1"/>
    <col min="9485" max="9485" width="9.625" style="16" customWidth="1"/>
    <col min="9486" max="9486" width="11" style="16" customWidth="1"/>
    <col min="9487" max="9487" width="11.125" style="16" customWidth="1"/>
    <col min="9488" max="9728" width="8" style="16" customWidth="1"/>
    <col min="9729" max="9729" width="5.25" style="16" customWidth="1"/>
    <col min="9730" max="9730" width="8.625" style="16" customWidth="1"/>
    <col min="9731" max="9731" width="19.5" style="16" customWidth="1"/>
    <col min="9732" max="9732" width="6.25" style="16" customWidth="1"/>
    <col min="9733" max="9733" width="3.125" style="16" customWidth="1"/>
    <col min="9734" max="9734" width="6.125" style="16" customWidth="1"/>
    <col min="9735" max="9735" width="8.375" style="16" customWidth="1"/>
    <col min="9736" max="9736" width="8.875" style="16" customWidth="1"/>
    <col min="9737" max="9737" width="9.875" style="16" customWidth="1"/>
    <col min="9738" max="9738" width="8.375" style="16" customWidth="1"/>
    <col min="9739" max="9739" width="0.875" style="16" customWidth="1"/>
    <col min="9740" max="9740" width="9" style="16" customWidth="1"/>
    <col min="9741" max="9741" width="9.625" style="16" customWidth="1"/>
    <col min="9742" max="9742" width="11" style="16" customWidth="1"/>
    <col min="9743" max="9743" width="11.125" style="16" customWidth="1"/>
    <col min="9744" max="9984" width="8" style="16" customWidth="1"/>
    <col min="9985" max="9985" width="5.25" style="16" customWidth="1"/>
    <col min="9986" max="9986" width="8.625" style="16" customWidth="1"/>
    <col min="9987" max="9987" width="19.5" style="16" customWidth="1"/>
    <col min="9988" max="9988" width="6.25" style="16" customWidth="1"/>
    <col min="9989" max="9989" width="3.125" style="16" customWidth="1"/>
    <col min="9990" max="9990" width="6.125" style="16" customWidth="1"/>
    <col min="9991" max="9991" width="8.375" style="16" customWidth="1"/>
    <col min="9992" max="9992" width="8.875" style="16" customWidth="1"/>
    <col min="9993" max="9993" width="9.875" style="16" customWidth="1"/>
    <col min="9994" max="9994" width="8.375" style="16" customWidth="1"/>
    <col min="9995" max="9995" width="0.875" style="16" customWidth="1"/>
    <col min="9996" max="9996" width="9" style="16" customWidth="1"/>
    <col min="9997" max="9997" width="9.625" style="16" customWidth="1"/>
    <col min="9998" max="9998" width="11" style="16" customWidth="1"/>
    <col min="9999" max="9999" width="11.125" style="16" customWidth="1"/>
    <col min="10000" max="10240" width="8" style="16" customWidth="1"/>
    <col min="10241" max="10241" width="5.25" style="16" customWidth="1"/>
    <col min="10242" max="10242" width="8.625" style="16" customWidth="1"/>
    <col min="10243" max="10243" width="19.5" style="16" customWidth="1"/>
    <col min="10244" max="10244" width="6.25" style="16" customWidth="1"/>
    <col min="10245" max="10245" width="3.125" style="16" customWidth="1"/>
    <col min="10246" max="10246" width="6.125" style="16" customWidth="1"/>
    <col min="10247" max="10247" width="8.375" style="16" customWidth="1"/>
    <col min="10248" max="10248" width="8.875" style="16" customWidth="1"/>
    <col min="10249" max="10249" width="9.875" style="16" customWidth="1"/>
    <col min="10250" max="10250" width="8.375" style="16" customWidth="1"/>
    <col min="10251" max="10251" width="0.875" style="16" customWidth="1"/>
    <col min="10252" max="10252" width="9" style="16" customWidth="1"/>
    <col min="10253" max="10253" width="9.625" style="16" customWidth="1"/>
    <col min="10254" max="10254" width="11" style="16" customWidth="1"/>
    <col min="10255" max="10255" width="11.125" style="16" customWidth="1"/>
    <col min="10256" max="10496" width="8" style="16" customWidth="1"/>
    <col min="10497" max="10497" width="5.25" style="16" customWidth="1"/>
    <col min="10498" max="10498" width="8.625" style="16" customWidth="1"/>
    <col min="10499" max="10499" width="19.5" style="16" customWidth="1"/>
    <col min="10500" max="10500" width="6.25" style="16" customWidth="1"/>
    <col min="10501" max="10501" width="3.125" style="16" customWidth="1"/>
    <col min="10502" max="10502" width="6.125" style="16" customWidth="1"/>
    <col min="10503" max="10503" width="8.375" style="16" customWidth="1"/>
    <col min="10504" max="10504" width="8.875" style="16" customWidth="1"/>
    <col min="10505" max="10505" width="9.875" style="16" customWidth="1"/>
    <col min="10506" max="10506" width="8.375" style="16" customWidth="1"/>
    <col min="10507" max="10507" width="0.875" style="16" customWidth="1"/>
    <col min="10508" max="10508" width="9" style="16" customWidth="1"/>
    <col min="10509" max="10509" width="9.625" style="16" customWidth="1"/>
    <col min="10510" max="10510" width="11" style="16" customWidth="1"/>
    <col min="10511" max="10511" width="11.125" style="16" customWidth="1"/>
    <col min="10512" max="10752" width="8" style="16" customWidth="1"/>
    <col min="10753" max="10753" width="5.25" style="16" customWidth="1"/>
    <col min="10754" max="10754" width="8.625" style="16" customWidth="1"/>
    <col min="10755" max="10755" width="19.5" style="16" customWidth="1"/>
    <col min="10756" max="10756" width="6.25" style="16" customWidth="1"/>
    <col min="10757" max="10757" width="3.125" style="16" customWidth="1"/>
    <col min="10758" max="10758" width="6.125" style="16" customWidth="1"/>
    <col min="10759" max="10759" width="8.375" style="16" customWidth="1"/>
    <col min="10760" max="10760" width="8.875" style="16" customWidth="1"/>
    <col min="10761" max="10761" width="9.875" style="16" customWidth="1"/>
    <col min="10762" max="10762" width="8.375" style="16" customWidth="1"/>
    <col min="10763" max="10763" width="0.875" style="16" customWidth="1"/>
    <col min="10764" max="10764" width="9" style="16" customWidth="1"/>
    <col min="10765" max="10765" width="9.625" style="16" customWidth="1"/>
    <col min="10766" max="10766" width="11" style="16" customWidth="1"/>
    <col min="10767" max="10767" width="11.125" style="16" customWidth="1"/>
    <col min="10768" max="11008" width="8" style="16" customWidth="1"/>
    <col min="11009" max="11009" width="5.25" style="16" customWidth="1"/>
    <col min="11010" max="11010" width="8.625" style="16" customWidth="1"/>
    <col min="11011" max="11011" width="19.5" style="16" customWidth="1"/>
    <col min="11012" max="11012" width="6.25" style="16" customWidth="1"/>
    <col min="11013" max="11013" width="3.125" style="16" customWidth="1"/>
    <col min="11014" max="11014" width="6.125" style="16" customWidth="1"/>
    <col min="11015" max="11015" width="8.375" style="16" customWidth="1"/>
    <col min="11016" max="11016" width="8.875" style="16" customWidth="1"/>
    <col min="11017" max="11017" width="9.875" style="16" customWidth="1"/>
    <col min="11018" max="11018" width="8.375" style="16" customWidth="1"/>
    <col min="11019" max="11019" width="0.875" style="16" customWidth="1"/>
    <col min="11020" max="11020" width="9" style="16" customWidth="1"/>
    <col min="11021" max="11021" width="9.625" style="16" customWidth="1"/>
    <col min="11022" max="11022" width="11" style="16" customWidth="1"/>
    <col min="11023" max="11023" width="11.125" style="16" customWidth="1"/>
    <col min="11024" max="11264" width="8" style="16" customWidth="1"/>
    <col min="11265" max="11265" width="5.25" style="16" customWidth="1"/>
    <col min="11266" max="11266" width="8.625" style="16" customWidth="1"/>
    <col min="11267" max="11267" width="19.5" style="16" customWidth="1"/>
    <col min="11268" max="11268" width="6.25" style="16" customWidth="1"/>
    <col min="11269" max="11269" width="3.125" style="16" customWidth="1"/>
    <col min="11270" max="11270" width="6.125" style="16" customWidth="1"/>
    <col min="11271" max="11271" width="8.375" style="16" customWidth="1"/>
    <col min="11272" max="11272" width="8.875" style="16" customWidth="1"/>
    <col min="11273" max="11273" width="9.875" style="16" customWidth="1"/>
    <col min="11274" max="11274" width="8.375" style="16" customWidth="1"/>
    <col min="11275" max="11275" width="0.875" style="16" customWidth="1"/>
    <col min="11276" max="11276" width="9" style="16" customWidth="1"/>
    <col min="11277" max="11277" width="9.625" style="16" customWidth="1"/>
    <col min="11278" max="11278" width="11" style="16" customWidth="1"/>
    <col min="11279" max="11279" width="11.125" style="16" customWidth="1"/>
    <col min="11280" max="11520" width="8" style="16" customWidth="1"/>
    <col min="11521" max="11521" width="5.25" style="16" customWidth="1"/>
    <col min="11522" max="11522" width="8.625" style="16" customWidth="1"/>
    <col min="11523" max="11523" width="19.5" style="16" customWidth="1"/>
    <col min="11524" max="11524" width="6.25" style="16" customWidth="1"/>
    <col min="11525" max="11525" width="3.125" style="16" customWidth="1"/>
    <col min="11526" max="11526" width="6.125" style="16" customWidth="1"/>
    <col min="11527" max="11527" width="8.375" style="16" customWidth="1"/>
    <col min="11528" max="11528" width="8.875" style="16" customWidth="1"/>
    <col min="11529" max="11529" width="9.875" style="16" customWidth="1"/>
    <col min="11530" max="11530" width="8.375" style="16" customWidth="1"/>
    <col min="11531" max="11531" width="0.875" style="16" customWidth="1"/>
    <col min="11532" max="11532" width="9" style="16" customWidth="1"/>
    <col min="11533" max="11533" width="9.625" style="16" customWidth="1"/>
    <col min="11534" max="11534" width="11" style="16" customWidth="1"/>
    <col min="11535" max="11535" width="11.125" style="16" customWidth="1"/>
    <col min="11536" max="11776" width="8" style="16" customWidth="1"/>
    <col min="11777" max="11777" width="5.25" style="16" customWidth="1"/>
    <col min="11778" max="11778" width="8.625" style="16" customWidth="1"/>
    <col min="11779" max="11779" width="19.5" style="16" customWidth="1"/>
    <col min="11780" max="11780" width="6.25" style="16" customWidth="1"/>
    <col min="11781" max="11781" width="3.125" style="16" customWidth="1"/>
    <col min="11782" max="11782" width="6.125" style="16" customWidth="1"/>
    <col min="11783" max="11783" width="8.375" style="16" customWidth="1"/>
    <col min="11784" max="11784" width="8.875" style="16" customWidth="1"/>
    <col min="11785" max="11785" width="9.875" style="16" customWidth="1"/>
    <col min="11786" max="11786" width="8.375" style="16" customWidth="1"/>
    <col min="11787" max="11787" width="0.875" style="16" customWidth="1"/>
    <col min="11788" max="11788" width="9" style="16" customWidth="1"/>
    <col min="11789" max="11789" width="9.625" style="16" customWidth="1"/>
    <col min="11790" max="11790" width="11" style="16" customWidth="1"/>
    <col min="11791" max="11791" width="11.125" style="16" customWidth="1"/>
    <col min="11792" max="12032" width="8" style="16" customWidth="1"/>
    <col min="12033" max="12033" width="5.25" style="16" customWidth="1"/>
    <col min="12034" max="12034" width="8.625" style="16" customWidth="1"/>
    <col min="12035" max="12035" width="19.5" style="16" customWidth="1"/>
    <col min="12036" max="12036" width="6.25" style="16" customWidth="1"/>
    <col min="12037" max="12037" width="3.125" style="16" customWidth="1"/>
    <col min="12038" max="12038" width="6.125" style="16" customWidth="1"/>
    <col min="12039" max="12039" width="8.375" style="16" customWidth="1"/>
    <col min="12040" max="12040" width="8.875" style="16" customWidth="1"/>
    <col min="12041" max="12041" width="9.875" style="16" customWidth="1"/>
    <col min="12042" max="12042" width="8.375" style="16" customWidth="1"/>
    <col min="12043" max="12043" width="0.875" style="16" customWidth="1"/>
    <col min="12044" max="12044" width="9" style="16" customWidth="1"/>
    <col min="12045" max="12045" width="9.625" style="16" customWidth="1"/>
    <col min="12046" max="12046" width="11" style="16" customWidth="1"/>
    <col min="12047" max="12047" width="11.125" style="16" customWidth="1"/>
    <col min="12048" max="12288" width="8" style="16" customWidth="1"/>
    <col min="12289" max="12289" width="5.25" style="16" customWidth="1"/>
    <col min="12290" max="12290" width="8.625" style="16" customWidth="1"/>
    <col min="12291" max="12291" width="19.5" style="16" customWidth="1"/>
    <col min="12292" max="12292" width="6.25" style="16" customWidth="1"/>
    <col min="12293" max="12293" width="3.125" style="16" customWidth="1"/>
    <col min="12294" max="12294" width="6.125" style="16" customWidth="1"/>
    <col min="12295" max="12295" width="8.375" style="16" customWidth="1"/>
    <col min="12296" max="12296" width="8.875" style="16" customWidth="1"/>
    <col min="12297" max="12297" width="9.875" style="16" customWidth="1"/>
    <col min="12298" max="12298" width="8.375" style="16" customWidth="1"/>
    <col min="12299" max="12299" width="0.875" style="16" customWidth="1"/>
    <col min="12300" max="12300" width="9" style="16" customWidth="1"/>
    <col min="12301" max="12301" width="9.625" style="16" customWidth="1"/>
    <col min="12302" max="12302" width="11" style="16" customWidth="1"/>
    <col min="12303" max="12303" width="11.125" style="16" customWidth="1"/>
    <col min="12304" max="12544" width="8" style="16" customWidth="1"/>
    <col min="12545" max="12545" width="5.25" style="16" customWidth="1"/>
    <col min="12546" max="12546" width="8.625" style="16" customWidth="1"/>
    <col min="12547" max="12547" width="19.5" style="16" customWidth="1"/>
    <col min="12548" max="12548" width="6.25" style="16" customWidth="1"/>
    <col min="12549" max="12549" width="3.125" style="16" customWidth="1"/>
    <col min="12550" max="12550" width="6.125" style="16" customWidth="1"/>
    <col min="12551" max="12551" width="8.375" style="16" customWidth="1"/>
    <col min="12552" max="12552" width="8.875" style="16" customWidth="1"/>
    <col min="12553" max="12553" width="9.875" style="16" customWidth="1"/>
    <col min="12554" max="12554" width="8.375" style="16" customWidth="1"/>
    <col min="12555" max="12555" width="0.875" style="16" customWidth="1"/>
    <col min="12556" max="12556" width="9" style="16" customWidth="1"/>
    <col min="12557" max="12557" width="9.625" style="16" customWidth="1"/>
    <col min="12558" max="12558" width="11" style="16" customWidth="1"/>
    <col min="12559" max="12559" width="11.125" style="16" customWidth="1"/>
    <col min="12560" max="12800" width="8" style="16" customWidth="1"/>
    <col min="12801" max="12801" width="5.25" style="16" customWidth="1"/>
    <col min="12802" max="12802" width="8.625" style="16" customWidth="1"/>
    <col min="12803" max="12803" width="19.5" style="16" customWidth="1"/>
    <col min="12804" max="12804" width="6.25" style="16" customWidth="1"/>
    <col min="12805" max="12805" width="3.125" style="16" customWidth="1"/>
    <col min="12806" max="12806" width="6.125" style="16" customWidth="1"/>
    <col min="12807" max="12807" width="8.375" style="16" customWidth="1"/>
    <col min="12808" max="12808" width="8.875" style="16" customWidth="1"/>
    <col min="12809" max="12809" width="9.875" style="16" customWidth="1"/>
    <col min="12810" max="12810" width="8.375" style="16" customWidth="1"/>
    <col min="12811" max="12811" width="0.875" style="16" customWidth="1"/>
    <col min="12812" max="12812" width="9" style="16" customWidth="1"/>
    <col min="12813" max="12813" width="9.625" style="16" customWidth="1"/>
    <col min="12814" max="12814" width="11" style="16" customWidth="1"/>
    <col min="12815" max="12815" width="11.125" style="16" customWidth="1"/>
    <col min="12816" max="13056" width="8" style="16" customWidth="1"/>
    <col min="13057" max="13057" width="5.25" style="16" customWidth="1"/>
    <col min="13058" max="13058" width="8.625" style="16" customWidth="1"/>
    <col min="13059" max="13059" width="19.5" style="16" customWidth="1"/>
    <col min="13060" max="13060" width="6.25" style="16" customWidth="1"/>
    <col min="13061" max="13061" width="3.125" style="16" customWidth="1"/>
    <col min="13062" max="13062" width="6.125" style="16" customWidth="1"/>
    <col min="13063" max="13063" width="8.375" style="16" customWidth="1"/>
    <col min="13064" max="13064" width="8.875" style="16" customWidth="1"/>
    <col min="13065" max="13065" width="9.875" style="16" customWidth="1"/>
    <col min="13066" max="13066" width="8.375" style="16" customWidth="1"/>
    <col min="13067" max="13067" width="0.875" style="16" customWidth="1"/>
    <col min="13068" max="13068" width="9" style="16" customWidth="1"/>
    <col min="13069" max="13069" width="9.625" style="16" customWidth="1"/>
    <col min="13070" max="13070" width="11" style="16" customWidth="1"/>
    <col min="13071" max="13071" width="11.125" style="16" customWidth="1"/>
    <col min="13072" max="13312" width="8" style="16" customWidth="1"/>
    <col min="13313" max="13313" width="5.25" style="16" customWidth="1"/>
    <col min="13314" max="13314" width="8.625" style="16" customWidth="1"/>
    <col min="13315" max="13315" width="19.5" style="16" customWidth="1"/>
    <col min="13316" max="13316" width="6.25" style="16" customWidth="1"/>
    <col min="13317" max="13317" width="3.125" style="16" customWidth="1"/>
    <col min="13318" max="13318" width="6.125" style="16" customWidth="1"/>
    <col min="13319" max="13319" width="8.375" style="16" customWidth="1"/>
    <col min="13320" max="13320" width="8.875" style="16" customWidth="1"/>
    <col min="13321" max="13321" width="9.875" style="16" customWidth="1"/>
    <col min="13322" max="13322" width="8.375" style="16" customWidth="1"/>
    <col min="13323" max="13323" width="0.875" style="16" customWidth="1"/>
    <col min="13324" max="13324" width="9" style="16" customWidth="1"/>
    <col min="13325" max="13325" width="9.625" style="16" customWidth="1"/>
    <col min="13326" max="13326" width="11" style="16" customWidth="1"/>
    <col min="13327" max="13327" width="11.125" style="16" customWidth="1"/>
    <col min="13328" max="13568" width="8" style="16" customWidth="1"/>
    <col min="13569" max="13569" width="5.25" style="16" customWidth="1"/>
    <col min="13570" max="13570" width="8.625" style="16" customWidth="1"/>
    <col min="13571" max="13571" width="19.5" style="16" customWidth="1"/>
    <col min="13572" max="13572" width="6.25" style="16" customWidth="1"/>
    <col min="13573" max="13573" width="3.125" style="16" customWidth="1"/>
    <col min="13574" max="13574" width="6.125" style="16" customWidth="1"/>
    <col min="13575" max="13575" width="8.375" style="16" customWidth="1"/>
    <col min="13576" max="13576" width="8.875" style="16" customWidth="1"/>
    <col min="13577" max="13577" width="9.875" style="16" customWidth="1"/>
    <col min="13578" max="13578" width="8.375" style="16" customWidth="1"/>
    <col min="13579" max="13579" width="0.875" style="16" customWidth="1"/>
    <col min="13580" max="13580" width="9" style="16" customWidth="1"/>
    <col min="13581" max="13581" width="9.625" style="16" customWidth="1"/>
    <col min="13582" max="13582" width="11" style="16" customWidth="1"/>
    <col min="13583" max="13583" width="11.125" style="16" customWidth="1"/>
    <col min="13584" max="13824" width="8" style="16" customWidth="1"/>
    <col min="13825" max="13825" width="5.25" style="16" customWidth="1"/>
    <col min="13826" max="13826" width="8.625" style="16" customWidth="1"/>
    <col min="13827" max="13827" width="19.5" style="16" customWidth="1"/>
    <col min="13828" max="13828" width="6.25" style="16" customWidth="1"/>
    <col min="13829" max="13829" width="3.125" style="16" customWidth="1"/>
    <col min="13830" max="13830" width="6.125" style="16" customWidth="1"/>
    <col min="13831" max="13831" width="8.375" style="16" customWidth="1"/>
    <col min="13832" max="13832" width="8.875" style="16" customWidth="1"/>
    <col min="13833" max="13833" width="9.875" style="16" customWidth="1"/>
    <col min="13834" max="13834" width="8.375" style="16" customWidth="1"/>
    <col min="13835" max="13835" width="0.875" style="16" customWidth="1"/>
    <col min="13836" max="13836" width="9" style="16" customWidth="1"/>
    <col min="13837" max="13837" width="9.625" style="16" customWidth="1"/>
    <col min="13838" max="13838" width="11" style="16" customWidth="1"/>
    <col min="13839" max="13839" width="11.125" style="16" customWidth="1"/>
    <col min="13840" max="14080" width="8" style="16" customWidth="1"/>
    <col min="14081" max="14081" width="5.25" style="16" customWidth="1"/>
    <col min="14082" max="14082" width="8.625" style="16" customWidth="1"/>
    <col min="14083" max="14083" width="19.5" style="16" customWidth="1"/>
    <col min="14084" max="14084" width="6.25" style="16" customWidth="1"/>
    <col min="14085" max="14085" width="3.125" style="16" customWidth="1"/>
    <col min="14086" max="14086" width="6.125" style="16" customWidth="1"/>
    <col min="14087" max="14087" width="8.375" style="16" customWidth="1"/>
    <col min="14088" max="14088" width="8.875" style="16" customWidth="1"/>
    <col min="14089" max="14089" width="9.875" style="16" customWidth="1"/>
    <col min="14090" max="14090" width="8.375" style="16" customWidth="1"/>
    <col min="14091" max="14091" width="0.875" style="16" customWidth="1"/>
    <col min="14092" max="14092" width="9" style="16" customWidth="1"/>
    <col min="14093" max="14093" width="9.625" style="16" customWidth="1"/>
    <col min="14094" max="14094" width="11" style="16" customWidth="1"/>
    <col min="14095" max="14095" width="11.125" style="16" customWidth="1"/>
    <col min="14096" max="14336" width="8" style="16" customWidth="1"/>
    <col min="14337" max="14337" width="5.25" style="16" customWidth="1"/>
    <col min="14338" max="14338" width="8.625" style="16" customWidth="1"/>
    <col min="14339" max="14339" width="19.5" style="16" customWidth="1"/>
    <col min="14340" max="14340" width="6.25" style="16" customWidth="1"/>
    <col min="14341" max="14341" width="3.125" style="16" customWidth="1"/>
    <col min="14342" max="14342" width="6.125" style="16" customWidth="1"/>
    <col min="14343" max="14343" width="8.375" style="16" customWidth="1"/>
    <col min="14344" max="14344" width="8.875" style="16" customWidth="1"/>
    <col min="14345" max="14345" width="9.875" style="16" customWidth="1"/>
    <col min="14346" max="14346" width="8.375" style="16" customWidth="1"/>
    <col min="14347" max="14347" width="0.875" style="16" customWidth="1"/>
    <col min="14348" max="14348" width="9" style="16" customWidth="1"/>
    <col min="14349" max="14349" width="9.625" style="16" customWidth="1"/>
    <col min="14350" max="14350" width="11" style="16" customWidth="1"/>
    <col min="14351" max="14351" width="11.125" style="16" customWidth="1"/>
    <col min="14352" max="14592" width="8" style="16" customWidth="1"/>
    <col min="14593" max="14593" width="5.25" style="16" customWidth="1"/>
    <col min="14594" max="14594" width="8.625" style="16" customWidth="1"/>
    <col min="14595" max="14595" width="19.5" style="16" customWidth="1"/>
    <col min="14596" max="14596" width="6.25" style="16" customWidth="1"/>
    <col min="14597" max="14597" width="3.125" style="16" customWidth="1"/>
    <col min="14598" max="14598" width="6.125" style="16" customWidth="1"/>
    <col min="14599" max="14599" width="8.375" style="16" customWidth="1"/>
    <col min="14600" max="14600" width="8.875" style="16" customWidth="1"/>
    <col min="14601" max="14601" width="9.875" style="16" customWidth="1"/>
    <col min="14602" max="14602" width="8.375" style="16" customWidth="1"/>
    <col min="14603" max="14603" width="0.875" style="16" customWidth="1"/>
    <col min="14604" max="14604" width="9" style="16" customWidth="1"/>
    <col min="14605" max="14605" width="9.625" style="16" customWidth="1"/>
    <col min="14606" max="14606" width="11" style="16" customWidth="1"/>
    <col min="14607" max="14607" width="11.125" style="16" customWidth="1"/>
    <col min="14608" max="14848" width="8" style="16" customWidth="1"/>
    <col min="14849" max="14849" width="5.25" style="16" customWidth="1"/>
    <col min="14850" max="14850" width="8.625" style="16" customWidth="1"/>
    <col min="14851" max="14851" width="19.5" style="16" customWidth="1"/>
    <col min="14852" max="14852" width="6.25" style="16" customWidth="1"/>
    <col min="14853" max="14853" width="3.125" style="16" customWidth="1"/>
    <col min="14854" max="14854" width="6.125" style="16" customWidth="1"/>
    <col min="14855" max="14855" width="8.375" style="16" customWidth="1"/>
    <col min="14856" max="14856" width="8.875" style="16" customWidth="1"/>
    <col min="14857" max="14857" width="9.875" style="16" customWidth="1"/>
    <col min="14858" max="14858" width="8.375" style="16" customWidth="1"/>
    <col min="14859" max="14859" width="0.875" style="16" customWidth="1"/>
    <col min="14860" max="14860" width="9" style="16" customWidth="1"/>
    <col min="14861" max="14861" width="9.625" style="16" customWidth="1"/>
    <col min="14862" max="14862" width="11" style="16" customWidth="1"/>
    <col min="14863" max="14863" width="11.125" style="16" customWidth="1"/>
    <col min="14864" max="15104" width="8" style="16" customWidth="1"/>
    <col min="15105" max="15105" width="5.25" style="16" customWidth="1"/>
    <col min="15106" max="15106" width="8.625" style="16" customWidth="1"/>
    <col min="15107" max="15107" width="19.5" style="16" customWidth="1"/>
    <col min="15108" max="15108" width="6.25" style="16" customWidth="1"/>
    <col min="15109" max="15109" width="3.125" style="16" customWidth="1"/>
    <col min="15110" max="15110" width="6.125" style="16" customWidth="1"/>
    <col min="15111" max="15111" width="8.375" style="16" customWidth="1"/>
    <col min="15112" max="15112" width="8.875" style="16" customWidth="1"/>
    <col min="15113" max="15113" width="9.875" style="16" customWidth="1"/>
    <col min="15114" max="15114" width="8.375" style="16" customWidth="1"/>
    <col min="15115" max="15115" width="0.875" style="16" customWidth="1"/>
    <col min="15116" max="15116" width="9" style="16" customWidth="1"/>
    <col min="15117" max="15117" width="9.625" style="16" customWidth="1"/>
    <col min="15118" max="15118" width="11" style="16" customWidth="1"/>
    <col min="15119" max="15119" width="11.125" style="16" customWidth="1"/>
    <col min="15120" max="15360" width="8" style="16" customWidth="1"/>
    <col min="15361" max="15361" width="5.25" style="16" customWidth="1"/>
    <col min="15362" max="15362" width="8.625" style="16" customWidth="1"/>
    <col min="15363" max="15363" width="19.5" style="16" customWidth="1"/>
    <col min="15364" max="15364" width="6.25" style="16" customWidth="1"/>
    <col min="15365" max="15365" width="3.125" style="16" customWidth="1"/>
    <col min="15366" max="15366" width="6.125" style="16" customWidth="1"/>
    <col min="15367" max="15367" width="8.375" style="16" customWidth="1"/>
    <col min="15368" max="15368" width="8.875" style="16" customWidth="1"/>
    <col min="15369" max="15369" width="9.875" style="16" customWidth="1"/>
    <col min="15370" max="15370" width="8.375" style="16" customWidth="1"/>
    <col min="15371" max="15371" width="0.875" style="16" customWidth="1"/>
    <col min="15372" max="15372" width="9" style="16" customWidth="1"/>
    <col min="15373" max="15373" width="9.625" style="16" customWidth="1"/>
    <col min="15374" max="15374" width="11" style="16" customWidth="1"/>
    <col min="15375" max="15375" width="11.125" style="16" customWidth="1"/>
    <col min="15376" max="15616" width="8" style="16" customWidth="1"/>
    <col min="15617" max="15617" width="5.25" style="16" customWidth="1"/>
    <col min="15618" max="15618" width="8.625" style="16" customWidth="1"/>
    <col min="15619" max="15619" width="19.5" style="16" customWidth="1"/>
    <col min="15620" max="15620" width="6.25" style="16" customWidth="1"/>
    <col min="15621" max="15621" width="3.125" style="16" customWidth="1"/>
    <col min="15622" max="15622" width="6.125" style="16" customWidth="1"/>
    <col min="15623" max="15623" width="8.375" style="16" customWidth="1"/>
    <col min="15624" max="15624" width="8.875" style="16" customWidth="1"/>
    <col min="15625" max="15625" width="9.875" style="16" customWidth="1"/>
    <col min="15626" max="15626" width="8.375" style="16" customWidth="1"/>
    <col min="15627" max="15627" width="0.875" style="16" customWidth="1"/>
    <col min="15628" max="15628" width="9" style="16" customWidth="1"/>
    <col min="15629" max="15629" width="9.625" style="16" customWidth="1"/>
    <col min="15630" max="15630" width="11" style="16" customWidth="1"/>
    <col min="15631" max="15631" width="11.125" style="16" customWidth="1"/>
    <col min="15632" max="15872" width="8" style="16" customWidth="1"/>
    <col min="15873" max="15873" width="5.25" style="16" customWidth="1"/>
    <col min="15874" max="15874" width="8.625" style="16" customWidth="1"/>
    <col min="15875" max="15875" width="19.5" style="16" customWidth="1"/>
    <col min="15876" max="15876" width="6.25" style="16" customWidth="1"/>
    <col min="15877" max="15877" width="3.125" style="16" customWidth="1"/>
    <col min="15878" max="15878" width="6.125" style="16" customWidth="1"/>
    <col min="15879" max="15879" width="8.375" style="16" customWidth="1"/>
    <col min="15880" max="15880" width="8.875" style="16" customWidth="1"/>
    <col min="15881" max="15881" width="9.875" style="16" customWidth="1"/>
    <col min="15882" max="15882" width="8.375" style="16" customWidth="1"/>
    <col min="15883" max="15883" width="0.875" style="16" customWidth="1"/>
    <col min="15884" max="15884" width="9" style="16" customWidth="1"/>
    <col min="15885" max="15885" width="9.625" style="16" customWidth="1"/>
    <col min="15886" max="15886" width="11" style="16" customWidth="1"/>
    <col min="15887" max="15887" width="11.125" style="16" customWidth="1"/>
    <col min="15888" max="16128" width="8" style="16" customWidth="1"/>
    <col min="16129" max="16129" width="5.25" style="16" customWidth="1"/>
    <col min="16130" max="16130" width="8.625" style="16" customWidth="1"/>
    <col min="16131" max="16131" width="19.5" style="16" customWidth="1"/>
    <col min="16132" max="16132" width="6.25" style="16" customWidth="1"/>
    <col min="16133" max="16133" width="3.125" style="16" customWidth="1"/>
    <col min="16134" max="16134" width="6.125" style="16" customWidth="1"/>
    <col min="16135" max="16135" width="8.375" style="16" customWidth="1"/>
    <col min="16136" max="16136" width="8.875" style="16" customWidth="1"/>
    <col min="16137" max="16137" width="9.875" style="16" customWidth="1"/>
    <col min="16138" max="16138" width="8.375" style="16" customWidth="1"/>
    <col min="16139" max="16139" width="0.875" style="16" customWidth="1"/>
    <col min="16140" max="16140" width="9" style="16" customWidth="1"/>
    <col min="16141" max="16141" width="9.625" style="16" customWidth="1"/>
    <col min="16142" max="16142" width="11" style="16" customWidth="1"/>
    <col min="16143" max="16143" width="11.125" style="16" customWidth="1"/>
    <col min="16144" max="16384" width="8" style="16" customWidth="1"/>
  </cols>
  <sheetData>
    <row r="1" spans="1:15" ht="35.25" customHeight="1">
      <c r="A1" s="377" t="s">
        <v>291</v>
      </c>
      <c r="B1" s="377" t="s">
        <v>110</v>
      </c>
      <c r="C1" s="377" t="s">
        <v>110</v>
      </c>
      <c r="D1" s="377" t="s">
        <v>110</v>
      </c>
      <c r="E1" s="377" t="s">
        <v>110</v>
      </c>
      <c r="F1" s="377" t="s">
        <v>110</v>
      </c>
      <c r="G1" s="377" t="s">
        <v>110</v>
      </c>
      <c r="H1" s="377" t="s">
        <v>110</v>
      </c>
      <c r="I1" s="377" t="s">
        <v>110</v>
      </c>
      <c r="J1" s="377" t="s">
        <v>110</v>
      </c>
      <c r="K1" s="377" t="s">
        <v>110</v>
      </c>
      <c r="L1" s="377" t="s">
        <v>110</v>
      </c>
      <c r="M1" s="377" t="s">
        <v>110</v>
      </c>
      <c r="N1" s="377" t="s">
        <v>110</v>
      </c>
      <c r="O1" s="377" t="s">
        <v>110</v>
      </c>
    </row>
    <row r="2" spans="1:15" ht="29.25" customHeight="1" thickBot="1">
      <c r="A2" s="372" t="s">
        <v>687</v>
      </c>
      <c r="B2" s="372" t="s">
        <v>110</v>
      </c>
      <c r="C2" s="372" t="s">
        <v>110</v>
      </c>
      <c r="D2" s="372" t="s">
        <v>110</v>
      </c>
      <c r="E2" s="372" t="s">
        <v>110</v>
      </c>
      <c r="F2" s="372" t="s">
        <v>110</v>
      </c>
      <c r="G2" s="372" t="s">
        <v>110</v>
      </c>
      <c r="H2" s="372" t="s">
        <v>110</v>
      </c>
      <c r="I2" s="372" t="s">
        <v>110</v>
      </c>
      <c r="J2" s="372" t="s">
        <v>110</v>
      </c>
      <c r="K2" s="367" t="s">
        <v>172</v>
      </c>
      <c r="L2" s="367" t="s">
        <v>110</v>
      </c>
      <c r="M2" s="367" t="s">
        <v>110</v>
      </c>
      <c r="N2" s="367" t="s">
        <v>110</v>
      </c>
      <c r="O2" s="367" t="s">
        <v>110</v>
      </c>
    </row>
    <row r="3" spans="1:15" ht="19.5" customHeight="1">
      <c r="A3" s="378" t="s">
        <v>112</v>
      </c>
      <c r="B3" s="371" t="s">
        <v>292</v>
      </c>
      <c r="C3" s="371" t="s">
        <v>293</v>
      </c>
      <c r="D3" s="371" t="s">
        <v>294</v>
      </c>
      <c r="E3" s="371" t="s">
        <v>110</v>
      </c>
      <c r="F3" s="371" t="s">
        <v>110</v>
      </c>
      <c r="G3" s="371" t="s">
        <v>295</v>
      </c>
      <c r="H3" s="371" t="s">
        <v>110</v>
      </c>
      <c r="I3" s="371" t="s">
        <v>296</v>
      </c>
      <c r="J3" s="371" t="s">
        <v>110</v>
      </c>
      <c r="K3" s="371" t="s">
        <v>110</v>
      </c>
      <c r="L3" s="371" t="s">
        <v>110</v>
      </c>
      <c r="M3" s="371" t="s">
        <v>110</v>
      </c>
      <c r="N3" s="371" t="s">
        <v>110</v>
      </c>
      <c r="O3" s="381" t="s">
        <v>297</v>
      </c>
    </row>
    <row r="4" spans="1:15" ht="18" customHeight="1">
      <c r="A4" s="379" t="s">
        <v>110</v>
      </c>
      <c r="B4" s="380" t="s">
        <v>110</v>
      </c>
      <c r="C4" s="380" t="s">
        <v>110</v>
      </c>
      <c r="D4" s="136" t="s">
        <v>133</v>
      </c>
      <c r="E4" s="380" t="s">
        <v>134</v>
      </c>
      <c r="F4" s="380" t="s">
        <v>110</v>
      </c>
      <c r="G4" s="136" t="s">
        <v>298</v>
      </c>
      <c r="H4" s="136" t="s">
        <v>299</v>
      </c>
      <c r="I4" s="136" t="s">
        <v>300</v>
      </c>
      <c r="J4" s="380" t="s">
        <v>301</v>
      </c>
      <c r="K4" s="380" t="s">
        <v>110</v>
      </c>
      <c r="L4" s="136" t="s">
        <v>302</v>
      </c>
      <c r="M4" s="136" t="s">
        <v>303</v>
      </c>
      <c r="N4" s="136" t="s">
        <v>304</v>
      </c>
      <c r="O4" s="382" t="s">
        <v>110</v>
      </c>
    </row>
    <row r="5" spans="1:15" ht="18" customHeight="1">
      <c r="A5" s="137">
        <v>1</v>
      </c>
      <c r="B5" s="138" t="s">
        <v>688</v>
      </c>
      <c r="C5" s="139" t="s">
        <v>689</v>
      </c>
      <c r="D5" s="138" t="s">
        <v>155</v>
      </c>
      <c r="E5" s="373">
        <v>21</v>
      </c>
      <c r="F5" s="373" t="s">
        <v>110</v>
      </c>
      <c r="G5" s="140">
        <v>150.9</v>
      </c>
      <c r="H5" s="140">
        <v>3168.9</v>
      </c>
      <c r="I5" s="140">
        <v>2744.28</v>
      </c>
      <c r="J5" s="373">
        <v>395.01</v>
      </c>
      <c r="K5" s="373" t="s">
        <v>110</v>
      </c>
      <c r="L5" s="140">
        <v>29.61</v>
      </c>
      <c r="M5" s="140">
        <v>17220</v>
      </c>
      <c r="N5" s="140" t="s">
        <v>110</v>
      </c>
      <c r="O5" s="141">
        <v>33.305999999999997</v>
      </c>
    </row>
    <row r="6" spans="1:15" ht="18" customHeight="1">
      <c r="A6" s="137" t="s">
        <v>110</v>
      </c>
      <c r="B6" s="138" t="s">
        <v>154</v>
      </c>
      <c r="C6" s="139" t="s">
        <v>689</v>
      </c>
      <c r="D6" s="138" t="s">
        <v>156</v>
      </c>
      <c r="E6" s="373">
        <v>210</v>
      </c>
      <c r="F6" s="373" t="s">
        <v>110</v>
      </c>
      <c r="G6" s="140">
        <v>82</v>
      </c>
      <c r="H6" s="140">
        <v>17220</v>
      </c>
      <c r="I6" s="140" t="s">
        <v>110</v>
      </c>
      <c r="J6" s="373" t="s">
        <v>110</v>
      </c>
      <c r="K6" s="373" t="s">
        <v>110</v>
      </c>
      <c r="L6" s="140" t="s">
        <v>110</v>
      </c>
      <c r="M6" s="140">
        <v>17220</v>
      </c>
      <c r="N6" s="140" t="s">
        <v>110</v>
      </c>
      <c r="O6" s="141" t="s">
        <v>110</v>
      </c>
    </row>
    <row r="7" spans="1:15" ht="29.25" customHeight="1">
      <c r="A7" s="137">
        <v>2</v>
      </c>
      <c r="B7" s="138" t="s">
        <v>387</v>
      </c>
      <c r="C7" s="139" t="s">
        <v>388</v>
      </c>
      <c r="D7" s="138" t="s">
        <v>144</v>
      </c>
      <c r="E7" s="373">
        <v>6.5982000000000003</v>
      </c>
      <c r="F7" s="373" t="s">
        <v>110</v>
      </c>
      <c r="G7" s="140">
        <v>42.71</v>
      </c>
      <c r="H7" s="140">
        <v>281.81</v>
      </c>
      <c r="I7" s="140">
        <v>123.06</v>
      </c>
      <c r="J7" s="373">
        <v>158.75</v>
      </c>
      <c r="K7" s="373" t="s">
        <v>110</v>
      </c>
      <c r="L7" s="140" t="s">
        <v>110</v>
      </c>
      <c r="M7" s="140" t="s">
        <v>110</v>
      </c>
      <c r="N7" s="140" t="s">
        <v>110</v>
      </c>
      <c r="O7" s="141">
        <v>1.4912000000000001</v>
      </c>
    </row>
    <row r="8" spans="1:15" ht="18" customHeight="1">
      <c r="A8" s="137">
        <v>3</v>
      </c>
      <c r="B8" s="138" t="s">
        <v>690</v>
      </c>
      <c r="C8" s="139" t="s">
        <v>691</v>
      </c>
      <c r="D8" s="138" t="s">
        <v>155</v>
      </c>
      <c r="E8" s="373">
        <v>17</v>
      </c>
      <c r="F8" s="373" t="s">
        <v>110</v>
      </c>
      <c r="G8" s="140">
        <v>215.45</v>
      </c>
      <c r="H8" s="140">
        <v>3662.65</v>
      </c>
      <c r="I8" s="140">
        <v>3136.16</v>
      </c>
      <c r="J8" s="373">
        <v>486.71</v>
      </c>
      <c r="K8" s="373" t="s">
        <v>110</v>
      </c>
      <c r="L8" s="140">
        <v>39.78</v>
      </c>
      <c r="M8" s="140">
        <v>21420</v>
      </c>
      <c r="N8" s="140" t="s">
        <v>110</v>
      </c>
      <c r="O8" s="141">
        <v>38.063000000000002</v>
      </c>
    </row>
    <row r="9" spans="1:15" ht="18" customHeight="1">
      <c r="A9" s="137" t="s">
        <v>110</v>
      </c>
      <c r="B9" s="138" t="s">
        <v>154</v>
      </c>
      <c r="C9" s="139" t="s">
        <v>691</v>
      </c>
      <c r="D9" s="138" t="s">
        <v>156</v>
      </c>
      <c r="E9" s="373">
        <v>170</v>
      </c>
      <c r="F9" s="373" t="s">
        <v>110</v>
      </c>
      <c r="G9" s="140">
        <v>126</v>
      </c>
      <c r="H9" s="140">
        <v>21420</v>
      </c>
      <c r="I9" s="140" t="s">
        <v>110</v>
      </c>
      <c r="J9" s="373" t="s">
        <v>110</v>
      </c>
      <c r="K9" s="373" t="s">
        <v>110</v>
      </c>
      <c r="L9" s="140" t="s">
        <v>110</v>
      </c>
      <c r="M9" s="140">
        <v>21420</v>
      </c>
      <c r="N9" s="140" t="s">
        <v>110</v>
      </c>
      <c r="O9" s="141" t="s">
        <v>110</v>
      </c>
    </row>
    <row r="10" spans="1:15" ht="29.25" customHeight="1">
      <c r="A10" s="137">
        <v>4</v>
      </c>
      <c r="B10" s="138" t="s">
        <v>387</v>
      </c>
      <c r="C10" s="139" t="s">
        <v>388</v>
      </c>
      <c r="D10" s="138" t="s">
        <v>144</v>
      </c>
      <c r="E10" s="373">
        <v>8.0121000000000002</v>
      </c>
      <c r="F10" s="373" t="s">
        <v>110</v>
      </c>
      <c r="G10" s="140">
        <v>42.71</v>
      </c>
      <c r="H10" s="140">
        <v>342.2</v>
      </c>
      <c r="I10" s="140">
        <v>149.43</v>
      </c>
      <c r="J10" s="373">
        <v>192.77</v>
      </c>
      <c r="K10" s="373" t="s">
        <v>110</v>
      </c>
      <c r="L10" s="140" t="s">
        <v>110</v>
      </c>
      <c r="M10" s="140" t="s">
        <v>110</v>
      </c>
      <c r="N10" s="140" t="s">
        <v>110</v>
      </c>
      <c r="O10" s="141">
        <v>1.8107</v>
      </c>
    </row>
    <row r="11" spans="1:15" ht="18" customHeight="1">
      <c r="A11" s="137">
        <v>5</v>
      </c>
      <c r="B11" s="138" t="s">
        <v>692</v>
      </c>
      <c r="C11" s="139" t="s">
        <v>693</v>
      </c>
      <c r="D11" s="138" t="s">
        <v>155</v>
      </c>
      <c r="E11" s="373">
        <v>110</v>
      </c>
      <c r="F11" s="373" t="s">
        <v>110</v>
      </c>
      <c r="G11" s="140">
        <v>262.58999999999997</v>
      </c>
      <c r="H11" s="140">
        <v>28884.9</v>
      </c>
      <c r="I11" s="140">
        <v>20292.8</v>
      </c>
      <c r="J11" s="373">
        <v>4334</v>
      </c>
      <c r="K11" s="373" t="s">
        <v>110</v>
      </c>
      <c r="L11" s="140">
        <v>4258.1000000000004</v>
      </c>
      <c r="M11" s="140">
        <v>206800</v>
      </c>
      <c r="N11" s="140" t="s">
        <v>110</v>
      </c>
      <c r="O11" s="141">
        <v>246.29</v>
      </c>
    </row>
    <row r="12" spans="1:15" ht="18" customHeight="1">
      <c r="A12" s="137" t="s">
        <v>110</v>
      </c>
      <c r="B12" s="138" t="s">
        <v>154</v>
      </c>
      <c r="C12" s="139" t="s">
        <v>693</v>
      </c>
      <c r="D12" s="138" t="s">
        <v>156</v>
      </c>
      <c r="E12" s="373">
        <v>1100</v>
      </c>
      <c r="F12" s="373" t="s">
        <v>110</v>
      </c>
      <c r="G12" s="140">
        <v>188</v>
      </c>
      <c r="H12" s="140">
        <v>206800</v>
      </c>
      <c r="I12" s="140" t="s">
        <v>110</v>
      </c>
      <c r="J12" s="373" t="s">
        <v>110</v>
      </c>
      <c r="K12" s="373" t="s">
        <v>110</v>
      </c>
      <c r="L12" s="140" t="s">
        <v>110</v>
      </c>
      <c r="M12" s="140">
        <v>206800</v>
      </c>
      <c r="N12" s="140" t="s">
        <v>110</v>
      </c>
      <c r="O12" s="141" t="s">
        <v>110</v>
      </c>
    </row>
    <row r="13" spans="1:15" ht="29.25" customHeight="1">
      <c r="A13" s="137">
        <v>6</v>
      </c>
      <c r="B13" s="138" t="s">
        <v>387</v>
      </c>
      <c r="C13" s="139" t="s">
        <v>388</v>
      </c>
      <c r="D13" s="138" t="s">
        <v>144</v>
      </c>
      <c r="E13" s="373">
        <v>69.123999999999995</v>
      </c>
      <c r="F13" s="373" t="s">
        <v>110</v>
      </c>
      <c r="G13" s="140">
        <v>42.71</v>
      </c>
      <c r="H13" s="140">
        <v>2952.29</v>
      </c>
      <c r="I13" s="140">
        <v>1289.1600000000001</v>
      </c>
      <c r="J13" s="373">
        <v>1663.12</v>
      </c>
      <c r="K13" s="373" t="s">
        <v>110</v>
      </c>
      <c r="L13" s="140" t="s">
        <v>110</v>
      </c>
      <c r="M13" s="140" t="s">
        <v>110</v>
      </c>
      <c r="N13" s="140" t="s">
        <v>110</v>
      </c>
      <c r="O13" s="141">
        <v>15.622</v>
      </c>
    </row>
    <row r="14" spans="1:15" ht="29.25" customHeight="1">
      <c r="A14" s="137">
        <v>7</v>
      </c>
      <c r="B14" s="138" t="s">
        <v>404</v>
      </c>
      <c r="C14" s="139" t="s">
        <v>694</v>
      </c>
      <c r="D14" s="138" t="s">
        <v>155</v>
      </c>
      <c r="E14" s="373">
        <v>24</v>
      </c>
      <c r="F14" s="373" t="s">
        <v>110</v>
      </c>
      <c r="G14" s="140">
        <v>372.44</v>
      </c>
      <c r="H14" s="140">
        <v>8938.56</v>
      </c>
      <c r="I14" s="140">
        <v>7613.76</v>
      </c>
      <c r="J14" s="373">
        <v>1322.4</v>
      </c>
      <c r="K14" s="373" t="s">
        <v>110</v>
      </c>
      <c r="L14" s="140">
        <v>2.4</v>
      </c>
      <c r="M14" s="140">
        <v>11566.8</v>
      </c>
      <c r="N14" s="140" t="s">
        <v>110</v>
      </c>
      <c r="O14" s="141">
        <v>92.4</v>
      </c>
    </row>
    <row r="15" spans="1:15" ht="29.25" customHeight="1">
      <c r="A15" s="137" t="s">
        <v>110</v>
      </c>
      <c r="B15" s="138" t="s">
        <v>154</v>
      </c>
      <c r="C15" s="139" t="s">
        <v>694</v>
      </c>
      <c r="D15" s="138" t="s">
        <v>156</v>
      </c>
      <c r="E15" s="373">
        <v>226.8</v>
      </c>
      <c r="F15" s="373" t="s">
        <v>110</v>
      </c>
      <c r="G15" s="140">
        <v>51</v>
      </c>
      <c r="H15" s="140">
        <v>11566.8</v>
      </c>
      <c r="I15" s="140" t="s">
        <v>110</v>
      </c>
      <c r="J15" s="373" t="s">
        <v>110</v>
      </c>
      <c r="K15" s="373" t="s">
        <v>110</v>
      </c>
      <c r="L15" s="140" t="s">
        <v>110</v>
      </c>
      <c r="M15" s="140">
        <v>11566.8</v>
      </c>
      <c r="N15" s="140" t="s">
        <v>110</v>
      </c>
      <c r="O15" s="141" t="s">
        <v>110</v>
      </c>
    </row>
    <row r="16" spans="1:15" ht="29.25" customHeight="1">
      <c r="A16" s="137">
        <v>8</v>
      </c>
      <c r="B16" s="138" t="s">
        <v>408</v>
      </c>
      <c r="C16" s="139" t="s">
        <v>695</v>
      </c>
      <c r="D16" s="138" t="s">
        <v>155</v>
      </c>
      <c r="E16" s="373">
        <v>94</v>
      </c>
      <c r="F16" s="373" t="s">
        <v>110</v>
      </c>
      <c r="G16" s="140">
        <v>471.7</v>
      </c>
      <c r="H16" s="140">
        <v>44339.8</v>
      </c>
      <c r="I16" s="140">
        <v>39261.919999999998</v>
      </c>
      <c r="J16" s="373">
        <v>5068.4799999999996</v>
      </c>
      <c r="K16" s="373" t="s">
        <v>110</v>
      </c>
      <c r="L16" s="140">
        <v>9.4</v>
      </c>
      <c r="M16" s="140">
        <v>86609.72</v>
      </c>
      <c r="N16" s="140" t="s">
        <v>110</v>
      </c>
      <c r="O16" s="141">
        <v>476.48599999999999</v>
      </c>
    </row>
    <row r="17" spans="1:15" ht="29.25" customHeight="1">
      <c r="A17" s="137" t="s">
        <v>110</v>
      </c>
      <c r="B17" s="138" t="s">
        <v>154</v>
      </c>
      <c r="C17" s="139" t="s">
        <v>695</v>
      </c>
      <c r="D17" s="138" t="s">
        <v>156</v>
      </c>
      <c r="E17" s="373">
        <v>888.3</v>
      </c>
      <c r="F17" s="373" t="s">
        <v>110</v>
      </c>
      <c r="G17" s="140">
        <v>97.5</v>
      </c>
      <c r="H17" s="140">
        <v>86609.25</v>
      </c>
      <c r="I17" s="140" t="s">
        <v>110</v>
      </c>
      <c r="J17" s="373" t="s">
        <v>110</v>
      </c>
      <c r="K17" s="373" t="s">
        <v>110</v>
      </c>
      <c r="L17" s="140" t="s">
        <v>110</v>
      </c>
      <c r="M17" s="140">
        <v>86609.25</v>
      </c>
      <c r="N17" s="140" t="s">
        <v>110</v>
      </c>
      <c r="O17" s="141" t="s">
        <v>110</v>
      </c>
    </row>
    <row r="18" spans="1:15" ht="29.25" customHeight="1">
      <c r="A18" s="137">
        <v>9</v>
      </c>
      <c r="B18" s="138" t="s">
        <v>408</v>
      </c>
      <c r="C18" s="139" t="s">
        <v>696</v>
      </c>
      <c r="D18" s="138" t="s">
        <v>155</v>
      </c>
      <c r="E18" s="373">
        <v>19</v>
      </c>
      <c r="F18" s="373" t="s">
        <v>110</v>
      </c>
      <c r="G18" s="140">
        <v>471.7</v>
      </c>
      <c r="H18" s="140">
        <v>8962.2999999999993</v>
      </c>
      <c r="I18" s="140">
        <v>7935.92</v>
      </c>
      <c r="J18" s="373">
        <v>1024.48</v>
      </c>
      <c r="K18" s="373" t="s">
        <v>110</v>
      </c>
      <c r="L18" s="140">
        <v>1.9</v>
      </c>
      <c r="M18" s="140">
        <v>43810.2</v>
      </c>
      <c r="N18" s="140" t="s">
        <v>110</v>
      </c>
      <c r="O18" s="141">
        <v>96.311000000000007</v>
      </c>
    </row>
    <row r="19" spans="1:15" ht="29.25" customHeight="1">
      <c r="A19" s="137" t="s">
        <v>110</v>
      </c>
      <c r="B19" s="138" t="s">
        <v>154</v>
      </c>
      <c r="C19" s="139" t="s">
        <v>696</v>
      </c>
      <c r="D19" s="138" t="s">
        <v>156</v>
      </c>
      <c r="E19" s="373">
        <v>179.55</v>
      </c>
      <c r="F19" s="373" t="s">
        <v>110</v>
      </c>
      <c r="G19" s="140">
        <v>244</v>
      </c>
      <c r="H19" s="140">
        <v>43810.2</v>
      </c>
      <c r="I19" s="140" t="s">
        <v>110</v>
      </c>
      <c r="J19" s="373" t="s">
        <v>110</v>
      </c>
      <c r="K19" s="373" t="s">
        <v>110</v>
      </c>
      <c r="L19" s="140" t="s">
        <v>110</v>
      </c>
      <c r="M19" s="140">
        <v>43810.2</v>
      </c>
      <c r="N19" s="140" t="s">
        <v>110</v>
      </c>
      <c r="O19" s="141" t="s">
        <v>110</v>
      </c>
    </row>
    <row r="20" spans="1:15" ht="18.75" customHeight="1" thickBot="1">
      <c r="A20" s="192">
        <v>10</v>
      </c>
      <c r="B20" s="194" t="s">
        <v>408</v>
      </c>
      <c r="C20" s="195" t="s">
        <v>697</v>
      </c>
      <c r="D20" s="194" t="s">
        <v>155</v>
      </c>
      <c r="E20" s="376">
        <v>1</v>
      </c>
      <c r="F20" s="376" t="s">
        <v>110</v>
      </c>
      <c r="G20" s="142">
        <v>471.7</v>
      </c>
      <c r="H20" s="142">
        <v>471.7</v>
      </c>
      <c r="I20" s="142">
        <v>417.68</v>
      </c>
      <c r="J20" s="376">
        <v>53.92</v>
      </c>
      <c r="K20" s="376" t="s">
        <v>110</v>
      </c>
      <c r="L20" s="142">
        <v>0.1</v>
      </c>
      <c r="M20" s="142">
        <v>3366.09</v>
      </c>
      <c r="N20" s="142" t="s">
        <v>110</v>
      </c>
      <c r="O20" s="143">
        <v>5.069</v>
      </c>
    </row>
    <row r="21" spans="1:15" ht="16.5" customHeight="1">
      <c r="A21" s="372" t="s">
        <v>288</v>
      </c>
      <c r="B21" s="372" t="s">
        <v>110</v>
      </c>
      <c r="C21" s="372" t="s">
        <v>110</v>
      </c>
      <c r="D21" s="372" t="s">
        <v>110</v>
      </c>
      <c r="E21" s="372" t="s">
        <v>110</v>
      </c>
      <c r="F21" s="366" t="s">
        <v>289</v>
      </c>
      <c r="G21" s="366" t="s">
        <v>110</v>
      </c>
      <c r="H21" s="366" t="s">
        <v>110</v>
      </c>
      <c r="I21" s="366" t="s">
        <v>110</v>
      </c>
      <c r="J21" s="366" t="s">
        <v>110</v>
      </c>
      <c r="K21" s="367" t="s">
        <v>290</v>
      </c>
      <c r="L21" s="367" t="s">
        <v>110</v>
      </c>
      <c r="M21" s="367" t="s">
        <v>110</v>
      </c>
      <c r="N21" s="367" t="s">
        <v>110</v>
      </c>
      <c r="O21" s="367" t="s">
        <v>110</v>
      </c>
    </row>
    <row r="22" spans="1:15" ht="35.25" customHeight="1">
      <c r="A22" s="377" t="s">
        <v>291</v>
      </c>
      <c r="B22" s="377" t="s">
        <v>110</v>
      </c>
      <c r="C22" s="377" t="s">
        <v>110</v>
      </c>
      <c r="D22" s="377" t="s">
        <v>110</v>
      </c>
      <c r="E22" s="377" t="s">
        <v>110</v>
      </c>
      <c r="F22" s="377" t="s">
        <v>110</v>
      </c>
      <c r="G22" s="377" t="s">
        <v>110</v>
      </c>
      <c r="H22" s="377" t="s">
        <v>110</v>
      </c>
      <c r="I22" s="377" t="s">
        <v>110</v>
      </c>
      <c r="J22" s="377" t="s">
        <v>110</v>
      </c>
      <c r="K22" s="377" t="s">
        <v>110</v>
      </c>
      <c r="L22" s="377" t="s">
        <v>110</v>
      </c>
      <c r="M22" s="377" t="s">
        <v>110</v>
      </c>
      <c r="N22" s="377" t="s">
        <v>110</v>
      </c>
      <c r="O22" s="377" t="s">
        <v>110</v>
      </c>
    </row>
    <row r="23" spans="1:15" ht="29.25" customHeight="1" thickBot="1">
      <c r="A23" s="372" t="s">
        <v>687</v>
      </c>
      <c r="B23" s="372" t="s">
        <v>110</v>
      </c>
      <c r="C23" s="372" t="s">
        <v>110</v>
      </c>
      <c r="D23" s="372" t="s">
        <v>110</v>
      </c>
      <c r="E23" s="372" t="s">
        <v>110</v>
      </c>
      <c r="F23" s="372" t="s">
        <v>110</v>
      </c>
      <c r="G23" s="372" t="s">
        <v>110</v>
      </c>
      <c r="H23" s="372" t="s">
        <v>110</v>
      </c>
      <c r="I23" s="372" t="s">
        <v>110</v>
      </c>
      <c r="J23" s="372" t="s">
        <v>110</v>
      </c>
      <c r="K23" s="367" t="s">
        <v>174</v>
      </c>
      <c r="L23" s="367" t="s">
        <v>110</v>
      </c>
      <c r="M23" s="367" t="s">
        <v>110</v>
      </c>
      <c r="N23" s="367" t="s">
        <v>110</v>
      </c>
      <c r="O23" s="367" t="s">
        <v>110</v>
      </c>
    </row>
    <row r="24" spans="1:15" ht="19.5" customHeight="1">
      <c r="A24" s="378" t="s">
        <v>112</v>
      </c>
      <c r="B24" s="371" t="s">
        <v>292</v>
      </c>
      <c r="C24" s="371" t="s">
        <v>293</v>
      </c>
      <c r="D24" s="371" t="s">
        <v>294</v>
      </c>
      <c r="E24" s="371" t="s">
        <v>110</v>
      </c>
      <c r="F24" s="371" t="s">
        <v>110</v>
      </c>
      <c r="G24" s="371" t="s">
        <v>295</v>
      </c>
      <c r="H24" s="371" t="s">
        <v>110</v>
      </c>
      <c r="I24" s="371" t="s">
        <v>296</v>
      </c>
      <c r="J24" s="371" t="s">
        <v>110</v>
      </c>
      <c r="K24" s="371" t="s">
        <v>110</v>
      </c>
      <c r="L24" s="371" t="s">
        <v>110</v>
      </c>
      <c r="M24" s="371" t="s">
        <v>110</v>
      </c>
      <c r="N24" s="371" t="s">
        <v>110</v>
      </c>
      <c r="O24" s="381" t="s">
        <v>297</v>
      </c>
    </row>
    <row r="25" spans="1:15" ht="18" customHeight="1">
      <c r="A25" s="379" t="s">
        <v>110</v>
      </c>
      <c r="B25" s="380" t="s">
        <v>110</v>
      </c>
      <c r="C25" s="380" t="s">
        <v>110</v>
      </c>
      <c r="D25" s="136" t="s">
        <v>133</v>
      </c>
      <c r="E25" s="380" t="s">
        <v>134</v>
      </c>
      <c r="F25" s="380" t="s">
        <v>110</v>
      </c>
      <c r="G25" s="136" t="s">
        <v>298</v>
      </c>
      <c r="H25" s="136" t="s">
        <v>299</v>
      </c>
      <c r="I25" s="136" t="s">
        <v>300</v>
      </c>
      <c r="J25" s="380" t="s">
        <v>301</v>
      </c>
      <c r="K25" s="380" t="s">
        <v>110</v>
      </c>
      <c r="L25" s="136" t="s">
        <v>302</v>
      </c>
      <c r="M25" s="136" t="s">
        <v>303</v>
      </c>
      <c r="N25" s="136" t="s">
        <v>304</v>
      </c>
      <c r="O25" s="382" t="s">
        <v>110</v>
      </c>
    </row>
    <row r="26" spans="1:15" ht="19.5" customHeight="1">
      <c r="A26" s="137" t="s">
        <v>110</v>
      </c>
      <c r="B26" s="138" t="s">
        <v>110</v>
      </c>
      <c r="C26" s="139" t="s">
        <v>698</v>
      </c>
      <c r="D26" s="138" t="s">
        <v>110</v>
      </c>
      <c r="E26" s="373" t="s">
        <v>110</v>
      </c>
      <c r="F26" s="373" t="s">
        <v>110</v>
      </c>
      <c r="G26" s="140" t="s">
        <v>110</v>
      </c>
      <c r="H26" s="140" t="s">
        <v>110</v>
      </c>
      <c r="I26" s="140" t="s">
        <v>110</v>
      </c>
      <c r="J26" s="373" t="s">
        <v>110</v>
      </c>
      <c r="K26" s="373" t="s">
        <v>110</v>
      </c>
      <c r="L26" s="140" t="s">
        <v>110</v>
      </c>
      <c r="M26" s="140" t="s">
        <v>110</v>
      </c>
      <c r="N26" s="140" t="s">
        <v>110</v>
      </c>
      <c r="O26" s="141" t="s">
        <v>110</v>
      </c>
    </row>
    <row r="27" spans="1:15" ht="29.25" customHeight="1">
      <c r="A27" s="137" t="s">
        <v>110</v>
      </c>
      <c r="B27" s="138" t="s">
        <v>154</v>
      </c>
      <c r="C27" s="139" t="s">
        <v>699</v>
      </c>
      <c r="D27" s="138" t="s">
        <v>156</v>
      </c>
      <c r="E27" s="373">
        <v>9.4499999999999993</v>
      </c>
      <c r="F27" s="373" t="s">
        <v>110</v>
      </c>
      <c r="G27" s="140">
        <v>356.2</v>
      </c>
      <c r="H27" s="140">
        <v>3366.09</v>
      </c>
      <c r="I27" s="140" t="s">
        <v>110</v>
      </c>
      <c r="J27" s="373" t="s">
        <v>110</v>
      </c>
      <c r="K27" s="373" t="s">
        <v>110</v>
      </c>
      <c r="L27" s="140" t="s">
        <v>110</v>
      </c>
      <c r="M27" s="140">
        <v>3366.09</v>
      </c>
      <c r="N27" s="140" t="s">
        <v>110</v>
      </c>
      <c r="O27" s="141" t="s">
        <v>110</v>
      </c>
    </row>
    <row r="28" spans="1:15" ht="29.25" customHeight="1">
      <c r="A28" s="137">
        <v>11</v>
      </c>
      <c r="B28" s="138" t="s">
        <v>700</v>
      </c>
      <c r="C28" s="139" t="s">
        <v>701</v>
      </c>
      <c r="D28" s="138" t="s">
        <v>702</v>
      </c>
      <c r="E28" s="373">
        <v>2</v>
      </c>
      <c r="F28" s="373" t="s">
        <v>110</v>
      </c>
      <c r="G28" s="140">
        <v>1000</v>
      </c>
      <c r="H28" s="140">
        <v>2000</v>
      </c>
      <c r="I28" s="140" t="s">
        <v>110</v>
      </c>
      <c r="J28" s="373" t="s">
        <v>110</v>
      </c>
      <c r="K28" s="373" t="s">
        <v>110</v>
      </c>
      <c r="L28" s="140" t="s">
        <v>110</v>
      </c>
      <c r="M28" s="140">
        <v>2000</v>
      </c>
      <c r="N28" s="140" t="s">
        <v>110</v>
      </c>
      <c r="O28" s="141" t="s">
        <v>110</v>
      </c>
    </row>
    <row r="29" spans="1:15" ht="29.25" customHeight="1">
      <c r="A29" s="137">
        <v>12</v>
      </c>
      <c r="B29" s="138" t="s">
        <v>158</v>
      </c>
      <c r="C29" s="139" t="s">
        <v>703</v>
      </c>
      <c r="D29" s="138" t="s">
        <v>702</v>
      </c>
      <c r="E29" s="373">
        <v>2</v>
      </c>
      <c r="F29" s="373" t="s">
        <v>110</v>
      </c>
      <c r="G29" s="140">
        <v>950</v>
      </c>
      <c r="H29" s="140">
        <v>1900</v>
      </c>
      <c r="I29" s="140" t="s">
        <v>110</v>
      </c>
      <c r="J29" s="373" t="s">
        <v>110</v>
      </c>
      <c r="K29" s="373" t="s">
        <v>110</v>
      </c>
      <c r="L29" s="140" t="s">
        <v>110</v>
      </c>
      <c r="M29" s="140">
        <v>1900</v>
      </c>
      <c r="N29" s="140" t="s">
        <v>110</v>
      </c>
      <c r="O29" s="141" t="s">
        <v>110</v>
      </c>
    </row>
    <row r="30" spans="1:15" ht="29.25" customHeight="1">
      <c r="A30" s="137">
        <v>13</v>
      </c>
      <c r="B30" s="138" t="s">
        <v>167</v>
      </c>
      <c r="C30" s="139" t="s">
        <v>704</v>
      </c>
      <c r="D30" s="138" t="s">
        <v>702</v>
      </c>
      <c r="E30" s="373">
        <v>1</v>
      </c>
      <c r="F30" s="373" t="s">
        <v>110</v>
      </c>
      <c r="G30" s="140">
        <v>30000</v>
      </c>
      <c r="H30" s="140">
        <v>30000</v>
      </c>
      <c r="I30" s="140" t="s">
        <v>110</v>
      </c>
      <c r="J30" s="373" t="s">
        <v>110</v>
      </c>
      <c r="K30" s="373" t="s">
        <v>110</v>
      </c>
      <c r="L30" s="140" t="s">
        <v>110</v>
      </c>
      <c r="M30" s="140">
        <v>30000</v>
      </c>
      <c r="N30" s="140" t="s">
        <v>110</v>
      </c>
      <c r="O30" s="141" t="s">
        <v>110</v>
      </c>
    </row>
    <row r="31" spans="1:15" ht="29.25" customHeight="1">
      <c r="A31" s="137">
        <v>14</v>
      </c>
      <c r="B31" s="138" t="s">
        <v>705</v>
      </c>
      <c r="C31" s="139" t="s">
        <v>706</v>
      </c>
      <c r="D31" s="138" t="s">
        <v>702</v>
      </c>
      <c r="E31" s="373">
        <v>48</v>
      </c>
      <c r="F31" s="373" t="s">
        <v>110</v>
      </c>
      <c r="G31" s="140">
        <v>1200</v>
      </c>
      <c r="H31" s="140">
        <v>57600</v>
      </c>
      <c r="I31" s="140" t="s">
        <v>110</v>
      </c>
      <c r="J31" s="373" t="s">
        <v>110</v>
      </c>
      <c r="K31" s="373" t="s">
        <v>110</v>
      </c>
      <c r="L31" s="140" t="s">
        <v>110</v>
      </c>
      <c r="M31" s="140">
        <v>57600</v>
      </c>
      <c r="N31" s="140" t="s">
        <v>110</v>
      </c>
      <c r="O31" s="141" t="s">
        <v>110</v>
      </c>
    </row>
    <row r="32" spans="1:15" ht="29.25" customHeight="1">
      <c r="A32" s="137">
        <v>15</v>
      </c>
      <c r="B32" s="138" t="s">
        <v>707</v>
      </c>
      <c r="C32" s="139" t="s">
        <v>708</v>
      </c>
      <c r="D32" s="138" t="s">
        <v>702</v>
      </c>
      <c r="E32" s="373">
        <v>4</v>
      </c>
      <c r="F32" s="373" t="s">
        <v>110</v>
      </c>
      <c r="G32" s="140">
        <v>2000</v>
      </c>
      <c r="H32" s="140">
        <v>8000</v>
      </c>
      <c r="I32" s="140" t="s">
        <v>110</v>
      </c>
      <c r="J32" s="373" t="s">
        <v>110</v>
      </c>
      <c r="K32" s="373" t="s">
        <v>110</v>
      </c>
      <c r="L32" s="140" t="s">
        <v>110</v>
      </c>
      <c r="M32" s="140">
        <v>8000</v>
      </c>
      <c r="N32" s="140" t="s">
        <v>110</v>
      </c>
      <c r="O32" s="141" t="s">
        <v>110</v>
      </c>
    </row>
    <row r="33" spans="1:15" ht="29.25" customHeight="1">
      <c r="A33" s="137">
        <v>16</v>
      </c>
      <c r="B33" s="138" t="s">
        <v>709</v>
      </c>
      <c r="C33" s="139" t="s">
        <v>710</v>
      </c>
      <c r="D33" s="138" t="s">
        <v>702</v>
      </c>
      <c r="E33" s="373">
        <v>4</v>
      </c>
      <c r="F33" s="373" t="s">
        <v>110</v>
      </c>
      <c r="G33" s="140">
        <v>2300</v>
      </c>
      <c r="H33" s="140">
        <v>9200</v>
      </c>
      <c r="I33" s="140" t="s">
        <v>110</v>
      </c>
      <c r="J33" s="373" t="s">
        <v>110</v>
      </c>
      <c r="K33" s="373" t="s">
        <v>110</v>
      </c>
      <c r="L33" s="140" t="s">
        <v>110</v>
      </c>
      <c r="M33" s="140">
        <v>9200</v>
      </c>
      <c r="N33" s="140" t="s">
        <v>110</v>
      </c>
      <c r="O33" s="141" t="s">
        <v>110</v>
      </c>
    </row>
    <row r="34" spans="1:15" ht="29.25" customHeight="1">
      <c r="A34" s="137">
        <v>17</v>
      </c>
      <c r="B34" s="138" t="s">
        <v>711</v>
      </c>
      <c r="C34" s="139" t="s">
        <v>712</v>
      </c>
      <c r="D34" s="138" t="s">
        <v>153</v>
      </c>
      <c r="E34" s="373">
        <v>10</v>
      </c>
      <c r="F34" s="373" t="s">
        <v>110</v>
      </c>
      <c r="G34" s="140">
        <v>71.319999999999993</v>
      </c>
      <c r="H34" s="140">
        <v>713.2</v>
      </c>
      <c r="I34" s="140">
        <v>679</v>
      </c>
      <c r="J34" s="373">
        <v>34.200000000000003</v>
      </c>
      <c r="K34" s="373" t="s">
        <v>110</v>
      </c>
      <c r="L34" s="140" t="s">
        <v>110</v>
      </c>
      <c r="M34" s="140">
        <v>670</v>
      </c>
      <c r="N34" s="140" t="s">
        <v>110</v>
      </c>
      <c r="O34" s="141">
        <v>8.24</v>
      </c>
    </row>
    <row r="35" spans="1:15" ht="29.25" customHeight="1">
      <c r="A35" s="137" t="s">
        <v>110</v>
      </c>
      <c r="B35" s="138" t="s">
        <v>154</v>
      </c>
      <c r="C35" s="139" t="s">
        <v>712</v>
      </c>
      <c r="D35" s="138" t="s">
        <v>153</v>
      </c>
      <c r="E35" s="373">
        <v>10</v>
      </c>
      <c r="F35" s="373" t="s">
        <v>110</v>
      </c>
      <c r="G35" s="140">
        <v>67</v>
      </c>
      <c r="H35" s="140">
        <v>670</v>
      </c>
      <c r="I35" s="140" t="s">
        <v>110</v>
      </c>
      <c r="J35" s="373" t="s">
        <v>110</v>
      </c>
      <c r="K35" s="373" t="s">
        <v>110</v>
      </c>
      <c r="L35" s="140" t="s">
        <v>110</v>
      </c>
      <c r="M35" s="140">
        <v>670</v>
      </c>
      <c r="N35" s="140" t="s">
        <v>110</v>
      </c>
      <c r="O35" s="141" t="s">
        <v>110</v>
      </c>
    </row>
    <row r="36" spans="1:15" ht="29.25" customHeight="1">
      <c r="A36" s="137">
        <v>18</v>
      </c>
      <c r="B36" s="138" t="s">
        <v>333</v>
      </c>
      <c r="C36" s="139" t="s">
        <v>713</v>
      </c>
      <c r="D36" s="138" t="s">
        <v>330</v>
      </c>
      <c r="E36" s="373">
        <v>1.6</v>
      </c>
      <c r="F36" s="373" t="s">
        <v>110</v>
      </c>
      <c r="G36" s="140">
        <v>127.7</v>
      </c>
      <c r="H36" s="140">
        <v>204.32</v>
      </c>
      <c r="I36" s="140">
        <v>202.64</v>
      </c>
      <c r="J36" s="373">
        <v>1.68</v>
      </c>
      <c r="K36" s="373" t="s">
        <v>110</v>
      </c>
      <c r="L36" s="140" t="s">
        <v>110</v>
      </c>
      <c r="M36" s="140">
        <v>3520</v>
      </c>
      <c r="N36" s="140" t="s">
        <v>110</v>
      </c>
      <c r="O36" s="141">
        <v>2.4592000000000001</v>
      </c>
    </row>
    <row r="37" spans="1:15" ht="29.25" customHeight="1">
      <c r="A37" s="137" t="s">
        <v>110</v>
      </c>
      <c r="B37" s="138" t="s">
        <v>154</v>
      </c>
      <c r="C37" s="139" t="s">
        <v>713</v>
      </c>
      <c r="D37" s="138" t="s">
        <v>157</v>
      </c>
      <c r="E37" s="373">
        <v>16</v>
      </c>
      <c r="F37" s="373" t="s">
        <v>110</v>
      </c>
      <c r="G37" s="140">
        <v>220</v>
      </c>
      <c r="H37" s="140">
        <v>3520</v>
      </c>
      <c r="I37" s="140" t="s">
        <v>110</v>
      </c>
      <c r="J37" s="373" t="s">
        <v>110</v>
      </c>
      <c r="K37" s="373" t="s">
        <v>110</v>
      </c>
      <c r="L37" s="140" t="s">
        <v>110</v>
      </c>
      <c r="M37" s="140">
        <v>3520</v>
      </c>
      <c r="N37" s="140" t="s">
        <v>110</v>
      </c>
      <c r="O37" s="141" t="s">
        <v>110</v>
      </c>
    </row>
    <row r="38" spans="1:15" ht="18" customHeight="1">
      <c r="A38" s="137" t="s">
        <v>110</v>
      </c>
      <c r="B38" s="138" t="s">
        <v>110</v>
      </c>
      <c r="C38" s="139" t="s">
        <v>110</v>
      </c>
      <c r="D38" s="138" t="s">
        <v>110</v>
      </c>
      <c r="E38" s="373" t="s">
        <v>110</v>
      </c>
      <c r="F38" s="373" t="s">
        <v>110</v>
      </c>
      <c r="G38" s="140" t="s">
        <v>110</v>
      </c>
      <c r="H38" s="140" t="s">
        <v>110</v>
      </c>
      <c r="I38" s="140" t="s">
        <v>110</v>
      </c>
      <c r="J38" s="373" t="s">
        <v>110</v>
      </c>
      <c r="K38" s="373" t="s">
        <v>110</v>
      </c>
      <c r="L38" s="140" t="s">
        <v>110</v>
      </c>
      <c r="M38" s="140" t="s">
        <v>110</v>
      </c>
      <c r="N38" s="140" t="s">
        <v>110</v>
      </c>
      <c r="O38" s="141" t="s">
        <v>110</v>
      </c>
    </row>
    <row r="39" spans="1:15" ht="16.5" customHeight="1" thickBot="1">
      <c r="A39" s="374" t="s">
        <v>135</v>
      </c>
      <c r="B39" s="375" t="s">
        <v>110</v>
      </c>
      <c r="C39" s="375" t="s">
        <v>110</v>
      </c>
      <c r="D39" s="375" t="s">
        <v>110</v>
      </c>
      <c r="E39" s="375" t="s">
        <v>110</v>
      </c>
      <c r="F39" s="375" t="s">
        <v>110</v>
      </c>
      <c r="G39" s="375" t="s">
        <v>110</v>
      </c>
      <c r="H39" s="142">
        <v>606605.43999999994</v>
      </c>
      <c r="I39" s="142">
        <v>83845.81</v>
      </c>
      <c r="J39" s="376">
        <v>14735.52</v>
      </c>
      <c r="K39" s="376" t="s">
        <v>110</v>
      </c>
      <c r="L39" s="142">
        <v>4341.29</v>
      </c>
      <c r="M39" s="142">
        <v>503682.81</v>
      </c>
      <c r="N39" s="142" t="s">
        <v>110</v>
      </c>
      <c r="O39" s="143">
        <v>1017.5481</v>
      </c>
    </row>
    <row r="40" spans="1:15" ht="16.5" customHeight="1">
      <c r="A40" s="372" t="s">
        <v>288</v>
      </c>
      <c r="B40" s="372" t="s">
        <v>110</v>
      </c>
      <c r="C40" s="372" t="s">
        <v>110</v>
      </c>
      <c r="D40" s="372" t="s">
        <v>110</v>
      </c>
      <c r="E40" s="372" t="s">
        <v>110</v>
      </c>
      <c r="F40" s="366" t="s">
        <v>289</v>
      </c>
      <c r="G40" s="366" t="s">
        <v>110</v>
      </c>
      <c r="H40" s="366" t="s">
        <v>110</v>
      </c>
      <c r="I40" s="366" t="s">
        <v>110</v>
      </c>
      <c r="J40" s="366" t="s">
        <v>110</v>
      </c>
      <c r="K40" s="367" t="s">
        <v>290</v>
      </c>
      <c r="L40" s="367" t="s">
        <v>110</v>
      </c>
      <c r="M40" s="367" t="s">
        <v>110</v>
      </c>
      <c r="N40" s="367" t="s">
        <v>110</v>
      </c>
      <c r="O40" s="367" t="s">
        <v>110</v>
      </c>
    </row>
  </sheetData>
  <mergeCells count="90"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4:F4"/>
    <mergeCell ref="J4:K4"/>
    <mergeCell ref="E5:F5"/>
    <mergeCell ref="J5:K5"/>
    <mergeCell ref="E6:F6"/>
    <mergeCell ref="J6:K6"/>
    <mergeCell ref="E7:F7"/>
    <mergeCell ref="J7:K7"/>
    <mergeCell ref="E8:F8"/>
    <mergeCell ref="J8:K8"/>
    <mergeCell ref="E9:F9"/>
    <mergeCell ref="J9:K9"/>
    <mergeCell ref="E10:F10"/>
    <mergeCell ref="J10:K10"/>
    <mergeCell ref="E11:F11"/>
    <mergeCell ref="J11:K11"/>
    <mergeCell ref="E12:F12"/>
    <mergeCell ref="J12:K12"/>
    <mergeCell ref="E13:F13"/>
    <mergeCell ref="J13:K13"/>
    <mergeCell ref="E14:F14"/>
    <mergeCell ref="J14:K14"/>
    <mergeCell ref="E15:F15"/>
    <mergeCell ref="J15:K15"/>
    <mergeCell ref="E16:F16"/>
    <mergeCell ref="J16:K16"/>
    <mergeCell ref="E17:F17"/>
    <mergeCell ref="J17:K17"/>
    <mergeCell ref="E18:F18"/>
    <mergeCell ref="J18:K18"/>
    <mergeCell ref="E19:F19"/>
    <mergeCell ref="J19:K19"/>
    <mergeCell ref="E20:F20"/>
    <mergeCell ref="J20:K20"/>
    <mergeCell ref="A21:E21"/>
    <mergeCell ref="F21:J21"/>
    <mergeCell ref="K21:O21"/>
    <mergeCell ref="A22:O22"/>
    <mergeCell ref="A23:J23"/>
    <mergeCell ref="K23:O23"/>
    <mergeCell ref="A24:A25"/>
    <mergeCell ref="B24:B25"/>
    <mergeCell ref="C24:C25"/>
    <mergeCell ref="D24:F24"/>
    <mergeCell ref="G24:H24"/>
    <mergeCell ref="I24:N24"/>
    <mergeCell ref="O24:O25"/>
    <mergeCell ref="E25:F25"/>
    <mergeCell ref="J25:K25"/>
    <mergeCell ref="E26:F26"/>
    <mergeCell ref="J26:K26"/>
    <mergeCell ref="E27:F27"/>
    <mergeCell ref="J27:K27"/>
    <mergeCell ref="E28:F28"/>
    <mergeCell ref="J28:K28"/>
    <mergeCell ref="E29:F29"/>
    <mergeCell ref="J29:K29"/>
    <mergeCell ref="E30:F30"/>
    <mergeCell ref="J30:K30"/>
    <mergeCell ref="E31:F31"/>
    <mergeCell ref="J31:K31"/>
    <mergeCell ref="E32:F32"/>
    <mergeCell ref="J32:K32"/>
    <mergeCell ref="E33:F33"/>
    <mergeCell ref="J33:K33"/>
    <mergeCell ref="E34:F34"/>
    <mergeCell ref="J34:K34"/>
    <mergeCell ref="E35:F35"/>
    <mergeCell ref="J35:K35"/>
    <mergeCell ref="E36:F36"/>
    <mergeCell ref="J36:K36"/>
    <mergeCell ref="A40:E40"/>
    <mergeCell ref="F40:J40"/>
    <mergeCell ref="K40:O40"/>
    <mergeCell ref="E37:F37"/>
    <mergeCell ref="J37:K37"/>
    <mergeCell ref="E38:F38"/>
    <mergeCell ref="J38:K38"/>
    <mergeCell ref="A39:G39"/>
    <mergeCell ref="J39:K39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6" workbookViewId="0">
      <selection activeCell="D16" sqref="D16:E16"/>
    </sheetView>
  </sheetViews>
  <sheetFormatPr defaultRowHeight="13.5"/>
  <sheetData>
    <row r="1" spans="1:7" ht="33.75" customHeight="1">
      <c r="A1" s="332" t="s">
        <v>228</v>
      </c>
      <c r="B1" s="332" t="s">
        <v>110</v>
      </c>
      <c r="C1" s="332" t="s">
        <v>110</v>
      </c>
      <c r="D1" s="332" t="s">
        <v>110</v>
      </c>
      <c r="E1" s="332" t="s">
        <v>110</v>
      </c>
      <c r="F1" s="332" t="s">
        <v>110</v>
      </c>
      <c r="G1" s="332" t="s">
        <v>110</v>
      </c>
    </row>
    <row r="2" spans="1:7" ht="14.25" thickBot="1">
      <c r="A2" s="333" t="s">
        <v>937</v>
      </c>
      <c r="B2" s="333" t="s">
        <v>110</v>
      </c>
      <c r="C2" s="333" t="s">
        <v>110</v>
      </c>
      <c r="D2" s="333" t="s">
        <v>110</v>
      </c>
      <c r="E2" s="334" t="s">
        <v>111</v>
      </c>
      <c r="F2" s="334" t="s">
        <v>110</v>
      </c>
      <c r="G2" s="334" t="s">
        <v>110</v>
      </c>
    </row>
    <row r="3" spans="1:7">
      <c r="A3" s="222" t="s">
        <v>112</v>
      </c>
      <c r="B3" s="335" t="s">
        <v>229</v>
      </c>
      <c r="C3" s="335" t="s">
        <v>110</v>
      </c>
      <c r="D3" s="335" t="s">
        <v>230</v>
      </c>
      <c r="E3" s="335" t="s">
        <v>110</v>
      </c>
      <c r="F3" s="225" t="s">
        <v>231</v>
      </c>
      <c r="G3" s="228" t="s">
        <v>232</v>
      </c>
    </row>
    <row r="4" spans="1:7">
      <c r="A4" s="223" t="s">
        <v>233</v>
      </c>
      <c r="B4" s="336" t="s">
        <v>234</v>
      </c>
      <c r="C4" s="336" t="s">
        <v>110</v>
      </c>
      <c r="D4" s="336" t="s">
        <v>234</v>
      </c>
      <c r="E4" s="336" t="s">
        <v>110</v>
      </c>
      <c r="F4" s="226" t="s">
        <v>110</v>
      </c>
      <c r="G4" s="229">
        <v>686018.15</v>
      </c>
    </row>
    <row r="5" spans="1:7" ht="24" customHeight="1">
      <c r="A5" s="223" t="s">
        <v>114</v>
      </c>
      <c r="B5" s="336" t="s">
        <v>235</v>
      </c>
      <c r="C5" s="336" t="s">
        <v>110</v>
      </c>
      <c r="D5" s="336" t="s">
        <v>236</v>
      </c>
      <c r="E5" s="336" t="s">
        <v>110</v>
      </c>
      <c r="F5" s="226" t="s">
        <v>110</v>
      </c>
      <c r="G5" s="229">
        <v>648278.93999999994</v>
      </c>
    </row>
    <row r="6" spans="1:7">
      <c r="A6" s="223" t="s">
        <v>233</v>
      </c>
      <c r="B6" s="336" t="s">
        <v>115</v>
      </c>
      <c r="C6" s="336" t="s">
        <v>110</v>
      </c>
      <c r="D6" s="336" t="s">
        <v>115</v>
      </c>
      <c r="E6" s="336" t="s">
        <v>110</v>
      </c>
      <c r="F6" s="226" t="s">
        <v>110</v>
      </c>
      <c r="G6" s="229">
        <v>18966.150000000001</v>
      </c>
    </row>
    <row r="7" spans="1:7">
      <c r="A7" s="223" t="s">
        <v>238</v>
      </c>
      <c r="B7" s="336" t="s">
        <v>116</v>
      </c>
      <c r="C7" s="336" t="s">
        <v>110</v>
      </c>
      <c r="D7" s="336" t="s">
        <v>116</v>
      </c>
      <c r="E7" s="336" t="s">
        <v>110</v>
      </c>
      <c r="F7" s="226" t="s">
        <v>110</v>
      </c>
      <c r="G7" s="229">
        <v>6928.78</v>
      </c>
    </row>
    <row r="8" spans="1:7">
      <c r="A8" s="223" t="s">
        <v>239</v>
      </c>
      <c r="B8" s="336" t="s">
        <v>240</v>
      </c>
      <c r="C8" s="336" t="s">
        <v>110</v>
      </c>
      <c r="D8" s="336" t="s">
        <v>241</v>
      </c>
      <c r="E8" s="336" t="s">
        <v>110</v>
      </c>
      <c r="F8" s="226" t="s">
        <v>110</v>
      </c>
      <c r="G8" s="229">
        <v>616274.23</v>
      </c>
    </row>
    <row r="9" spans="1:7">
      <c r="A9" s="223" t="s">
        <v>242</v>
      </c>
      <c r="B9" s="336" t="s">
        <v>243</v>
      </c>
      <c r="C9" s="336" t="s">
        <v>110</v>
      </c>
      <c r="D9" s="336" t="s">
        <v>117</v>
      </c>
      <c r="E9" s="336" t="s">
        <v>110</v>
      </c>
      <c r="F9" s="226" t="s">
        <v>110</v>
      </c>
      <c r="G9" s="229">
        <v>6109.78</v>
      </c>
    </row>
    <row r="10" spans="1:7">
      <c r="A10" s="223" t="s">
        <v>244</v>
      </c>
      <c r="B10" s="336" t="s">
        <v>245</v>
      </c>
      <c r="C10" s="336" t="s">
        <v>110</v>
      </c>
      <c r="D10" s="336" t="s">
        <v>245</v>
      </c>
      <c r="E10" s="336" t="s">
        <v>110</v>
      </c>
      <c r="F10" s="226" t="s">
        <v>110</v>
      </c>
      <c r="G10" s="229" t="s">
        <v>110</v>
      </c>
    </row>
    <row r="11" spans="1:7" ht="36.75" customHeight="1">
      <c r="A11" s="223" t="s">
        <v>118</v>
      </c>
      <c r="B11" s="336" t="s">
        <v>246</v>
      </c>
      <c r="C11" s="336" t="s">
        <v>110</v>
      </c>
      <c r="D11" s="336" t="s">
        <v>247</v>
      </c>
      <c r="E11" s="336" t="s">
        <v>110</v>
      </c>
      <c r="F11" s="226" t="s">
        <v>110</v>
      </c>
      <c r="G11" s="229">
        <v>2432.36</v>
      </c>
    </row>
    <row r="12" spans="1:7" ht="32.25" customHeight="1">
      <c r="A12" s="223" t="s">
        <v>119</v>
      </c>
      <c r="B12" s="336" t="s">
        <v>248</v>
      </c>
      <c r="C12" s="336" t="s">
        <v>110</v>
      </c>
      <c r="D12" s="336" t="s">
        <v>249</v>
      </c>
      <c r="E12" s="336" t="s">
        <v>110</v>
      </c>
      <c r="F12" s="226" t="s">
        <v>110</v>
      </c>
      <c r="G12" s="229" t="s">
        <v>110</v>
      </c>
    </row>
    <row r="13" spans="1:7">
      <c r="A13" s="223" t="s">
        <v>120</v>
      </c>
      <c r="B13" s="336" t="s">
        <v>115</v>
      </c>
      <c r="C13" s="336" t="s">
        <v>110</v>
      </c>
      <c r="D13" s="336" t="s">
        <v>250</v>
      </c>
      <c r="E13" s="336" t="s">
        <v>110</v>
      </c>
      <c r="F13" s="226" t="s">
        <v>110</v>
      </c>
      <c r="G13" s="229" t="s">
        <v>110</v>
      </c>
    </row>
    <row r="14" spans="1:7">
      <c r="A14" s="223" t="s">
        <v>251</v>
      </c>
      <c r="B14" s="336" t="s">
        <v>116</v>
      </c>
      <c r="C14" s="336" t="s">
        <v>110</v>
      </c>
      <c r="D14" s="336" t="s">
        <v>252</v>
      </c>
      <c r="E14" s="336" t="s">
        <v>110</v>
      </c>
      <c r="F14" s="226" t="s">
        <v>110</v>
      </c>
      <c r="G14" s="229" t="s">
        <v>110</v>
      </c>
    </row>
    <row r="15" spans="1:7">
      <c r="A15" s="223" t="s">
        <v>253</v>
      </c>
      <c r="B15" s="336" t="s">
        <v>243</v>
      </c>
      <c r="C15" s="336" t="s">
        <v>110</v>
      </c>
      <c r="D15" s="336" t="s">
        <v>254</v>
      </c>
      <c r="E15" s="336" t="s">
        <v>110</v>
      </c>
      <c r="F15" s="226" t="s">
        <v>110</v>
      </c>
      <c r="G15" s="229" t="s">
        <v>110</v>
      </c>
    </row>
    <row r="16" spans="1:7" ht="32.25" customHeight="1">
      <c r="A16" s="223" t="s">
        <v>121</v>
      </c>
      <c r="B16" s="336" t="s">
        <v>255</v>
      </c>
      <c r="C16" s="336" t="s">
        <v>110</v>
      </c>
      <c r="D16" s="336" t="s">
        <v>256</v>
      </c>
      <c r="E16" s="336" t="s">
        <v>110</v>
      </c>
      <c r="F16" s="226" t="s">
        <v>110</v>
      </c>
      <c r="G16" s="229">
        <v>2432.36</v>
      </c>
    </row>
    <row r="17" spans="1:7" ht="32.25" customHeight="1">
      <c r="A17" s="223" t="s">
        <v>257</v>
      </c>
      <c r="B17" s="336" t="s">
        <v>128</v>
      </c>
      <c r="C17" s="336" t="s">
        <v>110</v>
      </c>
      <c r="D17" s="336" t="s">
        <v>258</v>
      </c>
      <c r="E17" s="336" t="s">
        <v>110</v>
      </c>
      <c r="F17" s="226" t="s">
        <v>259</v>
      </c>
      <c r="G17" s="229">
        <v>2269.37</v>
      </c>
    </row>
    <row r="18" spans="1:7" ht="32.25" customHeight="1">
      <c r="A18" s="223" t="s">
        <v>260</v>
      </c>
      <c r="B18" s="336" t="s">
        <v>261</v>
      </c>
      <c r="C18" s="336" t="s">
        <v>110</v>
      </c>
      <c r="D18" s="336" t="s">
        <v>258</v>
      </c>
      <c r="E18" s="336" t="s">
        <v>110</v>
      </c>
      <c r="F18" s="226" t="s">
        <v>262</v>
      </c>
      <c r="G18" s="229">
        <v>162.99</v>
      </c>
    </row>
    <row r="19" spans="1:7">
      <c r="A19" s="223" t="s">
        <v>122</v>
      </c>
      <c r="B19" s="336" t="s">
        <v>263</v>
      </c>
      <c r="C19" s="336" t="s">
        <v>110</v>
      </c>
      <c r="D19" s="336" t="s">
        <v>110</v>
      </c>
      <c r="E19" s="336" t="s">
        <v>110</v>
      </c>
      <c r="F19" s="226" t="s">
        <v>110</v>
      </c>
      <c r="G19" s="229" t="s">
        <v>110</v>
      </c>
    </row>
    <row r="20" spans="1:7" ht="32.25" customHeight="1">
      <c r="A20" s="223" t="s">
        <v>125</v>
      </c>
      <c r="B20" s="336" t="s">
        <v>124</v>
      </c>
      <c r="C20" s="336" t="s">
        <v>110</v>
      </c>
      <c r="D20" s="336" t="s">
        <v>258</v>
      </c>
      <c r="E20" s="336" t="s">
        <v>110</v>
      </c>
      <c r="F20" s="226" t="s">
        <v>264</v>
      </c>
      <c r="G20" s="229">
        <v>4388.29</v>
      </c>
    </row>
    <row r="21" spans="1:7" ht="32.25" customHeight="1">
      <c r="A21" s="223" t="s">
        <v>127</v>
      </c>
      <c r="B21" s="336" t="s">
        <v>126</v>
      </c>
      <c r="C21" s="336" t="s">
        <v>110</v>
      </c>
      <c r="D21" s="336" t="s">
        <v>258</v>
      </c>
      <c r="E21" s="336" t="s">
        <v>110</v>
      </c>
      <c r="F21" s="226" t="s">
        <v>265</v>
      </c>
      <c r="G21" s="229">
        <v>3738.82</v>
      </c>
    </row>
    <row r="22" spans="1:7" ht="32.25" customHeight="1">
      <c r="A22" s="223" t="s">
        <v>129</v>
      </c>
      <c r="B22" s="336" t="s">
        <v>123</v>
      </c>
      <c r="C22" s="336" t="s">
        <v>110</v>
      </c>
      <c r="D22" s="336" t="s">
        <v>258</v>
      </c>
      <c r="E22" s="336" t="s">
        <v>110</v>
      </c>
      <c r="F22" s="226" t="s">
        <v>266</v>
      </c>
      <c r="G22" s="229">
        <v>2923.85</v>
      </c>
    </row>
    <row r="23" spans="1:7">
      <c r="A23" s="223" t="s">
        <v>131</v>
      </c>
      <c r="B23" s="336" t="s">
        <v>267</v>
      </c>
      <c r="C23" s="336" t="s">
        <v>110</v>
      </c>
      <c r="D23" s="336" t="s">
        <v>110</v>
      </c>
      <c r="E23" s="336" t="s">
        <v>110</v>
      </c>
      <c r="F23" s="226" t="s">
        <v>110</v>
      </c>
      <c r="G23" s="229" t="s">
        <v>110</v>
      </c>
    </row>
    <row r="24" spans="1:7" ht="32.25" customHeight="1">
      <c r="A24" s="223" t="s">
        <v>268</v>
      </c>
      <c r="B24" s="336" t="s">
        <v>269</v>
      </c>
      <c r="C24" s="336" t="s">
        <v>110</v>
      </c>
      <c r="D24" s="336" t="s">
        <v>270</v>
      </c>
      <c r="E24" s="336" t="s">
        <v>110</v>
      </c>
      <c r="F24" s="226" t="s">
        <v>271</v>
      </c>
      <c r="G24" s="229">
        <v>794.11</v>
      </c>
    </row>
    <row r="25" spans="1:7" ht="32.25" customHeight="1">
      <c r="A25" s="223" t="s">
        <v>272</v>
      </c>
      <c r="B25" s="336" t="s">
        <v>273</v>
      </c>
      <c r="C25" s="336" t="s">
        <v>110</v>
      </c>
      <c r="D25" s="336" t="s">
        <v>274</v>
      </c>
      <c r="E25" s="336" t="s">
        <v>110</v>
      </c>
      <c r="F25" s="226" t="s">
        <v>110</v>
      </c>
      <c r="G25" s="229">
        <v>662556.37</v>
      </c>
    </row>
    <row r="26" spans="1:7">
      <c r="A26" s="223" t="s">
        <v>275</v>
      </c>
      <c r="B26" s="336" t="s">
        <v>276</v>
      </c>
      <c r="C26" s="336" t="s">
        <v>110</v>
      </c>
      <c r="D26" s="336" t="s">
        <v>277</v>
      </c>
      <c r="E26" s="336" t="s">
        <v>110</v>
      </c>
      <c r="F26" s="226" t="s">
        <v>110</v>
      </c>
      <c r="G26" s="229" t="s">
        <v>110</v>
      </c>
    </row>
    <row r="27" spans="1:7" ht="32.25" customHeight="1">
      <c r="A27" s="223" t="s">
        <v>278</v>
      </c>
      <c r="B27" s="336" t="s">
        <v>130</v>
      </c>
      <c r="C27" s="336" t="s">
        <v>110</v>
      </c>
      <c r="D27" s="336" t="s">
        <v>279</v>
      </c>
      <c r="E27" s="336" t="s">
        <v>110</v>
      </c>
      <c r="F27" s="226" t="s">
        <v>280</v>
      </c>
      <c r="G27" s="229">
        <v>23461.78</v>
      </c>
    </row>
    <row r="28" spans="1:7">
      <c r="A28" s="223" t="s">
        <v>281</v>
      </c>
      <c r="B28" s="336" t="s">
        <v>282</v>
      </c>
      <c r="C28" s="336" t="s">
        <v>110</v>
      </c>
      <c r="D28" s="336" t="s">
        <v>283</v>
      </c>
      <c r="E28" s="336" t="s">
        <v>110</v>
      </c>
      <c r="F28" s="226" t="s">
        <v>110</v>
      </c>
      <c r="G28" s="229" t="s">
        <v>110</v>
      </c>
    </row>
    <row r="29" spans="1:7" ht="32.25" customHeight="1">
      <c r="A29" s="223" t="s">
        <v>284</v>
      </c>
      <c r="B29" s="336" t="s">
        <v>285</v>
      </c>
      <c r="C29" s="336" t="s">
        <v>110</v>
      </c>
      <c r="D29" s="336" t="s">
        <v>286</v>
      </c>
      <c r="E29" s="336" t="s">
        <v>110</v>
      </c>
      <c r="F29" s="226" t="s">
        <v>110</v>
      </c>
      <c r="G29" s="229">
        <v>686018.15</v>
      </c>
    </row>
    <row r="30" spans="1:7">
      <c r="A30" s="223" t="s">
        <v>110</v>
      </c>
      <c r="B30" s="336" t="s">
        <v>110</v>
      </c>
      <c r="C30" s="336" t="s">
        <v>110</v>
      </c>
      <c r="D30" s="337" t="s">
        <v>110</v>
      </c>
      <c r="E30" s="337" t="s">
        <v>110</v>
      </c>
      <c r="F30" s="226" t="s">
        <v>110</v>
      </c>
      <c r="G30" s="229" t="s">
        <v>110</v>
      </c>
    </row>
    <row r="31" spans="1:7">
      <c r="A31" s="223" t="s">
        <v>238</v>
      </c>
      <c r="B31" s="336" t="s">
        <v>132</v>
      </c>
      <c r="C31" s="336" t="s">
        <v>110</v>
      </c>
      <c r="D31" s="336" t="s">
        <v>287</v>
      </c>
      <c r="E31" s="336" t="s">
        <v>110</v>
      </c>
      <c r="F31" s="226" t="s">
        <v>110</v>
      </c>
      <c r="G31" s="229">
        <v>686018.15</v>
      </c>
    </row>
    <row r="32" spans="1:7">
      <c r="A32" s="223" t="s">
        <v>110</v>
      </c>
      <c r="B32" s="336" t="s">
        <v>110</v>
      </c>
      <c r="C32" s="336" t="s">
        <v>110</v>
      </c>
      <c r="D32" s="336" t="s">
        <v>110</v>
      </c>
      <c r="E32" s="336" t="s">
        <v>110</v>
      </c>
      <c r="F32" s="226" t="s">
        <v>110</v>
      </c>
      <c r="G32" s="229" t="s">
        <v>110</v>
      </c>
    </row>
    <row r="33" spans="1:7">
      <c r="A33" s="223" t="s">
        <v>110</v>
      </c>
      <c r="B33" s="336" t="s">
        <v>110</v>
      </c>
      <c r="C33" s="336" t="s">
        <v>110</v>
      </c>
      <c r="D33" s="336" t="s">
        <v>110</v>
      </c>
      <c r="E33" s="336" t="s">
        <v>110</v>
      </c>
      <c r="F33" s="226" t="s">
        <v>110</v>
      </c>
      <c r="G33" s="229" t="s">
        <v>110</v>
      </c>
    </row>
    <row r="34" spans="1:7">
      <c r="A34" s="223" t="s">
        <v>110</v>
      </c>
      <c r="B34" s="336" t="s">
        <v>110</v>
      </c>
      <c r="C34" s="336" t="s">
        <v>110</v>
      </c>
      <c r="D34" s="336" t="s">
        <v>110</v>
      </c>
      <c r="E34" s="336" t="s">
        <v>110</v>
      </c>
      <c r="F34" s="226" t="s">
        <v>110</v>
      </c>
      <c r="G34" s="229" t="s">
        <v>110</v>
      </c>
    </row>
    <row r="35" spans="1:7" ht="14.25" thickBot="1">
      <c r="A35" s="224" t="s">
        <v>110</v>
      </c>
      <c r="B35" s="339" t="s">
        <v>110</v>
      </c>
      <c r="C35" s="339" t="s">
        <v>110</v>
      </c>
      <c r="D35" s="339" t="s">
        <v>110</v>
      </c>
      <c r="E35" s="339" t="s">
        <v>110</v>
      </c>
      <c r="F35" s="227" t="s">
        <v>110</v>
      </c>
      <c r="G35" s="230" t="s">
        <v>110</v>
      </c>
    </row>
    <row r="36" spans="1:7">
      <c r="A36" s="333" t="s">
        <v>288</v>
      </c>
      <c r="B36" s="333" t="s">
        <v>110</v>
      </c>
      <c r="C36" s="338" t="s">
        <v>289</v>
      </c>
      <c r="D36" s="338" t="s">
        <v>110</v>
      </c>
      <c r="E36" s="334" t="s">
        <v>290</v>
      </c>
      <c r="F36" s="334" t="s">
        <v>110</v>
      </c>
      <c r="G36" s="334" t="s">
        <v>110</v>
      </c>
    </row>
  </sheetData>
  <mergeCells count="72">
    <mergeCell ref="B4:C4"/>
    <mergeCell ref="D4:E4"/>
    <mergeCell ref="A1:G1"/>
    <mergeCell ref="A2:D2"/>
    <mergeCell ref="E2:G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A36:B36"/>
    <mergeCell ref="C36:D36"/>
    <mergeCell ref="E36:G36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selection activeCell="C5" sqref="C5"/>
    </sheetView>
  </sheetViews>
  <sheetFormatPr defaultRowHeight="13.5"/>
  <sheetData>
    <row r="1" spans="1:15" ht="29.25" customHeight="1">
      <c r="A1" s="340" t="s">
        <v>291</v>
      </c>
      <c r="B1" s="340" t="s">
        <v>110</v>
      </c>
      <c r="C1" s="340" t="s">
        <v>110</v>
      </c>
      <c r="D1" s="340" t="s">
        <v>110</v>
      </c>
      <c r="E1" s="340" t="s">
        <v>110</v>
      </c>
      <c r="F1" s="340" t="s">
        <v>110</v>
      </c>
      <c r="G1" s="340" t="s">
        <v>110</v>
      </c>
      <c r="H1" s="340" t="s">
        <v>110</v>
      </c>
      <c r="I1" s="340" t="s">
        <v>110</v>
      </c>
      <c r="J1" s="340" t="s">
        <v>110</v>
      </c>
      <c r="K1" s="340" t="s">
        <v>110</v>
      </c>
      <c r="L1" s="340" t="s">
        <v>110</v>
      </c>
      <c r="M1" s="340" t="s">
        <v>110</v>
      </c>
      <c r="N1" s="340" t="s">
        <v>110</v>
      </c>
      <c r="O1" s="340" t="s">
        <v>110</v>
      </c>
    </row>
    <row r="2" spans="1:15" ht="14.25" thickBot="1">
      <c r="A2" s="341" t="s">
        <v>937</v>
      </c>
      <c r="B2" s="341" t="s">
        <v>110</v>
      </c>
      <c r="C2" s="341" t="s">
        <v>110</v>
      </c>
      <c r="D2" s="341" t="s">
        <v>110</v>
      </c>
      <c r="E2" s="341" t="s">
        <v>110</v>
      </c>
      <c r="F2" s="341" t="s">
        <v>110</v>
      </c>
      <c r="G2" s="341" t="s">
        <v>110</v>
      </c>
      <c r="H2" s="341" t="s">
        <v>110</v>
      </c>
      <c r="I2" s="341" t="s">
        <v>110</v>
      </c>
      <c r="J2" s="341" t="s">
        <v>110</v>
      </c>
      <c r="K2" s="334" t="s">
        <v>111</v>
      </c>
      <c r="L2" s="334" t="s">
        <v>110</v>
      </c>
      <c r="M2" s="334" t="s">
        <v>110</v>
      </c>
      <c r="N2" s="334" t="s">
        <v>110</v>
      </c>
      <c r="O2" s="334" t="s">
        <v>110</v>
      </c>
    </row>
    <row r="3" spans="1:15">
      <c r="A3" s="342" t="s">
        <v>112</v>
      </c>
      <c r="B3" s="335" t="s">
        <v>292</v>
      </c>
      <c r="C3" s="335" t="s">
        <v>293</v>
      </c>
      <c r="D3" s="335" t="s">
        <v>294</v>
      </c>
      <c r="E3" s="335" t="s">
        <v>110</v>
      </c>
      <c r="F3" s="335" t="s">
        <v>110</v>
      </c>
      <c r="G3" s="335" t="s">
        <v>295</v>
      </c>
      <c r="H3" s="335" t="s">
        <v>110</v>
      </c>
      <c r="I3" s="335" t="s">
        <v>296</v>
      </c>
      <c r="J3" s="335" t="s">
        <v>110</v>
      </c>
      <c r="K3" s="335" t="s">
        <v>110</v>
      </c>
      <c r="L3" s="335" t="s">
        <v>110</v>
      </c>
      <c r="M3" s="335" t="s">
        <v>110</v>
      </c>
      <c r="N3" s="335" t="s">
        <v>110</v>
      </c>
      <c r="O3" s="345" t="s">
        <v>297</v>
      </c>
    </row>
    <row r="4" spans="1:15">
      <c r="A4" s="343" t="s">
        <v>110</v>
      </c>
      <c r="B4" s="344" t="s">
        <v>110</v>
      </c>
      <c r="C4" s="344" t="s">
        <v>110</v>
      </c>
      <c r="D4" s="238" t="s">
        <v>133</v>
      </c>
      <c r="E4" s="344" t="s">
        <v>134</v>
      </c>
      <c r="F4" s="344" t="s">
        <v>110</v>
      </c>
      <c r="G4" s="238" t="s">
        <v>298</v>
      </c>
      <c r="H4" s="238" t="s">
        <v>299</v>
      </c>
      <c r="I4" s="238" t="s">
        <v>300</v>
      </c>
      <c r="J4" s="344" t="s">
        <v>301</v>
      </c>
      <c r="K4" s="344" t="s">
        <v>110</v>
      </c>
      <c r="L4" s="238" t="s">
        <v>302</v>
      </c>
      <c r="M4" s="238" t="s">
        <v>303</v>
      </c>
      <c r="N4" s="238" t="s">
        <v>304</v>
      </c>
      <c r="O4" s="346" t="s">
        <v>110</v>
      </c>
    </row>
    <row r="5" spans="1:15" ht="48">
      <c r="A5" s="231">
        <v>1</v>
      </c>
      <c r="B5" s="233" t="s">
        <v>607</v>
      </c>
      <c r="C5" s="232" t="s">
        <v>938</v>
      </c>
      <c r="D5" s="233" t="s">
        <v>140</v>
      </c>
      <c r="E5" s="347">
        <v>17.5</v>
      </c>
      <c r="F5" s="347" t="s">
        <v>110</v>
      </c>
      <c r="G5" s="234">
        <v>1828.84</v>
      </c>
      <c r="H5" s="234">
        <v>32004.7</v>
      </c>
      <c r="I5" s="234">
        <v>18966.150000000001</v>
      </c>
      <c r="J5" s="347">
        <v>6928.78</v>
      </c>
      <c r="K5" s="347" t="s">
        <v>110</v>
      </c>
      <c r="L5" s="234">
        <v>6109.78</v>
      </c>
      <c r="M5" s="234">
        <v>616274.23</v>
      </c>
      <c r="N5" s="234" t="s">
        <v>110</v>
      </c>
      <c r="O5" s="236">
        <v>250.25</v>
      </c>
    </row>
    <row r="6" spans="1:15" ht="48">
      <c r="A6" s="231" t="s">
        <v>110</v>
      </c>
      <c r="B6" s="233" t="s">
        <v>154</v>
      </c>
      <c r="C6" s="232" t="s">
        <v>938</v>
      </c>
      <c r="D6" s="233" t="s">
        <v>156</v>
      </c>
      <c r="E6" s="347">
        <v>1767.5</v>
      </c>
      <c r="F6" s="347" t="s">
        <v>110</v>
      </c>
      <c r="G6" s="234">
        <v>348.67</v>
      </c>
      <c r="H6" s="234">
        <v>616274.23</v>
      </c>
      <c r="I6" s="234" t="s">
        <v>110</v>
      </c>
      <c r="J6" s="347" t="s">
        <v>110</v>
      </c>
      <c r="K6" s="347" t="s">
        <v>110</v>
      </c>
      <c r="L6" s="234" t="s">
        <v>110</v>
      </c>
      <c r="M6" s="234">
        <v>616274.23</v>
      </c>
      <c r="N6" s="234" t="s">
        <v>110</v>
      </c>
      <c r="O6" s="236" t="s">
        <v>110</v>
      </c>
    </row>
    <row r="7" spans="1:15">
      <c r="A7" s="231" t="s">
        <v>110</v>
      </c>
      <c r="B7" s="233" t="s">
        <v>110</v>
      </c>
      <c r="C7" s="232" t="s">
        <v>110</v>
      </c>
      <c r="D7" s="233" t="s">
        <v>110</v>
      </c>
      <c r="E7" s="347" t="s">
        <v>110</v>
      </c>
      <c r="F7" s="347" t="s">
        <v>110</v>
      </c>
      <c r="G7" s="234" t="s">
        <v>110</v>
      </c>
      <c r="H7" s="234" t="s">
        <v>110</v>
      </c>
      <c r="I7" s="234" t="s">
        <v>110</v>
      </c>
      <c r="J7" s="347" t="s">
        <v>110</v>
      </c>
      <c r="K7" s="347" t="s">
        <v>110</v>
      </c>
      <c r="L7" s="234" t="s">
        <v>110</v>
      </c>
      <c r="M7" s="234" t="s">
        <v>110</v>
      </c>
      <c r="N7" s="234" t="s">
        <v>110</v>
      </c>
      <c r="O7" s="236" t="s">
        <v>110</v>
      </c>
    </row>
    <row r="8" spans="1:15">
      <c r="A8" s="231" t="s">
        <v>110</v>
      </c>
      <c r="B8" s="233" t="s">
        <v>110</v>
      </c>
      <c r="C8" s="232" t="s">
        <v>110</v>
      </c>
      <c r="D8" s="233" t="s">
        <v>110</v>
      </c>
      <c r="E8" s="347" t="s">
        <v>110</v>
      </c>
      <c r="F8" s="347" t="s">
        <v>110</v>
      </c>
      <c r="G8" s="234" t="s">
        <v>110</v>
      </c>
      <c r="H8" s="234" t="s">
        <v>110</v>
      </c>
      <c r="I8" s="234" t="s">
        <v>110</v>
      </c>
      <c r="J8" s="347" t="s">
        <v>110</v>
      </c>
      <c r="K8" s="347" t="s">
        <v>110</v>
      </c>
      <c r="L8" s="234" t="s">
        <v>110</v>
      </c>
      <c r="M8" s="234" t="s">
        <v>110</v>
      </c>
      <c r="N8" s="234" t="s">
        <v>110</v>
      </c>
      <c r="O8" s="236" t="s">
        <v>110</v>
      </c>
    </row>
    <row r="9" spans="1:15">
      <c r="A9" s="231" t="s">
        <v>110</v>
      </c>
      <c r="B9" s="233" t="s">
        <v>110</v>
      </c>
      <c r="C9" s="232" t="s">
        <v>110</v>
      </c>
      <c r="D9" s="233" t="s">
        <v>110</v>
      </c>
      <c r="E9" s="347" t="s">
        <v>110</v>
      </c>
      <c r="F9" s="347" t="s">
        <v>110</v>
      </c>
      <c r="G9" s="234" t="s">
        <v>110</v>
      </c>
      <c r="H9" s="234" t="s">
        <v>110</v>
      </c>
      <c r="I9" s="234" t="s">
        <v>110</v>
      </c>
      <c r="J9" s="347" t="s">
        <v>110</v>
      </c>
      <c r="K9" s="347" t="s">
        <v>110</v>
      </c>
      <c r="L9" s="234" t="s">
        <v>110</v>
      </c>
      <c r="M9" s="234" t="s">
        <v>110</v>
      </c>
      <c r="N9" s="234" t="s">
        <v>110</v>
      </c>
      <c r="O9" s="236" t="s">
        <v>110</v>
      </c>
    </row>
    <row r="10" spans="1:15">
      <c r="A10" s="231" t="s">
        <v>110</v>
      </c>
      <c r="B10" s="233" t="s">
        <v>110</v>
      </c>
      <c r="C10" s="232" t="s">
        <v>110</v>
      </c>
      <c r="D10" s="233" t="s">
        <v>110</v>
      </c>
      <c r="E10" s="347" t="s">
        <v>110</v>
      </c>
      <c r="F10" s="347" t="s">
        <v>110</v>
      </c>
      <c r="G10" s="234" t="s">
        <v>110</v>
      </c>
      <c r="H10" s="234" t="s">
        <v>110</v>
      </c>
      <c r="I10" s="234" t="s">
        <v>110</v>
      </c>
      <c r="J10" s="347" t="s">
        <v>110</v>
      </c>
      <c r="K10" s="347" t="s">
        <v>110</v>
      </c>
      <c r="L10" s="234" t="s">
        <v>110</v>
      </c>
      <c r="M10" s="234" t="s">
        <v>110</v>
      </c>
      <c r="N10" s="234" t="s">
        <v>110</v>
      </c>
      <c r="O10" s="236" t="s">
        <v>110</v>
      </c>
    </row>
    <row r="11" spans="1:15">
      <c r="A11" s="231" t="s">
        <v>110</v>
      </c>
      <c r="B11" s="233" t="s">
        <v>110</v>
      </c>
      <c r="C11" s="232" t="s">
        <v>110</v>
      </c>
      <c r="D11" s="233" t="s">
        <v>110</v>
      </c>
      <c r="E11" s="347" t="s">
        <v>110</v>
      </c>
      <c r="F11" s="347" t="s">
        <v>110</v>
      </c>
      <c r="G11" s="234" t="s">
        <v>110</v>
      </c>
      <c r="H11" s="234" t="s">
        <v>110</v>
      </c>
      <c r="I11" s="234" t="s">
        <v>110</v>
      </c>
      <c r="J11" s="347" t="s">
        <v>110</v>
      </c>
      <c r="K11" s="347" t="s">
        <v>110</v>
      </c>
      <c r="L11" s="234" t="s">
        <v>110</v>
      </c>
      <c r="M11" s="234" t="s">
        <v>110</v>
      </c>
      <c r="N11" s="234" t="s">
        <v>110</v>
      </c>
      <c r="O11" s="236" t="s">
        <v>110</v>
      </c>
    </row>
    <row r="12" spans="1:15">
      <c r="A12" s="231" t="s">
        <v>110</v>
      </c>
      <c r="B12" s="233" t="s">
        <v>110</v>
      </c>
      <c r="C12" s="232" t="s">
        <v>110</v>
      </c>
      <c r="D12" s="233" t="s">
        <v>110</v>
      </c>
      <c r="E12" s="347" t="s">
        <v>110</v>
      </c>
      <c r="F12" s="347" t="s">
        <v>110</v>
      </c>
      <c r="G12" s="234" t="s">
        <v>110</v>
      </c>
      <c r="H12" s="234" t="s">
        <v>110</v>
      </c>
      <c r="I12" s="234" t="s">
        <v>110</v>
      </c>
      <c r="J12" s="347" t="s">
        <v>110</v>
      </c>
      <c r="K12" s="347" t="s">
        <v>110</v>
      </c>
      <c r="L12" s="234" t="s">
        <v>110</v>
      </c>
      <c r="M12" s="234" t="s">
        <v>110</v>
      </c>
      <c r="N12" s="234" t="s">
        <v>110</v>
      </c>
      <c r="O12" s="236" t="s">
        <v>110</v>
      </c>
    </row>
    <row r="13" spans="1:15">
      <c r="A13" s="231" t="s">
        <v>110</v>
      </c>
      <c r="B13" s="233" t="s">
        <v>110</v>
      </c>
      <c r="C13" s="232" t="s">
        <v>110</v>
      </c>
      <c r="D13" s="233" t="s">
        <v>110</v>
      </c>
      <c r="E13" s="347" t="s">
        <v>110</v>
      </c>
      <c r="F13" s="347" t="s">
        <v>110</v>
      </c>
      <c r="G13" s="234" t="s">
        <v>110</v>
      </c>
      <c r="H13" s="234" t="s">
        <v>110</v>
      </c>
      <c r="I13" s="234" t="s">
        <v>110</v>
      </c>
      <c r="J13" s="347" t="s">
        <v>110</v>
      </c>
      <c r="K13" s="347" t="s">
        <v>110</v>
      </c>
      <c r="L13" s="234" t="s">
        <v>110</v>
      </c>
      <c r="M13" s="234" t="s">
        <v>110</v>
      </c>
      <c r="N13" s="234" t="s">
        <v>110</v>
      </c>
      <c r="O13" s="236" t="s">
        <v>110</v>
      </c>
    </row>
    <row r="14" spans="1:15">
      <c r="A14" s="231" t="s">
        <v>110</v>
      </c>
      <c r="B14" s="233" t="s">
        <v>110</v>
      </c>
      <c r="C14" s="232" t="s">
        <v>110</v>
      </c>
      <c r="D14" s="233" t="s">
        <v>110</v>
      </c>
      <c r="E14" s="347" t="s">
        <v>110</v>
      </c>
      <c r="F14" s="347" t="s">
        <v>110</v>
      </c>
      <c r="G14" s="234" t="s">
        <v>110</v>
      </c>
      <c r="H14" s="234" t="s">
        <v>110</v>
      </c>
      <c r="I14" s="234" t="s">
        <v>110</v>
      </c>
      <c r="J14" s="347" t="s">
        <v>110</v>
      </c>
      <c r="K14" s="347" t="s">
        <v>110</v>
      </c>
      <c r="L14" s="234" t="s">
        <v>110</v>
      </c>
      <c r="M14" s="234" t="s">
        <v>110</v>
      </c>
      <c r="N14" s="234" t="s">
        <v>110</v>
      </c>
      <c r="O14" s="236" t="s">
        <v>110</v>
      </c>
    </row>
    <row r="15" spans="1:15">
      <c r="A15" s="231" t="s">
        <v>110</v>
      </c>
      <c r="B15" s="233" t="s">
        <v>110</v>
      </c>
      <c r="C15" s="232" t="s">
        <v>110</v>
      </c>
      <c r="D15" s="233" t="s">
        <v>110</v>
      </c>
      <c r="E15" s="347" t="s">
        <v>110</v>
      </c>
      <c r="F15" s="347" t="s">
        <v>110</v>
      </c>
      <c r="G15" s="234" t="s">
        <v>110</v>
      </c>
      <c r="H15" s="234" t="s">
        <v>110</v>
      </c>
      <c r="I15" s="234" t="s">
        <v>110</v>
      </c>
      <c r="J15" s="347" t="s">
        <v>110</v>
      </c>
      <c r="K15" s="347" t="s">
        <v>110</v>
      </c>
      <c r="L15" s="234" t="s">
        <v>110</v>
      </c>
      <c r="M15" s="234" t="s">
        <v>110</v>
      </c>
      <c r="N15" s="234" t="s">
        <v>110</v>
      </c>
      <c r="O15" s="236" t="s">
        <v>110</v>
      </c>
    </row>
    <row r="16" spans="1:15">
      <c r="A16" s="231" t="s">
        <v>110</v>
      </c>
      <c r="B16" s="233" t="s">
        <v>110</v>
      </c>
      <c r="C16" s="232" t="s">
        <v>110</v>
      </c>
      <c r="D16" s="233" t="s">
        <v>110</v>
      </c>
      <c r="E16" s="347" t="s">
        <v>110</v>
      </c>
      <c r="F16" s="347" t="s">
        <v>110</v>
      </c>
      <c r="G16" s="234" t="s">
        <v>110</v>
      </c>
      <c r="H16" s="234" t="s">
        <v>110</v>
      </c>
      <c r="I16" s="234" t="s">
        <v>110</v>
      </c>
      <c r="J16" s="347" t="s">
        <v>110</v>
      </c>
      <c r="K16" s="347" t="s">
        <v>110</v>
      </c>
      <c r="L16" s="234" t="s">
        <v>110</v>
      </c>
      <c r="M16" s="234" t="s">
        <v>110</v>
      </c>
      <c r="N16" s="234" t="s">
        <v>110</v>
      </c>
      <c r="O16" s="236" t="s">
        <v>110</v>
      </c>
    </row>
    <row r="17" spans="1:15">
      <c r="A17" s="231" t="s">
        <v>110</v>
      </c>
      <c r="B17" s="233" t="s">
        <v>110</v>
      </c>
      <c r="C17" s="232" t="s">
        <v>110</v>
      </c>
      <c r="D17" s="233" t="s">
        <v>110</v>
      </c>
      <c r="E17" s="347" t="s">
        <v>110</v>
      </c>
      <c r="F17" s="347" t="s">
        <v>110</v>
      </c>
      <c r="G17" s="234" t="s">
        <v>110</v>
      </c>
      <c r="H17" s="234" t="s">
        <v>110</v>
      </c>
      <c r="I17" s="234" t="s">
        <v>110</v>
      </c>
      <c r="J17" s="347" t="s">
        <v>110</v>
      </c>
      <c r="K17" s="347" t="s">
        <v>110</v>
      </c>
      <c r="L17" s="234" t="s">
        <v>110</v>
      </c>
      <c r="M17" s="234" t="s">
        <v>110</v>
      </c>
      <c r="N17" s="234" t="s">
        <v>110</v>
      </c>
      <c r="O17" s="236" t="s">
        <v>110</v>
      </c>
    </row>
    <row r="18" spans="1:15">
      <c r="A18" s="231" t="s">
        <v>110</v>
      </c>
      <c r="B18" s="233" t="s">
        <v>110</v>
      </c>
      <c r="C18" s="232" t="s">
        <v>110</v>
      </c>
      <c r="D18" s="233" t="s">
        <v>110</v>
      </c>
      <c r="E18" s="347" t="s">
        <v>110</v>
      </c>
      <c r="F18" s="347" t="s">
        <v>110</v>
      </c>
      <c r="G18" s="234" t="s">
        <v>110</v>
      </c>
      <c r="H18" s="234" t="s">
        <v>110</v>
      </c>
      <c r="I18" s="234" t="s">
        <v>110</v>
      </c>
      <c r="J18" s="347" t="s">
        <v>110</v>
      </c>
      <c r="K18" s="347" t="s">
        <v>110</v>
      </c>
      <c r="L18" s="234" t="s">
        <v>110</v>
      </c>
      <c r="M18" s="234" t="s">
        <v>110</v>
      </c>
      <c r="N18" s="234" t="s">
        <v>110</v>
      </c>
      <c r="O18" s="236" t="s">
        <v>110</v>
      </c>
    </row>
    <row r="19" spans="1:15">
      <c r="A19" s="231" t="s">
        <v>110</v>
      </c>
      <c r="B19" s="233" t="s">
        <v>110</v>
      </c>
      <c r="C19" s="232" t="s">
        <v>110</v>
      </c>
      <c r="D19" s="233" t="s">
        <v>110</v>
      </c>
      <c r="E19" s="347" t="s">
        <v>110</v>
      </c>
      <c r="F19" s="347" t="s">
        <v>110</v>
      </c>
      <c r="G19" s="234" t="s">
        <v>110</v>
      </c>
      <c r="H19" s="234" t="s">
        <v>110</v>
      </c>
      <c r="I19" s="234" t="s">
        <v>110</v>
      </c>
      <c r="J19" s="347" t="s">
        <v>110</v>
      </c>
      <c r="K19" s="347" t="s">
        <v>110</v>
      </c>
      <c r="L19" s="234" t="s">
        <v>110</v>
      </c>
      <c r="M19" s="234" t="s">
        <v>110</v>
      </c>
      <c r="N19" s="234" t="s">
        <v>110</v>
      </c>
      <c r="O19" s="236" t="s">
        <v>110</v>
      </c>
    </row>
    <row r="20" spans="1:15">
      <c r="A20" s="231" t="s">
        <v>110</v>
      </c>
      <c r="B20" s="233" t="s">
        <v>110</v>
      </c>
      <c r="C20" s="232" t="s">
        <v>110</v>
      </c>
      <c r="D20" s="233" t="s">
        <v>110</v>
      </c>
      <c r="E20" s="347" t="s">
        <v>110</v>
      </c>
      <c r="F20" s="347" t="s">
        <v>110</v>
      </c>
      <c r="G20" s="234" t="s">
        <v>110</v>
      </c>
      <c r="H20" s="234" t="s">
        <v>110</v>
      </c>
      <c r="I20" s="234" t="s">
        <v>110</v>
      </c>
      <c r="J20" s="347" t="s">
        <v>110</v>
      </c>
      <c r="K20" s="347" t="s">
        <v>110</v>
      </c>
      <c r="L20" s="234" t="s">
        <v>110</v>
      </c>
      <c r="M20" s="234" t="s">
        <v>110</v>
      </c>
      <c r="N20" s="234" t="s">
        <v>110</v>
      </c>
      <c r="O20" s="236" t="s">
        <v>110</v>
      </c>
    </row>
    <row r="21" spans="1:15">
      <c r="A21" s="231" t="s">
        <v>110</v>
      </c>
      <c r="B21" s="233" t="s">
        <v>110</v>
      </c>
      <c r="C21" s="232" t="s">
        <v>110</v>
      </c>
      <c r="D21" s="233" t="s">
        <v>110</v>
      </c>
      <c r="E21" s="347" t="s">
        <v>110</v>
      </c>
      <c r="F21" s="347" t="s">
        <v>110</v>
      </c>
      <c r="G21" s="234" t="s">
        <v>110</v>
      </c>
      <c r="H21" s="234" t="s">
        <v>110</v>
      </c>
      <c r="I21" s="234" t="s">
        <v>110</v>
      </c>
      <c r="J21" s="347" t="s">
        <v>110</v>
      </c>
      <c r="K21" s="347" t="s">
        <v>110</v>
      </c>
      <c r="L21" s="234" t="s">
        <v>110</v>
      </c>
      <c r="M21" s="234" t="s">
        <v>110</v>
      </c>
      <c r="N21" s="234" t="s">
        <v>110</v>
      </c>
      <c r="O21" s="236" t="s">
        <v>110</v>
      </c>
    </row>
    <row r="22" spans="1:15">
      <c r="A22" s="231" t="s">
        <v>110</v>
      </c>
      <c r="B22" s="233" t="s">
        <v>110</v>
      </c>
      <c r="C22" s="232" t="s">
        <v>110</v>
      </c>
      <c r="D22" s="233" t="s">
        <v>110</v>
      </c>
      <c r="E22" s="347" t="s">
        <v>110</v>
      </c>
      <c r="F22" s="347" t="s">
        <v>110</v>
      </c>
      <c r="G22" s="234" t="s">
        <v>110</v>
      </c>
      <c r="H22" s="234" t="s">
        <v>110</v>
      </c>
      <c r="I22" s="234" t="s">
        <v>110</v>
      </c>
      <c r="J22" s="347" t="s">
        <v>110</v>
      </c>
      <c r="K22" s="347" t="s">
        <v>110</v>
      </c>
      <c r="L22" s="234" t="s">
        <v>110</v>
      </c>
      <c r="M22" s="234" t="s">
        <v>110</v>
      </c>
      <c r="N22" s="234" t="s">
        <v>110</v>
      </c>
      <c r="O22" s="236" t="s">
        <v>110</v>
      </c>
    </row>
    <row r="23" spans="1:15">
      <c r="A23" s="231" t="s">
        <v>110</v>
      </c>
      <c r="B23" s="233" t="s">
        <v>110</v>
      </c>
      <c r="C23" s="232" t="s">
        <v>110</v>
      </c>
      <c r="D23" s="233" t="s">
        <v>110</v>
      </c>
      <c r="E23" s="347" t="s">
        <v>110</v>
      </c>
      <c r="F23" s="347" t="s">
        <v>110</v>
      </c>
      <c r="G23" s="234" t="s">
        <v>110</v>
      </c>
      <c r="H23" s="234" t="s">
        <v>110</v>
      </c>
      <c r="I23" s="234" t="s">
        <v>110</v>
      </c>
      <c r="J23" s="347" t="s">
        <v>110</v>
      </c>
      <c r="K23" s="347" t="s">
        <v>110</v>
      </c>
      <c r="L23" s="234" t="s">
        <v>110</v>
      </c>
      <c r="M23" s="234" t="s">
        <v>110</v>
      </c>
      <c r="N23" s="234" t="s">
        <v>110</v>
      </c>
      <c r="O23" s="236" t="s">
        <v>110</v>
      </c>
    </row>
    <row r="24" spans="1:15" ht="14.25" thickBot="1">
      <c r="A24" s="349" t="s">
        <v>135</v>
      </c>
      <c r="B24" s="350" t="s">
        <v>110</v>
      </c>
      <c r="C24" s="350" t="s">
        <v>110</v>
      </c>
      <c r="D24" s="350" t="s">
        <v>110</v>
      </c>
      <c r="E24" s="350" t="s">
        <v>110</v>
      </c>
      <c r="F24" s="350" t="s">
        <v>110</v>
      </c>
      <c r="G24" s="350" t="s">
        <v>110</v>
      </c>
      <c r="H24" s="235">
        <v>648278.93000000005</v>
      </c>
      <c r="I24" s="235">
        <v>18966.150000000001</v>
      </c>
      <c r="J24" s="348">
        <v>6928.78</v>
      </c>
      <c r="K24" s="348" t="s">
        <v>110</v>
      </c>
      <c r="L24" s="235">
        <v>6109.78</v>
      </c>
      <c r="M24" s="235">
        <v>616274.23</v>
      </c>
      <c r="N24" s="235" t="s">
        <v>110</v>
      </c>
      <c r="O24" s="237">
        <v>250.25</v>
      </c>
    </row>
    <row r="25" spans="1:15">
      <c r="A25" s="341" t="s">
        <v>288</v>
      </c>
      <c r="B25" s="341" t="s">
        <v>110</v>
      </c>
      <c r="C25" s="341" t="s">
        <v>110</v>
      </c>
      <c r="D25" s="341" t="s">
        <v>110</v>
      </c>
      <c r="E25" s="341" t="s">
        <v>110</v>
      </c>
      <c r="F25" s="338" t="s">
        <v>289</v>
      </c>
      <c r="G25" s="338" t="s">
        <v>110</v>
      </c>
      <c r="H25" s="338" t="s">
        <v>110</v>
      </c>
      <c r="I25" s="338" t="s">
        <v>110</v>
      </c>
      <c r="J25" s="338" t="s">
        <v>110</v>
      </c>
      <c r="K25" s="334" t="s">
        <v>290</v>
      </c>
      <c r="L25" s="334" t="s">
        <v>110</v>
      </c>
      <c r="M25" s="334" t="s">
        <v>110</v>
      </c>
      <c r="N25" s="334" t="s">
        <v>110</v>
      </c>
      <c r="O25" s="334" t="s">
        <v>110</v>
      </c>
    </row>
  </sheetData>
  <mergeCells count="55"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4:F4"/>
    <mergeCell ref="J4:K4"/>
    <mergeCell ref="E5:F5"/>
    <mergeCell ref="J5:K5"/>
    <mergeCell ref="E6:F6"/>
    <mergeCell ref="J6:K6"/>
    <mergeCell ref="E7:F7"/>
    <mergeCell ref="J7:K7"/>
    <mergeCell ref="E8:F8"/>
    <mergeCell ref="J8:K8"/>
    <mergeCell ref="E9:F9"/>
    <mergeCell ref="J9:K9"/>
    <mergeCell ref="E10:F10"/>
    <mergeCell ref="J10:K10"/>
    <mergeCell ref="E11:F11"/>
    <mergeCell ref="J11:K11"/>
    <mergeCell ref="E12:F12"/>
    <mergeCell ref="J12:K12"/>
    <mergeCell ref="E13:F13"/>
    <mergeCell ref="J13:K13"/>
    <mergeCell ref="E14:F14"/>
    <mergeCell ref="J14:K14"/>
    <mergeCell ref="E15:F15"/>
    <mergeCell ref="J15:K15"/>
    <mergeCell ref="E16:F16"/>
    <mergeCell ref="J16:K16"/>
    <mergeCell ref="E17:F17"/>
    <mergeCell ref="J17:K17"/>
    <mergeCell ref="E18:F18"/>
    <mergeCell ref="J18:K18"/>
    <mergeCell ref="E19:F19"/>
    <mergeCell ref="J19:K19"/>
    <mergeCell ref="E20:F20"/>
    <mergeCell ref="J20:K20"/>
    <mergeCell ref="E21:F21"/>
    <mergeCell ref="J21:K21"/>
    <mergeCell ref="A25:E25"/>
    <mergeCell ref="F25:J25"/>
    <mergeCell ref="K25:O25"/>
    <mergeCell ref="E22:F22"/>
    <mergeCell ref="J22:K22"/>
    <mergeCell ref="E23:F23"/>
    <mergeCell ref="J23:K23"/>
    <mergeCell ref="A24:G24"/>
    <mergeCell ref="J24:K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命名范围</vt:lpstr>
      </vt:variant>
      <vt:variant>
        <vt:i4>1</vt:i4>
      </vt:variant>
    </vt:vector>
  </HeadingPairs>
  <TitlesOfParts>
    <vt:vector size="30" baseType="lpstr">
      <vt:lpstr>总概算表</vt:lpstr>
      <vt:lpstr>汇总表</vt:lpstr>
      <vt:lpstr>室内</vt:lpstr>
      <vt:lpstr>室外</vt:lpstr>
      <vt:lpstr>厂外</vt:lpstr>
      <vt:lpstr>其他</vt:lpstr>
      <vt:lpstr>设备取费</vt:lpstr>
      <vt:lpstr>工艺设备</vt:lpstr>
      <vt:lpstr>土费</vt:lpstr>
      <vt:lpstr>土措</vt:lpstr>
      <vt:lpstr>土</vt:lpstr>
      <vt:lpstr>价差</vt:lpstr>
      <vt:lpstr>措施</vt:lpstr>
      <vt:lpstr>水费</vt:lpstr>
      <vt:lpstr>水</vt:lpstr>
      <vt:lpstr>水设</vt:lpstr>
      <vt:lpstr>暖费</vt:lpstr>
      <vt:lpstr>暖</vt:lpstr>
      <vt:lpstr>暖设</vt:lpstr>
      <vt:lpstr>电费</vt:lpstr>
      <vt:lpstr>电</vt:lpstr>
      <vt:lpstr>电设</vt:lpstr>
      <vt:lpstr>动费</vt:lpstr>
      <vt:lpstr>动</vt:lpstr>
      <vt:lpstr>动设</vt:lpstr>
      <vt:lpstr>室外水费</vt:lpstr>
      <vt:lpstr>室外水</vt:lpstr>
      <vt:lpstr>室外电费</vt:lpstr>
      <vt:lpstr>室外电</vt:lpstr>
      <vt:lpstr>总概算表!Print_Area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2016-08-17T08:54:56Z</dcterms:modified>
</cp:coreProperties>
</file>